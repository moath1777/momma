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oath\Documents\momma\"/>
    </mc:Choice>
  </mc:AlternateContent>
  <xr:revisionPtr revIDLastSave="0" documentId="13_ncr:1_{60A6357C-9A87-4937-B9D8-63E8F0DBCC40}" xr6:coauthVersionLast="47" xr6:coauthVersionMax="47" xr10:uidLastSave="{00000000-0000-0000-0000-000000000000}"/>
  <bookViews>
    <workbookView xWindow="43080" yWindow="-120" windowWidth="29040" windowHeight="15720" tabRatio="679" activeTab="3" xr2:uid="{00000000-000D-0000-FFFF-FFFF00000000}"/>
  </bookViews>
  <sheets>
    <sheet name="تعليمات" sheetId="1" r:id="rId1"/>
    <sheet name="المرجع" sheetId="2" r:id="rId2"/>
    <sheet name="نقاط التحقق" sheetId="3" r:id="rId3"/>
    <sheet name="قائمة الوحدات" sheetId="4" r:id="rId4"/>
    <sheet name="المرتبطة بسمو الوزير" sheetId="5" r:id="rId5"/>
    <sheet name="الشؤون التنفيذية" sheetId="6" r:id="rId6"/>
    <sheet name="الجهاز العسكري" sheetId="7" r:id="rId7"/>
    <sheet name="تقييم العناصر" sheetId="8" r:id="rId8"/>
    <sheet name="النتائج" sheetId="9" r:id="rId9"/>
    <sheet name="ملخص الوحدات" sheetId="10" r:id="rId10"/>
  </sheets>
  <definedNames>
    <definedName name="_xlnm._FilterDatabase" localSheetId="6" hidden="1">'الجهاز العسكري'!$A$1:$O$631</definedName>
    <definedName name="_xlnm._FilterDatabase" localSheetId="5" hidden="1">'الشؤون التنفيذية'!$A$1:$P$421</definedName>
    <definedName name="_xlnm._FilterDatabase" localSheetId="4" hidden="1">'المرتبطة بسمو الوزير'!$A$1:$O$151</definedName>
    <definedName name="_xlnm._FilterDatabase" localSheetId="8" hidden="1">النتائج!$A$1:$I$121</definedName>
    <definedName name="_xlnm._FilterDatabase" localSheetId="7" hidden="1">'تقييم العناصر'!$A$1:$R$721</definedName>
    <definedName name="_xlnm._FilterDatabase" localSheetId="3" hidden="1">'قائمة الوحدات'!$A$1:$I$41</definedName>
    <definedName name="_xlnm._FilterDatabase" localSheetId="9" hidden="1">'ملخص الوحدات'!$A$1:$H$41</definedName>
    <definedName name="_xlnm._FilterDatabase" localSheetId="2" hidden="1">'نقاط التحقق'!$A$1:$H$31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" i="8" l="1"/>
  <c r="L2" i="8"/>
  <c r="M2" i="8"/>
  <c r="K3" i="8"/>
  <c r="L3" i="8"/>
  <c r="M3" i="8"/>
  <c r="K4" i="8"/>
  <c r="L4" i="8"/>
  <c r="M4" i="8"/>
  <c r="K5" i="8"/>
  <c r="L5" i="8"/>
  <c r="M5" i="8"/>
  <c r="K6" i="8"/>
  <c r="L6" i="8"/>
  <c r="M6" i="8"/>
  <c r="K7" i="8"/>
  <c r="L7" i="8"/>
  <c r="N7" i="8" s="1"/>
  <c r="R7" i="8" s="1"/>
  <c r="M7" i="8"/>
  <c r="K8" i="8"/>
  <c r="L8" i="8"/>
  <c r="N8" i="8" s="1"/>
  <c r="R8" i="8" s="1"/>
  <c r="M8" i="8"/>
  <c r="K9" i="8"/>
  <c r="L9" i="8"/>
  <c r="N9" i="8" s="1"/>
  <c r="M9" i="8"/>
  <c r="K10" i="8"/>
  <c r="L10" i="8"/>
  <c r="M10" i="8"/>
  <c r="K11" i="8"/>
  <c r="L11" i="8"/>
  <c r="M11" i="8"/>
  <c r="K12" i="8"/>
  <c r="L12" i="8"/>
  <c r="M12" i="8"/>
  <c r="K13" i="8"/>
  <c r="L13" i="8"/>
  <c r="M13" i="8"/>
  <c r="K14" i="8"/>
  <c r="L14" i="8"/>
  <c r="M14" i="8"/>
  <c r="K15" i="8"/>
  <c r="L15" i="8"/>
  <c r="M15" i="8"/>
  <c r="K16" i="8"/>
  <c r="L16" i="8"/>
  <c r="M16" i="8"/>
  <c r="K17" i="8"/>
  <c r="L17" i="8"/>
  <c r="M17" i="8"/>
  <c r="K18" i="8"/>
  <c r="L18" i="8"/>
  <c r="M18" i="8"/>
  <c r="K19" i="8"/>
  <c r="L19" i="8"/>
  <c r="M19" i="8"/>
  <c r="K20" i="8"/>
  <c r="L20" i="8"/>
  <c r="M20" i="8"/>
  <c r="K21" i="8"/>
  <c r="L21" i="8"/>
  <c r="M21" i="8"/>
  <c r="K22" i="8"/>
  <c r="L22" i="8"/>
  <c r="M22" i="8"/>
  <c r="K23" i="8"/>
  <c r="L23" i="8"/>
  <c r="M23" i="8"/>
  <c r="K24" i="8"/>
  <c r="L24" i="8"/>
  <c r="M24" i="8"/>
  <c r="K25" i="8"/>
  <c r="L25" i="8"/>
  <c r="N25" i="8" s="1"/>
  <c r="M25" i="8"/>
  <c r="K26" i="8"/>
  <c r="L26" i="8"/>
  <c r="M26" i="8"/>
  <c r="K27" i="8"/>
  <c r="L27" i="8"/>
  <c r="N27" i="8" s="1"/>
  <c r="R27" i="8" s="1"/>
  <c r="M27" i="8"/>
  <c r="K28" i="8"/>
  <c r="L28" i="8"/>
  <c r="M28" i="8"/>
  <c r="K29" i="8"/>
  <c r="L29" i="8"/>
  <c r="M29" i="8"/>
  <c r="K30" i="8"/>
  <c r="L30" i="8"/>
  <c r="M30" i="8"/>
  <c r="K31" i="8"/>
  <c r="L31" i="8"/>
  <c r="M31" i="8"/>
  <c r="K32" i="8"/>
  <c r="L32" i="8"/>
  <c r="M32" i="8"/>
  <c r="K33" i="8"/>
  <c r="L33" i="8"/>
  <c r="N33" i="8" s="1"/>
  <c r="R33" i="8" s="1"/>
  <c r="M33" i="8"/>
  <c r="K34" i="8"/>
  <c r="L34" i="8"/>
  <c r="M34" i="8"/>
  <c r="K35" i="8"/>
  <c r="L35" i="8"/>
  <c r="M35" i="8"/>
  <c r="K36" i="8"/>
  <c r="L36" i="8"/>
  <c r="M36" i="8"/>
  <c r="K37" i="8"/>
  <c r="L37" i="8"/>
  <c r="M37" i="8"/>
  <c r="K38" i="8"/>
  <c r="L38" i="8"/>
  <c r="N38" i="8" s="1"/>
  <c r="M38" i="8"/>
  <c r="K39" i="8"/>
  <c r="L39" i="8"/>
  <c r="N39" i="8" s="1"/>
  <c r="R39" i="8" s="1"/>
  <c r="M39" i="8"/>
  <c r="K40" i="8"/>
  <c r="L40" i="8"/>
  <c r="M40" i="8"/>
  <c r="K41" i="8"/>
  <c r="L41" i="8"/>
  <c r="N41" i="8" s="1"/>
  <c r="M41" i="8"/>
  <c r="K42" i="8"/>
  <c r="L42" i="8"/>
  <c r="M42" i="8"/>
  <c r="K43" i="8"/>
  <c r="L43" i="8"/>
  <c r="N43" i="8" s="1"/>
  <c r="R43" i="8" s="1"/>
  <c r="M43" i="8"/>
  <c r="K44" i="8"/>
  <c r="L44" i="8"/>
  <c r="M44" i="8"/>
  <c r="K45" i="8"/>
  <c r="L45" i="8"/>
  <c r="M45" i="8"/>
  <c r="K46" i="8"/>
  <c r="L46" i="8"/>
  <c r="M46" i="8"/>
  <c r="K47" i="8"/>
  <c r="L47" i="8"/>
  <c r="M47" i="8"/>
  <c r="K48" i="8"/>
  <c r="L48" i="8"/>
  <c r="M48" i="8"/>
  <c r="K49" i="8"/>
  <c r="L49" i="8"/>
  <c r="N49" i="8" s="1"/>
  <c r="R49" i="8" s="1"/>
  <c r="M49" i="8"/>
  <c r="K50" i="8"/>
  <c r="L50" i="8"/>
  <c r="M50" i="8"/>
  <c r="K51" i="8"/>
  <c r="L51" i="8"/>
  <c r="M51" i="8"/>
  <c r="K52" i="8"/>
  <c r="L52" i="8"/>
  <c r="M52" i="8"/>
  <c r="K53" i="8"/>
  <c r="L53" i="8"/>
  <c r="M53" i="8"/>
  <c r="K54" i="8"/>
  <c r="L54" i="8"/>
  <c r="M54" i="8"/>
  <c r="K55" i="8"/>
  <c r="L55" i="8"/>
  <c r="M55" i="8"/>
  <c r="K56" i="8"/>
  <c r="L56" i="8"/>
  <c r="M56" i="8"/>
  <c r="K57" i="8"/>
  <c r="L57" i="8"/>
  <c r="N57" i="8" s="1"/>
  <c r="R57" i="8" s="1"/>
  <c r="M57" i="8"/>
  <c r="K58" i="8"/>
  <c r="L58" i="8"/>
  <c r="M58" i="8"/>
  <c r="K59" i="8"/>
  <c r="L59" i="8"/>
  <c r="N59" i="8" s="1"/>
  <c r="R59" i="8" s="1"/>
  <c r="M59" i="8"/>
  <c r="K60" i="8"/>
  <c r="L60" i="8"/>
  <c r="M60" i="8"/>
  <c r="K61" i="8"/>
  <c r="L61" i="8"/>
  <c r="M61" i="8"/>
  <c r="K62" i="8"/>
  <c r="L62" i="8"/>
  <c r="N62" i="8" s="1"/>
  <c r="R62" i="8" s="1"/>
  <c r="M62" i="8"/>
  <c r="K63" i="8"/>
  <c r="L63" i="8"/>
  <c r="M63" i="8"/>
  <c r="K64" i="8"/>
  <c r="L64" i="8"/>
  <c r="M64" i="8"/>
  <c r="K65" i="8"/>
  <c r="L65" i="8"/>
  <c r="M65" i="8"/>
  <c r="K66" i="8"/>
  <c r="L66" i="8"/>
  <c r="M66" i="8"/>
  <c r="K67" i="8"/>
  <c r="L67" i="8"/>
  <c r="M67" i="8"/>
  <c r="K68" i="8"/>
  <c r="L68" i="8"/>
  <c r="M68" i="8"/>
  <c r="K69" i="8"/>
  <c r="L69" i="8"/>
  <c r="M69" i="8"/>
  <c r="K70" i="8"/>
  <c r="L70" i="8"/>
  <c r="M70" i="8"/>
  <c r="K71" i="8"/>
  <c r="L71" i="8"/>
  <c r="N71" i="8" s="1"/>
  <c r="R71" i="8" s="1"/>
  <c r="M71" i="8"/>
  <c r="K72" i="8"/>
  <c r="L72" i="8"/>
  <c r="M72" i="8"/>
  <c r="K73" i="8"/>
  <c r="L73" i="8"/>
  <c r="M73" i="8"/>
  <c r="K74" i="8"/>
  <c r="L74" i="8"/>
  <c r="N74" i="8" s="1"/>
  <c r="M74" i="8"/>
  <c r="K75" i="8"/>
  <c r="L75" i="8"/>
  <c r="N75" i="8" s="1"/>
  <c r="R75" i="8" s="1"/>
  <c r="M75" i="8"/>
  <c r="K76" i="8"/>
  <c r="L76" i="8"/>
  <c r="M76" i="8"/>
  <c r="K77" i="8"/>
  <c r="L77" i="8"/>
  <c r="M77" i="8"/>
  <c r="K78" i="8"/>
  <c r="L78" i="8"/>
  <c r="M78" i="8"/>
  <c r="K79" i="8"/>
  <c r="L79" i="8"/>
  <c r="M79" i="8"/>
  <c r="K80" i="8"/>
  <c r="L80" i="8"/>
  <c r="M80" i="8"/>
  <c r="K81" i="8"/>
  <c r="L81" i="8"/>
  <c r="N81" i="8" s="1"/>
  <c r="R81" i="8" s="1"/>
  <c r="M81" i="8"/>
  <c r="K82" i="8"/>
  <c r="L82" i="8"/>
  <c r="M82" i="8"/>
  <c r="K83" i="8"/>
  <c r="L83" i="8"/>
  <c r="M83" i="8"/>
  <c r="K84" i="8"/>
  <c r="L84" i="8"/>
  <c r="M84" i="8"/>
  <c r="K85" i="8"/>
  <c r="L85" i="8"/>
  <c r="M85" i="8"/>
  <c r="K86" i="8"/>
  <c r="L86" i="8"/>
  <c r="N86" i="8" s="1"/>
  <c r="R86" i="8" s="1"/>
  <c r="M86" i="8"/>
  <c r="K87" i="8"/>
  <c r="L87" i="8"/>
  <c r="N87" i="8" s="1"/>
  <c r="R87" i="8" s="1"/>
  <c r="M87" i="8"/>
  <c r="K88" i="8"/>
  <c r="L88" i="8"/>
  <c r="M88" i="8"/>
  <c r="K89" i="8"/>
  <c r="L89" i="8"/>
  <c r="N89" i="8" s="1"/>
  <c r="M89" i="8"/>
  <c r="K90" i="8"/>
  <c r="L90" i="8"/>
  <c r="N90" i="8" s="1"/>
  <c r="R90" i="8" s="1"/>
  <c r="M90" i="8"/>
  <c r="K91" i="8"/>
  <c r="L91" i="8"/>
  <c r="M91" i="8"/>
  <c r="K92" i="8"/>
  <c r="L92" i="8"/>
  <c r="M92" i="8"/>
  <c r="K93" i="8"/>
  <c r="L93" i="8"/>
  <c r="M93" i="8"/>
  <c r="K94" i="8"/>
  <c r="L94" i="8"/>
  <c r="N94" i="8" s="1"/>
  <c r="R94" i="8" s="1"/>
  <c r="M94" i="8"/>
  <c r="K95" i="8"/>
  <c r="L95" i="8"/>
  <c r="M95" i="8"/>
  <c r="K96" i="8"/>
  <c r="L96" i="8"/>
  <c r="M96" i="8"/>
  <c r="K97" i="8"/>
  <c r="L97" i="8"/>
  <c r="N97" i="8" s="1"/>
  <c r="R97" i="8" s="1"/>
  <c r="M97" i="8"/>
  <c r="K98" i="8"/>
  <c r="L98" i="8"/>
  <c r="M98" i="8"/>
  <c r="K99" i="8"/>
  <c r="L99" i="8"/>
  <c r="M99" i="8"/>
  <c r="K100" i="8"/>
  <c r="L100" i="8"/>
  <c r="M100" i="8"/>
  <c r="K101" i="8"/>
  <c r="L101" i="8"/>
  <c r="M101" i="8"/>
  <c r="K102" i="8"/>
  <c r="L102" i="8"/>
  <c r="M102" i="8"/>
  <c r="K103" i="8"/>
  <c r="L103" i="8"/>
  <c r="M103" i="8"/>
  <c r="K104" i="8"/>
  <c r="L104" i="8"/>
  <c r="N104" i="8" s="1"/>
  <c r="R104" i="8" s="1"/>
  <c r="M104" i="8"/>
  <c r="K105" i="8"/>
  <c r="L105" i="8"/>
  <c r="M105" i="8"/>
  <c r="K106" i="8"/>
  <c r="L106" i="8"/>
  <c r="M106" i="8"/>
  <c r="K107" i="8"/>
  <c r="L107" i="8"/>
  <c r="N107" i="8" s="1"/>
  <c r="R107" i="8" s="1"/>
  <c r="M107" i="8"/>
  <c r="K108" i="8"/>
  <c r="L108" i="8"/>
  <c r="M108" i="8"/>
  <c r="K109" i="8"/>
  <c r="L109" i="8"/>
  <c r="M109" i="8"/>
  <c r="K110" i="8"/>
  <c r="L110" i="8"/>
  <c r="M110" i="8"/>
  <c r="K111" i="8"/>
  <c r="L111" i="8"/>
  <c r="M111" i="8"/>
  <c r="K112" i="8"/>
  <c r="L112" i="8"/>
  <c r="M112" i="8"/>
  <c r="K113" i="8"/>
  <c r="L113" i="8"/>
  <c r="N113" i="8" s="1"/>
  <c r="R113" i="8" s="1"/>
  <c r="M113" i="8"/>
  <c r="K114" i="8"/>
  <c r="L114" i="8"/>
  <c r="N114" i="8" s="1"/>
  <c r="R114" i="8" s="1"/>
  <c r="M114" i="8"/>
  <c r="K115" i="8"/>
  <c r="L115" i="8"/>
  <c r="M115" i="8"/>
  <c r="K116" i="8"/>
  <c r="L116" i="8"/>
  <c r="M116" i="8"/>
  <c r="K117" i="8"/>
  <c r="L117" i="8"/>
  <c r="M117" i="8"/>
  <c r="K118" i="8"/>
  <c r="L118" i="8"/>
  <c r="N118" i="8" s="1"/>
  <c r="R118" i="8" s="1"/>
  <c r="M118" i="8"/>
  <c r="K119" i="8"/>
  <c r="L119" i="8"/>
  <c r="N119" i="8" s="1"/>
  <c r="R119" i="8" s="1"/>
  <c r="M119" i="8"/>
  <c r="K120" i="8"/>
  <c r="L120" i="8"/>
  <c r="M120" i="8"/>
  <c r="K121" i="8"/>
  <c r="L121" i="8"/>
  <c r="M121" i="8"/>
  <c r="K122" i="8"/>
  <c r="L122" i="8"/>
  <c r="M122" i="8"/>
  <c r="K123" i="8"/>
  <c r="L123" i="8"/>
  <c r="N123" i="8" s="1"/>
  <c r="R123" i="8" s="1"/>
  <c r="M123" i="8"/>
  <c r="K124" i="8"/>
  <c r="L124" i="8"/>
  <c r="M124" i="8"/>
  <c r="K125" i="8"/>
  <c r="L125" i="8"/>
  <c r="M125" i="8"/>
  <c r="K126" i="8"/>
  <c r="L126" i="8"/>
  <c r="M126" i="8"/>
  <c r="K127" i="8"/>
  <c r="L127" i="8"/>
  <c r="M127" i="8"/>
  <c r="K128" i="8"/>
  <c r="L128" i="8"/>
  <c r="M128" i="8"/>
  <c r="K129" i="8"/>
  <c r="L129" i="8"/>
  <c r="N129" i="8" s="1"/>
  <c r="M129" i="8"/>
  <c r="K130" i="8"/>
  <c r="L130" i="8"/>
  <c r="M130" i="8"/>
  <c r="K131" i="8"/>
  <c r="L131" i="8"/>
  <c r="M131" i="8"/>
  <c r="K132" i="8"/>
  <c r="L132" i="8"/>
  <c r="M132" i="8"/>
  <c r="K133" i="8"/>
  <c r="L133" i="8"/>
  <c r="M133" i="8"/>
  <c r="K134" i="8"/>
  <c r="L134" i="8"/>
  <c r="M134" i="8"/>
  <c r="K135" i="8"/>
  <c r="L135" i="8"/>
  <c r="N135" i="8" s="1"/>
  <c r="R135" i="8" s="1"/>
  <c r="M135" i="8"/>
  <c r="K136" i="8"/>
  <c r="L136" i="8"/>
  <c r="M136" i="8"/>
  <c r="K137" i="8"/>
  <c r="L137" i="8"/>
  <c r="M137" i="8"/>
  <c r="K138" i="8"/>
  <c r="L138" i="8"/>
  <c r="M138" i="8"/>
  <c r="K139" i="8"/>
  <c r="L139" i="8"/>
  <c r="N139" i="8" s="1"/>
  <c r="R139" i="8" s="1"/>
  <c r="M139" i="8"/>
  <c r="K140" i="8"/>
  <c r="L140" i="8"/>
  <c r="M140" i="8"/>
  <c r="K141" i="8"/>
  <c r="L141" i="8"/>
  <c r="M141" i="8"/>
  <c r="K142" i="8"/>
  <c r="L142" i="8"/>
  <c r="N142" i="8" s="1"/>
  <c r="R142" i="8" s="1"/>
  <c r="M142" i="8"/>
  <c r="K143" i="8"/>
  <c r="L143" i="8"/>
  <c r="M143" i="8"/>
  <c r="K144" i="8"/>
  <c r="L144" i="8"/>
  <c r="M144" i="8"/>
  <c r="K145" i="8"/>
  <c r="L145" i="8"/>
  <c r="M145" i="8"/>
  <c r="K146" i="8"/>
  <c r="L146" i="8"/>
  <c r="M146" i="8"/>
  <c r="K147" i="8"/>
  <c r="L147" i="8"/>
  <c r="N147" i="8" s="1"/>
  <c r="R147" i="8" s="1"/>
  <c r="M147" i="8"/>
  <c r="K148" i="8"/>
  <c r="L148" i="8"/>
  <c r="M148" i="8"/>
  <c r="K149" i="8"/>
  <c r="L149" i="8"/>
  <c r="M149" i="8"/>
  <c r="K150" i="8"/>
  <c r="L150" i="8"/>
  <c r="N150" i="8" s="1"/>
  <c r="R150" i="8" s="1"/>
  <c r="M150" i="8"/>
  <c r="K151" i="8"/>
  <c r="L151" i="8"/>
  <c r="N151" i="8" s="1"/>
  <c r="R151" i="8" s="1"/>
  <c r="M151" i="8"/>
  <c r="K152" i="8"/>
  <c r="L152" i="8"/>
  <c r="M152" i="8"/>
  <c r="K153" i="8"/>
  <c r="L153" i="8"/>
  <c r="M153" i="8"/>
  <c r="K154" i="8"/>
  <c r="L154" i="8"/>
  <c r="M154" i="8"/>
  <c r="K155" i="8"/>
  <c r="L155" i="8"/>
  <c r="M155" i="8"/>
  <c r="K156" i="8"/>
  <c r="L156" i="8"/>
  <c r="M156" i="8"/>
  <c r="K157" i="8"/>
  <c r="L157" i="8"/>
  <c r="M157" i="8"/>
  <c r="K158" i="8"/>
  <c r="L158" i="8"/>
  <c r="N158" i="8" s="1"/>
  <c r="R158" i="8" s="1"/>
  <c r="M158" i="8"/>
  <c r="K159" i="8"/>
  <c r="L159" i="8"/>
  <c r="M159" i="8"/>
  <c r="K160" i="8"/>
  <c r="L160" i="8"/>
  <c r="M160" i="8"/>
  <c r="K161" i="8"/>
  <c r="L161" i="8"/>
  <c r="M161" i="8"/>
  <c r="K162" i="8"/>
  <c r="L162" i="8"/>
  <c r="M162" i="8"/>
  <c r="K163" i="8"/>
  <c r="L163" i="8"/>
  <c r="M163" i="8"/>
  <c r="K164" i="8"/>
  <c r="L164" i="8"/>
  <c r="M164" i="8"/>
  <c r="K165" i="8"/>
  <c r="L165" i="8"/>
  <c r="M165" i="8"/>
  <c r="K166" i="8"/>
  <c r="L166" i="8"/>
  <c r="M166" i="8"/>
  <c r="K167" i="8"/>
  <c r="L167" i="8"/>
  <c r="N167" i="8" s="1"/>
  <c r="R167" i="8" s="1"/>
  <c r="M167" i="8"/>
  <c r="K168" i="8"/>
  <c r="L168" i="8"/>
  <c r="N168" i="8" s="1"/>
  <c r="R168" i="8" s="1"/>
  <c r="M168" i="8"/>
  <c r="K169" i="8"/>
  <c r="L169" i="8"/>
  <c r="M169" i="8"/>
  <c r="K170" i="8"/>
  <c r="L170" i="8"/>
  <c r="M170" i="8"/>
  <c r="K171" i="8"/>
  <c r="L171" i="8"/>
  <c r="N171" i="8" s="1"/>
  <c r="R171" i="8" s="1"/>
  <c r="M171" i="8"/>
  <c r="K172" i="8"/>
  <c r="L172" i="8"/>
  <c r="M172" i="8"/>
  <c r="K173" i="8"/>
  <c r="L173" i="8"/>
  <c r="M173" i="8"/>
  <c r="K174" i="8"/>
  <c r="L174" i="8"/>
  <c r="M174" i="8"/>
  <c r="K175" i="8"/>
  <c r="L175" i="8"/>
  <c r="M175" i="8"/>
  <c r="K176" i="8"/>
  <c r="L176" i="8"/>
  <c r="M176" i="8"/>
  <c r="K177" i="8"/>
  <c r="L177" i="8"/>
  <c r="M177" i="8"/>
  <c r="K178" i="8"/>
  <c r="L178" i="8"/>
  <c r="M178" i="8"/>
  <c r="K179" i="8"/>
  <c r="L179" i="8"/>
  <c r="M179" i="8"/>
  <c r="K180" i="8"/>
  <c r="L180" i="8"/>
  <c r="M180" i="8"/>
  <c r="K181" i="8"/>
  <c r="L181" i="8"/>
  <c r="M181" i="8"/>
  <c r="K182" i="8"/>
  <c r="L182" i="8"/>
  <c r="N182" i="8" s="1"/>
  <c r="R182" i="8" s="1"/>
  <c r="M182" i="8"/>
  <c r="K183" i="8"/>
  <c r="L183" i="8"/>
  <c r="M183" i="8"/>
  <c r="K184" i="8"/>
  <c r="L184" i="8"/>
  <c r="M184" i="8"/>
  <c r="K185" i="8"/>
  <c r="L185" i="8"/>
  <c r="M185" i="8"/>
  <c r="K186" i="8"/>
  <c r="L186" i="8"/>
  <c r="M186" i="8"/>
  <c r="K187" i="8"/>
  <c r="L187" i="8"/>
  <c r="M187" i="8"/>
  <c r="K188" i="8"/>
  <c r="L188" i="8"/>
  <c r="M188" i="8"/>
  <c r="K189" i="8"/>
  <c r="L189" i="8"/>
  <c r="M189" i="8"/>
  <c r="K190" i="8"/>
  <c r="L190" i="8"/>
  <c r="M190" i="8"/>
  <c r="K191" i="8"/>
  <c r="L191" i="8"/>
  <c r="M191" i="8"/>
  <c r="K192" i="8"/>
  <c r="L192" i="8"/>
  <c r="M192" i="8"/>
  <c r="K193" i="8"/>
  <c r="L193" i="8"/>
  <c r="M193" i="8"/>
  <c r="K194" i="8"/>
  <c r="L194" i="8"/>
  <c r="M194" i="8"/>
  <c r="K195" i="8"/>
  <c r="L195" i="8"/>
  <c r="M195" i="8"/>
  <c r="K196" i="8"/>
  <c r="L196" i="8"/>
  <c r="M196" i="8"/>
  <c r="K197" i="8"/>
  <c r="L197" i="8"/>
  <c r="M197" i="8"/>
  <c r="K198" i="8"/>
  <c r="L198" i="8"/>
  <c r="M198" i="8"/>
  <c r="K199" i="8"/>
  <c r="L199" i="8"/>
  <c r="N199" i="8" s="1"/>
  <c r="R199" i="8" s="1"/>
  <c r="M199" i="8"/>
  <c r="K200" i="8"/>
  <c r="L200" i="8"/>
  <c r="N200" i="8" s="1"/>
  <c r="R200" i="8" s="1"/>
  <c r="M200" i="8"/>
  <c r="K201" i="8"/>
  <c r="L201" i="8"/>
  <c r="N201" i="8" s="1"/>
  <c r="M201" i="8"/>
  <c r="K202" i="8"/>
  <c r="L202" i="8"/>
  <c r="M202" i="8"/>
  <c r="K203" i="8"/>
  <c r="L203" i="8"/>
  <c r="N203" i="8" s="1"/>
  <c r="R203" i="8" s="1"/>
  <c r="M203" i="8"/>
  <c r="K204" i="8"/>
  <c r="L204" i="8"/>
  <c r="N204" i="8" s="1"/>
  <c r="R204" i="8" s="1"/>
  <c r="M204" i="8"/>
  <c r="K205" i="8"/>
  <c r="L205" i="8"/>
  <c r="N205" i="8" s="1"/>
  <c r="R205" i="8" s="1"/>
  <c r="M205" i="8"/>
  <c r="K206" i="8"/>
  <c r="L206" i="8"/>
  <c r="N206" i="8" s="1"/>
  <c r="R206" i="8" s="1"/>
  <c r="M206" i="8"/>
  <c r="K207" i="8"/>
  <c r="L207" i="8"/>
  <c r="M207" i="8"/>
  <c r="K208" i="8"/>
  <c r="L208" i="8"/>
  <c r="M208" i="8"/>
  <c r="K209" i="8"/>
  <c r="L209" i="8"/>
  <c r="N209" i="8" s="1"/>
  <c r="R209" i="8" s="1"/>
  <c r="M209" i="8"/>
  <c r="K210" i="8"/>
  <c r="L210" i="8"/>
  <c r="N210" i="8" s="1"/>
  <c r="R210" i="8" s="1"/>
  <c r="M210" i="8"/>
  <c r="K211" i="8"/>
  <c r="L211" i="8"/>
  <c r="M211" i="8"/>
  <c r="K212" i="8"/>
  <c r="L212" i="8"/>
  <c r="M212" i="8"/>
  <c r="K213" i="8"/>
  <c r="L213" i="8"/>
  <c r="M213" i="8"/>
  <c r="K214" i="8"/>
  <c r="L214" i="8"/>
  <c r="N214" i="8" s="1"/>
  <c r="R214" i="8" s="1"/>
  <c r="M214" i="8"/>
  <c r="K215" i="8"/>
  <c r="L215" i="8"/>
  <c r="M215" i="8"/>
  <c r="K216" i="8"/>
  <c r="L216" i="8"/>
  <c r="M216" i="8"/>
  <c r="K217" i="8"/>
  <c r="L217" i="8"/>
  <c r="N217" i="8" s="1"/>
  <c r="M217" i="8"/>
  <c r="K218" i="8"/>
  <c r="L218" i="8"/>
  <c r="M218" i="8"/>
  <c r="K219" i="8"/>
  <c r="L219" i="8"/>
  <c r="M219" i="8"/>
  <c r="K220" i="8"/>
  <c r="L220" i="8"/>
  <c r="N220" i="8" s="1"/>
  <c r="M220" i="8"/>
  <c r="K221" i="8"/>
  <c r="L221" i="8"/>
  <c r="M221" i="8"/>
  <c r="K222" i="8"/>
  <c r="L222" i="8"/>
  <c r="N222" i="8" s="1"/>
  <c r="R222" i="8" s="1"/>
  <c r="M222" i="8"/>
  <c r="K223" i="8"/>
  <c r="L223" i="8"/>
  <c r="M223" i="8"/>
  <c r="K224" i="8"/>
  <c r="L224" i="8"/>
  <c r="M224" i="8"/>
  <c r="K225" i="8"/>
  <c r="L225" i="8"/>
  <c r="N225" i="8" s="1"/>
  <c r="R225" i="8" s="1"/>
  <c r="M225" i="8"/>
  <c r="K226" i="8"/>
  <c r="L226" i="8"/>
  <c r="M226" i="8"/>
  <c r="K227" i="8"/>
  <c r="L227" i="8"/>
  <c r="M227" i="8"/>
  <c r="K228" i="8"/>
  <c r="L228" i="8"/>
  <c r="M228" i="8"/>
  <c r="K229" i="8"/>
  <c r="L229" i="8"/>
  <c r="M229" i="8"/>
  <c r="K230" i="8"/>
  <c r="L230" i="8"/>
  <c r="N230" i="8" s="1"/>
  <c r="R230" i="8" s="1"/>
  <c r="M230" i="8"/>
  <c r="K231" i="8"/>
  <c r="L231" i="8"/>
  <c r="M231" i="8"/>
  <c r="K232" i="8"/>
  <c r="L232" i="8"/>
  <c r="M232" i="8"/>
  <c r="K233" i="8"/>
  <c r="L233" i="8"/>
  <c r="M233" i="8"/>
  <c r="K234" i="8"/>
  <c r="L234" i="8"/>
  <c r="M234" i="8"/>
  <c r="K235" i="8"/>
  <c r="L235" i="8"/>
  <c r="N235" i="8" s="1"/>
  <c r="R235" i="8" s="1"/>
  <c r="M235" i="8"/>
  <c r="K236" i="8"/>
  <c r="L236" i="8"/>
  <c r="M236" i="8"/>
  <c r="K237" i="8"/>
  <c r="L237" i="8"/>
  <c r="M237" i="8"/>
  <c r="K238" i="8"/>
  <c r="L238" i="8"/>
  <c r="M238" i="8"/>
  <c r="K239" i="8"/>
  <c r="L239" i="8"/>
  <c r="M239" i="8"/>
  <c r="K240" i="8"/>
  <c r="L240" i="8"/>
  <c r="M240" i="8"/>
  <c r="K241" i="8"/>
  <c r="L241" i="8"/>
  <c r="M241" i="8"/>
  <c r="K242" i="8"/>
  <c r="L242" i="8"/>
  <c r="M242" i="8"/>
  <c r="K243" i="8"/>
  <c r="L243" i="8"/>
  <c r="M243" i="8"/>
  <c r="K244" i="8"/>
  <c r="L244" i="8"/>
  <c r="M244" i="8"/>
  <c r="K245" i="8"/>
  <c r="L245" i="8"/>
  <c r="N245" i="8" s="1"/>
  <c r="R245" i="8" s="1"/>
  <c r="M245" i="8"/>
  <c r="K246" i="8"/>
  <c r="L246" i="8"/>
  <c r="N246" i="8" s="1"/>
  <c r="R246" i="8" s="1"/>
  <c r="M246" i="8"/>
  <c r="K247" i="8"/>
  <c r="L247" i="8"/>
  <c r="M247" i="8"/>
  <c r="K248" i="8"/>
  <c r="L248" i="8"/>
  <c r="N248" i="8" s="1"/>
  <c r="M248" i="8"/>
  <c r="K249" i="8"/>
  <c r="L249" i="8"/>
  <c r="N249" i="8" s="1"/>
  <c r="R249" i="8" s="1"/>
  <c r="M249" i="8"/>
  <c r="K250" i="8"/>
  <c r="L250" i="8"/>
  <c r="M250" i="8"/>
  <c r="K251" i="8"/>
  <c r="L251" i="8"/>
  <c r="M251" i="8"/>
  <c r="K252" i="8"/>
  <c r="L252" i="8"/>
  <c r="M252" i="8"/>
  <c r="K253" i="8"/>
  <c r="L253" i="8"/>
  <c r="N253" i="8" s="1"/>
  <c r="M253" i="8"/>
  <c r="K254" i="8"/>
  <c r="L254" i="8"/>
  <c r="N254" i="8" s="1"/>
  <c r="R254" i="8" s="1"/>
  <c r="M254" i="8"/>
  <c r="K255" i="8"/>
  <c r="L255" i="8"/>
  <c r="M255" i="8"/>
  <c r="K256" i="8"/>
  <c r="L256" i="8"/>
  <c r="M256" i="8"/>
  <c r="K257" i="8"/>
  <c r="L257" i="8"/>
  <c r="N257" i="8" s="1"/>
  <c r="R257" i="8" s="1"/>
  <c r="M257" i="8"/>
  <c r="K258" i="8"/>
  <c r="L258" i="8"/>
  <c r="N258" i="8" s="1"/>
  <c r="R258" i="8" s="1"/>
  <c r="M258" i="8"/>
  <c r="K259" i="8"/>
  <c r="L259" i="8"/>
  <c r="M259" i="8"/>
  <c r="K260" i="8"/>
  <c r="L260" i="8"/>
  <c r="M260" i="8"/>
  <c r="K261" i="8"/>
  <c r="L261" i="8"/>
  <c r="M261" i="8"/>
  <c r="K262" i="8"/>
  <c r="L262" i="8"/>
  <c r="M262" i="8"/>
  <c r="K263" i="8"/>
  <c r="L263" i="8"/>
  <c r="M263" i="8"/>
  <c r="K264" i="8"/>
  <c r="L264" i="8"/>
  <c r="M264" i="8"/>
  <c r="K265" i="8"/>
  <c r="L265" i="8"/>
  <c r="M265" i="8"/>
  <c r="K266" i="8"/>
  <c r="L266" i="8"/>
  <c r="M266" i="8"/>
  <c r="K267" i="8"/>
  <c r="L267" i="8"/>
  <c r="N267" i="8" s="1"/>
  <c r="R267" i="8" s="1"/>
  <c r="M267" i="8"/>
  <c r="K268" i="8"/>
  <c r="L268" i="8"/>
  <c r="N268" i="8" s="1"/>
  <c r="R268" i="8" s="1"/>
  <c r="M268" i="8"/>
  <c r="K269" i="8"/>
  <c r="L269" i="8"/>
  <c r="M269" i="8"/>
  <c r="K270" i="8"/>
  <c r="L270" i="8"/>
  <c r="M270" i="8"/>
  <c r="K271" i="8"/>
  <c r="L271" i="8"/>
  <c r="M271" i="8"/>
  <c r="K272" i="8"/>
  <c r="L272" i="8"/>
  <c r="M272" i="8"/>
  <c r="K273" i="8"/>
  <c r="L273" i="8"/>
  <c r="N273" i="8" s="1"/>
  <c r="M273" i="8"/>
  <c r="K274" i="8"/>
  <c r="L274" i="8"/>
  <c r="M274" i="8"/>
  <c r="K275" i="8"/>
  <c r="L275" i="8"/>
  <c r="M275" i="8"/>
  <c r="K276" i="8"/>
  <c r="L276" i="8"/>
  <c r="M276" i="8"/>
  <c r="K277" i="8"/>
  <c r="L277" i="8"/>
  <c r="M277" i="8"/>
  <c r="K278" i="8"/>
  <c r="L278" i="8"/>
  <c r="N278" i="8" s="1"/>
  <c r="R278" i="8" s="1"/>
  <c r="M278" i="8"/>
  <c r="K279" i="8"/>
  <c r="L279" i="8"/>
  <c r="M279" i="8"/>
  <c r="K280" i="8"/>
  <c r="L280" i="8"/>
  <c r="M280" i="8"/>
  <c r="K281" i="8"/>
  <c r="L281" i="8"/>
  <c r="N281" i="8" s="1"/>
  <c r="R281" i="8" s="1"/>
  <c r="M281" i="8"/>
  <c r="K282" i="8"/>
  <c r="L282" i="8"/>
  <c r="M282" i="8"/>
  <c r="K283" i="8"/>
  <c r="L283" i="8"/>
  <c r="M283" i="8"/>
  <c r="K284" i="8"/>
  <c r="L284" i="8"/>
  <c r="M284" i="8"/>
  <c r="K285" i="8"/>
  <c r="L285" i="8"/>
  <c r="N285" i="8" s="1"/>
  <c r="M285" i="8"/>
  <c r="K286" i="8"/>
  <c r="L286" i="8"/>
  <c r="N286" i="8" s="1"/>
  <c r="R286" i="8" s="1"/>
  <c r="M286" i="8"/>
  <c r="K287" i="8"/>
  <c r="L287" i="8"/>
  <c r="M287" i="8"/>
  <c r="K288" i="8"/>
  <c r="L288" i="8"/>
  <c r="M288" i="8"/>
  <c r="K289" i="8"/>
  <c r="L289" i="8"/>
  <c r="M289" i="8"/>
  <c r="K290" i="8"/>
  <c r="L290" i="8"/>
  <c r="M290" i="8"/>
  <c r="K291" i="8"/>
  <c r="L291" i="8"/>
  <c r="M291" i="8"/>
  <c r="K292" i="8"/>
  <c r="L292" i="8"/>
  <c r="M292" i="8"/>
  <c r="K293" i="8"/>
  <c r="L293" i="8"/>
  <c r="M293" i="8"/>
  <c r="K294" i="8"/>
  <c r="L294" i="8"/>
  <c r="M294" i="8"/>
  <c r="K295" i="8"/>
  <c r="L295" i="8"/>
  <c r="M295" i="8"/>
  <c r="K296" i="8"/>
  <c r="L296" i="8"/>
  <c r="M296" i="8"/>
  <c r="K297" i="8"/>
  <c r="L297" i="8"/>
  <c r="N297" i="8" s="1"/>
  <c r="R297" i="8" s="1"/>
  <c r="M297" i="8"/>
  <c r="K298" i="8"/>
  <c r="L298" i="8"/>
  <c r="M298" i="8"/>
  <c r="K299" i="8"/>
  <c r="L299" i="8"/>
  <c r="M299" i="8"/>
  <c r="K300" i="8"/>
  <c r="L300" i="8"/>
  <c r="M300" i="8"/>
  <c r="K301" i="8"/>
  <c r="L301" i="8"/>
  <c r="M301" i="8"/>
  <c r="K302" i="8"/>
  <c r="L302" i="8"/>
  <c r="N302" i="8" s="1"/>
  <c r="R302" i="8" s="1"/>
  <c r="M302" i="8"/>
  <c r="K303" i="8"/>
  <c r="L303" i="8"/>
  <c r="M303" i="8"/>
  <c r="K304" i="8"/>
  <c r="L304" i="8"/>
  <c r="M304" i="8"/>
  <c r="K305" i="8"/>
  <c r="L305" i="8"/>
  <c r="N305" i="8" s="1"/>
  <c r="R305" i="8" s="1"/>
  <c r="M305" i="8"/>
  <c r="K306" i="8"/>
  <c r="L306" i="8"/>
  <c r="N306" i="8" s="1"/>
  <c r="R306" i="8" s="1"/>
  <c r="M306" i="8"/>
  <c r="K307" i="8"/>
  <c r="L307" i="8"/>
  <c r="M307" i="8"/>
  <c r="K308" i="8"/>
  <c r="L308" i="8"/>
  <c r="M308" i="8"/>
  <c r="K309" i="8"/>
  <c r="L309" i="8"/>
  <c r="M309" i="8"/>
  <c r="K310" i="8"/>
  <c r="L310" i="8"/>
  <c r="N310" i="8" s="1"/>
  <c r="R310" i="8" s="1"/>
  <c r="M310" i="8"/>
  <c r="K311" i="8"/>
  <c r="L311" i="8"/>
  <c r="N311" i="8" s="1"/>
  <c r="M311" i="8"/>
  <c r="K312" i="8"/>
  <c r="L312" i="8"/>
  <c r="M312" i="8"/>
  <c r="K313" i="8"/>
  <c r="L313" i="8"/>
  <c r="M313" i="8"/>
  <c r="K314" i="8"/>
  <c r="L314" i="8"/>
  <c r="M314" i="8"/>
  <c r="K315" i="8"/>
  <c r="L315" i="8"/>
  <c r="M315" i="8"/>
  <c r="K316" i="8"/>
  <c r="L316" i="8"/>
  <c r="N316" i="8" s="1"/>
  <c r="R316" i="8" s="1"/>
  <c r="M316" i="8"/>
  <c r="K317" i="8"/>
  <c r="L317" i="8"/>
  <c r="M317" i="8"/>
  <c r="K318" i="8"/>
  <c r="L318" i="8"/>
  <c r="N318" i="8" s="1"/>
  <c r="M318" i="8"/>
  <c r="K319" i="8"/>
  <c r="L319" i="8"/>
  <c r="M319" i="8"/>
  <c r="K320" i="8"/>
  <c r="L320" i="8"/>
  <c r="M320" i="8"/>
  <c r="K321" i="8"/>
  <c r="L321" i="8"/>
  <c r="M321" i="8"/>
  <c r="K322" i="8"/>
  <c r="L322" i="8"/>
  <c r="M322" i="8"/>
  <c r="K323" i="8"/>
  <c r="L323" i="8"/>
  <c r="M323" i="8"/>
  <c r="K324" i="8"/>
  <c r="L324" i="8"/>
  <c r="M324" i="8"/>
  <c r="K325" i="8"/>
  <c r="L325" i="8"/>
  <c r="M325" i="8"/>
  <c r="K326" i="8"/>
  <c r="L326" i="8"/>
  <c r="N326" i="8" s="1"/>
  <c r="R326" i="8" s="1"/>
  <c r="M326" i="8"/>
  <c r="K327" i="8"/>
  <c r="L327" i="8"/>
  <c r="N327" i="8" s="1"/>
  <c r="R327" i="8" s="1"/>
  <c r="M327" i="8"/>
  <c r="K328" i="8"/>
  <c r="L328" i="8"/>
  <c r="M328" i="8"/>
  <c r="K329" i="8"/>
  <c r="L329" i="8"/>
  <c r="M329" i="8"/>
  <c r="K330" i="8"/>
  <c r="L330" i="8"/>
  <c r="M330" i="8"/>
  <c r="K331" i="8"/>
  <c r="L331" i="8"/>
  <c r="M331" i="8"/>
  <c r="K332" i="8"/>
  <c r="L332" i="8"/>
  <c r="N332" i="8" s="1"/>
  <c r="R332" i="8" s="1"/>
  <c r="M332" i="8"/>
  <c r="K333" i="8"/>
  <c r="L333" i="8"/>
  <c r="M333" i="8"/>
  <c r="K334" i="8"/>
  <c r="L334" i="8"/>
  <c r="N334" i="8" s="1"/>
  <c r="R334" i="8" s="1"/>
  <c r="M334" i="8"/>
  <c r="K335" i="8"/>
  <c r="L335" i="8"/>
  <c r="N335" i="8" s="1"/>
  <c r="M335" i="8"/>
  <c r="K336" i="8"/>
  <c r="L336" i="8"/>
  <c r="M336" i="8"/>
  <c r="K337" i="8"/>
  <c r="L337" i="8"/>
  <c r="M337" i="8"/>
  <c r="K338" i="8"/>
  <c r="L338" i="8"/>
  <c r="M338" i="8"/>
  <c r="K339" i="8"/>
  <c r="L339" i="8"/>
  <c r="M339" i="8"/>
  <c r="K340" i="8"/>
  <c r="L340" i="8"/>
  <c r="N340" i="8" s="1"/>
  <c r="R340" i="8" s="1"/>
  <c r="M340" i="8"/>
  <c r="K341" i="8"/>
  <c r="L341" i="8"/>
  <c r="M341" i="8"/>
  <c r="K342" i="8"/>
  <c r="L342" i="8"/>
  <c r="N342" i="8" s="1"/>
  <c r="R342" i="8" s="1"/>
  <c r="M342" i="8"/>
  <c r="K343" i="8"/>
  <c r="L343" i="8"/>
  <c r="N343" i="8" s="1"/>
  <c r="R343" i="8" s="1"/>
  <c r="M343" i="8"/>
  <c r="K344" i="8"/>
  <c r="L344" i="8"/>
  <c r="M344" i="8"/>
  <c r="K345" i="8"/>
  <c r="L345" i="8"/>
  <c r="M345" i="8"/>
  <c r="K346" i="8"/>
  <c r="L346" i="8"/>
  <c r="M346" i="8"/>
  <c r="K347" i="8"/>
  <c r="L347" i="8"/>
  <c r="N347" i="8" s="1"/>
  <c r="R347" i="8" s="1"/>
  <c r="M347" i="8"/>
  <c r="K348" i="8"/>
  <c r="L348" i="8"/>
  <c r="M348" i="8"/>
  <c r="K349" i="8"/>
  <c r="L349" i="8"/>
  <c r="M349" i="8"/>
  <c r="K350" i="8"/>
  <c r="L350" i="8"/>
  <c r="M350" i="8"/>
  <c r="K351" i="8"/>
  <c r="L351" i="8"/>
  <c r="M351" i="8"/>
  <c r="K352" i="8"/>
  <c r="L352" i="8"/>
  <c r="M352" i="8"/>
  <c r="K353" i="8"/>
  <c r="L353" i="8"/>
  <c r="N353" i="8" s="1"/>
  <c r="R353" i="8" s="1"/>
  <c r="M353" i="8"/>
  <c r="K354" i="8"/>
  <c r="L354" i="8"/>
  <c r="N354" i="8" s="1"/>
  <c r="R354" i="8" s="1"/>
  <c r="M354" i="8"/>
  <c r="K355" i="8"/>
  <c r="L355" i="8"/>
  <c r="M355" i="8"/>
  <c r="K356" i="8"/>
  <c r="L356" i="8"/>
  <c r="M356" i="8"/>
  <c r="K357" i="8"/>
  <c r="L357" i="8"/>
  <c r="M357" i="8"/>
  <c r="K358" i="8"/>
  <c r="L358" i="8"/>
  <c r="M358" i="8"/>
  <c r="K359" i="8"/>
  <c r="L359" i="8"/>
  <c r="M359" i="8"/>
  <c r="K360" i="8"/>
  <c r="L360" i="8"/>
  <c r="M360" i="8"/>
  <c r="K361" i="8"/>
  <c r="L361" i="8"/>
  <c r="M361" i="8"/>
  <c r="K362" i="8"/>
  <c r="L362" i="8"/>
  <c r="M362" i="8"/>
  <c r="K363" i="8"/>
  <c r="L363" i="8"/>
  <c r="M363" i="8"/>
  <c r="K364" i="8"/>
  <c r="L364" i="8"/>
  <c r="N364" i="8" s="1"/>
  <c r="R364" i="8" s="1"/>
  <c r="M364" i="8"/>
  <c r="K365" i="8"/>
  <c r="L365" i="8"/>
  <c r="M365" i="8"/>
  <c r="K366" i="8"/>
  <c r="L366" i="8"/>
  <c r="N366" i="8" s="1"/>
  <c r="R366" i="8" s="1"/>
  <c r="M366" i="8"/>
  <c r="K367" i="8"/>
  <c r="L367" i="8"/>
  <c r="M367" i="8"/>
  <c r="K368" i="8"/>
  <c r="L368" i="8"/>
  <c r="M368" i="8"/>
  <c r="K369" i="8"/>
  <c r="L369" i="8"/>
  <c r="N369" i="8" s="1"/>
  <c r="R369" i="8" s="1"/>
  <c r="M369" i="8"/>
  <c r="K370" i="8"/>
  <c r="L370" i="8"/>
  <c r="N370" i="8" s="1"/>
  <c r="R370" i="8" s="1"/>
  <c r="M370" i="8"/>
  <c r="K371" i="8"/>
  <c r="L371" i="8"/>
  <c r="N371" i="8" s="1"/>
  <c r="R371" i="8" s="1"/>
  <c r="M371" i="8"/>
  <c r="K372" i="8"/>
  <c r="L372" i="8"/>
  <c r="M372" i="8"/>
  <c r="K373" i="8"/>
  <c r="L373" i="8"/>
  <c r="M373" i="8"/>
  <c r="K374" i="8"/>
  <c r="L374" i="8"/>
  <c r="N374" i="8" s="1"/>
  <c r="R374" i="8" s="1"/>
  <c r="M374" i="8"/>
  <c r="K375" i="8"/>
  <c r="L375" i="8"/>
  <c r="M375" i="8"/>
  <c r="K376" i="8"/>
  <c r="L376" i="8"/>
  <c r="M376" i="8"/>
  <c r="K377" i="8"/>
  <c r="L377" i="8"/>
  <c r="N377" i="8" s="1"/>
  <c r="R377" i="8" s="1"/>
  <c r="M377" i="8"/>
  <c r="K378" i="8"/>
  <c r="L378" i="8"/>
  <c r="M378" i="8"/>
  <c r="K379" i="8"/>
  <c r="L379" i="8"/>
  <c r="M379" i="8"/>
  <c r="K380" i="8"/>
  <c r="L380" i="8"/>
  <c r="N380" i="8" s="1"/>
  <c r="R380" i="8" s="1"/>
  <c r="M380" i="8"/>
  <c r="K381" i="8"/>
  <c r="L381" i="8"/>
  <c r="N381" i="8" s="1"/>
  <c r="R381" i="8" s="1"/>
  <c r="M381" i="8"/>
  <c r="K382" i="8"/>
  <c r="L382" i="8"/>
  <c r="N382" i="8" s="1"/>
  <c r="R382" i="8" s="1"/>
  <c r="M382" i="8"/>
  <c r="K383" i="8"/>
  <c r="L383" i="8"/>
  <c r="M383" i="8"/>
  <c r="K384" i="8"/>
  <c r="L384" i="8"/>
  <c r="M384" i="8"/>
  <c r="K385" i="8"/>
  <c r="L385" i="8"/>
  <c r="N385" i="8" s="1"/>
  <c r="R385" i="8" s="1"/>
  <c r="M385" i="8"/>
  <c r="K386" i="8"/>
  <c r="L386" i="8"/>
  <c r="M386" i="8"/>
  <c r="K387" i="8"/>
  <c r="L387" i="8"/>
  <c r="N387" i="8" s="1"/>
  <c r="R387" i="8" s="1"/>
  <c r="M387" i="8"/>
  <c r="K388" i="8"/>
  <c r="L388" i="8"/>
  <c r="M388" i="8"/>
  <c r="K389" i="8"/>
  <c r="L389" i="8"/>
  <c r="M389" i="8"/>
  <c r="K390" i="8"/>
  <c r="L390" i="8"/>
  <c r="N390" i="8" s="1"/>
  <c r="R390" i="8" s="1"/>
  <c r="M390" i="8"/>
  <c r="K391" i="8"/>
  <c r="L391" i="8"/>
  <c r="M391" i="8"/>
  <c r="K392" i="8"/>
  <c r="L392" i="8"/>
  <c r="M392" i="8"/>
  <c r="K393" i="8"/>
  <c r="L393" i="8"/>
  <c r="M393" i="8"/>
  <c r="K394" i="8"/>
  <c r="L394" i="8"/>
  <c r="M394" i="8"/>
  <c r="K395" i="8"/>
  <c r="L395" i="8"/>
  <c r="M395" i="8"/>
  <c r="K396" i="8"/>
  <c r="L396" i="8"/>
  <c r="N396" i="8" s="1"/>
  <c r="R396" i="8" s="1"/>
  <c r="M396" i="8"/>
  <c r="K397" i="8"/>
  <c r="L397" i="8"/>
  <c r="M397" i="8"/>
  <c r="K398" i="8"/>
  <c r="L398" i="8"/>
  <c r="M398" i="8"/>
  <c r="K399" i="8"/>
  <c r="L399" i="8"/>
  <c r="M399" i="8"/>
  <c r="K400" i="8"/>
  <c r="L400" i="8"/>
  <c r="M400" i="8"/>
  <c r="K401" i="8"/>
  <c r="L401" i="8"/>
  <c r="N401" i="8" s="1"/>
  <c r="R401" i="8" s="1"/>
  <c r="M401" i="8"/>
  <c r="K402" i="8"/>
  <c r="L402" i="8"/>
  <c r="M402" i="8"/>
  <c r="K403" i="8"/>
  <c r="L403" i="8"/>
  <c r="M403" i="8"/>
  <c r="K404" i="8"/>
  <c r="L404" i="8"/>
  <c r="M404" i="8"/>
  <c r="K405" i="8"/>
  <c r="L405" i="8"/>
  <c r="M405" i="8"/>
  <c r="K406" i="8"/>
  <c r="L406" i="8"/>
  <c r="N406" i="8" s="1"/>
  <c r="R406" i="8" s="1"/>
  <c r="M406" i="8"/>
  <c r="K407" i="8"/>
  <c r="L407" i="8"/>
  <c r="N407" i="8" s="1"/>
  <c r="M407" i="8"/>
  <c r="K408" i="8"/>
  <c r="L408" i="8"/>
  <c r="M408" i="8"/>
  <c r="K409" i="8"/>
  <c r="L409" i="8"/>
  <c r="N409" i="8" s="1"/>
  <c r="R409" i="8" s="1"/>
  <c r="M409" i="8"/>
  <c r="K410" i="8"/>
  <c r="L410" i="8"/>
  <c r="M410" i="8"/>
  <c r="K411" i="8"/>
  <c r="L411" i="8"/>
  <c r="N411" i="8" s="1"/>
  <c r="R411" i="8" s="1"/>
  <c r="M411" i="8"/>
  <c r="K412" i="8"/>
  <c r="L412" i="8"/>
  <c r="M412" i="8"/>
  <c r="K413" i="8"/>
  <c r="L413" i="8"/>
  <c r="M413" i="8"/>
  <c r="K414" i="8"/>
  <c r="L414" i="8"/>
  <c r="M414" i="8"/>
  <c r="K415" i="8"/>
  <c r="L415" i="8"/>
  <c r="M415" i="8"/>
  <c r="K416" i="8"/>
  <c r="L416" i="8"/>
  <c r="M416" i="8"/>
  <c r="K417" i="8"/>
  <c r="L417" i="8"/>
  <c r="N417" i="8" s="1"/>
  <c r="R417" i="8" s="1"/>
  <c r="M417" i="8"/>
  <c r="K418" i="8"/>
  <c r="L418" i="8"/>
  <c r="M418" i="8"/>
  <c r="K419" i="8"/>
  <c r="L419" i="8"/>
  <c r="M419" i="8"/>
  <c r="K420" i="8"/>
  <c r="L420" i="8"/>
  <c r="M420" i="8"/>
  <c r="K421" i="8"/>
  <c r="L421" i="8"/>
  <c r="M421" i="8"/>
  <c r="K422" i="8"/>
  <c r="L422" i="8"/>
  <c r="M422" i="8"/>
  <c r="K423" i="8"/>
  <c r="L423" i="8"/>
  <c r="N423" i="8" s="1"/>
  <c r="R423" i="8" s="1"/>
  <c r="M423" i="8"/>
  <c r="K424" i="8"/>
  <c r="L424" i="8"/>
  <c r="M424" i="8"/>
  <c r="K425" i="8"/>
  <c r="L425" i="8"/>
  <c r="N425" i="8" s="1"/>
  <c r="R425" i="8" s="1"/>
  <c r="M425" i="8"/>
  <c r="K426" i="8"/>
  <c r="L426" i="8"/>
  <c r="M426" i="8"/>
  <c r="K427" i="8"/>
  <c r="L427" i="8"/>
  <c r="N427" i="8" s="1"/>
  <c r="M427" i="8"/>
  <c r="K428" i="8"/>
  <c r="L428" i="8"/>
  <c r="N428" i="8" s="1"/>
  <c r="R428" i="8" s="1"/>
  <c r="M428" i="8"/>
  <c r="K429" i="8"/>
  <c r="L429" i="8"/>
  <c r="N429" i="8" s="1"/>
  <c r="R429" i="8" s="1"/>
  <c r="M429" i="8"/>
  <c r="K430" i="8"/>
  <c r="L430" i="8"/>
  <c r="M430" i="8"/>
  <c r="K431" i="8"/>
  <c r="L431" i="8"/>
  <c r="M431" i="8"/>
  <c r="K432" i="8"/>
  <c r="L432" i="8"/>
  <c r="M432" i="8"/>
  <c r="K433" i="8"/>
  <c r="L433" i="8"/>
  <c r="M433" i="8"/>
  <c r="K434" i="8"/>
  <c r="L434" i="8"/>
  <c r="M434" i="8"/>
  <c r="K435" i="8"/>
  <c r="L435" i="8"/>
  <c r="N435" i="8" s="1"/>
  <c r="R435" i="8" s="1"/>
  <c r="M435" i="8"/>
  <c r="K436" i="8"/>
  <c r="L436" i="8"/>
  <c r="M436" i="8"/>
  <c r="K437" i="8"/>
  <c r="L437" i="8"/>
  <c r="M437" i="8"/>
  <c r="K438" i="8"/>
  <c r="L438" i="8"/>
  <c r="N438" i="8" s="1"/>
  <c r="R438" i="8" s="1"/>
  <c r="M438" i="8"/>
  <c r="K439" i="8"/>
  <c r="L439" i="8"/>
  <c r="N439" i="8" s="1"/>
  <c r="R439" i="8" s="1"/>
  <c r="M439" i="8"/>
  <c r="K440" i="8"/>
  <c r="L440" i="8"/>
  <c r="M440" i="8"/>
  <c r="K441" i="8"/>
  <c r="L441" i="8"/>
  <c r="N441" i="8" s="1"/>
  <c r="R441" i="8" s="1"/>
  <c r="M441" i="8"/>
  <c r="K442" i="8"/>
  <c r="L442" i="8"/>
  <c r="M442" i="8"/>
  <c r="K443" i="8"/>
  <c r="L443" i="8"/>
  <c r="N443" i="8" s="1"/>
  <c r="R443" i="8" s="1"/>
  <c r="M443" i="8"/>
  <c r="K444" i="8"/>
  <c r="L444" i="8"/>
  <c r="M444" i="8"/>
  <c r="K445" i="8"/>
  <c r="L445" i="8"/>
  <c r="M445" i="8"/>
  <c r="K446" i="8"/>
  <c r="L446" i="8"/>
  <c r="M446" i="8"/>
  <c r="K447" i="8"/>
  <c r="L447" i="8"/>
  <c r="M447" i="8"/>
  <c r="K448" i="8"/>
  <c r="L448" i="8"/>
  <c r="M448" i="8"/>
  <c r="K449" i="8"/>
  <c r="L449" i="8"/>
  <c r="N449" i="8" s="1"/>
  <c r="R449" i="8" s="1"/>
  <c r="M449" i="8"/>
  <c r="K450" i="8"/>
  <c r="L450" i="8"/>
  <c r="M450" i="8"/>
  <c r="K451" i="8"/>
  <c r="L451" i="8"/>
  <c r="M451" i="8"/>
  <c r="K452" i="8"/>
  <c r="L452" i="8"/>
  <c r="M452" i="8"/>
  <c r="K453" i="8"/>
  <c r="L453" i="8"/>
  <c r="M453" i="8"/>
  <c r="K454" i="8"/>
  <c r="L454" i="8"/>
  <c r="M454" i="8"/>
  <c r="K455" i="8"/>
  <c r="L455" i="8"/>
  <c r="M455" i="8"/>
  <c r="K456" i="8"/>
  <c r="L456" i="8"/>
  <c r="M456" i="8"/>
  <c r="K457" i="8"/>
  <c r="L457" i="8"/>
  <c r="M457" i="8"/>
  <c r="K458" i="8"/>
  <c r="L458" i="8"/>
  <c r="M458" i="8"/>
  <c r="K459" i="8"/>
  <c r="L459" i="8"/>
  <c r="N459" i="8" s="1"/>
  <c r="R459" i="8" s="1"/>
  <c r="M459" i="8"/>
  <c r="K460" i="8"/>
  <c r="L460" i="8"/>
  <c r="N460" i="8" s="1"/>
  <c r="M460" i="8"/>
  <c r="K461" i="8"/>
  <c r="L461" i="8"/>
  <c r="N461" i="8" s="1"/>
  <c r="R461" i="8" s="1"/>
  <c r="M461" i="8"/>
  <c r="K462" i="8"/>
  <c r="L462" i="8"/>
  <c r="M462" i="8"/>
  <c r="K463" i="8"/>
  <c r="L463" i="8"/>
  <c r="M463" i="8"/>
  <c r="K464" i="8"/>
  <c r="L464" i="8"/>
  <c r="M464" i="8"/>
  <c r="K465" i="8"/>
  <c r="L465" i="8"/>
  <c r="N465" i="8" s="1"/>
  <c r="R465" i="8" s="1"/>
  <c r="M465" i="8"/>
  <c r="K466" i="8"/>
  <c r="L466" i="8"/>
  <c r="M466" i="8"/>
  <c r="K467" i="8"/>
  <c r="L467" i="8"/>
  <c r="M467" i="8"/>
  <c r="K468" i="8"/>
  <c r="L468" i="8"/>
  <c r="M468" i="8"/>
  <c r="K469" i="8"/>
  <c r="L469" i="8"/>
  <c r="M469" i="8"/>
  <c r="K470" i="8"/>
  <c r="L470" i="8"/>
  <c r="M470" i="8"/>
  <c r="K471" i="8"/>
  <c r="L471" i="8"/>
  <c r="M471" i="8"/>
  <c r="K472" i="8"/>
  <c r="L472" i="8"/>
  <c r="M472" i="8"/>
  <c r="K473" i="8"/>
  <c r="L473" i="8"/>
  <c r="M473" i="8"/>
  <c r="K474" i="8"/>
  <c r="L474" i="8"/>
  <c r="M474" i="8"/>
  <c r="K475" i="8"/>
  <c r="L475" i="8"/>
  <c r="N475" i="8" s="1"/>
  <c r="R475" i="8" s="1"/>
  <c r="M475" i="8"/>
  <c r="K476" i="8"/>
  <c r="L476" i="8"/>
  <c r="M476" i="8"/>
  <c r="K477" i="8"/>
  <c r="L477" i="8"/>
  <c r="M477" i="8"/>
  <c r="K478" i="8"/>
  <c r="L478" i="8"/>
  <c r="N478" i="8" s="1"/>
  <c r="R478" i="8" s="1"/>
  <c r="M478" i="8"/>
  <c r="K479" i="8"/>
  <c r="L479" i="8"/>
  <c r="M479" i="8"/>
  <c r="K480" i="8"/>
  <c r="L480" i="8"/>
  <c r="M480" i="8"/>
  <c r="K481" i="8"/>
  <c r="L481" i="8"/>
  <c r="N481" i="8" s="1"/>
  <c r="R481" i="8" s="1"/>
  <c r="M481" i="8"/>
  <c r="K482" i="8"/>
  <c r="L482" i="8"/>
  <c r="M482" i="8"/>
  <c r="K483" i="8"/>
  <c r="L483" i="8"/>
  <c r="N483" i="8" s="1"/>
  <c r="M483" i="8"/>
  <c r="K484" i="8"/>
  <c r="L484" i="8"/>
  <c r="M484" i="8"/>
  <c r="K485" i="8"/>
  <c r="L485" i="8"/>
  <c r="M485" i="8"/>
  <c r="K486" i="8"/>
  <c r="L486" i="8"/>
  <c r="N486" i="8" s="1"/>
  <c r="M486" i="8"/>
  <c r="K487" i="8"/>
  <c r="L487" i="8"/>
  <c r="N487" i="8" s="1"/>
  <c r="M487" i="8"/>
  <c r="K488" i="8"/>
  <c r="L488" i="8"/>
  <c r="M488" i="8"/>
  <c r="K489" i="8"/>
  <c r="L489" i="8"/>
  <c r="M489" i="8"/>
  <c r="K490" i="8"/>
  <c r="L490" i="8"/>
  <c r="M490" i="8"/>
  <c r="K491" i="8"/>
  <c r="L491" i="8"/>
  <c r="M491" i="8"/>
  <c r="K492" i="8"/>
  <c r="L492" i="8"/>
  <c r="N492" i="8" s="1"/>
  <c r="R492" i="8" s="1"/>
  <c r="M492" i="8"/>
  <c r="K493" i="8"/>
  <c r="L493" i="8"/>
  <c r="N493" i="8" s="1"/>
  <c r="R493" i="8" s="1"/>
  <c r="M493" i="8"/>
  <c r="K494" i="8"/>
  <c r="L494" i="8"/>
  <c r="M494" i="8"/>
  <c r="K495" i="8"/>
  <c r="L495" i="8"/>
  <c r="M495" i="8"/>
  <c r="K496" i="8"/>
  <c r="L496" i="8"/>
  <c r="M496" i="8"/>
  <c r="K497" i="8"/>
  <c r="L497" i="8"/>
  <c r="M497" i="8"/>
  <c r="K498" i="8"/>
  <c r="L498" i="8"/>
  <c r="M498" i="8"/>
  <c r="K499" i="8"/>
  <c r="L499" i="8"/>
  <c r="N499" i="8" s="1"/>
  <c r="R499" i="8" s="1"/>
  <c r="M499" i="8"/>
  <c r="K500" i="8"/>
  <c r="L500" i="8"/>
  <c r="M500" i="8"/>
  <c r="K501" i="8"/>
  <c r="L501" i="8"/>
  <c r="M501" i="8"/>
  <c r="K502" i="8"/>
  <c r="L502" i="8"/>
  <c r="M502" i="8"/>
  <c r="K503" i="8"/>
  <c r="L503" i="8"/>
  <c r="N503" i="8" s="1"/>
  <c r="M503" i="8"/>
  <c r="K504" i="8"/>
  <c r="L504" i="8"/>
  <c r="M504" i="8"/>
  <c r="K505" i="8"/>
  <c r="L505" i="8"/>
  <c r="N505" i="8" s="1"/>
  <c r="R505" i="8" s="1"/>
  <c r="M505" i="8"/>
  <c r="K506" i="8"/>
  <c r="L506" i="8"/>
  <c r="M506" i="8"/>
  <c r="K507" i="8"/>
  <c r="L507" i="8"/>
  <c r="M507" i="8"/>
  <c r="K508" i="8"/>
  <c r="L508" i="8"/>
  <c r="N508" i="8" s="1"/>
  <c r="R508" i="8" s="1"/>
  <c r="M508" i="8"/>
  <c r="K509" i="8"/>
  <c r="L509" i="8"/>
  <c r="N509" i="8" s="1"/>
  <c r="M509" i="8"/>
  <c r="K510" i="8"/>
  <c r="L510" i="8"/>
  <c r="M510" i="8"/>
  <c r="K511" i="8"/>
  <c r="L511" i="8"/>
  <c r="M511" i="8"/>
  <c r="K512" i="8"/>
  <c r="L512" i="8"/>
  <c r="M512" i="8"/>
  <c r="K513" i="8"/>
  <c r="L513" i="8"/>
  <c r="M513" i="8"/>
  <c r="K514" i="8"/>
  <c r="L514" i="8"/>
  <c r="M514" i="8"/>
  <c r="K515" i="8"/>
  <c r="L515" i="8"/>
  <c r="M515" i="8"/>
  <c r="K516" i="8"/>
  <c r="L516" i="8"/>
  <c r="M516" i="8"/>
  <c r="K517" i="8"/>
  <c r="L517" i="8"/>
  <c r="M517" i="8"/>
  <c r="K518" i="8"/>
  <c r="L518" i="8"/>
  <c r="N518" i="8" s="1"/>
  <c r="R518" i="8" s="1"/>
  <c r="M518" i="8"/>
  <c r="K519" i="8"/>
  <c r="L519" i="8"/>
  <c r="M519" i="8"/>
  <c r="K520" i="8"/>
  <c r="L520" i="8"/>
  <c r="M520" i="8"/>
  <c r="K521" i="8"/>
  <c r="L521" i="8"/>
  <c r="M521" i="8"/>
  <c r="K522" i="8"/>
  <c r="L522" i="8"/>
  <c r="M522" i="8"/>
  <c r="K523" i="8"/>
  <c r="L523" i="8"/>
  <c r="M523" i="8"/>
  <c r="K524" i="8"/>
  <c r="L524" i="8"/>
  <c r="M524" i="8"/>
  <c r="K525" i="8"/>
  <c r="L525" i="8"/>
  <c r="M525" i="8"/>
  <c r="K526" i="8"/>
  <c r="L526" i="8"/>
  <c r="M526" i="8"/>
  <c r="K527" i="8"/>
  <c r="L527" i="8"/>
  <c r="M527" i="8"/>
  <c r="K528" i="8"/>
  <c r="L528" i="8"/>
  <c r="M528" i="8"/>
  <c r="K529" i="8"/>
  <c r="L529" i="8"/>
  <c r="N529" i="8" s="1"/>
  <c r="R529" i="8" s="1"/>
  <c r="M529" i="8"/>
  <c r="K530" i="8"/>
  <c r="L530" i="8"/>
  <c r="M530" i="8"/>
  <c r="K531" i="8"/>
  <c r="L531" i="8"/>
  <c r="M531" i="8"/>
  <c r="K532" i="8"/>
  <c r="L532" i="8"/>
  <c r="N532" i="8" s="1"/>
  <c r="M532" i="8"/>
  <c r="K533" i="8"/>
  <c r="L533" i="8"/>
  <c r="M533" i="8"/>
  <c r="K534" i="8"/>
  <c r="L534" i="8"/>
  <c r="M534" i="8"/>
  <c r="K535" i="8"/>
  <c r="L535" i="8"/>
  <c r="N535" i="8" s="1"/>
  <c r="R535" i="8" s="1"/>
  <c r="M535" i="8"/>
  <c r="K536" i="8"/>
  <c r="L536" i="8"/>
  <c r="M536" i="8"/>
  <c r="K537" i="8"/>
  <c r="L537" i="8"/>
  <c r="N537" i="8" s="1"/>
  <c r="R537" i="8" s="1"/>
  <c r="M537" i="8"/>
  <c r="K538" i="8"/>
  <c r="L538" i="8"/>
  <c r="M538" i="8"/>
  <c r="K539" i="8"/>
  <c r="L539" i="8"/>
  <c r="M539" i="8"/>
  <c r="K540" i="8"/>
  <c r="L540" i="8"/>
  <c r="N540" i="8" s="1"/>
  <c r="R540" i="8" s="1"/>
  <c r="M540" i="8"/>
  <c r="K541" i="8"/>
  <c r="L541" i="8"/>
  <c r="M541" i="8"/>
  <c r="K542" i="8"/>
  <c r="L542" i="8"/>
  <c r="M542" i="8"/>
  <c r="K543" i="8"/>
  <c r="L543" i="8"/>
  <c r="M543" i="8"/>
  <c r="K544" i="8"/>
  <c r="L544" i="8"/>
  <c r="M544" i="8"/>
  <c r="K545" i="8"/>
  <c r="L545" i="8"/>
  <c r="M545" i="8"/>
  <c r="K546" i="8"/>
  <c r="L546" i="8"/>
  <c r="M546" i="8"/>
  <c r="K547" i="8"/>
  <c r="L547" i="8"/>
  <c r="M547" i="8"/>
  <c r="K548" i="8"/>
  <c r="L548" i="8"/>
  <c r="M548" i="8"/>
  <c r="K549" i="8"/>
  <c r="L549" i="8"/>
  <c r="M549" i="8"/>
  <c r="K550" i="8"/>
  <c r="L550" i="8"/>
  <c r="N550" i="8" s="1"/>
  <c r="R550" i="8" s="1"/>
  <c r="M550" i="8"/>
  <c r="K551" i="8"/>
  <c r="L551" i="8"/>
  <c r="N551" i="8" s="1"/>
  <c r="R551" i="8" s="1"/>
  <c r="M551" i="8"/>
  <c r="K552" i="8"/>
  <c r="L552" i="8"/>
  <c r="M552" i="8"/>
  <c r="K553" i="8"/>
  <c r="L553" i="8"/>
  <c r="N553" i="8" s="1"/>
  <c r="R553" i="8" s="1"/>
  <c r="M553" i="8"/>
  <c r="K554" i="8"/>
  <c r="L554" i="8"/>
  <c r="M554" i="8"/>
  <c r="K555" i="8"/>
  <c r="L555" i="8"/>
  <c r="M555" i="8"/>
  <c r="K556" i="8"/>
  <c r="L556" i="8"/>
  <c r="M556" i="8"/>
  <c r="K557" i="8"/>
  <c r="L557" i="8"/>
  <c r="N557" i="8" s="1"/>
  <c r="R557" i="8" s="1"/>
  <c r="M557" i="8"/>
  <c r="K558" i="8"/>
  <c r="L558" i="8"/>
  <c r="N558" i="8" s="1"/>
  <c r="R558" i="8" s="1"/>
  <c r="M558" i="8"/>
  <c r="K559" i="8"/>
  <c r="L559" i="8"/>
  <c r="M559" i="8"/>
  <c r="K560" i="8"/>
  <c r="L560" i="8"/>
  <c r="M560" i="8"/>
  <c r="K561" i="8"/>
  <c r="L561" i="8"/>
  <c r="N561" i="8" s="1"/>
  <c r="R561" i="8" s="1"/>
  <c r="M561" i="8"/>
  <c r="K562" i="8"/>
  <c r="L562" i="8"/>
  <c r="N562" i="8" s="1"/>
  <c r="M562" i="8"/>
  <c r="K563" i="8"/>
  <c r="L563" i="8"/>
  <c r="M563" i="8"/>
  <c r="K564" i="8"/>
  <c r="L564" i="8"/>
  <c r="M564" i="8"/>
  <c r="K565" i="8"/>
  <c r="L565" i="8"/>
  <c r="M565" i="8"/>
  <c r="K566" i="8"/>
  <c r="L566" i="8"/>
  <c r="M566" i="8"/>
  <c r="K567" i="8"/>
  <c r="L567" i="8"/>
  <c r="N567" i="8" s="1"/>
  <c r="R567" i="8" s="1"/>
  <c r="M567" i="8"/>
  <c r="K568" i="8"/>
  <c r="L568" i="8"/>
  <c r="M568" i="8"/>
  <c r="K569" i="8"/>
  <c r="L569" i="8"/>
  <c r="N569" i="8" s="1"/>
  <c r="M569" i="8"/>
  <c r="K570" i="8"/>
  <c r="L570" i="8"/>
  <c r="M570" i="8"/>
  <c r="K571" i="8"/>
  <c r="L571" i="8"/>
  <c r="N571" i="8" s="1"/>
  <c r="R571" i="8" s="1"/>
  <c r="M571" i="8"/>
  <c r="K572" i="8"/>
  <c r="L572" i="8"/>
  <c r="M572" i="8"/>
  <c r="K573" i="8"/>
  <c r="L573" i="8"/>
  <c r="M573" i="8"/>
  <c r="K574" i="8"/>
  <c r="L574" i="8"/>
  <c r="M574" i="8"/>
  <c r="K575" i="8"/>
  <c r="L575" i="8"/>
  <c r="M575" i="8"/>
  <c r="K576" i="8"/>
  <c r="L576" i="8"/>
  <c r="M576" i="8"/>
  <c r="K577" i="8"/>
  <c r="L577" i="8"/>
  <c r="M577" i="8"/>
  <c r="K578" i="8"/>
  <c r="L578" i="8"/>
  <c r="M578" i="8"/>
  <c r="K579" i="8"/>
  <c r="L579" i="8"/>
  <c r="M579" i="8"/>
  <c r="K580" i="8"/>
  <c r="L580" i="8"/>
  <c r="M580" i="8"/>
  <c r="K581" i="8"/>
  <c r="L581" i="8"/>
  <c r="M581" i="8"/>
  <c r="K582" i="8"/>
  <c r="L582" i="8"/>
  <c r="M582" i="8"/>
  <c r="K583" i="8"/>
  <c r="L583" i="8"/>
  <c r="N583" i="8" s="1"/>
  <c r="R583" i="8" s="1"/>
  <c r="M583" i="8"/>
  <c r="K584" i="8"/>
  <c r="L584" i="8"/>
  <c r="M584" i="8"/>
  <c r="K585" i="8"/>
  <c r="L585" i="8"/>
  <c r="N585" i="8" s="1"/>
  <c r="R585" i="8" s="1"/>
  <c r="M585" i="8"/>
  <c r="K586" i="8"/>
  <c r="L586" i="8"/>
  <c r="M586" i="8"/>
  <c r="K587" i="8"/>
  <c r="L587" i="8"/>
  <c r="N587" i="8" s="1"/>
  <c r="R587" i="8" s="1"/>
  <c r="M587" i="8"/>
  <c r="K588" i="8"/>
  <c r="L588" i="8"/>
  <c r="M588" i="8"/>
  <c r="K589" i="8"/>
  <c r="L589" i="8"/>
  <c r="N589" i="8" s="1"/>
  <c r="R589" i="8" s="1"/>
  <c r="M589" i="8"/>
  <c r="K590" i="8"/>
  <c r="L590" i="8"/>
  <c r="M590" i="8"/>
  <c r="K591" i="8"/>
  <c r="L591" i="8"/>
  <c r="M591" i="8"/>
  <c r="K592" i="8"/>
  <c r="L592" i="8"/>
  <c r="M592" i="8"/>
  <c r="K593" i="8"/>
  <c r="L593" i="8"/>
  <c r="N593" i="8" s="1"/>
  <c r="M593" i="8"/>
  <c r="K594" i="8"/>
  <c r="L594" i="8"/>
  <c r="M594" i="8"/>
  <c r="K595" i="8"/>
  <c r="L595" i="8"/>
  <c r="M595" i="8"/>
  <c r="K596" i="8"/>
  <c r="L596" i="8"/>
  <c r="M596" i="8"/>
  <c r="K597" i="8"/>
  <c r="L597" i="8"/>
  <c r="M597" i="8"/>
  <c r="K598" i="8"/>
  <c r="L598" i="8"/>
  <c r="N598" i="8" s="1"/>
  <c r="M598" i="8"/>
  <c r="K599" i="8"/>
  <c r="L599" i="8"/>
  <c r="N599" i="8" s="1"/>
  <c r="R599" i="8" s="1"/>
  <c r="M599" i="8"/>
  <c r="K600" i="8"/>
  <c r="L600" i="8"/>
  <c r="M600" i="8"/>
  <c r="K601" i="8"/>
  <c r="L601" i="8"/>
  <c r="N601" i="8" s="1"/>
  <c r="R601" i="8" s="1"/>
  <c r="M601" i="8"/>
  <c r="K602" i="8"/>
  <c r="L602" i="8"/>
  <c r="M602" i="8"/>
  <c r="K603" i="8"/>
  <c r="L603" i="8"/>
  <c r="N603" i="8" s="1"/>
  <c r="R603" i="8" s="1"/>
  <c r="M603" i="8"/>
  <c r="K604" i="8"/>
  <c r="L604" i="8"/>
  <c r="M604" i="8"/>
  <c r="K605" i="8"/>
  <c r="L605" i="8"/>
  <c r="M605" i="8"/>
  <c r="K606" i="8"/>
  <c r="L606" i="8"/>
  <c r="M606" i="8"/>
  <c r="K607" i="8"/>
  <c r="L607" i="8"/>
  <c r="M607" i="8"/>
  <c r="K608" i="8"/>
  <c r="L608" i="8"/>
  <c r="M608" i="8"/>
  <c r="K609" i="8"/>
  <c r="L609" i="8"/>
  <c r="N609" i="8" s="1"/>
  <c r="R609" i="8" s="1"/>
  <c r="M609" i="8"/>
  <c r="K610" i="8"/>
  <c r="L610" i="8"/>
  <c r="M610" i="8"/>
  <c r="K611" i="8"/>
  <c r="L611" i="8"/>
  <c r="M611" i="8"/>
  <c r="K612" i="8"/>
  <c r="L612" i="8"/>
  <c r="M612" i="8"/>
  <c r="K613" i="8"/>
  <c r="L613" i="8"/>
  <c r="M613" i="8"/>
  <c r="K614" i="8"/>
  <c r="L614" i="8"/>
  <c r="M614" i="8"/>
  <c r="K615" i="8"/>
  <c r="L615" i="8"/>
  <c r="M615" i="8"/>
  <c r="K616" i="8"/>
  <c r="L616" i="8"/>
  <c r="M616" i="8"/>
  <c r="K617" i="8"/>
  <c r="L617" i="8"/>
  <c r="N617" i="8" s="1"/>
  <c r="M617" i="8"/>
  <c r="K618" i="8"/>
  <c r="L618" i="8"/>
  <c r="M618" i="8"/>
  <c r="K619" i="8"/>
  <c r="L619" i="8"/>
  <c r="M619" i="8"/>
  <c r="K620" i="8"/>
  <c r="L620" i="8"/>
  <c r="M620" i="8"/>
  <c r="K621" i="8"/>
  <c r="L621" i="8"/>
  <c r="M621" i="8"/>
  <c r="K622" i="8"/>
  <c r="L622" i="8"/>
  <c r="N622" i="8" s="1"/>
  <c r="R622" i="8" s="1"/>
  <c r="M622" i="8"/>
  <c r="K623" i="8"/>
  <c r="L623" i="8"/>
  <c r="M623" i="8"/>
  <c r="K624" i="8"/>
  <c r="L624" i="8"/>
  <c r="M624" i="8"/>
  <c r="K625" i="8"/>
  <c r="L625" i="8"/>
  <c r="M625" i="8"/>
  <c r="K626" i="8"/>
  <c r="L626" i="8"/>
  <c r="M626" i="8"/>
  <c r="K627" i="8"/>
  <c r="L627" i="8"/>
  <c r="N627" i="8" s="1"/>
  <c r="R627" i="8" s="1"/>
  <c r="M627" i="8"/>
  <c r="K628" i="8"/>
  <c r="L628" i="8"/>
  <c r="M628" i="8"/>
  <c r="K629" i="8"/>
  <c r="L629" i="8"/>
  <c r="M629" i="8"/>
  <c r="K630" i="8"/>
  <c r="L630" i="8"/>
  <c r="M630" i="8"/>
  <c r="K631" i="8"/>
  <c r="L631" i="8"/>
  <c r="N631" i="8" s="1"/>
  <c r="R631" i="8" s="1"/>
  <c r="M631" i="8"/>
  <c r="K632" i="8"/>
  <c r="L632" i="8"/>
  <c r="M632" i="8"/>
  <c r="K633" i="8"/>
  <c r="L633" i="8"/>
  <c r="M633" i="8"/>
  <c r="K634" i="8"/>
  <c r="L634" i="8"/>
  <c r="N634" i="8" s="1"/>
  <c r="R634" i="8" s="1"/>
  <c r="M634" i="8"/>
  <c r="K635" i="8"/>
  <c r="L635" i="8"/>
  <c r="M635" i="8"/>
  <c r="K636" i="8"/>
  <c r="L636" i="8"/>
  <c r="M636" i="8"/>
  <c r="K637" i="8"/>
  <c r="L637" i="8"/>
  <c r="M637" i="8"/>
  <c r="K638" i="8"/>
  <c r="L638" i="8"/>
  <c r="N638" i="8" s="1"/>
  <c r="R638" i="8" s="1"/>
  <c r="M638" i="8"/>
  <c r="K639" i="8"/>
  <c r="L639" i="8"/>
  <c r="M639" i="8"/>
  <c r="K640" i="8"/>
  <c r="L640" i="8"/>
  <c r="M640" i="8"/>
  <c r="K641" i="8"/>
  <c r="L641" i="8"/>
  <c r="N641" i="8" s="1"/>
  <c r="R641" i="8" s="1"/>
  <c r="M641" i="8"/>
  <c r="K642" i="8"/>
  <c r="L642" i="8"/>
  <c r="M642" i="8"/>
  <c r="K643" i="8"/>
  <c r="L643" i="8"/>
  <c r="M643" i="8"/>
  <c r="K644" i="8"/>
  <c r="L644" i="8"/>
  <c r="M644" i="8"/>
  <c r="K645" i="8"/>
  <c r="L645" i="8"/>
  <c r="M645" i="8"/>
  <c r="K646" i="8"/>
  <c r="L646" i="8"/>
  <c r="N646" i="8" s="1"/>
  <c r="R646" i="8" s="1"/>
  <c r="M646" i="8"/>
  <c r="K647" i="8"/>
  <c r="L647" i="8"/>
  <c r="M647" i="8"/>
  <c r="K648" i="8"/>
  <c r="L648" i="8"/>
  <c r="M648" i="8"/>
  <c r="K649" i="8"/>
  <c r="L649" i="8"/>
  <c r="N649" i="8" s="1"/>
  <c r="M649" i="8"/>
  <c r="K650" i="8"/>
  <c r="L650" i="8"/>
  <c r="M650" i="8"/>
  <c r="K651" i="8"/>
  <c r="L651" i="8"/>
  <c r="M651" i="8"/>
  <c r="K652" i="8"/>
  <c r="L652" i="8"/>
  <c r="M652" i="8"/>
  <c r="K653" i="8"/>
  <c r="L653" i="8"/>
  <c r="M653" i="8"/>
  <c r="K654" i="8"/>
  <c r="L654" i="8"/>
  <c r="M654" i="8"/>
  <c r="K655" i="8"/>
  <c r="L655" i="8"/>
  <c r="M655" i="8"/>
  <c r="K656" i="8"/>
  <c r="L656" i="8"/>
  <c r="M656" i="8"/>
  <c r="K657" i="8"/>
  <c r="L657" i="8"/>
  <c r="N657" i="8" s="1"/>
  <c r="R657" i="8" s="1"/>
  <c r="M657" i="8"/>
  <c r="K658" i="8"/>
  <c r="L658" i="8"/>
  <c r="N658" i="8" s="1"/>
  <c r="R658" i="8" s="1"/>
  <c r="M658" i="8"/>
  <c r="K659" i="8"/>
  <c r="L659" i="8"/>
  <c r="M659" i="8"/>
  <c r="K660" i="8"/>
  <c r="L660" i="8"/>
  <c r="M660" i="8"/>
  <c r="K661" i="8"/>
  <c r="L661" i="8"/>
  <c r="M661" i="8"/>
  <c r="K662" i="8"/>
  <c r="L662" i="8"/>
  <c r="N662" i="8" s="1"/>
  <c r="M662" i="8"/>
  <c r="K663" i="8"/>
  <c r="L663" i="8"/>
  <c r="M663" i="8"/>
  <c r="K664" i="8"/>
  <c r="L664" i="8"/>
  <c r="M664" i="8"/>
  <c r="K665" i="8"/>
  <c r="L665" i="8"/>
  <c r="N665" i="8" s="1"/>
  <c r="M665" i="8"/>
  <c r="K666" i="8"/>
  <c r="L666" i="8"/>
  <c r="M666" i="8"/>
  <c r="K667" i="8"/>
  <c r="L667" i="8"/>
  <c r="M667" i="8"/>
  <c r="K668" i="8"/>
  <c r="L668" i="8"/>
  <c r="M668" i="8"/>
  <c r="K669" i="8"/>
  <c r="L669" i="8"/>
  <c r="M669" i="8"/>
  <c r="K670" i="8"/>
  <c r="L670" i="8"/>
  <c r="M670" i="8"/>
  <c r="K671" i="8"/>
  <c r="L671" i="8"/>
  <c r="M671" i="8"/>
  <c r="K672" i="8"/>
  <c r="L672" i="8"/>
  <c r="M672" i="8"/>
  <c r="K673" i="8"/>
  <c r="L673" i="8"/>
  <c r="N673" i="8" s="1"/>
  <c r="R673" i="8" s="1"/>
  <c r="M673" i="8"/>
  <c r="K674" i="8"/>
  <c r="L674" i="8"/>
  <c r="M674" i="8"/>
  <c r="K675" i="8"/>
  <c r="L675" i="8"/>
  <c r="N675" i="8" s="1"/>
  <c r="R675" i="8" s="1"/>
  <c r="M675" i="8"/>
  <c r="K676" i="8"/>
  <c r="L676" i="8"/>
  <c r="M676" i="8"/>
  <c r="K677" i="8"/>
  <c r="L677" i="8"/>
  <c r="M677" i="8"/>
  <c r="K678" i="8"/>
  <c r="L678" i="8"/>
  <c r="M678" i="8"/>
  <c r="K679" i="8"/>
  <c r="L679" i="8"/>
  <c r="N679" i="8" s="1"/>
  <c r="R679" i="8" s="1"/>
  <c r="M679" i="8"/>
  <c r="K680" i="8"/>
  <c r="L680" i="8"/>
  <c r="M680" i="8"/>
  <c r="K681" i="8"/>
  <c r="L681" i="8"/>
  <c r="N681" i="8" s="1"/>
  <c r="M681" i="8"/>
  <c r="K682" i="8"/>
  <c r="L682" i="8"/>
  <c r="N682" i="8" s="1"/>
  <c r="R682" i="8" s="1"/>
  <c r="M682" i="8"/>
  <c r="K683" i="8"/>
  <c r="L683" i="8"/>
  <c r="M683" i="8"/>
  <c r="K684" i="8"/>
  <c r="L684" i="8"/>
  <c r="M684" i="8"/>
  <c r="K685" i="8"/>
  <c r="L685" i="8"/>
  <c r="M685" i="8"/>
  <c r="K686" i="8"/>
  <c r="L686" i="8"/>
  <c r="M686" i="8"/>
  <c r="K687" i="8"/>
  <c r="L687" i="8"/>
  <c r="M687" i="8"/>
  <c r="K688" i="8"/>
  <c r="L688" i="8"/>
  <c r="M688" i="8"/>
  <c r="K689" i="8"/>
  <c r="L689" i="8"/>
  <c r="M689" i="8"/>
  <c r="K690" i="8"/>
  <c r="L690" i="8"/>
  <c r="M690" i="8"/>
  <c r="K691" i="8"/>
  <c r="L691" i="8"/>
  <c r="M691" i="8"/>
  <c r="K692" i="8"/>
  <c r="L692" i="8"/>
  <c r="M692" i="8"/>
  <c r="K693" i="8"/>
  <c r="L693" i="8"/>
  <c r="M693" i="8"/>
  <c r="K694" i="8"/>
  <c r="L694" i="8"/>
  <c r="N694" i="8" s="1"/>
  <c r="R694" i="8" s="1"/>
  <c r="M694" i="8"/>
  <c r="K695" i="8"/>
  <c r="L695" i="8"/>
  <c r="N695" i="8" s="1"/>
  <c r="R695" i="8" s="1"/>
  <c r="M695" i="8"/>
  <c r="K696" i="8"/>
  <c r="L696" i="8"/>
  <c r="M696" i="8"/>
  <c r="K697" i="8"/>
  <c r="L697" i="8"/>
  <c r="M697" i="8"/>
  <c r="K698" i="8"/>
  <c r="L698" i="8"/>
  <c r="N698" i="8" s="1"/>
  <c r="R698" i="8" s="1"/>
  <c r="M698" i="8"/>
  <c r="K699" i="8"/>
  <c r="L699" i="8"/>
  <c r="M699" i="8"/>
  <c r="K700" i="8"/>
  <c r="L700" i="8"/>
  <c r="N700" i="8" s="1"/>
  <c r="R700" i="8" s="1"/>
  <c r="M700" i="8"/>
  <c r="K701" i="8"/>
  <c r="L701" i="8"/>
  <c r="M701" i="8"/>
  <c r="K702" i="8"/>
  <c r="L702" i="8"/>
  <c r="N702" i="8" s="1"/>
  <c r="R702" i="8" s="1"/>
  <c r="M702" i="8"/>
  <c r="K703" i="8"/>
  <c r="L703" i="8"/>
  <c r="M703" i="8"/>
  <c r="K704" i="8"/>
  <c r="L704" i="8"/>
  <c r="M704" i="8"/>
  <c r="K705" i="8"/>
  <c r="L705" i="8"/>
  <c r="M705" i="8"/>
  <c r="K706" i="8"/>
  <c r="L706" i="8"/>
  <c r="M706" i="8"/>
  <c r="K707" i="8"/>
  <c r="L707" i="8"/>
  <c r="M707" i="8"/>
  <c r="K708" i="8"/>
  <c r="L708" i="8"/>
  <c r="M708" i="8"/>
  <c r="K709" i="8"/>
  <c r="L709" i="8"/>
  <c r="M709" i="8"/>
  <c r="K710" i="8"/>
  <c r="L710" i="8"/>
  <c r="N710" i="8" s="1"/>
  <c r="R710" i="8" s="1"/>
  <c r="M710" i="8"/>
  <c r="K711" i="8"/>
  <c r="L711" i="8"/>
  <c r="M711" i="8"/>
  <c r="K712" i="8"/>
  <c r="L712" i="8"/>
  <c r="M712" i="8"/>
  <c r="K713" i="8"/>
  <c r="L713" i="8"/>
  <c r="M713" i="8"/>
  <c r="K714" i="8"/>
  <c r="L714" i="8"/>
  <c r="N714" i="8" s="1"/>
  <c r="R714" i="8" s="1"/>
  <c r="M714" i="8"/>
  <c r="K715" i="8"/>
  <c r="L715" i="8"/>
  <c r="N715" i="8" s="1"/>
  <c r="R715" i="8" s="1"/>
  <c r="M715" i="8"/>
  <c r="K716" i="8"/>
  <c r="L716" i="8"/>
  <c r="M716" i="8"/>
  <c r="K717" i="8"/>
  <c r="L717" i="8"/>
  <c r="M717" i="8"/>
  <c r="K718" i="8"/>
  <c r="L718" i="8"/>
  <c r="M718" i="8"/>
  <c r="K719" i="8"/>
  <c r="L719" i="8"/>
  <c r="M719" i="8"/>
  <c r="K720" i="8"/>
  <c r="L720" i="8"/>
  <c r="M720" i="8"/>
  <c r="K721" i="8"/>
  <c r="L721" i="8"/>
  <c r="N721" i="8" s="1"/>
  <c r="R721" i="8" s="1"/>
  <c r="M721" i="8"/>
  <c r="L2" i="7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D41" i="10"/>
  <c r="C41" i="10"/>
  <c r="B41" i="10"/>
  <c r="D40" i="10"/>
  <c r="C40" i="10"/>
  <c r="B40" i="10"/>
  <c r="D39" i="10"/>
  <c r="C39" i="10"/>
  <c r="B39" i="10"/>
  <c r="D38" i="10"/>
  <c r="C38" i="10"/>
  <c r="B38" i="10"/>
  <c r="D37" i="10"/>
  <c r="C37" i="10"/>
  <c r="B37" i="10"/>
  <c r="D36" i="10"/>
  <c r="C36" i="10"/>
  <c r="B36" i="10"/>
  <c r="D35" i="10"/>
  <c r="C35" i="10"/>
  <c r="B35" i="10"/>
  <c r="D34" i="10"/>
  <c r="C34" i="10"/>
  <c r="B34" i="10"/>
  <c r="D33" i="10"/>
  <c r="C33" i="10"/>
  <c r="B33" i="10"/>
  <c r="D32" i="10"/>
  <c r="C32" i="10"/>
  <c r="B32" i="10"/>
  <c r="D31" i="10"/>
  <c r="C31" i="10"/>
  <c r="B31" i="10"/>
  <c r="D30" i="10"/>
  <c r="C30" i="10"/>
  <c r="B30" i="10"/>
  <c r="D29" i="10"/>
  <c r="C29" i="10"/>
  <c r="B29" i="10"/>
  <c r="D28" i="10"/>
  <c r="C28" i="10"/>
  <c r="B28" i="10"/>
  <c r="D27" i="10"/>
  <c r="C27" i="10"/>
  <c r="B27" i="10"/>
  <c r="D26" i="10"/>
  <c r="C26" i="10"/>
  <c r="B26" i="10"/>
  <c r="D25" i="10"/>
  <c r="C25" i="10"/>
  <c r="B25" i="10"/>
  <c r="D24" i="10"/>
  <c r="C24" i="10"/>
  <c r="B24" i="10"/>
  <c r="D23" i="10"/>
  <c r="C23" i="10"/>
  <c r="B23" i="10"/>
  <c r="D22" i="10"/>
  <c r="C22" i="10"/>
  <c r="B22" i="10"/>
  <c r="D21" i="10"/>
  <c r="C21" i="10"/>
  <c r="B21" i="10"/>
  <c r="D20" i="10"/>
  <c r="C20" i="10"/>
  <c r="B20" i="10"/>
  <c r="D19" i="10"/>
  <c r="C19" i="10"/>
  <c r="B19" i="10"/>
  <c r="D18" i="10"/>
  <c r="C18" i="10"/>
  <c r="B18" i="10"/>
  <c r="D17" i="10"/>
  <c r="C17" i="10"/>
  <c r="B17" i="10"/>
  <c r="D16" i="10"/>
  <c r="C16" i="10"/>
  <c r="B16" i="10"/>
  <c r="D15" i="10"/>
  <c r="C15" i="10"/>
  <c r="B15" i="10"/>
  <c r="D14" i="10"/>
  <c r="C14" i="10"/>
  <c r="B14" i="10"/>
  <c r="D13" i="10"/>
  <c r="C13" i="10"/>
  <c r="B13" i="10"/>
  <c r="D12" i="10"/>
  <c r="C12" i="10"/>
  <c r="B12" i="10"/>
  <c r="D11" i="10"/>
  <c r="C11" i="10"/>
  <c r="B11" i="10"/>
  <c r="D10" i="10"/>
  <c r="C10" i="10"/>
  <c r="B10" i="10"/>
  <c r="D9" i="10"/>
  <c r="C9" i="10"/>
  <c r="B9" i="10"/>
  <c r="D8" i="10"/>
  <c r="C8" i="10"/>
  <c r="B8" i="10"/>
  <c r="D7" i="10"/>
  <c r="C7" i="10"/>
  <c r="B7" i="10"/>
  <c r="D6" i="10"/>
  <c r="C6" i="10"/>
  <c r="B6" i="10"/>
  <c r="D5" i="10"/>
  <c r="C5" i="10"/>
  <c r="B5" i="10"/>
  <c r="D4" i="10"/>
  <c r="C4" i="10"/>
  <c r="B4" i="10"/>
  <c r="D3" i="10"/>
  <c r="C3" i="10"/>
  <c r="B3" i="10"/>
  <c r="D2" i="10"/>
  <c r="C2" i="10"/>
  <c r="B2" i="10"/>
  <c r="G121" i="9"/>
  <c r="D121" i="9"/>
  <c r="C121" i="9"/>
  <c r="B121" i="9"/>
  <c r="G120" i="9"/>
  <c r="D120" i="9"/>
  <c r="C120" i="9"/>
  <c r="B120" i="9"/>
  <c r="G119" i="9"/>
  <c r="D119" i="9"/>
  <c r="C119" i="9"/>
  <c r="B119" i="9"/>
  <c r="G118" i="9"/>
  <c r="D118" i="9"/>
  <c r="C118" i="9"/>
  <c r="B118" i="9"/>
  <c r="G117" i="9"/>
  <c r="D117" i="9"/>
  <c r="C117" i="9"/>
  <c r="B117" i="9"/>
  <c r="G116" i="9"/>
  <c r="D116" i="9"/>
  <c r="C116" i="9"/>
  <c r="B116" i="9"/>
  <c r="G115" i="9"/>
  <c r="D115" i="9"/>
  <c r="C115" i="9"/>
  <c r="B115" i="9"/>
  <c r="G114" i="9"/>
  <c r="D114" i="9"/>
  <c r="C114" i="9"/>
  <c r="B114" i="9"/>
  <c r="G113" i="9"/>
  <c r="D113" i="9"/>
  <c r="C113" i="9"/>
  <c r="B113" i="9"/>
  <c r="G112" i="9"/>
  <c r="D112" i="9"/>
  <c r="C112" i="9"/>
  <c r="B112" i="9"/>
  <c r="G111" i="9"/>
  <c r="D111" i="9"/>
  <c r="C111" i="9"/>
  <c r="B111" i="9"/>
  <c r="G110" i="9"/>
  <c r="D110" i="9"/>
  <c r="C110" i="9"/>
  <c r="B110" i="9"/>
  <c r="G109" i="9"/>
  <c r="D109" i="9"/>
  <c r="C109" i="9"/>
  <c r="B109" i="9"/>
  <c r="G108" i="9"/>
  <c r="D108" i="9"/>
  <c r="C108" i="9"/>
  <c r="B108" i="9"/>
  <c r="G107" i="9"/>
  <c r="D107" i="9"/>
  <c r="C107" i="9"/>
  <c r="B107" i="9"/>
  <c r="G106" i="9"/>
  <c r="D106" i="9"/>
  <c r="C106" i="9"/>
  <c r="B106" i="9"/>
  <c r="G105" i="9"/>
  <c r="D105" i="9"/>
  <c r="C105" i="9"/>
  <c r="B105" i="9"/>
  <c r="G104" i="9"/>
  <c r="D104" i="9"/>
  <c r="C104" i="9"/>
  <c r="B104" i="9"/>
  <c r="G103" i="9"/>
  <c r="D103" i="9"/>
  <c r="C103" i="9"/>
  <c r="B103" i="9"/>
  <c r="G102" i="9"/>
  <c r="D102" i="9"/>
  <c r="C102" i="9"/>
  <c r="B102" i="9"/>
  <c r="G101" i="9"/>
  <c r="D101" i="9"/>
  <c r="C101" i="9"/>
  <c r="B101" i="9"/>
  <c r="G100" i="9"/>
  <c r="D100" i="9"/>
  <c r="C100" i="9"/>
  <c r="B100" i="9"/>
  <c r="G99" i="9"/>
  <c r="D99" i="9"/>
  <c r="C99" i="9"/>
  <c r="B99" i="9"/>
  <c r="G98" i="9"/>
  <c r="D98" i="9"/>
  <c r="C98" i="9"/>
  <c r="B98" i="9"/>
  <c r="G97" i="9"/>
  <c r="D97" i="9"/>
  <c r="C97" i="9"/>
  <c r="B97" i="9"/>
  <c r="G96" i="9"/>
  <c r="D96" i="9"/>
  <c r="C96" i="9"/>
  <c r="B96" i="9"/>
  <c r="G95" i="9"/>
  <c r="D95" i="9"/>
  <c r="C95" i="9"/>
  <c r="B95" i="9"/>
  <c r="G94" i="9"/>
  <c r="D94" i="9"/>
  <c r="C94" i="9"/>
  <c r="B94" i="9"/>
  <c r="G93" i="9"/>
  <c r="D93" i="9"/>
  <c r="C93" i="9"/>
  <c r="B93" i="9"/>
  <c r="G92" i="9"/>
  <c r="D92" i="9"/>
  <c r="C92" i="9"/>
  <c r="B92" i="9"/>
  <c r="G91" i="9"/>
  <c r="D91" i="9"/>
  <c r="C91" i="9"/>
  <c r="B91" i="9"/>
  <c r="G90" i="9"/>
  <c r="D90" i="9"/>
  <c r="C90" i="9"/>
  <c r="B90" i="9"/>
  <c r="G89" i="9"/>
  <c r="D89" i="9"/>
  <c r="C89" i="9"/>
  <c r="B89" i="9"/>
  <c r="G88" i="9"/>
  <c r="D88" i="9"/>
  <c r="C88" i="9"/>
  <c r="B88" i="9"/>
  <c r="G87" i="9"/>
  <c r="D87" i="9"/>
  <c r="C87" i="9"/>
  <c r="B87" i="9"/>
  <c r="G86" i="9"/>
  <c r="D86" i="9"/>
  <c r="C86" i="9"/>
  <c r="B86" i="9"/>
  <c r="G85" i="9"/>
  <c r="D85" i="9"/>
  <c r="C85" i="9"/>
  <c r="B85" i="9"/>
  <c r="G84" i="9"/>
  <c r="D84" i="9"/>
  <c r="C84" i="9"/>
  <c r="B84" i="9"/>
  <c r="G83" i="9"/>
  <c r="D83" i="9"/>
  <c r="C83" i="9"/>
  <c r="B83" i="9"/>
  <c r="G82" i="9"/>
  <c r="D82" i="9"/>
  <c r="C82" i="9"/>
  <c r="B82" i="9"/>
  <c r="G81" i="9"/>
  <c r="D81" i="9"/>
  <c r="C81" i="9"/>
  <c r="B81" i="9"/>
  <c r="G80" i="9"/>
  <c r="D80" i="9"/>
  <c r="C80" i="9"/>
  <c r="B80" i="9"/>
  <c r="G79" i="9"/>
  <c r="D79" i="9"/>
  <c r="C79" i="9"/>
  <c r="B79" i="9"/>
  <c r="G78" i="9"/>
  <c r="D78" i="9"/>
  <c r="C78" i="9"/>
  <c r="B78" i="9"/>
  <c r="G77" i="9"/>
  <c r="D77" i="9"/>
  <c r="C77" i="9"/>
  <c r="B77" i="9"/>
  <c r="G76" i="9"/>
  <c r="D76" i="9"/>
  <c r="C76" i="9"/>
  <c r="B76" i="9"/>
  <c r="G75" i="9"/>
  <c r="D75" i="9"/>
  <c r="C75" i="9"/>
  <c r="B75" i="9"/>
  <c r="G74" i="9"/>
  <c r="D74" i="9"/>
  <c r="C74" i="9"/>
  <c r="B74" i="9"/>
  <c r="G73" i="9"/>
  <c r="D73" i="9"/>
  <c r="C73" i="9"/>
  <c r="B73" i="9"/>
  <c r="G72" i="9"/>
  <c r="D72" i="9"/>
  <c r="C72" i="9"/>
  <c r="B72" i="9"/>
  <c r="G71" i="9"/>
  <c r="D71" i="9"/>
  <c r="C71" i="9"/>
  <c r="B71" i="9"/>
  <c r="G70" i="9"/>
  <c r="D70" i="9"/>
  <c r="C70" i="9"/>
  <c r="B70" i="9"/>
  <c r="G69" i="9"/>
  <c r="D69" i="9"/>
  <c r="C69" i="9"/>
  <c r="B69" i="9"/>
  <c r="G68" i="9"/>
  <c r="D68" i="9"/>
  <c r="C68" i="9"/>
  <c r="B68" i="9"/>
  <c r="G67" i="9"/>
  <c r="D67" i="9"/>
  <c r="C67" i="9"/>
  <c r="B67" i="9"/>
  <c r="G66" i="9"/>
  <c r="D66" i="9"/>
  <c r="C66" i="9"/>
  <c r="B66" i="9"/>
  <c r="G65" i="9"/>
  <c r="D65" i="9"/>
  <c r="C65" i="9"/>
  <c r="B65" i="9"/>
  <c r="G64" i="9"/>
  <c r="D64" i="9"/>
  <c r="C64" i="9"/>
  <c r="B64" i="9"/>
  <c r="G63" i="9"/>
  <c r="D63" i="9"/>
  <c r="C63" i="9"/>
  <c r="B63" i="9"/>
  <c r="G62" i="9"/>
  <c r="D62" i="9"/>
  <c r="C62" i="9"/>
  <c r="B62" i="9"/>
  <c r="G61" i="9"/>
  <c r="D61" i="9"/>
  <c r="C61" i="9"/>
  <c r="B61" i="9"/>
  <c r="G60" i="9"/>
  <c r="D60" i="9"/>
  <c r="C60" i="9"/>
  <c r="B60" i="9"/>
  <c r="G59" i="9"/>
  <c r="D59" i="9"/>
  <c r="C59" i="9"/>
  <c r="B59" i="9"/>
  <c r="G58" i="9"/>
  <c r="D58" i="9"/>
  <c r="C58" i="9"/>
  <c r="B58" i="9"/>
  <c r="G57" i="9"/>
  <c r="D57" i="9"/>
  <c r="C57" i="9"/>
  <c r="B57" i="9"/>
  <c r="G56" i="9"/>
  <c r="D56" i="9"/>
  <c r="C56" i="9"/>
  <c r="B56" i="9"/>
  <c r="G55" i="9"/>
  <c r="D55" i="9"/>
  <c r="C55" i="9"/>
  <c r="B55" i="9"/>
  <c r="G54" i="9"/>
  <c r="D54" i="9"/>
  <c r="C54" i="9"/>
  <c r="B54" i="9"/>
  <c r="G53" i="9"/>
  <c r="D53" i="9"/>
  <c r="C53" i="9"/>
  <c r="B53" i="9"/>
  <c r="G52" i="9"/>
  <c r="D52" i="9"/>
  <c r="C52" i="9"/>
  <c r="B52" i="9"/>
  <c r="G51" i="9"/>
  <c r="D51" i="9"/>
  <c r="C51" i="9"/>
  <c r="B51" i="9"/>
  <c r="G50" i="9"/>
  <c r="D50" i="9"/>
  <c r="C50" i="9"/>
  <c r="B50" i="9"/>
  <c r="G49" i="9"/>
  <c r="D49" i="9"/>
  <c r="C49" i="9"/>
  <c r="B49" i="9"/>
  <c r="G48" i="9"/>
  <c r="D48" i="9"/>
  <c r="C48" i="9"/>
  <c r="B48" i="9"/>
  <c r="G47" i="9"/>
  <c r="D47" i="9"/>
  <c r="C47" i="9"/>
  <c r="B47" i="9"/>
  <c r="G46" i="9"/>
  <c r="D46" i="9"/>
  <c r="C46" i="9"/>
  <c r="B46" i="9"/>
  <c r="G45" i="9"/>
  <c r="D45" i="9"/>
  <c r="C45" i="9"/>
  <c r="B45" i="9"/>
  <c r="G44" i="9"/>
  <c r="D44" i="9"/>
  <c r="C44" i="9"/>
  <c r="B44" i="9"/>
  <c r="G43" i="9"/>
  <c r="D43" i="9"/>
  <c r="C43" i="9"/>
  <c r="B43" i="9"/>
  <c r="G42" i="9"/>
  <c r="D42" i="9"/>
  <c r="C42" i="9"/>
  <c r="B42" i="9"/>
  <c r="G41" i="9"/>
  <c r="D41" i="9"/>
  <c r="C41" i="9"/>
  <c r="B41" i="9"/>
  <c r="G40" i="9"/>
  <c r="D40" i="9"/>
  <c r="C40" i="9"/>
  <c r="B40" i="9"/>
  <c r="G39" i="9"/>
  <c r="D39" i="9"/>
  <c r="C39" i="9"/>
  <c r="B39" i="9"/>
  <c r="G38" i="9"/>
  <c r="D38" i="9"/>
  <c r="C38" i="9"/>
  <c r="B38" i="9"/>
  <c r="G37" i="9"/>
  <c r="D37" i="9"/>
  <c r="C37" i="9"/>
  <c r="B37" i="9"/>
  <c r="G36" i="9"/>
  <c r="D36" i="9"/>
  <c r="C36" i="9"/>
  <c r="B36" i="9"/>
  <c r="G35" i="9"/>
  <c r="D35" i="9"/>
  <c r="C35" i="9"/>
  <c r="B35" i="9"/>
  <c r="G34" i="9"/>
  <c r="D34" i="9"/>
  <c r="C34" i="9"/>
  <c r="B34" i="9"/>
  <c r="G33" i="9"/>
  <c r="D33" i="9"/>
  <c r="C33" i="9"/>
  <c r="B33" i="9"/>
  <c r="G32" i="9"/>
  <c r="D32" i="9"/>
  <c r="C32" i="9"/>
  <c r="B32" i="9"/>
  <c r="G31" i="9"/>
  <c r="D31" i="9"/>
  <c r="C31" i="9"/>
  <c r="B31" i="9"/>
  <c r="G30" i="9"/>
  <c r="D30" i="9"/>
  <c r="C30" i="9"/>
  <c r="B30" i="9"/>
  <c r="G29" i="9"/>
  <c r="D29" i="9"/>
  <c r="C29" i="9"/>
  <c r="B29" i="9"/>
  <c r="G28" i="9"/>
  <c r="D28" i="9"/>
  <c r="C28" i="9"/>
  <c r="B28" i="9"/>
  <c r="G27" i="9"/>
  <c r="D27" i="9"/>
  <c r="C27" i="9"/>
  <c r="B27" i="9"/>
  <c r="G26" i="9"/>
  <c r="D26" i="9"/>
  <c r="C26" i="9"/>
  <c r="B26" i="9"/>
  <c r="G25" i="9"/>
  <c r="D25" i="9"/>
  <c r="C25" i="9"/>
  <c r="B25" i="9"/>
  <c r="G24" i="9"/>
  <c r="D24" i="9"/>
  <c r="C24" i="9"/>
  <c r="B24" i="9"/>
  <c r="G23" i="9"/>
  <c r="D23" i="9"/>
  <c r="C23" i="9"/>
  <c r="B23" i="9"/>
  <c r="G22" i="9"/>
  <c r="D22" i="9"/>
  <c r="C22" i="9"/>
  <c r="B22" i="9"/>
  <c r="G21" i="9"/>
  <c r="D21" i="9"/>
  <c r="C21" i="9"/>
  <c r="B21" i="9"/>
  <c r="G20" i="9"/>
  <c r="D20" i="9"/>
  <c r="C20" i="9"/>
  <c r="B20" i="9"/>
  <c r="G19" i="9"/>
  <c r="D19" i="9"/>
  <c r="C19" i="9"/>
  <c r="B19" i="9"/>
  <c r="G18" i="9"/>
  <c r="D18" i="9"/>
  <c r="C18" i="9"/>
  <c r="B18" i="9"/>
  <c r="G17" i="9"/>
  <c r="D17" i="9"/>
  <c r="C17" i="9"/>
  <c r="B17" i="9"/>
  <c r="G16" i="9"/>
  <c r="D16" i="9"/>
  <c r="C16" i="9"/>
  <c r="B16" i="9"/>
  <c r="G15" i="9"/>
  <c r="D15" i="9"/>
  <c r="C15" i="9"/>
  <c r="B15" i="9"/>
  <c r="G14" i="9"/>
  <c r="D14" i="9"/>
  <c r="C14" i="9"/>
  <c r="B14" i="9"/>
  <c r="G13" i="9"/>
  <c r="D13" i="9"/>
  <c r="C13" i="9"/>
  <c r="B13" i="9"/>
  <c r="G12" i="9"/>
  <c r="D12" i="9"/>
  <c r="C12" i="9"/>
  <c r="B12" i="9"/>
  <c r="G11" i="9"/>
  <c r="D11" i="9"/>
  <c r="C11" i="9"/>
  <c r="B11" i="9"/>
  <c r="G10" i="9"/>
  <c r="D10" i="9"/>
  <c r="C10" i="9"/>
  <c r="B10" i="9"/>
  <c r="G9" i="9"/>
  <c r="D9" i="9"/>
  <c r="C9" i="9"/>
  <c r="B9" i="9"/>
  <c r="G8" i="9"/>
  <c r="D8" i="9"/>
  <c r="C8" i="9"/>
  <c r="B8" i="9"/>
  <c r="G7" i="9"/>
  <c r="D7" i="9"/>
  <c r="C7" i="9"/>
  <c r="B7" i="9"/>
  <c r="G6" i="9"/>
  <c r="D6" i="9"/>
  <c r="C6" i="9"/>
  <c r="B6" i="9"/>
  <c r="G5" i="9"/>
  <c r="D5" i="9"/>
  <c r="C5" i="9"/>
  <c r="B5" i="9"/>
  <c r="G4" i="9"/>
  <c r="D4" i="9"/>
  <c r="C4" i="9"/>
  <c r="B4" i="9"/>
  <c r="G3" i="9"/>
  <c r="D3" i="9"/>
  <c r="C3" i="9"/>
  <c r="B3" i="9"/>
  <c r="G2" i="9"/>
  <c r="D2" i="9"/>
  <c r="C2" i="9"/>
  <c r="B2" i="9"/>
  <c r="P721" i="8"/>
  <c r="J721" i="8"/>
  <c r="H721" i="8"/>
  <c r="E721" i="8"/>
  <c r="D721" i="8"/>
  <c r="C721" i="8"/>
  <c r="P720" i="8"/>
  <c r="J720" i="8"/>
  <c r="H720" i="8"/>
  <c r="E720" i="8"/>
  <c r="D720" i="8"/>
  <c r="C720" i="8"/>
  <c r="P719" i="8"/>
  <c r="J719" i="8"/>
  <c r="H719" i="8"/>
  <c r="E719" i="8"/>
  <c r="D719" i="8"/>
  <c r="C719" i="8"/>
  <c r="P718" i="8"/>
  <c r="J718" i="8"/>
  <c r="H718" i="8"/>
  <c r="E718" i="8"/>
  <c r="D718" i="8"/>
  <c r="C718" i="8"/>
  <c r="P717" i="8"/>
  <c r="J717" i="8"/>
  <c r="H717" i="8"/>
  <c r="E717" i="8"/>
  <c r="D717" i="8"/>
  <c r="C717" i="8"/>
  <c r="P716" i="8"/>
  <c r="J716" i="8"/>
  <c r="H716" i="8"/>
  <c r="E716" i="8"/>
  <c r="D716" i="8"/>
  <c r="C716" i="8"/>
  <c r="P715" i="8"/>
  <c r="J715" i="8"/>
  <c r="H715" i="8"/>
  <c r="E715" i="8"/>
  <c r="D715" i="8"/>
  <c r="C715" i="8"/>
  <c r="P714" i="8"/>
  <c r="J714" i="8"/>
  <c r="H714" i="8"/>
  <c r="E714" i="8"/>
  <c r="D714" i="8"/>
  <c r="C714" i="8"/>
  <c r="P713" i="8"/>
  <c r="J713" i="8"/>
  <c r="H713" i="8"/>
  <c r="E713" i="8"/>
  <c r="D713" i="8"/>
  <c r="C713" i="8"/>
  <c r="P712" i="8"/>
  <c r="J712" i="8"/>
  <c r="H712" i="8"/>
  <c r="E712" i="8"/>
  <c r="D712" i="8"/>
  <c r="C712" i="8"/>
  <c r="P711" i="8"/>
  <c r="J711" i="8"/>
  <c r="H711" i="8"/>
  <c r="E711" i="8"/>
  <c r="D711" i="8"/>
  <c r="C711" i="8"/>
  <c r="P710" i="8"/>
  <c r="J710" i="8"/>
  <c r="H710" i="8"/>
  <c r="E710" i="8"/>
  <c r="D710" i="8"/>
  <c r="C710" i="8"/>
  <c r="P709" i="8"/>
  <c r="J709" i="8"/>
  <c r="H709" i="8"/>
  <c r="E709" i="8"/>
  <c r="D709" i="8"/>
  <c r="C709" i="8"/>
  <c r="P708" i="8"/>
  <c r="J708" i="8"/>
  <c r="H708" i="8"/>
  <c r="E708" i="8"/>
  <c r="D708" i="8"/>
  <c r="C708" i="8"/>
  <c r="P707" i="8"/>
  <c r="J707" i="8"/>
  <c r="H707" i="8"/>
  <c r="E707" i="8"/>
  <c r="D707" i="8"/>
  <c r="C707" i="8"/>
  <c r="P706" i="8"/>
  <c r="J706" i="8"/>
  <c r="H706" i="8"/>
  <c r="E706" i="8"/>
  <c r="D706" i="8"/>
  <c r="C706" i="8"/>
  <c r="P705" i="8"/>
  <c r="J705" i="8"/>
  <c r="H705" i="8"/>
  <c r="E705" i="8"/>
  <c r="D705" i="8"/>
  <c r="C705" i="8"/>
  <c r="P704" i="8"/>
  <c r="J704" i="8"/>
  <c r="H704" i="8"/>
  <c r="E704" i="8"/>
  <c r="D704" i="8"/>
  <c r="C704" i="8"/>
  <c r="P703" i="8"/>
  <c r="J703" i="8"/>
  <c r="H703" i="8"/>
  <c r="E703" i="8"/>
  <c r="D703" i="8"/>
  <c r="C703" i="8"/>
  <c r="P702" i="8"/>
  <c r="J702" i="8"/>
  <c r="H702" i="8"/>
  <c r="E702" i="8"/>
  <c r="D702" i="8"/>
  <c r="C702" i="8"/>
  <c r="P701" i="8"/>
  <c r="J701" i="8"/>
  <c r="H701" i="8"/>
  <c r="E701" i="8"/>
  <c r="D701" i="8"/>
  <c r="C701" i="8"/>
  <c r="P700" i="8"/>
  <c r="J700" i="8"/>
  <c r="H700" i="8"/>
  <c r="E700" i="8"/>
  <c r="D700" i="8"/>
  <c r="C700" i="8"/>
  <c r="P699" i="8"/>
  <c r="J699" i="8"/>
  <c r="H699" i="8"/>
  <c r="E699" i="8"/>
  <c r="D699" i="8"/>
  <c r="C699" i="8"/>
  <c r="P698" i="8"/>
  <c r="J698" i="8"/>
  <c r="H698" i="8"/>
  <c r="E698" i="8"/>
  <c r="D698" i="8"/>
  <c r="C698" i="8"/>
  <c r="P697" i="8"/>
  <c r="J697" i="8"/>
  <c r="H697" i="8"/>
  <c r="E697" i="8"/>
  <c r="D697" i="8"/>
  <c r="C697" i="8"/>
  <c r="P696" i="8"/>
  <c r="J696" i="8"/>
  <c r="H696" i="8"/>
  <c r="E696" i="8"/>
  <c r="D696" i="8"/>
  <c r="C696" i="8"/>
  <c r="P695" i="8"/>
  <c r="J695" i="8"/>
  <c r="H695" i="8"/>
  <c r="E695" i="8"/>
  <c r="D695" i="8"/>
  <c r="C695" i="8"/>
  <c r="P694" i="8"/>
  <c r="J694" i="8"/>
  <c r="H694" i="8"/>
  <c r="E694" i="8"/>
  <c r="D694" i="8"/>
  <c r="C694" i="8"/>
  <c r="P693" i="8"/>
  <c r="J693" i="8"/>
  <c r="H693" i="8"/>
  <c r="E693" i="8"/>
  <c r="D693" i="8"/>
  <c r="C693" i="8"/>
  <c r="P692" i="8"/>
  <c r="J692" i="8"/>
  <c r="H692" i="8"/>
  <c r="E692" i="8"/>
  <c r="D692" i="8"/>
  <c r="C692" i="8"/>
  <c r="P691" i="8"/>
  <c r="J691" i="8"/>
  <c r="H691" i="8"/>
  <c r="E691" i="8"/>
  <c r="D691" i="8"/>
  <c r="C691" i="8"/>
  <c r="P690" i="8"/>
  <c r="J690" i="8"/>
  <c r="H690" i="8"/>
  <c r="E690" i="8"/>
  <c r="D690" i="8"/>
  <c r="C690" i="8"/>
  <c r="P689" i="8"/>
  <c r="J689" i="8"/>
  <c r="H689" i="8"/>
  <c r="E689" i="8"/>
  <c r="D689" i="8"/>
  <c r="C689" i="8"/>
  <c r="P688" i="8"/>
  <c r="J688" i="8"/>
  <c r="H688" i="8"/>
  <c r="E688" i="8"/>
  <c r="D688" i="8"/>
  <c r="C688" i="8"/>
  <c r="P687" i="8"/>
  <c r="J687" i="8"/>
  <c r="H687" i="8"/>
  <c r="E687" i="8"/>
  <c r="D687" i="8"/>
  <c r="C687" i="8"/>
  <c r="P686" i="8"/>
  <c r="J686" i="8"/>
  <c r="H686" i="8"/>
  <c r="E686" i="8"/>
  <c r="D686" i="8"/>
  <c r="C686" i="8"/>
  <c r="P685" i="8"/>
  <c r="J685" i="8"/>
  <c r="H685" i="8"/>
  <c r="E685" i="8"/>
  <c r="D685" i="8"/>
  <c r="C685" i="8"/>
  <c r="P684" i="8"/>
  <c r="J684" i="8"/>
  <c r="H684" i="8"/>
  <c r="E684" i="8"/>
  <c r="D684" i="8"/>
  <c r="C684" i="8"/>
  <c r="P683" i="8"/>
  <c r="J683" i="8"/>
  <c r="H683" i="8"/>
  <c r="E683" i="8"/>
  <c r="D683" i="8"/>
  <c r="C683" i="8"/>
  <c r="P682" i="8"/>
  <c r="J682" i="8"/>
  <c r="H682" i="8"/>
  <c r="E682" i="8"/>
  <c r="D682" i="8"/>
  <c r="C682" i="8"/>
  <c r="P681" i="8"/>
  <c r="J681" i="8"/>
  <c r="H681" i="8"/>
  <c r="E681" i="8"/>
  <c r="D681" i="8"/>
  <c r="C681" i="8"/>
  <c r="P680" i="8"/>
  <c r="J680" i="8"/>
  <c r="H680" i="8"/>
  <c r="E680" i="8"/>
  <c r="D680" i="8"/>
  <c r="C680" i="8"/>
  <c r="P679" i="8"/>
  <c r="J679" i="8"/>
  <c r="H679" i="8"/>
  <c r="E679" i="8"/>
  <c r="D679" i="8"/>
  <c r="C679" i="8"/>
  <c r="P678" i="8"/>
  <c r="J678" i="8"/>
  <c r="H678" i="8"/>
  <c r="E678" i="8"/>
  <c r="D678" i="8"/>
  <c r="C678" i="8"/>
  <c r="P677" i="8"/>
  <c r="J677" i="8"/>
  <c r="H677" i="8"/>
  <c r="E677" i="8"/>
  <c r="D677" i="8"/>
  <c r="C677" i="8"/>
  <c r="P676" i="8"/>
  <c r="J676" i="8"/>
  <c r="H676" i="8"/>
  <c r="E676" i="8"/>
  <c r="D676" i="8"/>
  <c r="C676" i="8"/>
  <c r="P675" i="8"/>
  <c r="J675" i="8"/>
  <c r="H675" i="8"/>
  <c r="E675" i="8"/>
  <c r="D675" i="8"/>
  <c r="C675" i="8"/>
  <c r="P674" i="8"/>
  <c r="J674" i="8"/>
  <c r="H674" i="8"/>
  <c r="E674" i="8"/>
  <c r="D674" i="8"/>
  <c r="C674" i="8"/>
  <c r="P673" i="8"/>
  <c r="J673" i="8"/>
  <c r="H673" i="8"/>
  <c r="E673" i="8"/>
  <c r="D673" i="8"/>
  <c r="C673" i="8"/>
  <c r="P672" i="8"/>
  <c r="J672" i="8"/>
  <c r="H672" i="8"/>
  <c r="E672" i="8"/>
  <c r="D672" i="8"/>
  <c r="C672" i="8"/>
  <c r="P671" i="8"/>
  <c r="J671" i="8"/>
  <c r="H671" i="8"/>
  <c r="E671" i="8"/>
  <c r="D671" i="8"/>
  <c r="C671" i="8"/>
  <c r="P670" i="8"/>
  <c r="J670" i="8"/>
  <c r="H670" i="8"/>
  <c r="E670" i="8"/>
  <c r="D670" i="8"/>
  <c r="C670" i="8"/>
  <c r="P669" i="8"/>
  <c r="J669" i="8"/>
  <c r="H669" i="8"/>
  <c r="E669" i="8"/>
  <c r="D669" i="8"/>
  <c r="C669" i="8"/>
  <c r="P668" i="8"/>
  <c r="J668" i="8"/>
  <c r="H668" i="8"/>
  <c r="E668" i="8"/>
  <c r="D668" i="8"/>
  <c r="C668" i="8"/>
  <c r="P667" i="8"/>
  <c r="J667" i="8"/>
  <c r="H667" i="8"/>
  <c r="E667" i="8"/>
  <c r="D667" i="8"/>
  <c r="C667" i="8"/>
  <c r="P666" i="8"/>
  <c r="J666" i="8"/>
  <c r="H666" i="8"/>
  <c r="E666" i="8"/>
  <c r="D666" i="8"/>
  <c r="C666" i="8"/>
  <c r="P665" i="8"/>
  <c r="J665" i="8"/>
  <c r="H665" i="8"/>
  <c r="E665" i="8"/>
  <c r="D665" i="8"/>
  <c r="C665" i="8"/>
  <c r="P664" i="8"/>
  <c r="J664" i="8"/>
  <c r="H664" i="8"/>
  <c r="E664" i="8"/>
  <c r="D664" i="8"/>
  <c r="C664" i="8"/>
  <c r="P663" i="8"/>
  <c r="J663" i="8"/>
  <c r="H663" i="8"/>
  <c r="E663" i="8"/>
  <c r="D663" i="8"/>
  <c r="C663" i="8"/>
  <c r="P662" i="8"/>
  <c r="J662" i="8"/>
  <c r="H662" i="8"/>
  <c r="E662" i="8"/>
  <c r="D662" i="8"/>
  <c r="C662" i="8"/>
  <c r="P661" i="8"/>
  <c r="J661" i="8"/>
  <c r="H661" i="8"/>
  <c r="E661" i="8"/>
  <c r="D661" i="8"/>
  <c r="C661" i="8"/>
  <c r="P660" i="8"/>
  <c r="J660" i="8"/>
  <c r="H660" i="8"/>
  <c r="E660" i="8"/>
  <c r="D660" i="8"/>
  <c r="C660" i="8"/>
  <c r="P659" i="8"/>
  <c r="J659" i="8"/>
  <c r="H659" i="8"/>
  <c r="E659" i="8"/>
  <c r="D659" i="8"/>
  <c r="C659" i="8"/>
  <c r="P658" i="8"/>
  <c r="J658" i="8"/>
  <c r="H658" i="8"/>
  <c r="E658" i="8"/>
  <c r="D658" i="8"/>
  <c r="C658" i="8"/>
  <c r="P657" i="8"/>
  <c r="J657" i="8"/>
  <c r="H657" i="8"/>
  <c r="E657" i="8"/>
  <c r="D657" i="8"/>
  <c r="C657" i="8"/>
  <c r="P656" i="8"/>
  <c r="J656" i="8"/>
  <c r="H656" i="8"/>
  <c r="E656" i="8"/>
  <c r="D656" i="8"/>
  <c r="C656" i="8"/>
  <c r="P655" i="8"/>
  <c r="J655" i="8"/>
  <c r="H655" i="8"/>
  <c r="E655" i="8"/>
  <c r="D655" i="8"/>
  <c r="C655" i="8"/>
  <c r="P654" i="8"/>
  <c r="J654" i="8"/>
  <c r="H654" i="8"/>
  <c r="E654" i="8"/>
  <c r="D654" i="8"/>
  <c r="C654" i="8"/>
  <c r="P653" i="8"/>
  <c r="J653" i="8"/>
  <c r="H653" i="8"/>
  <c r="E653" i="8"/>
  <c r="D653" i="8"/>
  <c r="C653" i="8"/>
  <c r="P652" i="8"/>
  <c r="J652" i="8"/>
  <c r="H652" i="8"/>
  <c r="E652" i="8"/>
  <c r="D652" i="8"/>
  <c r="C652" i="8"/>
  <c r="P651" i="8"/>
  <c r="J651" i="8"/>
  <c r="H651" i="8"/>
  <c r="E651" i="8"/>
  <c r="D651" i="8"/>
  <c r="C651" i="8"/>
  <c r="P650" i="8"/>
  <c r="J650" i="8"/>
  <c r="H650" i="8"/>
  <c r="E650" i="8"/>
  <c r="D650" i="8"/>
  <c r="C650" i="8"/>
  <c r="P649" i="8"/>
  <c r="J649" i="8"/>
  <c r="H649" i="8"/>
  <c r="E649" i="8"/>
  <c r="D649" i="8"/>
  <c r="C649" i="8"/>
  <c r="P648" i="8"/>
  <c r="J648" i="8"/>
  <c r="H648" i="8"/>
  <c r="E648" i="8"/>
  <c r="D648" i="8"/>
  <c r="C648" i="8"/>
  <c r="P647" i="8"/>
  <c r="J647" i="8"/>
  <c r="H647" i="8"/>
  <c r="E647" i="8"/>
  <c r="D647" i="8"/>
  <c r="C647" i="8"/>
  <c r="P646" i="8"/>
  <c r="J646" i="8"/>
  <c r="H646" i="8"/>
  <c r="E646" i="8"/>
  <c r="D646" i="8"/>
  <c r="C646" i="8"/>
  <c r="P645" i="8"/>
  <c r="J645" i="8"/>
  <c r="H645" i="8"/>
  <c r="E645" i="8"/>
  <c r="D645" i="8"/>
  <c r="C645" i="8"/>
  <c r="P644" i="8"/>
  <c r="J644" i="8"/>
  <c r="H644" i="8"/>
  <c r="E644" i="8"/>
  <c r="D644" i="8"/>
  <c r="C644" i="8"/>
  <c r="P643" i="8"/>
  <c r="J643" i="8"/>
  <c r="H643" i="8"/>
  <c r="E643" i="8"/>
  <c r="D643" i="8"/>
  <c r="C643" i="8"/>
  <c r="P642" i="8"/>
  <c r="J642" i="8"/>
  <c r="H642" i="8"/>
  <c r="E642" i="8"/>
  <c r="D642" i="8"/>
  <c r="C642" i="8"/>
  <c r="P641" i="8"/>
  <c r="J641" i="8"/>
  <c r="H641" i="8"/>
  <c r="E641" i="8"/>
  <c r="D641" i="8"/>
  <c r="C641" i="8"/>
  <c r="P640" i="8"/>
  <c r="J640" i="8"/>
  <c r="H640" i="8"/>
  <c r="E640" i="8"/>
  <c r="D640" i="8"/>
  <c r="C640" i="8"/>
  <c r="P639" i="8"/>
  <c r="J639" i="8"/>
  <c r="H639" i="8"/>
  <c r="E639" i="8"/>
  <c r="D639" i="8"/>
  <c r="C639" i="8"/>
  <c r="P638" i="8"/>
  <c r="J638" i="8"/>
  <c r="H638" i="8"/>
  <c r="E638" i="8"/>
  <c r="D638" i="8"/>
  <c r="C638" i="8"/>
  <c r="P637" i="8"/>
  <c r="J637" i="8"/>
  <c r="H637" i="8"/>
  <c r="E637" i="8"/>
  <c r="D637" i="8"/>
  <c r="C637" i="8"/>
  <c r="P636" i="8"/>
  <c r="J636" i="8"/>
  <c r="H636" i="8"/>
  <c r="E636" i="8"/>
  <c r="D636" i="8"/>
  <c r="C636" i="8"/>
  <c r="P635" i="8"/>
  <c r="J635" i="8"/>
  <c r="H635" i="8"/>
  <c r="E635" i="8"/>
  <c r="D635" i="8"/>
  <c r="C635" i="8"/>
  <c r="P634" i="8"/>
  <c r="J634" i="8"/>
  <c r="H634" i="8"/>
  <c r="E634" i="8"/>
  <c r="D634" i="8"/>
  <c r="C634" i="8"/>
  <c r="P633" i="8"/>
  <c r="J633" i="8"/>
  <c r="H633" i="8"/>
  <c r="E633" i="8"/>
  <c r="D633" i="8"/>
  <c r="C633" i="8"/>
  <c r="P632" i="8"/>
  <c r="J632" i="8"/>
  <c r="H632" i="8"/>
  <c r="E632" i="8"/>
  <c r="D632" i="8"/>
  <c r="C632" i="8"/>
  <c r="P631" i="8"/>
  <c r="J631" i="8"/>
  <c r="H631" i="8"/>
  <c r="E631" i="8"/>
  <c r="D631" i="8"/>
  <c r="C631" i="8"/>
  <c r="P630" i="8"/>
  <c r="J630" i="8"/>
  <c r="H630" i="8"/>
  <c r="E630" i="8"/>
  <c r="D630" i="8"/>
  <c r="C630" i="8"/>
  <c r="P629" i="8"/>
  <c r="J629" i="8"/>
  <c r="H629" i="8"/>
  <c r="E629" i="8"/>
  <c r="D629" i="8"/>
  <c r="C629" i="8"/>
  <c r="P628" i="8"/>
  <c r="J628" i="8"/>
  <c r="H628" i="8"/>
  <c r="E628" i="8"/>
  <c r="D628" i="8"/>
  <c r="C628" i="8"/>
  <c r="P627" i="8"/>
  <c r="J627" i="8"/>
  <c r="H627" i="8"/>
  <c r="E627" i="8"/>
  <c r="D627" i="8"/>
  <c r="C627" i="8"/>
  <c r="P626" i="8"/>
  <c r="J626" i="8"/>
  <c r="H626" i="8"/>
  <c r="E626" i="8"/>
  <c r="D626" i="8"/>
  <c r="C626" i="8"/>
  <c r="P625" i="8"/>
  <c r="J625" i="8"/>
  <c r="H625" i="8"/>
  <c r="E625" i="8"/>
  <c r="D625" i="8"/>
  <c r="C625" i="8"/>
  <c r="P624" i="8"/>
  <c r="J624" i="8"/>
  <c r="H624" i="8"/>
  <c r="E624" i="8"/>
  <c r="D624" i="8"/>
  <c r="C624" i="8"/>
  <c r="P623" i="8"/>
  <c r="J623" i="8"/>
  <c r="H623" i="8"/>
  <c r="E623" i="8"/>
  <c r="D623" i="8"/>
  <c r="C623" i="8"/>
  <c r="P622" i="8"/>
  <c r="J622" i="8"/>
  <c r="H622" i="8"/>
  <c r="E622" i="8"/>
  <c r="D622" i="8"/>
  <c r="C622" i="8"/>
  <c r="P621" i="8"/>
  <c r="J621" i="8"/>
  <c r="H621" i="8"/>
  <c r="E621" i="8"/>
  <c r="D621" i="8"/>
  <c r="C621" i="8"/>
  <c r="P620" i="8"/>
  <c r="J620" i="8"/>
  <c r="H620" i="8"/>
  <c r="E620" i="8"/>
  <c r="D620" i="8"/>
  <c r="C620" i="8"/>
  <c r="P619" i="8"/>
  <c r="J619" i="8"/>
  <c r="H619" i="8"/>
  <c r="E619" i="8"/>
  <c r="D619" i="8"/>
  <c r="C619" i="8"/>
  <c r="P618" i="8"/>
  <c r="J618" i="8"/>
  <c r="H618" i="8"/>
  <c r="E618" i="8"/>
  <c r="D618" i="8"/>
  <c r="C618" i="8"/>
  <c r="P617" i="8"/>
  <c r="J617" i="8"/>
  <c r="H617" i="8"/>
  <c r="E617" i="8"/>
  <c r="D617" i="8"/>
  <c r="C617" i="8"/>
  <c r="P616" i="8"/>
  <c r="J616" i="8"/>
  <c r="H616" i="8"/>
  <c r="E616" i="8"/>
  <c r="D616" i="8"/>
  <c r="C616" i="8"/>
  <c r="P615" i="8"/>
  <c r="J615" i="8"/>
  <c r="H615" i="8"/>
  <c r="E615" i="8"/>
  <c r="D615" i="8"/>
  <c r="C615" i="8"/>
  <c r="P614" i="8"/>
  <c r="J614" i="8"/>
  <c r="H614" i="8"/>
  <c r="E614" i="8"/>
  <c r="D614" i="8"/>
  <c r="C614" i="8"/>
  <c r="P613" i="8"/>
  <c r="J613" i="8"/>
  <c r="H613" i="8"/>
  <c r="E613" i="8"/>
  <c r="D613" i="8"/>
  <c r="C613" i="8"/>
  <c r="P612" i="8"/>
  <c r="J612" i="8"/>
  <c r="H612" i="8"/>
  <c r="E612" i="8"/>
  <c r="D612" i="8"/>
  <c r="C612" i="8"/>
  <c r="P611" i="8"/>
  <c r="J611" i="8"/>
  <c r="H611" i="8"/>
  <c r="E611" i="8"/>
  <c r="D611" i="8"/>
  <c r="C611" i="8"/>
  <c r="P610" i="8"/>
  <c r="J610" i="8"/>
  <c r="H610" i="8"/>
  <c r="E610" i="8"/>
  <c r="D610" i="8"/>
  <c r="C610" i="8"/>
  <c r="P609" i="8"/>
  <c r="J609" i="8"/>
  <c r="H609" i="8"/>
  <c r="E609" i="8"/>
  <c r="D609" i="8"/>
  <c r="C609" i="8"/>
  <c r="P608" i="8"/>
  <c r="J608" i="8"/>
  <c r="H608" i="8"/>
  <c r="E608" i="8"/>
  <c r="D608" i="8"/>
  <c r="C608" i="8"/>
  <c r="P607" i="8"/>
  <c r="J607" i="8"/>
  <c r="H607" i="8"/>
  <c r="E607" i="8"/>
  <c r="D607" i="8"/>
  <c r="C607" i="8"/>
  <c r="P606" i="8"/>
  <c r="J606" i="8"/>
  <c r="H606" i="8"/>
  <c r="E606" i="8"/>
  <c r="D606" i="8"/>
  <c r="C606" i="8"/>
  <c r="P605" i="8"/>
  <c r="J605" i="8"/>
  <c r="H605" i="8"/>
  <c r="E605" i="8"/>
  <c r="D605" i="8"/>
  <c r="C605" i="8"/>
  <c r="P604" i="8"/>
  <c r="J604" i="8"/>
  <c r="H604" i="8"/>
  <c r="E604" i="8"/>
  <c r="D604" i="8"/>
  <c r="C604" i="8"/>
  <c r="P603" i="8"/>
  <c r="J603" i="8"/>
  <c r="H603" i="8"/>
  <c r="E603" i="8"/>
  <c r="D603" i="8"/>
  <c r="C603" i="8"/>
  <c r="P602" i="8"/>
  <c r="J602" i="8"/>
  <c r="H602" i="8"/>
  <c r="E602" i="8"/>
  <c r="D602" i="8"/>
  <c r="C602" i="8"/>
  <c r="P601" i="8"/>
  <c r="J601" i="8"/>
  <c r="H601" i="8"/>
  <c r="E601" i="8"/>
  <c r="D601" i="8"/>
  <c r="C601" i="8"/>
  <c r="P600" i="8"/>
  <c r="J600" i="8"/>
  <c r="H600" i="8"/>
  <c r="E600" i="8"/>
  <c r="D600" i="8"/>
  <c r="C600" i="8"/>
  <c r="P599" i="8"/>
  <c r="J599" i="8"/>
  <c r="H599" i="8"/>
  <c r="E599" i="8"/>
  <c r="D599" i="8"/>
  <c r="C599" i="8"/>
  <c r="P598" i="8"/>
  <c r="J598" i="8"/>
  <c r="H598" i="8"/>
  <c r="E598" i="8"/>
  <c r="D598" i="8"/>
  <c r="C598" i="8"/>
  <c r="P597" i="8"/>
  <c r="J597" i="8"/>
  <c r="H597" i="8"/>
  <c r="E597" i="8"/>
  <c r="D597" i="8"/>
  <c r="C597" i="8"/>
  <c r="P596" i="8"/>
  <c r="J596" i="8"/>
  <c r="H596" i="8"/>
  <c r="E596" i="8"/>
  <c r="D596" i="8"/>
  <c r="C596" i="8"/>
  <c r="P595" i="8"/>
  <c r="J595" i="8"/>
  <c r="H595" i="8"/>
  <c r="E595" i="8"/>
  <c r="D595" i="8"/>
  <c r="C595" i="8"/>
  <c r="P594" i="8"/>
  <c r="J594" i="8"/>
  <c r="H594" i="8"/>
  <c r="E594" i="8"/>
  <c r="D594" i="8"/>
  <c r="C594" i="8"/>
  <c r="P593" i="8"/>
  <c r="J593" i="8"/>
  <c r="H593" i="8"/>
  <c r="E593" i="8"/>
  <c r="D593" i="8"/>
  <c r="C593" i="8"/>
  <c r="P592" i="8"/>
  <c r="J592" i="8"/>
  <c r="H592" i="8"/>
  <c r="E592" i="8"/>
  <c r="D592" i="8"/>
  <c r="C592" i="8"/>
  <c r="P591" i="8"/>
  <c r="J591" i="8"/>
  <c r="H591" i="8"/>
  <c r="E591" i="8"/>
  <c r="D591" i="8"/>
  <c r="C591" i="8"/>
  <c r="P590" i="8"/>
  <c r="J590" i="8"/>
  <c r="H590" i="8"/>
  <c r="E590" i="8"/>
  <c r="D590" i="8"/>
  <c r="C590" i="8"/>
  <c r="P589" i="8"/>
  <c r="J589" i="8"/>
  <c r="H589" i="8"/>
  <c r="F589" i="8"/>
  <c r="E589" i="8"/>
  <c r="D589" i="8"/>
  <c r="C589" i="8"/>
  <c r="P588" i="8"/>
  <c r="J588" i="8"/>
  <c r="H588" i="8"/>
  <c r="E588" i="8"/>
  <c r="D588" i="8"/>
  <c r="C588" i="8"/>
  <c r="P587" i="8"/>
  <c r="J587" i="8"/>
  <c r="H587" i="8"/>
  <c r="E587" i="8"/>
  <c r="D587" i="8"/>
  <c r="C587" i="8"/>
  <c r="P586" i="8"/>
  <c r="J586" i="8"/>
  <c r="H586" i="8"/>
  <c r="E586" i="8"/>
  <c r="D586" i="8"/>
  <c r="C586" i="8"/>
  <c r="P585" i="8"/>
  <c r="J585" i="8"/>
  <c r="H585" i="8"/>
  <c r="E585" i="8"/>
  <c r="D585" i="8"/>
  <c r="C585" i="8"/>
  <c r="P584" i="8"/>
  <c r="J584" i="8"/>
  <c r="H584" i="8"/>
  <c r="E584" i="8"/>
  <c r="D584" i="8"/>
  <c r="C584" i="8"/>
  <c r="P583" i="8"/>
  <c r="J583" i="8"/>
  <c r="H583" i="8"/>
  <c r="E583" i="8"/>
  <c r="D583" i="8"/>
  <c r="C583" i="8"/>
  <c r="P582" i="8"/>
  <c r="J582" i="8"/>
  <c r="H582" i="8"/>
  <c r="E582" i="8"/>
  <c r="D582" i="8"/>
  <c r="C582" i="8"/>
  <c r="P581" i="8"/>
  <c r="J581" i="8"/>
  <c r="H581" i="8"/>
  <c r="E581" i="8"/>
  <c r="D581" i="8"/>
  <c r="C581" i="8"/>
  <c r="P580" i="8"/>
  <c r="J580" i="8"/>
  <c r="H580" i="8"/>
  <c r="E580" i="8"/>
  <c r="D580" i="8"/>
  <c r="C580" i="8"/>
  <c r="P579" i="8"/>
  <c r="J579" i="8"/>
  <c r="H579" i="8"/>
  <c r="E579" i="8"/>
  <c r="D579" i="8"/>
  <c r="C579" i="8"/>
  <c r="P578" i="8"/>
  <c r="J578" i="8"/>
  <c r="H578" i="8"/>
  <c r="E578" i="8"/>
  <c r="D578" i="8"/>
  <c r="C578" i="8"/>
  <c r="P577" i="8"/>
  <c r="J577" i="8"/>
  <c r="H577" i="8"/>
  <c r="E577" i="8"/>
  <c r="D577" i="8"/>
  <c r="C577" i="8"/>
  <c r="P576" i="8"/>
  <c r="J576" i="8"/>
  <c r="H576" i="8"/>
  <c r="E576" i="8"/>
  <c r="D576" i="8"/>
  <c r="C576" i="8"/>
  <c r="P575" i="8"/>
  <c r="J575" i="8"/>
  <c r="H575" i="8"/>
  <c r="E575" i="8"/>
  <c r="D575" i="8"/>
  <c r="C575" i="8"/>
  <c r="P574" i="8"/>
  <c r="N574" i="8"/>
  <c r="R574" i="8" s="1"/>
  <c r="J574" i="8"/>
  <c r="H574" i="8"/>
  <c r="E574" i="8"/>
  <c r="D574" i="8"/>
  <c r="C574" i="8"/>
  <c r="P573" i="8"/>
  <c r="J573" i="8"/>
  <c r="H573" i="8"/>
  <c r="E573" i="8"/>
  <c r="D573" i="8"/>
  <c r="C573" i="8"/>
  <c r="P572" i="8"/>
  <c r="J572" i="8"/>
  <c r="H572" i="8"/>
  <c r="E572" i="8"/>
  <c r="D572" i="8"/>
  <c r="C572" i="8"/>
  <c r="P571" i="8"/>
  <c r="J571" i="8"/>
  <c r="H571" i="8"/>
  <c r="E571" i="8"/>
  <c r="D571" i="8"/>
  <c r="C571" i="8"/>
  <c r="P570" i="8"/>
  <c r="J570" i="8"/>
  <c r="H570" i="8"/>
  <c r="E570" i="8"/>
  <c r="D570" i="8"/>
  <c r="C570" i="8"/>
  <c r="P569" i="8"/>
  <c r="J569" i="8"/>
  <c r="H569" i="8"/>
  <c r="E569" i="8"/>
  <c r="D569" i="8"/>
  <c r="C569" i="8"/>
  <c r="P568" i="8"/>
  <c r="J568" i="8"/>
  <c r="H568" i="8"/>
  <c r="E568" i="8"/>
  <c r="D568" i="8"/>
  <c r="C568" i="8"/>
  <c r="P567" i="8"/>
  <c r="J567" i="8"/>
  <c r="H567" i="8"/>
  <c r="E567" i="8"/>
  <c r="D567" i="8"/>
  <c r="C567" i="8"/>
  <c r="P566" i="8"/>
  <c r="J566" i="8"/>
  <c r="H566" i="8"/>
  <c r="E566" i="8"/>
  <c r="D566" i="8"/>
  <c r="C566" i="8"/>
  <c r="P565" i="8"/>
  <c r="J565" i="8"/>
  <c r="H565" i="8"/>
  <c r="E565" i="8"/>
  <c r="D565" i="8"/>
  <c r="C565" i="8"/>
  <c r="P564" i="8"/>
  <c r="J564" i="8"/>
  <c r="H564" i="8"/>
  <c r="E564" i="8"/>
  <c r="D564" i="8"/>
  <c r="C564" i="8"/>
  <c r="P563" i="8"/>
  <c r="J563" i="8"/>
  <c r="H563" i="8"/>
  <c r="E563" i="8"/>
  <c r="D563" i="8"/>
  <c r="C563" i="8"/>
  <c r="P562" i="8"/>
  <c r="J562" i="8"/>
  <c r="H562" i="8"/>
  <c r="E562" i="8"/>
  <c r="D562" i="8"/>
  <c r="C562" i="8"/>
  <c r="P561" i="8"/>
  <c r="J561" i="8"/>
  <c r="H561" i="8"/>
  <c r="E561" i="8"/>
  <c r="D561" i="8"/>
  <c r="C561" i="8"/>
  <c r="P560" i="8"/>
  <c r="J560" i="8"/>
  <c r="H560" i="8"/>
  <c r="E560" i="8"/>
  <c r="D560" i="8"/>
  <c r="C560" i="8"/>
  <c r="P559" i="8"/>
  <c r="J559" i="8"/>
  <c r="H559" i="8"/>
  <c r="E559" i="8"/>
  <c r="D559" i="8"/>
  <c r="C559" i="8"/>
  <c r="P558" i="8"/>
  <c r="J558" i="8"/>
  <c r="H558" i="8"/>
  <c r="E558" i="8"/>
  <c r="D558" i="8"/>
  <c r="C558" i="8"/>
  <c r="P557" i="8"/>
  <c r="J557" i="8"/>
  <c r="H557" i="8"/>
  <c r="E557" i="8"/>
  <c r="D557" i="8"/>
  <c r="C557" i="8"/>
  <c r="P556" i="8"/>
  <c r="J556" i="8"/>
  <c r="H556" i="8"/>
  <c r="E556" i="8"/>
  <c r="D556" i="8"/>
  <c r="C556" i="8"/>
  <c r="P555" i="8"/>
  <c r="J555" i="8"/>
  <c r="H555" i="8"/>
  <c r="E555" i="8"/>
  <c r="D555" i="8"/>
  <c r="C555" i="8"/>
  <c r="P554" i="8"/>
  <c r="J554" i="8"/>
  <c r="H554" i="8"/>
  <c r="E554" i="8"/>
  <c r="D554" i="8"/>
  <c r="C554" i="8"/>
  <c r="P553" i="8"/>
  <c r="J553" i="8"/>
  <c r="H553" i="8"/>
  <c r="E553" i="8"/>
  <c r="D553" i="8"/>
  <c r="C553" i="8"/>
  <c r="P552" i="8"/>
  <c r="J552" i="8"/>
  <c r="H552" i="8"/>
  <c r="E552" i="8"/>
  <c r="D552" i="8"/>
  <c r="C552" i="8"/>
  <c r="P551" i="8"/>
  <c r="J551" i="8"/>
  <c r="H551" i="8"/>
  <c r="E551" i="8"/>
  <c r="D551" i="8"/>
  <c r="C551" i="8"/>
  <c r="P550" i="8"/>
  <c r="J550" i="8"/>
  <c r="H550" i="8"/>
  <c r="E550" i="8"/>
  <c r="D550" i="8"/>
  <c r="C550" i="8"/>
  <c r="P549" i="8"/>
  <c r="J549" i="8"/>
  <c r="H549" i="8"/>
  <c r="E549" i="8"/>
  <c r="D549" i="8"/>
  <c r="C549" i="8"/>
  <c r="P548" i="8"/>
  <c r="J548" i="8"/>
  <c r="H548" i="8"/>
  <c r="E548" i="8"/>
  <c r="D548" i="8"/>
  <c r="C548" i="8"/>
  <c r="P547" i="8"/>
  <c r="J547" i="8"/>
  <c r="H547" i="8"/>
  <c r="E547" i="8"/>
  <c r="D547" i="8"/>
  <c r="C547" i="8"/>
  <c r="P546" i="8"/>
  <c r="J546" i="8"/>
  <c r="H546" i="8"/>
  <c r="E546" i="8"/>
  <c r="D546" i="8"/>
  <c r="C546" i="8"/>
  <c r="P545" i="8"/>
  <c r="J545" i="8"/>
  <c r="H545" i="8"/>
  <c r="E545" i="8"/>
  <c r="D545" i="8"/>
  <c r="C545" i="8"/>
  <c r="P544" i="8"/>
  <c r="J544" i="8"/>
  <c r="H544" i="8"/>
  <c r="E544" i="8"/>
  <c r="D544" i="8"/>
  <c r="C544" i="8"/>
  <c r="P543" i="8"/>
  <c r="J543" i="8"/>
  <c r="H543" i="8"/>
  <c r="E543" i="8"/>
  <c r="D543" i="8"/>
  <c r="C543" i="8"/>
  <c r="P542" i="8"/>
  <c r="J542" i="8"/>
  <c r="H542" i="8"/>
  <c r="E542" i="8"/>
  <c r="D542" i="8"/>
  <c r="C542" i="8"/>
  <c r="P541" i="8"/>
  <c r="J541" i="8"/>
  <c r="H541" i="8"/>
  <c r="E541" i="8"/>
  <c r="D541" i="8"/>
  <c r="C541" i="8"/>
  <c r="P540" i="8"/>
  <c r="J540" i="8"/>
  <c r="H540" i="8"/>
  <c r="E540" i="8"/>
  <c r="D540" i="8"/>
  <c r="C540" i="8"/>
  <c r="P539" i="8"/>
  <c r="J539" i="8"/>
  <c r="H539" i="8"/>
  <c r="E539" i="8"/>
  <c r="D539" i="8"/>
  <c r="C539" i="8"/>
  <c r="P538" i="8"/>
  <c r="J538" i="8"/>
  <c r="H538" i="8"/>
  <c r="E538" i="8"/>
  <c r="D538" i="8"/>
  <c r="C538" i="8"/>
  <c r="P537" i="8"/>
  <c r="J537" i="8"/>
  <c r="H537" i="8"/>
  <c r="E537" i="8"/>
  <c r="D537" i="8"/>
  <c r="C537" i="8"/>
  <c r="P536" i="8"/>
  <c r="J536" i="8"/>
  <c r="H536" i="8"/>
  <c r="E536" i="8"/>
  <c r="D536" i="8"/>
  <c r="C536" i="8"/>
  <c r="P535" i="8"/>
  <c r="J535" i="8"/>
  <c r="H535" i="8"/>
  <c r="E535" i="8"/>
  <c r="D535" i="8"/>
  <c r="C535" i="8"/>
  <c r="P534" i="8"/>
  <c r="N534" i="8"/>
  <c r="R534" i="8" s="1"/>
  <c r="J534" i="8"/>
  <c r="H534" i="8"/>
  <c r="E534" i="8"/>
  <c r="D534" i="8"/>
  <c r="C534" i="8"/>
  <c r="P533" i="8"/>
  <c r="J533" i="8"/>
  <c r="H533" i="8"/>
  <c r="E533" i="8"/>
  <c r="D533" i="8"/>
  <c r="C533" i="8"/>
  <c r="P532" i="8"/>
  <c r="J532" i="8"/>
  <c r="H532" i="8"/>
  <c r="E532" i="8"/>
  <c r="D532" i="8"/>
  <c r="C532" i="8"/>
  <c r="P531" i="8"/>
  <c r="J531" i="8"/>
  <c r="H531" i="8"/>
  <c r="E531" i="8"/>
  <c r="D531" i="8"/>
  <c r="C531" i="8"/>
  <c r="P530" i="8"/>
  <c r="J530" i="8"/>
  <c r="H530" i="8"/>
  <c r="E530" i="8"/>
  <c r="D530" i="8"/>
  <c r="C530" i="8"/>
  <c r="P529" i="8"/>
  <c r="J529" i="8"/>
  <c r="H529" i="8"/>
  <c r="E529" i="8"/>
  <c r="D529" i="8"/>
  <c r="C529" i="8"/>
  <c r="P528" i="8"/>
  <c r="J528" i="8"/>
  <c r="H528" i="8"/>
  <c r="E528" i="8"/>
  <c r="D528" i="8"/>
  <c r="C528" i="8"/>
  <c r="P527" i="8"/>
  <c r="J527" i="8"/>
  <c r="H527" i="8"/>
  <c r="E527" i="8"/>
  <c r="D527" i="8"/>
  <c r="C527" i="8"/>
  <c r="P526" i="8"/>
  <c r="J526" i="8"/>
  <c r="H526" i="8"/>
  <c r="E526" i="8"/>
  <c r="D526" i="8"/>
  <c r="C526" i="8"/>
  <c r="P525" i="8"/>
  <c r="J525" i="8"/>
  <c r="H525" i="8"/>
  <c r="E525" i="8"/>
  <c r="D525" i="8"/>
  <c r="C525" i="8"/>
  <c r="P524" i="8"/>
  <c r="J524" i="8"/>
  <c r="H524" i="8"/>
  <c r="E524" i="8"/>
  <c r="D524" i="8"/>
  <c r="C524" i="8"/>
  <c r="P523" i="8"/>
  <c r="J523" i="8"/>
  <c r="H523" i="8"/>
  <c r="E523" i="8"/>
  <c r="D523" i="8"/>
  <c r="C523" i="8"/>
  <c r="P522" i="8"/>
  <c r="J522" i="8"/>
  <c r="H522" i="8"/>
  <c r="E522" i="8"/>
  <c r="D522" i="8"/>
  <c r="C522" i="8"/>
  <c r="P521" i="8"/>
  <c r="J521" i="8"/>
  <c r="H521" i="8"/>
  <c r="E521" i="8"/>
  <c r="D521" i="8"/>
  <c r="C521" i="8"/>
  <c r="P520" i="8"/>
  <c r="J520" i="8"/>
  <c r="H520" i="8"/>
  <c r="E520" i="8"/>
  <c r="D520" i="8"/>
  <c r="C520" i="8"/>
  <c r="P519" i="8"/>
  <c r="J519" i="8"/>
  <c r="H519" i="8"/>
  <c r="E519" i="8"/>
  <c r="D519" i="8"/>
  <c r="C519" i="8"/>
  <c r="P518" i="8"/>
  <c r="J518" i="8"/>
  <c r="H518" i="8"/>
  <c r="E518" i="8"/>
  <c r="D518" i="8"/>
  <c r="C518" i="8"/>
  <c r="P517" i="8"/>
  <c r="J517" i="8"/>
  <c r="H517" i="8"/>
  <c r="E517" i="8"/>
  <c r="D517" i="8"/>
  <c r="C517" i="8"/>
  <c r="P516" i="8"/>
  <c r="J516" i="8"/>
  <c r="H516" i="8"/>
  <c r="E516" i="8"/>
  <c r="D516" i="8"/>
  <c r="C516" i="8"/>
  <c r="P515" i="8"/>
  <c r="J515" i="8"/>
  <c r="H515" i="8"/>
  <c r="E515" i="8"/>
  <c r="D515" i="8"/>
  <c r="C515" i="8"/>
  <c r="P514" i="8"/>
  <c r="J514" i="8"/>
  <c r="H514" i="8"/>
  <c r="E514" i="8"/>
  <c r="D514" i="8"/>
  <c r="C514" i="8"/>
  <c r="P513" i="8"/>
  <c r="J513" i="8"/>
  <c r="H513" i="8"/>
  <c r="E513" i="8"/>
  <c r="D513" i="8"/>
  <c r="C513" i="8"/>
  <c r="P512" i="8"/>
  <c r="J512" i="8"/>
  <c r="H512" i="8"/>
  <c r="E512" i="8"/>
  <c r="D512" i="8"/>
  <c r="C512" i="8"/>
  <c r="P511" i="8"/>
  <c r="J511" i="8"/>
  <c r="H511" i="8"/>
  <c r="E511" i="8"/>
  <c r="D511" i="8"/>
  <c r="C511" i="8"/>
  <c r="P510" i="8"/>
  <c r="J510" i="8"/>
  <c r="H510" i="8"/>
  <c r="E510" i="8"/>
  <c r="D510" i="8"/>
  <c r="C510" i="8"/>
  <c r="P509" i="8"/>
  <c r="J509" i="8"/>
  <c r="H509" i="8"/>
  <c r="E509" i="8"/>
  <c r="D509" i="8"/>
  <c r="C509" i="8"/>
  <c r="P508" i="8"/>
  <c r="J508" i="8"/>
  <c r="H508" i="8"/>
  <c r="E508" i="8"/>
  <c r="D508" i="8"/>
  <c r="C508" i="8"/>
  <c r="P507" i="8"/>
  <c r="J507" i="8"/>
  <c r="H507" i="8"/>
  <c r="E507" i="8"/>
  <c r="D507" i="8"/>
  <c r="C507" i="8"/>
  <c r="P506" i="8"/>
  <c r="J506" i="8"/>
  <c r="H506" i="8"/>
  <c r="E506" i="8"/>
  <c r="D506" i="8"/>
  <c r="C506" i="8"/>
  <c r="P505" i="8"/>
  <c r="J505" i="8"/>
  <c r="H505" i="8"/>
  <c r="E505" i="8"/>
  <c r="D505" i="8"/>
  <c r="C505" i="8"/>
  <c r="P504" i="8"/>
  <c r="J504" i="8"/>
  <c r="H504" i="8"/>
  <c r="E504" i="8"/>
  <c r="D504" i="8"/>
  <c r="C504" i="8"/>
  <c r="P503" i="8"/>
  <c r="J503" i="8"/>
  <c r="H503" i="8"/>
  <c r="E503" i="8"/>
  <c r="D503" i="8"/>
  <c r="C503" i="8"/>
  <c r="P502" i="8"/>
  <c r="J502" i="8"/>
  <c r="H502" i="8"/>
  <c r="E502" i="8"/>
  <c r="D502" i="8"/>
  <c r="C502" i="8"/>
  <c r="P501" i="8"/>
  <c r="J501" i="8"/>
  <c r="H501" i="8"/>
  <c r="E501" i="8"/>
  <c r="D501" i="8"/>
  <c r="C501" i="8"/>
  <c r="P500" i="8"/>
  <c r="J500" i="8"/>
  <c r="H500" i="8"/>
  <c r="E500" i="8"/>
  <c r="D500" i="8"/>
  <c r="C500" i="8"/>
  <c r="P499" i="8"/>
  <c r="J499" i="8"/>
  <c r="H499" i="8"/>
  <c r="E499" i="8"/>
  <c r="D499" i="8"/>
  <c r="C499" i="8"/>
  <c r="P498" i="8"/>
  <c r="N498" i="8"/>
  <c r="J498" i="8"/>
  <c r="H498" i="8"/>
  <c r="E498" i="8"/>
  <c r="D498" i="8"/>
  <c r="C498" i="8"/>
  <c r="P497" i="8"/>
  <c r="J497" i="8"/>
  <c r="H497" i="8"/>
  <c r="E497" i="8"/>
  <c r="D497" i="8"/>
  <c r="C497" i="8"/>
  <c r="P496" i="8"/>
  <c r="J496" i="8"/>
  <c r="H496" i="8"/>
  <c r="E496" i="8"/>
  <c r="D496" i="8"/>
  <c r="C496" i="8"/>
  <c r="P495" i="8"/>
  <c r="J495" i="8"/>
  <c r="H495" i="8"/>
  <c r="E495" i="8"/>
  <c r="D495" i="8"/>
  <c r="C495" i="8"/>
  <c r="P494" i="8"/>
  <c r="J494" i="8"/>
  <c r="H494" i="8"/>
  <c r="E494" i="8"/>
  <c r="D494" i="8"/>
  <c r="C494" i="8"/>
  <c r="P493" i="8"/>
  <c r="J493" i="8"/>
  <c r="H493" i="8"/>
  <c r="E493" i="8"/>
  <c r="D493" i="8"/>
  <c r="C493" i="8"/>
  <c r="P492" i="8"/>
  <c r="J492" i="8"/>
  <c r="H492" i="8"/>
  <c r="E492" i="8"/>
  <c r="D492" i="8"/>
  <c r="C492" i="8"/>
  <c r="P491" i="8"/>
  <c r="J491" i="8"/>
  <c r="H491" i="8"/>
  <c r="E491" i="8"/>
  <c r="D491" i="8"/>
  <c r="C491" i="8"/>
  <c r="P490" i="8"/>
  <c r="J490" i="8"/>
  <c r="H490" i="8"/>
  <c r="E490" i="8"/>
  <c r="D490" i="8"/>
  <c r="C490" i="8"/>
  <c r="P489" i="8"/>
  <c r="J489" i="8"/>
  <c r="H489" i="8"/>
  <c r="E489" i="8"/>
  <c r="D489" i="8"/>
  <c r="C489" i="8"/>
  <c r="P488" i="8"/>
  <c r="J488" i="8"/>
  <c r="H488" i="8"/>
  <c r="E488" i="8"/>
  <c r="D488" i="8"/>
  <c r="C488" i="8"/>
  <c r="P487" i="8"/>
  <c r="J487" i="8"/>
  <c r="H487" i="8"/>
  <c r="E487" i="8"/>
  <c r="D487" i="8"/>
  <c r="C487" i="8"/>
  <c r="P486" i="8"/>
  <c r="J486" i="8"/>
  <c r="H486" i="8"/>
  <c r="E486" i="8"/>
  <c r="D486" i="8"/>
  <c r="C486" i="8"/>
  <c r="P485" i="8"/>
  <c r="J485" i="8"/>
  <c r="H485" i="8"/>
  <c r="E485" i="8"/>
  <c r="D485" i="8"/>
  <c r="C485" i="8"/>
  <c r="P484" i="8"/>
  <c r="J484" i="8"/>
  <c r="H484" i="8"/>
  <c r="E484" i="8"/>
  <c r="D484" i="8"/>
  <c r="C484" i="8"/>
  <c r="P483" i="8"/>
  <c r="J483" i="8"/>
  <c r="H483" i="8"/>
  <c r="E483" i="8"/>
  <c r="D483" i="8"/>
  <c r="C483" i="8"/>
  <c r="P482" i="8"/>
  <c r="J482" i="8"/>
  <c r="H482" i="8"/>
  <c r="E482" i="8"/>
  <c r="D482" i="8"/>
  <c r="C482" i="8"/>
  <c r="P481" i="8"/>
  <c r="J481" i="8"/>
  <c r="H481" i="8"/>
  <c r="E481" i="8"/>
  <c r="D481" i="8"/>
  <c r="C481" i="8"/>
  <c r="P480" i="8"/>
  <c r="J480" i="8"/>
  <c r="H480" i="8"/>
  <c r="E480" i="8"/>
  <c r="D480" i="8"/>
  <c r="C480" i="8"/>
  <c r="P479" i="8"/>
  <c r="J479" i="8"/>
  <c r="H479" i="8"/>
  <c r="E479" i="8"/>
  <c r="D479" i="8"/>
  <c r="C479" i="8"/>
  <c r="P478" i="8"/>
  <c r="J478" i="8"/>
  <c r="H478" i="8"/>
  <c r="E478" i="8"/>
  <c r="D478" i="8"/>
  <c r="C478" i="8"/>
  <c r="P477" i="8"/>
  <c r="J477" i="8"/>
  <c r="H477" i="8"/>
  <c r="E477" i="8"/>
  <c r="D477" i="8"/>
  <c r="C477" i="8"/>
  <c r="P476" i="8"/>
  <c r="J476" i="8"/>
  <c r="H476" i="8"/>
  <c r="E476" i="8"/>
  <c r="D476" i="8"/>
  <c r="C476" i="8"/>
  <c r="P475" i="8"/>
  <c r="J475" i="8"/>
  <c r="H475" i="8"/>
  <c r="E475" i="8"/>
  <c r="D475" i="8"/>
  <c r="C475" i="8"/>
  <c r="P474" i="8"/>
  <c r="J474" i="8"/>
  <c r="H474" i="8"/>
  <c r="E474" i="8"/>
  <c r="D474" i="8"/>
  <c r="C474" i="8"/>
  <c r="P473" i="8"/>
  <c r="J473" i="8"/>
  <c r="H473" i="8"/>
  <c r="E473" i="8"/>
  <c r="D473" i="8"/>
  <c r="C473" i="8"/>
  <c r="P472" i="8"/>
  <c r="J472" i="8"/>
  <c r="H472" i="8"/>
  <c r="E472" i="8"/>
  <c r="D472" i="8"/>
  <c r="C472" i="8"/>
  <c r="P471" i="8"/>
  <c r="J471" i="8"/>
  <c r="H471" i="8"/>
  <c r="E471" i="8"/>
  <c r="D471" i="8"/>
  <c r="C471" i="8"/>
  <c r="P470" i="8"/>
  <c r="J470" i="8"/>
  <c r="H470" i="8"/>
  <c r="E470" i="8"/>
  <c r="D470" i="8"/>
  <c r="C470" i="8"/>
  <c r="P469" i="8"/>
  <c r="J469" i="8"/>
  <c r="H469" i="8"/>
  <c r="E469" i="8"/>
  <c r="D469" i="8"/>
  <c r="C469" i="8"/>
  <c r="P468" i="8"/>
  <c r="J468" i="8"/>
  <c r="H468" i="8"/>
  <c r="E468" i="8"/>
  <c r="D468" i="8"/>
  <c r="C468" i="8"/>
  <c r="P467" i="8"/>
  <c r="J467" i="8"/>
  <c r="H467" i="8"/>
  <c r="E467" i="8"/>
  <c r="D467" i="8"/>
  <c r="C467" i="8"/>
  <c r="P466" i="8"/>
  <c r="J466" i="8"/>
  <c r="H466" i="8"/>
  <c r="E466" i="8"/>
  <c r="D466" i="8"/>
  <c r="C466" i="8"/>
  <c r="P465" i="8"/>
  <c r="J465" i="8"/>
  <c r="H465" i="8"/>
  <c r="E465" i="8"/>
  <c r="D465" i="8"/>
  <c r="C465" i="8"/>
  <c r="P464" i="8"/>
  <c r="J464" i="8"/>
  <c r="H464" i="8"/>
  <c r="E464" i="8"/>
  <c r="D464" i="8"/>
  <c r="C464" i="8"/>
  <c r="P463" i="8"/>
  <c r="J463" i="8"/>
  <c r="H463" i="8"/>
  <c r="E463" i="8"/>
  <c r="D463" i="8"/>
  <c r="C463" i="8"/>
  <c r="P462" i="8"/>
  <c r="N462" i="8"/>
  <c r="R462" i="8" s="1"/>
  <c r="J462" i="8"/>
  <c r="H462" i="8"/>
  <c r="E462" i="8"/>
  <c r="D462" i="8"/>
  <c r="C462" i="8"/>
  <c r="P461" i="8"/>
  <c r="J461" i="8"/>
  <c r="H461" i="8"/>
  <c r="E461" i="8"/>
  <c r="D461" i="8"/>
  <c r="C461" i="8"/>
  <c r="P460" i="8"/>
  <c r="J460" i="8"/>
  <c r="H460" i="8"/>
  <c r="E460" i="8"/>
  <c r="D460" i="8"/>
  <c r="C460" i="8"/>
  <c r="P459" i="8"/>
  <c r="J459" i="8"/>
  <c r="H459" i="8"/>
  <c r="E459" i="8"/>
  <c r="D459" i="8"/>
  <c r="C459" i="8"/>
  <c r="P458" i="8"/>
  <c r="J458" i="8"/>
  <c r="H458" i="8"/>
  <c r="E458" i="8"/>
  <c r="D458" i="8"/>
  <c r="C458" i="8"/>
  <c r="P457" i="8"/>
  <c r="N457" i="8"/>
  <c r="R457" i="8" s="1"/>
  <c r="J457" i="8"/>
  <c r="H457" i="8"/>
  <c r="E457" i="8"/>
  <c r="D457" i="8"/>
  <c r="C457" i="8"/>
  <c r="P456" i="8"/>
  <c r="J456" i="8"/>
  <c r="H456" i="8"/>
  <c r="E456" i="8"/>
  <c r="D456" i="8"/>
  <c r="C456" i="8"/>
  <c r="P455" i="8"/>
  <c r="N455" i="8"/>
  <c r="J455" i="8"/>
  <c r="H455" i="8"/>
  <c r="E455" i="8"/>
  <c r="D455" i="8"/>
  <c r="C455" i="8"/>
  <c r="P454" i="8"/>
  <c r="J454" i="8"/>
  <c r="H454" i="8"/>
  <c r="E454" i="8"/>
  <c r="D454" i="8"/>
  <c r="C454" i="8"/>
  <c r="P453" i="8"/>
  <c r="J453" i="8"/>
  <c r="H453" i="8"/>
  <c r="E453" i="8"/>
  <c r="D453" i="8"/>
  <c r="C453" i="8"/>
  <c r="P452" i="8"/>
  <c r="N452" i="8"/>
  <c r="R452" i="8" s="1"/>
  <c r="J452" i="8"/>
  <c r="H452" i="8"/>
  <c r="E452" i="8"/>
  <c r="D452" i="8"/>
  <c r="C452" i="8"/>
  <c r="P451" i="8"/>
  <c r="J451" i="8"/>
  <c r="H451" i="8"/>
  <c r="E451" i="8"/>
  <c r="D451" i="8"/>
  <c r="C451" i="8"/>
  <c r="P450" i="8"/>
  <c r="J450" i="8"/>
  <c r="H450" i="8"/>
  <c r="E450" i="8"/>
  <c r="D450" i="8"/>
  <c r="C450" i="8"/>
  <c r="P449" i="8"/>
  <c r="J449" i="8"/>
  <c r="H449" i="8"/>
  <c r="E449" i="8"/>
  <c r="D449" i="8"/>
  <c r="C449" i="8"/>
  <c r="P448" i="8"/>
  <c r="J448" i="8"/>
  <c r="H448" i="8"/>
  <c r="E448" i="8"/>
  <c r="D448" i="8"/>
  <c r="C448" i="8"/>
  <c r="P447" i="8"/>
  <c r="J447" i="8"/>
  <c r="H447" i="8"/>
  <c r="E447" i="8"/>
  <c r="D447" i="8"/>
  <c r="C447" i="8"/>
  <c r="P446" i="8"/>
  <c r="J446" i="8"/>
  <c r="H446" i="8"/>
  <c r="E446" i="8"/>
  <c r="D446" i="8"/>
  <c r="C446" i="8"/>
  <c r="P445" i="8"/>
  <c r="J445" i="8"/>
  <c r="H445" i="8"/>
  <c r="E445" i="8"/>
  <c r="D445" i="8"/>
  <c r="C445" i="8"/>
  <c r="P444" i="8"/>
  <c r="J444" i="8"/>
  <c r="H444" i="8"/>
  <c r="E444" i="8"/>
  <c r="D444" i="8"/>
  <c r="C444" i="8"/>
  <c r="P443" i="8"/>
  <c r="J443" i="8"/>
  <c r="H443" i="8"/>
  <c r="E443" i="8"/>
  <c r="D443" i="8"/>
  <c r="C443" i="8"/>
  <c r="P442" i="8"/>
  <c r="J442" i="8"/>
  <c r="H442" i="8"/>
  <c r="E442" i="8"/>
  <c r="D442" i="8"/>
  <c r="C442" i="8"/>
  <c r="P441" i="8"/>
  <c r="J441" i="8"/>
  <c r="H441" i="8"/>
  <c r="E441" i="8"/>
  <c r="D441" i="8"/>
  <c r="C441" i="8"/>
  <c r="P440" i="8"/>
  <c r="J440" i="8"/>
  <c r="H440" i="8"/>
  <c r="E440" i="8"/>
  <c r="D440" i="8"/>
  <c r="C440" i="8"/>
  <c r="P439" i="8"/>
  <c r="J439" i="8"/>
  <c r="H439" i="8"/>
  <c r="E439" i="8"/>
  <c r="D439" i="8"/>
  <c r="C439" i="8"/>
  <c r="P438" i="8"/>
  <c r="J438" i="8"/>
  <c r="H438" i="8"/>
  <c r="E438" i="8"/>
  <c r="D438" i="8"/>
  <c r="C438" i="8"/>
  <c r="P437" i="8"/>
  <c r="J437" i="8"/>
  <c r="H437" i="8"/>
  <c r="E437" i="8"/>
  <c r="D437" i="8"/>
  <c r="C437" i="8"/>
  <c r="P436" i="8"/>
  <c r="J436" i="8"/>
  <c r="H436" i="8"/>
  <c r="E436" i="8"/>
  <c r="D436" i="8"/>
  <c r="C436" i="8"/>
  <c r="P435" i="8"/>
  <c r="J435" i="8"/>
  <c r="H435" i="8"/>
  <c r="E435" i="8"/>
  <c r="D435" i="8"/>
  <c r="C435" i="8"/>
  <c r="P434" i="8"/>
  <c r="N434" i="8"/>
  <c r="R434" i="8" s="1"/>
  <c r="J434" i="8"/>
  <c r="H434" i="8"/>
  <c r="E434" i="8"/>
  <c r="D434" i="8"/>
  <c r="C434" i="8"/>
  <c r="P433" i="8"/>
  <c r="J433" i="8"/>
  <c r="H433" i="8"/>
  <c r="E433" i="8"/>
  <c r="D433" i="8"/>
  <c r="C433" i="8"/>
  <c r="P432" i="8"/>
  <c r="J432" i="8"/>
  <c r="H432" i="8"/>
  <c r="E432" i="8"/>
  <c r="D432" i="8"/>
  <c r="C432" i="8"/>
  <c r="P431" i="8"/>
  <c r="J431" i="8"/>
  <c r="H431" i="8"/>
  <c r="E431" i="8"/>
  <c r="D431" i="8"/>
  <c r="C431" i="8"/>
  <c r="P430" i="8"/>
  <c r="J430" i="8"/>
  <c r="H430" i="8"/>
  <c r="E430" i="8"/>
  <c r="D430" i="8"/>
  <c r="C430" i="8"/>
  <c r="P429" i="8"/>
  <c r="J429" i="8"/>
  <c r="H429" i="8"/>
  <c r="E429" i="8"/>
  <c r="D429" i="8"/>
  <c r="C429" i="8"/>
  <c r="P428" i="8"/>
  <c r="J428" i="8"/>
  <c r="H428" i="8"/>
  <c r="E428" i="8"/>
  <c r="D428" i="8"/>
  <c r="C428" i="8"/>
  <c r="P427" i="8"/>
  <c r="J427" i="8"/>
  <c r="H427" i="8"/>
  <c r="E427" i="8"/>
  <c r="D427" i="8"/>
  <c r="C427" i="8"/>
  <c r="P426" i="8"/>
  <c r="J426" i="8"/>
  <c r="H426" i="8"/>
  <c r="F426" i="8"/>
  <c r="E426" i="8"/>
  <c r="D426" i="8"/>
  <c r="C426" i="8"/>
  <c r="P425" i="8"/>
  <c r="J425" i="8"/>
  <c r="H425" i="8"/>
  <c r="E425" i="8"/>
  <c r="D425" i="8"/>
  <c r="C425" i="8"/>
  <c r="P424" i="8"/>
  <c r="J424" i="8"/>
  <c r="H424" i="8"/>
  <c r="E424" i="8"/>
  <c r="D424" i="8"/>
  <c r="C424" i="8"/>
  <c r="P423" i="8"/>
  <c r="J423" i="8"/>
  <c r="H423" i="8"/>
  <c r="E423" i="8"/>
  <c r="D423" i="8"/>
  <c r="C423" i="8"/>
  <c r="P422" i="8"/>
  <c r="J422" i="8"/>
  <c r="H422" i="8"/>
  <c r="E422" i="8"/>
  <c r="D422" i="8"/>
  <c r="C422" i="8"/>
  <c r="P421" i="8"/>
  <c r="J421" i="8"/>
  <c r="H421" i="8"/>
  <c r="E421" i="8"/>
  <c r="D421" i="8"/>
  <c r="C421" i="8"/>
  <c r="P420" i="8"/>
  <c r="J420" i="8"/>
  <c r="H420" i="8"/>
  <c r="E420" i="8"/>
  <c r="D420" i="8"/>
  <c r="C420" i="8"/>
  <c r="P419" i="8"/>
  <c r="J419" i="8"/>
  <c r="H419" i="8"/>
  <c r="F419" i="8"/>
  <c r="E419" i="8"/>
  <c r="D419" i="8"/>
  <c r="C419" i="8"/>
  <c r="P418" i="8"/>
  <c r="J418" i="8"/>
  <c r="H418" i="8"/>
  <c r="F418" i="8"/>
  <c r="E418" i="8"/>
  <c r="D418" i="8"/>
  <c r="C418" i="8"/>
  <c r="P417" i="8"/>
  <c r="J417" i="8"/>
  <c r="H417" i="8"/>
  <c r="E417" i="8"/>
  <c r="D417" i="8"/>
  <c r="C417" i="8"/>
  <c r="P416" i="8"/>
  <c r="J416" i="8"/>
  <c r="H416" i="8"/>
  <c r="E416" i="8"/>
  <c r="D416" i="8"/>
  <c r="C416" i="8"/>
  <c r="P415" i="8"/>
  <c r="J415" i="8"/>
  <c r="H415" i="8"/>
  <c r="E415" i="8"/>
  <c r="D415" i="8"/>
  <c r="C415" i="8"/>
  <c r="P414" i="8"/>
  <c r="N414" i="8"/>
  <c r="R414" i="8" s="1"/>
  <c r="J414" i="8"/>
  <c r="H414" i="8"/>
  <c r="E414" i="8"/>
  <c r="D414" i="8"/>
  <c r="C414" i="8"/>
  <c r="P413" i="8"/>
  <c r="J413" i="8"/>
  <c r="H413" i="8"/>
  <c r="E413" i="8"/>
  <c r="D413" i="8"/>
  <c r="C413" i="8"/>
  <c r="P412" i="8"/>
  <c r="J412" i="8"/>
  <c r="H412" i="8"/>
  <c r="E412" i="8"/>
  <c r="D412" i="8"/>
  <c r="C412" i="8"/>
  <c r="P411" i="8"/>
  <c r="J411" i="8"/>
  <c r="H411" i="8"/>
  <c r="F411" i="8"/>
  <c r="E411" i="8"/>
  <c r="D411" i="8"/>
  <c r="C411" i="8"/>
  <c r="P410" i="8"/>
  <c r="J410" i="8"/>
  <c r="H410" i="8"/>
  <c r="E410" i="8"/>
  <c r="D410" i="8"/>
  <c r="C410" i="8"/>
  <c r="P409" i="8"/>
  <c r="J409" i="8"/>
  <c r="H409" i="8"/>
  <c r="E409" i="8"/>
  <c r="D409" i="8"/>
  <c r="C409" i="8"/>
  <c r="P408" i="8"/>
  <c r="J408" i="8"/>
  <c r="H408" i="8"/>
  <c r="E408" i="8"/>
  <c r="D408" i="8"/>
  <c r="C408" i="8"/>
  <c r="P407" i="8"/>
  <c r="J407" i="8"/>
  <c r="H407" i="8"/>
  <c r="E407" i="8"/>
  <c r="D407" i="8"/>
  <c r="C407" i="8"/>
  <c r="P406" i="8"/>
  <c r="J406" i="8"/>
  <c r="H406" i="8"/>
  <c r="E406" i="8"/>
  <c r="D406" i="8"/>
  <c r="C406" i="8"/>
  <c r="P405" i="8"/>
  <c r="J405" i="8"/>
  <c r="H405" i="8"/>
  <c r="E405" i="8"/>
  <c r="D405" i="8"/>
  <c r="C405" i="8"/>
  <c r="P404" i="8"/>
  <c r="J404" i="8"/>
  <c r="H404" i="8"/>
  <c r="E404" i="8"/>
  <c r="D404" i="8"/>
  <c r="C404" i="8"/>
  <c r="P403" i="8"/>
  <c r="J403" i="8"/>
  <c r="H403" i="8"/>
  <c r="E403" i="8"/>
  <c r="D403" i="8"/>
  <c r="C403" i="8"/>
  <c r="P402" i="8"/>
  <c r="J402" i="8"/>
  <c r="H402" i="8"/>
  <c r="E402" i="8"/>
  <c r="D402" i="8"/>
  <c r="C402" i="8"/>
  <c r="P401" i="8"/>
  <c r="J401" i="8"/>
  <c r="H401" i="8"/>
  <c r="E401" i="8"/>
  <c r="D401" i="8"/>
  <c r="C401" i="8"/>
  <c r="P400" i="8"/>
  <c r="J400" i="8"/>
  <c r="H400" i="8"/>
  <c r="E400" i="8"/>
  <c r="D400" i="8"/>
  <c r="C400" i="8"/>
  <c r="P399" i="8"/>
  <c r="J399" i="8"/>
  <c r="H399" i="8"/>
  <c r="E399" i="8"/>
  <c r="D399" i="8"/>
  <c r="C399" i="8"/>
  <c r="P398" i="8"/>
  <c r="N398" i="8"/>
  <c r="R398" i="8" s="1"/>
  <c r="J398" i="8"/>
  <c r="H398" i="8"/>
  <c r="E398" i="8"/>
  <c r="D398" i="8"/>
  <c r="C398" i="8"/>
  <c r="P397" i="8"/>
  <c r="J397" i="8"/>
  <c r="H397" i="8"/>
  <c r="E397" i="8"/>
  <c r="D397" i="8"/>
  <c r="C397" i="8"/>
  <c r="P396" i="8"/>
  <c r="J396" i="8"/>
  <c r="H396" i="8"/>
  <c r="E396" i="8"/>
  <c r="D396" i="8"/>
  <c r="C396" i="8"/>
  <c r="P395" i="8"/>
  <c r="J395" i="8"/>
  <c r="H395" i="8"/>
  <c r="E395" i="8"/>
  <c r="D395" i="8"/>
  <c r="C395" i="8"/>
  <c r="P394" i="8"/>
  <c r="J394" i="8"/>
  <c r="H394" i="8"/>
  <c r="F394" i="8"/>
  <c r="E394" i="8"/>
  <c r="D394" i="8"/>
  <c r="C394" i="8"/>
  <c r="P393" i="8"/>
  <c r="J393" i="8"/>
  <c r="H393" i="8"/>
  <c r="E393" i="8"/>
  <c r="D393" i="8"/>
  <c r="C393" i="8"/>
  <c r="P392" i="8"/>
  <c r="J392" i="8"/>
  <c r="H392" i="8"/>
  <c r="E392" i="8"/>
  <c r="D392" i="8"/>
  <c r="C392" i="8"/>
  <c r="P391" i="8"/>
  <c r="J391" i="8"/>
  <c r="H391" i="8"/>
  <c r="E391" i="8"/>
  <c r="D391" i="8"/>
  <c r="C391" i="8"/>
  <c r="P390" i="8"/>
  <c r="J390" i="8"/>
  <c r="H390" i="8"/>
  <c r="E390" i="8"/>
  <c r="D390" i="8"/>
  <c r="C390" i="8"/>
  <c r="P389" i="8"/>
  <c r="J389" i="8"/>
  <c r="H389" i="8"/>
  <c r="E389" i="8"/>
  <c r="D389" i="8"/>
  <c r="C389" i="8"/>
  <c r="P388" i="8"/>
  <c r="J388" i="8"/>
  <c r="H388" i="8"/>
  <c r="E388" i="8"/>
  <c r="D388" i="8"/>
  <c r="C388" i="8"/>
  <c r="P387" i="8"/>
  <c r="J387" i="8"/>
  <c r="H387" i="8"/>
  <c r="E387" i="8"/>
  <c r="D387" i="8"/>
  <c r="C387" i="8"/>
  <c r="P386" i="8"/>
  <c r="J386" i="8"/>
  <c r="H386" i="8"/>
  <c r="E386" i="8"/>
  <c r="D386" i="8"/>
  <c r="C386" i="8"/>
  <c r="P385" i="8"/>
  <c r="J385" i="8"/>
  <c r="H385" i="8"/>
  <c r="E385" i="8"/>
  <c r="D385" i="8"/>
  <c r="C385" i="8"/>
  <c r="P384" i="8"/>
  <c r="J384" i="8"/>
  <c r="H384" i="8"/>
  <c r="F384" i="8"/>
  <c r="E384" i="8"/>
  <c r="D384" i="8"/>
  <c r="C384" i="8"/>
  <c r="P383" i="8"/>
  <c r="J383" i="8"/>
  <c r="H383" i="8"/>
  <c r="E383" i="8"/>
  <c r="D383" i="8"/>
  <c r="C383" i="8"/>
  <c r="P382" i="8"/>
  <c r="J382" i="8"/>
  <c r="H382" i="8"/>
  <c r="E382" i="8"/>
  <c r="D382" i="8"/>
  <c r="C382" i="8"/>
  <c r="P381" i="8"/>
  <c r="J381" i="8"/>
  <c r="H381" i="8"/>
  <c r="E381" i="8"/>
  <c r="D381" i="8"/>
  <c r="C381" i="8"/>
  <c r="P380" i="8"/>
  <c r="J380" i="8"/>
  <c r="H380" i="8"/>
  <c r="E380" i="8"/>
  <c r="D380" i="8"/>
  <c r="C380" i="8"/>
  <c r="P379" i="8"/>
  <c r="J379" i="8"/>
  <c r="H379" i="8"/>
  <c r="E379" i="8"/>
  <c r="D379" i="8"/>
  <c r="C379" i="8"/>
  <c r="P378" i="8"/>
  <c r="J378" i="8"/>
  <c r="H378" i="8"/>
  <c r="E378" i="8"/>
  <c r="D378" i="8"/>
  <c r="C378" i="8"/>
  <c r="P377" i="8"/>
  <c r="J377" i="8"/>
  <c r="H377" i="8"/>
  <c r="E377" i="8"/>
  <c r="D377" i="8"/>
  <c r="C377" i="8"/>
  <c r="P376" i="8"/>
  <c r="J376" i="8"/>
  <c r="H376" i="8"/>
  <c r="E376" i="8"/>
  <c r="D376" i="8"/>
  <c r="C376" i="8"/>
  <c r="P375" i="8"/>
  <c r="J375" i="8"/>
  <c r="H375" i="8"/>
  <c r="E375" i="8"/>
  <c r="D375" i="8"/>
  <c r="C375" i="8"/>
  <c r="P374" i="8"/>
  <c r="J374" i="8"/>
  <c r="H374" i="8"/>
  <c r="E374" i="8"/>
  <c r="D374" i="8"/>
  <c r="C374" i="8"/>
  <c r="P373" i="8"/>
  <c r="J373" i="8"/>
  <c r="H373" i="8"/>
  <c r="E373" i="8"/>
  <c r="D373" i="8"/>
  <c r="C373" i="8"/>
  <c r="P372" i="8"/>
  <c r="J372" i="8"/>
  <c r="H372" i="8"/>
  <c r="E372" i="8"/>
  <c r="D372" i="8"/>
  <c r="C372" i="8"/>
  <c r="P371" i="8"/>
  <c r="J371" i="8"/>
  <c r="H371" i="8"/>
  <c r="E371" i="8"/>
  <c r="D371" i="8"/>
  <c r="C371" i="8"/>
  <c r="P370" i="8"/>
  <c r="J370" i="8"/>
  <c r="H370" i="8"/>
  <c r="E370" i="8"/>
  <c r="D370" i="8"/>
  <c r="C370" i="8"/>
  <c r="P369" i="8"/>
  <c r="J369" i="8"/>
  <c r="H369" i="8"/>
  <c r="E369" i="8"/>
  <c r="D369" i="8"/>
  <c r="C369" i="8"/>
  <c r="P368" i="8"/>
  <c r="J368" i="8"/>
  <c r="H368" i="8"/>
  <c r="E368" i="8"/>
  <c r="D368" i="8"/>
  <c r="C368" i="8"/>
  <c r="P367" i="8"/>
  <c r="J367" i="8"/>
  <c r="H367" i="8"/>
  <c r="E367" i="8"/>
  <c r="D367" i="8"/>
  <c r="C367" i="8"/>
  <c r="P366" i="8"/>
  <c r="J366" i="8"/>
  <c r="H366" i="8"/>
  <c r="E366" i="8"/>
  <c r="D366" i="8"/>
  <c r="C366" i="8"/>
  <c r="P365" i="8"/>
  <c r="J365" i="8"/>
  <c r="H365" i="8"/>
  <c r="E365" i="8"/>
  <c r="D365" i="8"/>
  <c r="C365" i="8"/>
  <c r="P364" i="8"/>
  <c r="J364" i="8"/>
  <c r="H364" i="8"/>
  <c r="E364" i="8"/>
  <c r="D364" i="8"/>
  <c r="C364" i="8"/>
  <c r="P363" i="8"/>
  <c r="J363" i="8"/>
  <c r="H363" i="8"/>
  <c r="E363" i="8"/>
  <c r="D363" i="8"/>
  <c r="C363" i="8"/>
  <c r="P362" i="8"/>
  <c r="J362" i="8"/>
  <c r="H362" i="8"/>
  <c r="E362" i="8"/>
  <c r="D362" i="8"/>
  <c r="C362" i="8"/>
  <c r="P361" i="8"/>
  <c r="J361" i="8"/>
  <c r="H361" i="8"/>
  <c r="E361" i="8"/>
  <c r="D361" i="8"/>
  <c r="C361" i="8"/>
  <c r="P360" i="8"/>
  <c r="J360" i="8"/>
  <c r="H360" i="8"/>
  <c r="E360" i="8"/>
  <c r="D360" i="8"/>
  <c r="C360" i="8"/>
  <c r="P359" i="8"/>
  <c r="J359" i="8"/>
  <c r="H359" i="8"/>
  <c r="E359" i="8"/>
  <c r="D359" i="8"/>
  <c r="C359" i="8"/>
  <c r="P358" i="8"/>
  <c r="J358" i="8"/>
  <c r="H358" i="8"/>
  <c r="E358" i="8"/>
  <c r="D358" i="8"/>
  <c r="C358" i="8"/>
  <c r="P357" i="8"/>
  <c r="J357" i="8"/>
  <c r="H357" i="8"/>
  <c r="E357" i="8"/>
  <c r="D357" i="8"/>
  <c r="C357" i="8"/>
  <c r="P356" i="8"/>
  <c r="J356" i="8"/>
  <c r="H356" i="8"/>
  <c r="E356" i="8"/>
  <c r="D356" i="8"/>
  <c r="C356" i="8"/>
  <c r="P355" i="8"/>
  <c r="J355" i="8"/>
  <c r="H355" i="8"/>
  <c r="E355" i="8"/>
  <c r="D355" i="8"/>
  <c r="C355" i="8"/>
  <c r="P354" i="8"/>
  <c r="J354" i="8"/>
  <c r="H354" i="8"/>
  <c r="E354" i="8"/>
  <c r="D354" i="8"/>
  <c r="C354" i="8"/>
  <c r="P353" i="8"/>
  <c r="J353" i="8"/>
  <c r="H353" i="8"/>
  <c r="E353" i="8"/>
  <c r="D353" i="8"/>
  <c r="C353" i="8"/>
  <c r="P352" i="8"/>
  <c r="J352" i="8"/>
  <c r="H352" i="8"/>
  <c r="F352" i="8"/>
  <c r="E352" i="8"/>
  <c r="D352" i="8"/>
  <c r="C352" i="8"/>
  <c r="P351" i="8"/>
  <c r="J351" i="8"/>
  <c r="H351" i="8"/>
  <c r="E351" i="8"/>
  <c r="D351" i="8"/>
  <c r="C351" i="8"/>
  <c r="P350" i="8"/>
  <c r="N350" i="8"/>
  <c r="R350" i="8" s="1"/>
  <c r="J350" i="8"/>
  <c r="H350" i="8"/>
  <c r="E350" i="8"/>
  <c r="D350" i="8"/>
  <c r="C350" i="8"/>
  <c r="P349" i="8"/>
  <c r="J349" i="8"/>
  <c r="H349" i="8"/>
  <c r="E349" i="8"/>
  <c r="D349" i="8"/>
  <c r="C349" i="8"/>
  <c r="P348" i="8"/>
  <c r="J348" i="8"/>
  <c r="H348" i="8"/>
  <c r="E348" i="8"/>
  <c r="D348" i="8"/>
  <c r="C348" i="8"/>
  <c r="P347" i="8"/>
  <c r="J347" i="8"/>
  <c r="H347" i="8"/>
  <c r="E347" i="8"/>
  <c r="D347" i="8"/>
  <c r="C347" i="8"/>
  <c r="P346" i="8"/>
  <c r="J346" i="8"/>
  <c r="H346" i="8"/>
  <c r="E346" i="8"/>
  <c r="D346" i="8"/>
  <c r="C346" i="8"/>
  <c r="P345" i="8"/>
  <c r="J345" i="8"/>
  <c r="H345" i="8"/>
  <c r="E345" i="8"/>
  <c r="D345" i="8"/>
  <c r="C345" i="8"/>
  <c r="P344" i="8"/>
  <c r="J344" i="8"/>
  <c r="H344" i="8"/>
  <c r="E344" i="8"/>
  <c r="D344" i="8"/>
  <c r="C344" i="8"/>
  <c r="P343" i="8"/>
  <c r="J343" i="8"/>
  <c r="H343" i="8"/>
  <c r="E343" i="8"/>
  <c r="D343" i="8"/>
  <c r="C343" i="8"/>
  <c r="P342" i="8"/>
  <c r="J342" i="8"/>
  <c r="H342" i="8"/>
  <c r="E342" i="8"/>
  <c r="D342" i="8"/>
  <c r="C342" i="8"/>
  <c r="P341" i="8"/>
  <c r="J341" i="8"/>
  <c r="H341" i="8"/>
  <c r="E341" i="8"/>
  <c r="D341" i="8"/>
  <c r="C341" i="8"/>
  <c r="P340" i="8"/>
  <c r="J340" i="8"/>
  <c r="H340" i="8"/>
  <c r="E340" i="8"/>
  <c r="D340" i="8"/>
  <c r="C340" i="8"/>
  <c r="P339" i="8"/>
  <c r="J339" i="8"/>
  <c r="H339" i="8"/>
  <c r="E339" i="8"/>
  <c r="D339" i="8"/>
  <c r="C339" i="8"/>
  <c r="P338" i="8"/>
  <c r="J338" i="8"/>
  <c r="H338" i="8"/>
  <c r="E338" i="8"/>
  <c r="D338" i="8"/>
  <c r="C338" i="8"/>
  <c r="P337" i="8"/>
  <c r="J337" i="8"/>
  <c r="H337" i="8"/>
  <c r="E337" i="8"/>
  <c r="D337" i="8"/>
  <c r="C337" i="8"/>
  <c r="P336" i="8"/>
  <c r="J336" i="8"/>
  <c r="H336" i="8"/>
  <c r="E336" i="8"/>
  <c r="D336" i="8"/>
  <c r="C336" i="8"/>
  <c r="P335" i="8"/>
  <c r="J335" i="8"/>
  <c r="H335" i="8"/>
  <c r="E335" i="8"/>
  <c r="D335" i="8"/>
  <c r="C335" i="8"/>
  <c r="P334" i="8"/>
  <c r="J334" i="8"/>
  <c r="H334" i="8"/>
  <c r="E334" i="8"/>
  <c r="D334" i="8"/>
  <c r="C334" i="8"/>
  <c r="P333" i="8"/>
  <c r="J333" i="8"/>
  <c r="H333" i="8"/>
  <c r="E333" i="8"/>
  <c r="D333" i="8"/>
  <c r="C333" i="8"/>
  <c r="P332" i="8"/>
  <c r="J332" i="8"/>
  <c r="H332" i="8"/>
  <c r="E332" i="8"/>
  <c r="D332" i="8"/>
  <c r="C332" i="8"/>
  <c r="P331" i="8"/>
  <c r="J331" i="8"/>
  <c r="H331" i="8"/>
  <c r="E331" i="8"/>
  <c r="D331" i="8"/>
  <c r="C331" i="8"/>
  <c r="P330" i="8"/>
  <c r="J330" i="8"/>
  <c r="H330" i="8"/>
  <c r="E330" i="8"/>
  <c r="D330" i="8"/>
  <c r="C330" i="8"/>
  <c r="P329" i="8"/>
  <c r="J329" i="8"/>
  <c r="H329" i="8"/>
  <c r="E329" i="8"/>
  <c r="D329" i="8"/>
  <c r="C329" i="8"/>
  <c r="P328" i="8"/>
  <c r="J328" i="8"/>
  <c r="H328" i="8"/>
  <c r="E328" i="8"/>
  <c r="D328" i="8"/>
  <c r="C328" i="8"/>
  <c r="P327" i="8"/>
  <c r="J327" i="8"/>
  <c r="H327" i="8"/>
  <c r="F327" i="8"/>
  <c r="E327" i="8"/>
  <c r="D327" i="8"/>
  <c r="C327" i="8"/>
  <c r="P326" i="8"/>
  <c r="J326" i="8"/>
  <c r="H326" i="8"/>
  <c r="E326" i="8"/>
  <c r="D326" i="8"/>
  <c r="C326" i="8"/>
  <c r="P325" i="8"/>
  <c r="J325" i="8"/>
  <c r="H325" i="8"/>
  <c r="E325" i="8"/>
  <c r="D325" i="8"/>
  <c r="C325" i="8"/>
  <c r="P324" i="8"/>
  <c r="J324" i="8"/>
  <c r="H324" i="8"/>
  <c r="E324" i="8"/>
  <c r="D324" i="8"/>
  <c r="C324" i="8"/>
  <c r="P323" i="8"/>
  <c r="J323" i="8"/>
  <c r="H323" i="8"/>
  <c r="E323" i="8"/>
  <c r="D323" i="8"/>
  <c r="C323" i="8"/>
  <c r="P322" i="8"/>
  <c r="J322" i="8"/>
  <c r="H322" i="8"/>
  <c r="E322" i="8"/>
  <c r="D322" i="8"/>
  <c r="C322" i="8"/>
  <c r="P321" i="8"/>
  <c r="J321" i="8"/>
  <c r="H321" i="8"/>
  <c r="E321" i="8"/>
  <c r="D321" i="8"/>
  <c r="C321" i="8"/>
  <c r="P320" i="8"/>
  <c r="J320" i="8"/>
  <c r="H320" i="8"/>
  <c r="E320" i="8"/>
  <c r="D320" i="8"/>
  <c r="C320" i="8"/>
  <c r="P319" i="8"/>
  <c r="J319" i="8"/>
  <c r="H319" i="8"/>
  <c r="E319" i="8"/>
  <c r="D319" i="8"/>
  <c r="C319" i="8"/>
  <c r="P318" i="8"/>
  <c r="J318" i="8"/>
  <c r="H318" i="8"/>
  <c r="E318" i="8"/>
  <c r="D318" i="8"/>
  <c r="C318" i="8"/>
  <c r="P317" i="8"/>
  <c r="J317" i="8"/>
  <c r="H317" i="8"/>
  <c r="E317" i="8"/>
  <c r="D317" i="8"/>
  <c r="C317" i="8"/>
  <c r="P316" i="8"/>
  <c r="J316" i="8"/>
  <c r="H316" i="8"/>
  <c r="E316" i="8"/>
  <c r="D316" i="8"/>
  <c r="C316" i="8"/>
  <c r="P315" i="8"/>
  <c r="J315" i="8"/>
  <c r="H315" i="8"/>
  <c r="E315" i="8"/>
  <c r="D315" i="8"/>
  <c r="C315" i="8"/>
  <c r="P314" i="8"/>
  <c r="J314" i="8"/>
  <c r="H314" i="8"/>
  <c r="E314" i="8"/>
  <c r="D314" i="8"/>
  <c r="C314" i="8"/>
  <c r="P313" i="8"/>
  <c r="J313" i="8"/>
  <c r="H313" i="8"/>
  <c r="E313" i="8"/>
  <c r="D313" i="8"/>
  <c r="C313" i="8"/>
  <c r="P312" i="8"/>
  <c r="J312" i="8"/>
  <c r="H312" i="8"/>
  <c r="E312" i="8"/>
  <c r="D312" i="8"/>
  <c r="C312" i="8"/>
  <c r="P311" i="8"/>
  <c r="J311" i="8"/>
  <c r="H311" i="8"/>
  <c r="E311" i="8"/>
  <c r="D311" i="8"/>
  <c r="C311" i="8"/>
  <c r="P310" i="8"/>
  <c r="J310" i="8"/>
  <c r="H310" i="8"/>
  <c r="E310" i="8"/>
  <c r="D310" i="8"/>
  <c r="C310" i="8"/>
  <c r="P309" i="8"/>
  <c r="J309" i="8"/>
  <c r="H309" i="8"/>
  <c r="E309" i="8"/>
  <c r="D309" i="8"/>
  <c r="C309" i="8"/>
  <c r="P308" i="8"/>
  <c r="J308" i="8"/>
  <c r="H308" i="8"/>
  <c r="E308" i="8"/>
  <c r="D308" i="8"/>
  <c r="C308" i="8"/>
  <c r="P307" i="8"/>
  <c r="J307" i="8"/>
  <c r="H307" i="8"/>
  <c r="E307" i="8"/>
  <c r="D307" i="8"/>
  <c r="C307" i="8"/>
  <c r="P306" i="8"/>
  <c r="J306" i="8"/>
  <c r="H306" i="8"/>
  <c r="E306" i="8"/>
  <c r="D306" i="8"/>
  <c r="C306" i="8"/>
  <c r="P305" i="8"/>
  <c r="J305" i="8"/>
  <c r="H305" i="8"/>
  <c r="E305" i="8"/>
  <c r="D305" i="8"/>
  <c r="C305" i="8"/>
  <c r="P304" i="8"/>
  <c r="J304" i="8"/>
  <c r="H304" i="8"/>
  <c r="E304" i="8"/>
  <c r="D304" i="8"/>
  <c r="C304" i="8"/>
  <c r="P303" i="8"/>
  <c r="J303" i="8"/>
  <c r="H303" i="8"/>
  <c r="E303" i="8"/>
  <c r="D303" i="8"/>
  <c r="C303" i="8"/>
  <c r="P302" i="8"/>
  <c r="J302" i="8"/>
  <c r="H302" i="8"/>
  <c r="E302" i="8"/>
  <c r="D302" i="8"/>
  <c r="C302" i="8"/>
  <c r="P301" i="8"/>
  <c r="J301" i="8"/>
  <c r="H301" i="8"/>
  <c r="F301" i="8"/>
  <c r="E301" i="8"/>
  <c r="D301" i="8"/>
  <c r="C301" i="8"/>
  <c r="P300" i="8"/>
  <c r="J300" i="8"/>
  <c r="H300" i="8"/>
  <c r="E300" i="8"/>
  <c r="D300" i="8"/>
  <c r="C300" i="8"/>
  <c r="P299" i="8"/>
  <c r="J299" i="8"/>
  <c r="H299" i="8"/>
  <c r="F299" i="8"/>
  <c r="E299" i="8"/>
  <c r="D299" i="8"/>
  <c r="C299" i="8"/>
  <c r="P298" i="8"/>
  <c r="J298" i="8"/>
  <c r="H298" i="8"/>
  <c r="E298" i="8"/>
  <c r="D298" i="8"/>
  <c r="C298" i="8"/>
  <c r="P297" i="8"/>
  <c r="J297" i="8"/>
  <c r="H297" i="8"/>
  <c r="E297" i="8"/>
  <c r="D297" i="8"/>
  <c r="C297" i="8"/>
  <c r="P296" i="8"/>
  <c r="J296" i="8"/>
  <c r="H296" i="8"/>
  <c r="E296" i="8"/>
  <c r="D296" i="8"/>
  <c r="C296" i="8"/>
  <c r="P295" i="8"/>
  <c r="J295" i="8"/>
  <c r="H295" i="8"/>
  <c r="E295" i="8"/>
  <c r="D295" i="8"/>
  <c r="C295" i="8"/>
  <c r="P294" i="8"/>
  <c r="J294" i="8"/>
  <c r="H294" i="8"/>
  <c r="E294" i="8"/>
  <c r="D294" i="8"/>
  <c r="C294" i="8"/>
  <c r="P293" i="8"/>
  <c r="J293" i="8"/>
  <c r="H293" i="8"/>
  <c r="E293" i="8"/>
  <c r="D293" i="8"/>
  <c r="C293" i="8"/>
  <c r="P292" i="8"/>
  <c r="J292" i="8"/>
  <c r="H292" i="8"/>
  <c r="E292" i="8"/>
  <c r="D292" i="8"/>
  <c r="C292" i="8"/>
  <c r="P291" i="8"/>
  <c r="J291" i="8"/>
  <c r="H291" i="8"/>
  <c r="E291" i="8"/>
  <c r="D291" i="8"/>
  <c r="C291" i="8"/>
  <c r="P290" i="8"/>
  <c r="N290" i="8"/>
  <c r="R290" i="8" s="1"/>
  <c r="J290" i="8"/>
  <c r="H290" i="8"/>
  <c r="E290" i="8"/>
  <c r="D290" i="8"/>
  <c r="C290" i="8"/>
  <c r="P289" i="8"/>
  <c r="J289" i="8"/>
  <c r="H289" i="8"/>
  <c r="E289" i="8"/>
  <c r="D289" i="8"/>
  <c r="C289" i="8"/>
  <c r="P288" i="8"/>
  <c r="J288" i="8"/>
  <c r="H288" i="8"/>
  <c r="E288" i="8"/>
  <c r="D288" i="8"/>
  <c r="C288" i="8"/>
  <c r="P287" i="8"/>
  <c r="J287" i="8"/>
  <c r="H287" i="8"/>
  <c r="E287" i="8"/>
  <c r="D287" i="8"/>
  <c r="C287" i="8"/>
  <c r="P286" i="8"/>
  <c r="J286" i="8"/>
  <c r="H286" i="8"/>
  <c r="E286" i="8"/>
  <c r="D286" i="8"/>
  <c r="C286" i="8"/>
  <c r="P285" i="8"/>
  <c r="J285" i="8"/>
  <c r="H285" i="8"/>
  <c r="E285" i="8"/>
  <c r="D285" i="8"/>
  <c r="C285" i="8"/>
  <c r="P284" i="8"/>
  <c r="J284" i="8"/>
  <c r="H284" i="8"/>
  <c r="E284" i="8"/>
  <c r="D284" i="8"/>
  <c r="C284" i="8"/>
  <c r="P283" i="8"/>
  <c r="N283" i="8"/>
  <c r="R283" i="8" s="1"/>
  <c r="J283" i="8"/>
  <c r="H283" i="8"/>
  <c r="E283" i="8"/>
  <c r="D283" i="8"/>
  <c r="C283" i="8"/>
  <c r="P282" i="8"/>
  <c r="J282" i="8"/>
  <c r="H282" i="8"/>
  <c r="F282" i="8"/>
  <c r="E282" i="8"/>
  <c r="D282" i="8"/>
  <c r="C282" i="8"/>
  <c r="P281" i="8"/>
  <c r="J281" i="8"/>
  <c r="H281" i="8"/>
  <c r="E281" i="8"/>
  <c r="D281" i="8"/>
  <c r="C281" i="8"/>
  <c r="P280" i="8"/>
  <c r="J280" i="8"/>
  <c r="H280" i="8"/>
  <c r="E280" i="8"/>
  <c r="D280" i="8"/>
  <c r="C280" i="8"/>
  <c r="P279" i="8"/>
  <c r="J279" i="8"/>
  <c r="H279" i="8"/>
  <c r="E279" i="8"/>
  <c r="D279" i="8"/>
  <c r="C279" i="8"/>
  <c r="P278" i="8"/>
  <c r="J278" i="8"/>
  <c r="H278" i="8"/>
  <c r="E278" i="8"/>
  <c r="D278" i="8"/>
  <c r="C278" i="8"/>
  <c r="P277" i="8"/>
  <c r="J277" i="8"/>
  <c r="H277" i="8"/>
  <c r="F277" i="8"/>
  <c r="E277" i="8"/>
  <c r="D277" i="8"/>
  <c r="C277" i="8"/>
  <c r="P276" i="8"/>
  <c r="J276" i="8"/>
  <c r="H276" i="8"/>
  <c r="E276" i="8"/>
  <c r="D276" i="8"/>
  <c r="C276" i="8"/>
  <c r="P275" i="8"/>
  <c r="J275" i="8"/>
  <c r="H275" i="8"/>
  <c r="E275" i="8"/>
  <c r="D275" i="8"/>
  <c r="C275" i="8"/>
  <c r="P274" i="8"/>
  <c r="J274" i="8"/>
  <c r="H274" i="8"/>
  <c r="E274" i="8"/>
  <c r="D274" i="8"/>
  <c r="C274" i="8"/>
  <c r="P273" i="8"/>
  <c r="J273" i="8"/>
  <c r="H273" i="8"/>
  <c r="E273" i="8"/>
  <c r="D273" i="8"/>
  <c r="C273" i="8"/>
  <c r="P272" i="8"/>
  <c r="J272" i="8"/>
  <c r="H272" i="8"/>
  <c r="E272" i="8"/>
  <c r="D272" i="8"/>
  <c r="C272" i="8"/>
  <c r="P271" i="8"/>
  <c r="J271" i="8"/>
  <c r="H271" i="8"/>
  <c r="E271" i="8"/>
  <c r="D271" i="8"/>
  <c r="C271" i="8"/>
  <c r="P270" i="8"/>
  <c r="N270" i="8"/>
  <c r="R270" i="8" s="1"/>
  <c r="J270" i="8"/>
  <c r="H270" i="8"/>
  <c r="E270" i="8"/>
  <c r="D270" i="8"/>
  <c r="C270" i="8"/>
  <c r="P269" i="8"/>
  <c r="J269" i="8"/>
  <c r="H269" i="8"/>
  <c r="E269" i="8"/>
  <c r="D269" i="8"/>
  <c r="C269" i="8"/>
  <c r="P268" i="8"/>
  <c r="J268" i="8"/>
  <c r="H268" i="8"/>
  <c r="E268" i="8"/>
  <c r="D268" i="8"/>
  <c r="C268" i="8"/>
  <c r="P267" i="8"/>
  <c r="J267" i="8"/>
  <c r="H267" i="8"/>
  <c r="E267" i="8"/>
  <c r="D267" i="8"/>
  <c r="C267" i="8"/>
  <c r="P266" i="8"/>
  <c r="J266" i="8"/>
  <c r="H266" i="8"/>
  <c r="E266" i="8"/>
  <c r="D266" i="8"/>
  <c r="C266" i="8"/>
  <c r="P265" i="8"/>
  <c r="J265" i="8"/>
  <c r="H265" i="8"/>
  <c r="E265" i="8"/>
  <c r="D265" i="8"/>
  <c r="C265" i="8"/>
  <c r="P264" i="8"/>
  <c r="J264" i="8"/>
  <c r="H264" i="8"/>
  <c r="E264" i="8"/>
  <c r="D264" i="8"/>
  <c r="C264" i="8"/>
  <c r="P263" i="8"/>
  <c r="J263" i="8"/>
  <c r="H263" i="8"/>
  <c r="E263" i="8"/>
  <c r="D263" i="8"/>
  <c r="C263" i="8"/>
  <c r="P262" i="8"/>
  <c r="J262" i="8"/>
  <c r="H262" i="8"/>
  <c r="E262" i="8"/>
  <c r="D262" i="8"/>
  <c r="C262" i="8"/>
  <c r="P261" i="8"/>
  <c r="J261" i="8"/>
  <c r="H261" i="8"/>
  <c r="E261" i="8"/>
  <c r="D261" i="8"/>
  <c r="C261" i="8"/>
  <c r="P260" i="8"/>
  <c r="J260" i="8"/>
  <c r="H260" i="8"/>
  <c r="E260" i="8"/>
  <c r="D260" i="8"/>
  <c r="C260" i="8"/>
  <c r="P259" i="8"/>
  <c r="J259" i="8"/>
  <c r="H259" i="8"/>
  <c r="E259" i="8"/>
  <c r="D259" i="8"/>
  <c r="C259" i="8"/>
  <c r="P258" i="8"/>
  <c r="J258" i="8"/>
  <c r="H258" i="8"/>
  <c r="E258" i="8"/>
  <c r="D258" i="8"/>
  <c r="C258" i="8"/>
  <c r="P257" i="8"/>
  <c r="J257" i="8"/>
  <c r="H257" i="8"/>
  <c r="E257" i="8"/>
  <c r="D257" i="8"/>
  <c r="C257" i="8"/>
  <c r="P256" i="8"/>
  <c r="J256" i="8"/>
  <c r="H256" i="8"/>
  <c r="E256" i="8"/>
  <c r="D256" i="8"/>
  <c r="C256" i="8"/>
  <c r="P255" i="8"/>
  <c r="J255" i="8"/>
  <c r="H255" i="8"/>
  <c r="E255" i="8"/>
  <c r="D255" i="8"/>
  <c r="C255" i="8"/>
  <c r="P254" i="8"/>
  <c r="J254" i="8"/>
  <c r="H254" i="8"/>
  <c r="E254" i="8"/>
  <c r="D254" i="8"/>
  <c r="C254" i="8"/>
  <c r="P253" i="8"/>
  <c r="J253" i="8"/>
  <c r="H253" i="8"/>
  <c r="E253" i="8"/>
  <c r="D253" i="8"/>
  <c r="C253" i="8"/>
  <c r="P252" i="8"/>
  <c r="J252" i="8"/>
  <c r="H252" i="8"/>
  <c r="E252" i="8"/>
  <c r="D252" i="8"/>
  <c r="C252" i="8"/>
  <c r="P251" i="8"/>
  <c r="J251" i="8"/>
  <c r="H251" i="8"/>
  <c r="E251" i="8"/>
  <c r="D251" i="8"/>
  <c r="C251" i="8"/>
  <c r="P250" i="8"/>
  <c r="J250" i="8"/>
  <c r="H250" i="8"/>
  <c r="E250" i="8"/>
  <c r="D250" i="8"/>
  <c r="C250" i="8"/>
  <c r="P249" i="8"/>
  <c r="J249" i="8"/>
  <c r="H249" i="8"/>
  <c r="E249" i="8"/>
  <c r="D249" i="8"/>
  <c r="C249" i="8"/>
  <c r="P248" i="8"/>
  <c r="J248" i="8"/>
  <c r="H248" i="8"/>
  <c r="F248" i="8"/>
  <c r="E248" i="8"/>
  <c r="D248" i="8"/>
  <c r="C248" i="8"/>
  <c r="P247" i="8"/>
  <c r="N247" i="8"/>
  <c r="R247" i="8" s="1"/>
  <c r="J247" i="8"/>
  <c r="H247" i="8"/>
  <c r="E247" i="8"/>
  <c r="D247" i="8"/>
  <c r="C247" i="8"/>
  <c r="P246" i="8"/>
  <c r="J246" i="8"/>
  <c r="H246" i="8"/>
  <c r="E246" i="8"/>
  <c r="D246" i="8"/>
  <c r="C246" i="8"/>
  <c r="P245" i="8"/>
  <c r="J245" i="8"/>
  <c r="H245" i="8"/>
  <c r="E245" i="8"/>
  <c r="D245" i="8"/>
  <c r="C245" i="8"/>
  <c r="P244" i="8"/>
  <c r="J244" i="8"/>
  <c r="H244" i="8"/>
  <c r="E244" i="8"/>
  <c r="D244" i="8"/>
  <c r="C244" i="8"/>
  <c r="P243" i="8"/>
  <c r="J243" i="8"/>
  <c r="H243" i="8"/>
  <c r="E243" i="8"/>
  <c r="D243" i="8"/>
  <c r="C243" i="8"/>
  <c r="P242" i="8"/>
  <c r="J242" i="8"/>
  <c r="H242" i="8"/>
  <c r="E242" i="8"/>
  <c r="D242" i="8"/>
  <c r="C242" i="8"/>
  <c r="P241" i="8"/>
  <c r="J241" i="8"/>
  <c r="H241" i="8"/>
  <c r="E241" i="8"/>
  <c r="D241" i="8"/>
  <c r="C241" i="8"/>
  <c r="P240" i="8"/>
  <c r="J240" i="8"/>
  <c r="H240" i="8"/>
  <c r="E240" i="8"/>
  <c r="D240" i="8"/>
  <c r="C240" i="8"/>
  <c r="P239" i="8"/>
  <c r="J239" i="8"/>
  <c r="H239" i="8"/>
  <c r="E239" i="8"/>
  <c r="D239" i="8"/>
  <c r="C239" i="8"/>
  <c r="P238" i="8"/>
  <c r="J238" i="8"/>
  <c r="H238" i="8"/>
  <c r="E238" i="8"/>
  <c r="D238" i="8"/>
  <c r="C238" i="8"/>
  <c r="P237" i="8"/>
  <c r="J237" i="8"/>
  <c r="H237" i="8"/>
  <c r="E237" i="8"/>
  <c r="D237" i="8"/>
  <c r="C237" i="8"/>
  <c r="P236" i="8"/>
  <c r="J236" i="8"/>
  <c r="H236" i="8"/>
  <c r="E236" i="8"/>
  <c r="D236" i="8"/>
  <c r="C236" i="8"/>
  <c r="P235" i="8"/>
  <c r="J235" i="8"/>
  <c r="H235" i="8"/>
  <c r="E235" i="8"/>
  <c r="D235" i="8"/>
  <c r="C235" i="8"/>
  <c r="P234" i="8"/>
  <c r="J234" i="8"/>
  <c r="H234" i="8"/>
  <c r="E234" i="8"/>
  <c r="D234" i="8"/>
  <c r="C234" i="8"/>
  <c r="P233" i="8"/>
  <c r="J233" i="8"/>
  <c r="H233" i="8"/>
  <c r="E233" i="8"/>
  <c r="D233" i="8"/>
  <c r="C233" i="8"/>
  <c r="P232" i="8"/>
  <c r="N232" i="8"/>
  <c r="R232" i="8" s="1"/>
  <c r="J232" i="8"/>
  <c r="H232" i="8"/>
  <c r="E232" i="8"/>
  <c r="D232" i="8"/>
  <c r="C232" i="8"/>
  <c r="P231" i="8"/>
  <c r="J231" i="8"/>
  <c r="H231" i="8"/>
  <c r="E231" i="8"/>
  <c r="D231" i="8"/>
  <c r="C231" i="8"/>
  <c r="P230" i="8"/>
  <c r="J230" i="8"/>
  <c r="H230" i="8"/>
  <c r="E230" i="8"/>
  <c r="D230" i="8"/>
  <c r="C230" i="8"/>
  <c r="P229" i="8"/>
  <c r="J229" i="8"/>
  <c r="H229" i="8"/>
  <c r="E229" i="8"/>
  <c r="D229" i="8"/>
  <c r="C229" i="8"/>
  <c r="P228" i="8"/>
  <c r="J228" i="8"/>
  <c r="H228" i="8"/>
  <c r="E228" i="8"/>
  <c r="D228" i="8"/>
  <c r="C228" i="8"/>
  <c r="P227" i="8"/>
  <c r="J227" i="8"/>
  <c r="H227" i="8"/>
  <c r="E227" i="8"/>
  <c r="D227" i="8"/>
  <c r="C227" i="8"/>
  <c r="P226" i="8"/>
  <c r="J226" i="8"/>
  <c r="H226" i="8"/>
  <c r="E226" i="8"/>
  <c r="D226" i="8"/>
  <c r="C226" i="8"/>
  <c r="P225" i="8"/>
  <c r="J225" i="8"/>
  <c r="H225" i="8"/>
  <c r="E225" i="8"/>
  <c r="D225" i="8"/>
  <c r="C225" i="8"/>
  <c r="P224" i="8"/>
  <c r="J224" i="8"/>
  <c r="H224" i="8"/>
  <c r="E224" i="8"/>
  <c r="D224" i="8"/>
  <c r="C224" i="8"/>
  <c r="P223" i="8"/>
  <c r="J223" i="8"/>
  <c r="H223" i="8"/>
  <c r="E223" i="8"/>
  <c r="D223" i="8"/>
  <c r="C223" i="8"/>
  <c r="P222" i="8"/>
  <c r="J222" i="8"/>
  <c r="H222" i="8"/>
  <c r="E222" i="8"/>
  <c r="D222" i="8"/>
  <c r="C222" i="8"/>
  <c r="P221" i="8"/>
  <c r="J221" i="8"/>
  <c r="H221" i="8"/>
  <c r="E221" i="8"/>
  <c r="D221" i="8"/>
  <c r="C221" i="8"/>
  <c r="P220" i="8"/>
  <c r="J220" i="8"/>
  <c r="H220" i="8"/>
  <c r="E220" i="8"/>
  <c r="D220" i="8"/>
  <c r="C220" i="8"/>
  <c r="P219" i="8"/>
  <c r="J219" i="8"/>
  <c r="H219" i="8"/>
  <c r="E219" i="8"/>
  <c r="D219" i="8"/>
  <c r="C219" i="8"/>
  <c r="P218" i="8"/>
  <c r="J218" i="8"/>
  <c r="H218" i="8"/>
  <c r="E218" i="8"/>
  <c r="D218" i="8"/>
  <c r="C218" i="8"/>
  <c r="P217" i="8"/>
  <c r="J217" i="8"/>
  <c r="H217" i="8"/>
  <c r="E217" i="8"/>
  <c r="D217" i="8"/>
  <c r="C217" i="8"/>
  <c r="P216" i="8"/>
  <c r="J216" i="8"/>
  <c r="H216" i="8"/>
  <c r="E216" i="8"/>
  <c r="D216" i="8"/>
  <c r="C216" i="8"/>
  <c r="P215" i="8"/>
  <c r="J215" i="8"/>
  <c r="H215" i="8"/>
  <c r="E215" i="8"/>
  <c r="D215" i="8"/>
  <c r="C215" i="8"/>
  <c r="P214" i="8"/>
  <c r="J214" i="8"/>
  <c r="H214" i="8"/>
  <c r="E214" i="8"/>
  <c r="D214" i="8"/>
  <c r="C214" i="8"/>
  <c r="P213" i="8"/>
  <c r="J213" i="8"/>
  <c r="H213" i="8"/>
  <c r="E213" i="8"/>
  <c r="D213" i="8"/>
  <c r="C213" i="8"/>
  <c r="P212" i="8"/>
  <c r="J212" i="8"/>
  <c r="H212" i="8"/>
  <c r="E212" i="8"/>
  <c r="D212" i="8"/>
  <c r="C212" i="8"/>
  <c r="P211" i="8"/>
  <c r="J211" i="8"/>
  <c r="H211" i="8"/>
  <c r="E211" i="8"/>
  <c r="D211" i="8"/>
  <c r="C211" i="8"/>
  <c r="P210" i="8"/>
  <c r="J210" i="8"/>
  <c r="H210" i="8"/>
  <c r="E210" i="8"/>
  <c r="D210" i="8"/>
  <c r="C210" i="8"/>
  <c r="P209" i="8"/>
  <c r="J209" i="8"/>
  <c r="H209" i="8"/>
  <c r="E209" i="8"/>
  <c r="D209" i="8"/>
  <c r="C209" i="8"/>
  <c r="P208" i="8"/>
  <c r="J208" i="8"/>
  <c r="H208" i="8"/>
  <c r="E208" i="8"/>
  <c r="D208" i="8"/>
  <c r="C208" i="8"/>
  <c r="P207" i="8"/>
  <c r="J207" i="8"/>
  <c r="H207" i="8"/>
  <c r="E207" i="8"/>
  <c r="D207" i="8"/>
  <c r="C207" i="8"/>
  <c r="P206" i="8"/>
  <c r="J206" i="8"/>
  <c r="H206" i="8"/>
  <c r="E206" i="8"/>
  <c r="D206" i="8"/>
  <c r="C206" i="8"/>
  <c r="P205" i="8"/>
  <c r="J205" i="8"/>
  <c r="H205" i="8"/>
  <c r="E205" i="8"/>
  <c r="D205" i="8"/>
  <c r="C205" i="8"/>
  <c r="P204" i="8"/>
  <c r="J204" i="8"/>
  <c r="H204" i="8"/>
  <c r="E204" i="8"/>
  <c r="D204" i="8"/>
  <c r="C204" i="8"/>
  <c r="P203" i="8"/>
  <c r="J203" i="8"/>
  <c r="H203" i="8"/>
  <c r="E203" i="8"/>
  <c r="D203" i="8"/>
  <c r="C203" i="8"/>
  <c r="P202" i="8"/>
  <c r="J202" i="8"/>
  <c r="H202" i="8"/>
  <c r="E202" i="8"/>
  <c r="D202" i="8"/>
  <c r="C202" i="8"/>
  <c r="P201" i="8"/>
  <c r="J201" i="8"/>
  <c r="H201" i="8"/>
  <c r="F201" i="8"/>
  <c r="E201" i="8"/>
  <c r="D201" i="8"/>
  <c r="C201" i="8"/>
  <c r="P200" i="8"/>
  <c r="J200" i="8"/>
  <c r="H200" i="8"/>
  <c r="F200" i="8"/>
  <c r="E200" i="8"/>
  <c r="D200" i="8"/>
  <c r="C200" i="8"/>
  <c r="P199" i="8"/>
  <c r="J199" i="8"/>
  <c r="H199" i="8"/>
  <c r="E199" i="8"/>
  <c r="D199" i="8"/>
  <c r="C199" i="8"/>
  <c r="P198" i="8"/>
  <c r="J198" i="8"/>
  <c r="H198" i="8"/>
  <c r="E198" i="8"/>
  <c r="D198" i="8"/>
  <c r="C198" i="8"/>
  <c r="P197" i="8"/>
  <c r="J197" i="8"/>
  <c r="H197" i="8"/>
  <c r="E197" i="8"/>
  <c r="D197" i="8"/>
  <c r="C197" i="8"/>
  <c r="P196" i="8"/>
  <c r="J196" i="8"/>
  <c r="H196" i="8"/>
  <c r="E196" i="8"/>
  <c r="D196" i="8"/>
  <c r="C196" i="8"/>
  <c r="P195" i="8"/>
  <c r="J195" i="8"/>
  <c r="H195" i="8"/>
  <c r="E195" i="8"/>
  <c r="D195" i="8"/>
  <c r="C195" i="8"/>
  <c r="P194" i="8"/>
  <c r="J194" i="8"/>
  <c r="H194" i="8"/>
  <c r="E194" i="8"/>
  <c r="D194" i="8"/>
  <c r="C194" i="8"/>
  <c r="P193" i="8"/>
  <c r="J193" i="8"/>
  <c r="H193" i="8"/>
  <c r="E193" i="8"/>
  <c r="D193" i="8"/>
  <c r="C193" i="8"/>
  <c r="P192" i="8"/>
  <c r="J192" i="8"/>
  <c r="H192" i="8"/>
  <c r="E192" i="8"/>
  <c r="D192" i="8"/>
  <c r="C192" i="8"/>
  <c r="P191" i="8"/>
  <c r="J191" i="8"/>
  <c r="H191" i="8"/>
  <c r="E191" i="8"/>
  <c r="D191" i="8"/>
  <c r="C191" i="8"/>
  <c r="P190" i="8"/>
  <c r="N190" i="8"/>
  <c r="R190" i="8" s="1"/>
  <c r="J190" i="8"/>
  <c r="H190" i="8"/>
  <c r="E190" i="8"/>
  <c r="D190" i="8"/>
  <c r="C190" i="8"/>
  <c r="P189" i="8"/>
  <c r="J189" i="8"/>
  <c r="H189" i="8"/>
  <c r="E189" i="8"/>
  <c r="D189" i="8"/>
  <c r="C189" i="8"/>
  <c r="P188" i="8"/>
  <c r="J188" i="8"/>
  <c r="H188" i="8"/>
  <c r="E188" i="8"/>
  <c r="D188" i="8"/>
  <c r="C188" i="8"/>
  <c r="P187" i="8"/>
  <c r="N187" i="8"/>
  <c r="R187" i="8" s="1"/>
  <c r="J187" i="8"/>
  <c r="H187" i="8"/>
  <c r="E187" i="8"/>
  <c r="D187" i="8"/>
  <c r="C187" i="8"/>
  <c r="P186" i="8"/>
  <c r="J186" i="8"/>
  <c r="H186" i="8"/>
  <c r="E186" i="8"/>
  <c r="D186" i="8"/>
  <c r="C186" i="8"/>
  <c r="P185" i="8"/>
  <c r="N185" i="8"/>
  <c r="J185" i="8"/>
  <c r="H185" i="8"/>
  <c r="F185" i="8"/>
  <c r="E185" i="8"/>
  <c r="D185" i="8"/>
  <c r="C185" i="8"/>
  <c r="P184" i="8"/>
  <c r="N184" i="8"/>
  <c r="J184" i="8"/>
  <c r="H184" i="8"/>
  <c r="F184" i="8"/>
  <c r="E184" i="8"/>
  <c r="D184" i="8"/>
  <c r="C184" i="8"/>
  <c r="P183" i="8"/>
  <c r="J183" i="8"/>
  <c r="H183" i="8"/>
  <c r="E183" i="8"/>
  <c r="D183" i="8"/>
  <c r="C183" i="8"/>
  <c r="P182" i="8"/>
  <c r="J182" i="8"/>
  <c r="H182" i="8"/>
  <c r="E182" i="8"/>
  <c r="D182" i="8"/>
  <c r="C182" i="8"/>
  <c r="P181" i="8"/>
  <c r="J181" i="8"/>
  <c r="H181" i="8"/>
  <c r="E181" i="8"/>
  <c r="D181" i="8"/>
  <c r="C181" i="8"/>
  <c r="P180" i="8"/>
  <c r="J180" i="8"/>
  <c r="H180" i="8"/>
  <c r="E180" i="8"/>
  <c r="D180" i="8"/>
  <c r="C180" i="8"/>
  <c r="P179" i="8"/>
  <c r="J179" i="8"/>
  <c r="H179" i="8"/>
  <c r="E179" i="8"/>
  <c r="D179" i="8"/>
  <c r="C179" i="8"/>
  <c r="P178" i="8"/>
  <c r="J178" i="8"/>
  <c r="H178" i="8"/>
  <c r="E178" i="8"/>
  <c r="D178" i="8"/>
  <c r="C178" i="8"/>
  <c r="P177" i="8"/>
  <c r="J177" i="8"/>
  <c r="H177" i="8"/>
  <c r="E177" i="8"/>
  <c r="D177" i="8"/>
  <c r="C177" i="8"/>
  <c r="P176" i="8"/>
  <c r="J176" i="8"/>
  <c r="H176" i="8"/>
  <c r="E176" i="8"/>
  <c r="D176" i="8"/>
  <c r="C176" i="8"/>
  <c r="P175" i="8"/>
  <c r="J175" i="8"/>
  <c r="H175" i="8"/>
  <c r="E175" i="8"/>
  <c r="D175" i="8"/>
  <c r="C175" i="8"/>
  <c r="P174" i="8"/>
  <c r="J174" i="8"/>
  <c r="H174" i="8"/>
  <c r="E174" i="8"/>
  <c r="D174" i="8"/>
  <c r="C174" i="8"/>
  <c r="P173" i="8"/>
  <c r="J173" i="8"/>
  <c r="H173" i="8"/>
  <c r="E173" i="8"/>
  <c r="D173" i="8"/>
  <c r="C173" i="8"/>
  <c r="P172" i="8"/>
  <c r="J172" i="8"/>
  <c r="H172" i="8"/>
  <c r="E172" i="8"/>
  <c r="D172" i="8"/>
  <c r="C172" i="8"/>
  <c r="P171" i="8"/>
  <c r="J171" i="8"/>
  <c r="H171" i="8"/>
  <c r="E171" i="8"/>
  <c r="D171" i="8"/>
  <c r="C171" i="8"/>
  <c r="P170" i="8"/>
  <c r="J170" i="8"/>
  <c r="H170" i="8"/>
  <c r="E170" i="8"/>
  <c r="D170" i="8"/>
  <c r="C170" i="8"/>
  <c r="P169" i="8"/>
  <c r="J169" i="8"/>
  <c r="H169" i="8"/>
  <c r="E169" i="8"/>
  <c r="D169" i="8"/>
  <c r="C169" i="8"/>
  <c r="P168" i="8"/>
  <c r="J168" i="8"/>
  <c r="H168" i="8"/>
  <c r="E168" i="8"/>
  <c r="D168" i="8"/>
  <c r="C168" i="8"/>
  <c r="P167" i="8"/>
  <c r="J167" i="8"/>
  <c r="H167" i="8"/>
  <c r="E167" i="8"/>
  <c r="D167" i="8"/>
  <c r="C167" i="8"/>
  <c r="P166" i="8"/>
  <c r="J166" i="8"/>
  <c r="H166" i="8"/>
  <c r="E166" i="8"/>
  <c r="D166" i="8"/>
  <c r="C166" i="8"/>
  <c r="P165" i="8"/>
  <c r="J165" i="8"/>
  <c r="H165" i="8"/>
  <c r="E165" i="8"/>
  <c r="D165" i="8"/>
  <c r="C165" i="8"/>
  <c r="P164" i="8"/>
  <c r="J164" i="8"/>
  <c r="H164" i="8"/>
  <c r="E164" i="8"/>
  <c r="D164" i="8"/>
  <c r="C164" i="8"/>
  <c r="P163" i="8"/>
  <c r="J163" i="8"/>
  <c r="H163" i="8"/>
  <c r="E163" i="8"/>
  <c r="D163" i="8"/>
  <c r="C163" i="8"/>
  <c r="P162" i="8"/>
  <c r="J162" i="8"/>
  <c r="H162" i="8"/>
  <c r="E162" i="8"/>
  <c r="D162" i="8"/>
  <c r="C162" i="8"/>
  <c r="P161" i="8"/>
  <c r="J161" i="8"/>
  <c r="H161" i="8"/>
  <c r="E161" i="8"/>
  <c r="D161" i="8"/>
  <c r="C161" i="8"/>
  <c r="P160" i="8"/>
  <c r="J160" i="8"/>
  <c r="H160" i="8"/>
  <c r="F160" i="8"/>
  <c r="E160" i="8"/>
  <c r="D160" i="8"/>
  <c r="C160" i="8"/>
  <c r="P159" i="8"/>
  <c r="J159" i="8"/>
  <c r="H159" i="8"/>
  <c r="E159" i="8"/>
  <c r="D159" i="8"/>
  <c r="C159" i="8"/>
  <c r="P158" i="8"/>
  <c r="J158" i="8"/>
  <c r="H158" i="8"/>
  <c r="F158" i="8"/>
  <c r="E158" i="8"/>
  <c r="D158" i="8"/>
  <c r="C158" i="8"/>
  <c r="P157" i="8"/>
  <c r="J157" i="8"/>
  <c r="H157" i="8"/>
  <c r="F157" i="8"/>
  <c r="E157" i="8"/>
  <c r="D157" i="8"/>
  <c r="C157" i="8"/>
  <c r="P156" i="8"/>
  <c r="J156" i="8"/>
  <c r="H156" i="8"/>
  <c r="E156" i="8"/>
  <c r="D156" i="8"/>
  <c r="C156" i="8"/>
  <c r="P155" i="8"/>
  <c r="J155" i="8"/>
  <c r="H155" i="8"/>
  <c r="E155" i="8"/>
  <c r="D155" i="8"/>
  <c r="C155" i="8"/>
  <c r="P154" i="8"/>
  <c r="J154" i="8"/>
  <c r="H154" i="8"/>
  <c r="E154" i="8"/>
  <c r="D154" i="8"/>
  <c r="C154" i="8"/>
  <c r="P153" i="8"/>
  <c r="J153" i="8"/>
  <c r="H153" i="8"/>
  <c r="F153" i="8"/>
  <c r="E153" i="8"/>
  <c r="D153" i="8"/>
  <c r="C153" i="8"/>
  <c r="P152" i="8"/>
  <c r="N152" i="8"/>
  <c r="R152" i="8" s="1"/>
  <c r="J152" i="8"/>
  <c r="H152" i="8"/>
  <c r="F152" i="8"/>
  <c r="E152" i="8"/>
  <c r="D152" i="8"/>
  <c r="C152" i="8"/>
  <c r="P151" i="8"/>
  <c r="J151" i="8"/>
  <c r="H151" i="8"/>
  <c r="F151" i="8"/>
  <c r="E151" i="8"/>
  <c r="D151" i="8"/>
  <c r="C151" i="8"/>
  <c r="P150" i="8"/>
  <c r="J150" i="8"/>
  <c r="H150" i="8"/>
  <c r="E150" i="8"/>
  <c r="D150" i="8"/>
  <c r="C150" i="8"/>
  <c r="P149" i="8"/>
  <c r="J149" i="8"/>
  <c r="H149" i="8"/>
  <c r="E149" i="8"/>
  <c r="D149" i="8"/>
  <c r="C149" i="8"/>
  <c r="P148" i="8"/>
  <c r="J148" i="8"/>
  <c r="H148" i="8"/>
  <c r="E148" i="8"/>
  <c r="D148" i="8"/>
  <c r="C148" i="8"/>
  <c r="P147" i="8"/>
  <c r="J147" i="8"/>
  <c r="H147" i="8"/>
  <c r="E147" i="8"/>
  <c r="D147" i="8"/>
  <c r="C147" i="8"/>
  <c r="P146" i="8"/>
  <c r="J146" i="8"/>
  <c r="H146" i="8"/>
  <c r="E146" i="8"/>
  <c r="D146" i="8"/>
  <c r="C146" i="8"/>
  <c r="P145" i="8"/>
  <c r="J145" i="8"/>
  <c r="H145" i="8"/>
  <c r="E145" i="8"/>
  <c r="D145" i="8"/>
  <c r="C145" i="8"/>
  <c r="P144" i="8"/>
  <c r="J144" i="8"/>
  <c r="H144" i="8"/>
  <c r="E144" i="8"/>
  <c r="D144" i="8"/>
  <c r="C144" i="8"/>
  <c r="P143" i="8"/>
  <c r="J143" i="8"/>
  <c r="H143" i="8"/>
  <c r="E143" i="8"/>
  <c r="D143" i="8"/>
  <c r="C143" i="8"/>
  <c r="P142" i="8"/>
  <c r="J142" i="8"/>
  <c r="H142" i="8"/>
  <c r="E142" i="8"/>
  <c r="D142" i="8"/>
  <c r="C142" i="8"/>
  <c r="P141" i="8"/>
  <c r="J141" i="8"/>
  <c r="H141" i="8"/>
  <c r="F141" i="8"/>
  <c r="E141" i="8"/>
  <c r="D141" i="8"/>
  <c r="C141" i="8"/>
  <c r="P140" i="8"/>
  <c r="J140" i="8"/>
  <c r="H140" i="8"/>
  <c r="E140" i="8"/>
  <c r="D140" i="8"/>
  <c r="C140" i="8"/>
  <c r="P139" i="8"/>
  <c r="J139" i="8"/>
  <c r="H139" i="8"/>
  <c r="E139" i="8"/>
  <c r="D139" i="8"/>
  <c r="C139" i="8"/>
  <c r="P138" i="8"/>
  <c r="J138" i="8"/>
  <c r="H138" i="8"/>
  <c r="F138" i="8"/>
  <c r="E138" i="8"/>
  <c r="D138" i="8"/>
  <c r="C138" i="8"/>
  <c r="P137" i="8"/>
  <c r="J137" i="8"/>
  <c r="H137" i="8"/>
  <c r="F137" i="8"/>
  <c r="E137" i="8"/>
  <c r="D137" i="8"/>
  <c r="C137" i="8"/>
  <c r="P136" i="8"/>
  <c r="J136" i="8"/>
  <c r="H136" i="8"/>
  <c r="F136" i="8"/>
  <c r="E136" i="8"/>
  <c r="D136" i="8"/>
  <c r="C136" i="8"/>
  <c r="P135" i="8"/>
  <c r="J135" i="8"/>
  <c r="H135" i="8"/>
  <c r="E135" i="8"/>
  <c r="D135" i="8"/>
  <c r="C135" i="8"/>
  <c r="P134" i="8"/>
  <c r="J134" i="8"/>
  <c r="H134" i="8"/>
  <c r="E134" i="8"/>
  <c r="D134" i="8"/>
  <c r="C134" i="8"/>
  <c r="P133" i="8"/>
  <c r="J133" i="8"/>
  <c r="H133" i="8"/>
  <c r="E133" i="8"/>
  <c r="D133" i="8"/>
  <c r="C133" i="8"/>
  <c r="P132" i="8"/>
  <c r="J132" i="8"/>
  <c r="H132" i="8"/>
  <c r="F132" i="8"/>
  <c r="E132" i="8"/>
  <c r="D132" i="8"/>
  <c r="C132" i="8"/>
  <c r="P131" i="8"/>
  <c r="J131" i="8"/>
  <c r="H131" i="8"/>
  <c r="F131" i="8"/>
  <c r="E131" i="8"/>
  <c r="D131" i="8"/>
  <c r="C131" i="8"/>
  <c r="P130" i="8"/>
  <c r="N130" i="8"/>
  <c r="J130" i="8"/>
  <c r="H130" i="8"/>
  <c r="E130" i="8"/>
  <c r="D130" i="8"/>
  <c r="C130" i="8"/>
  <c r="P129" i="8"/>
  <c r="J129" i="8"/>
  <c r="H129" i="8"/>
  <c r="E129" i="8"/>
  <c r="D129" i="8"/>
  <c r="C129" i="8"/>
  <c r="P128" i="8"/>
  <c r="J128" i="8"/>
  <c r="H128" i="8"/>
  <c r="E128" i="8"/>
  <c r="D128" i="8"/>
  <c r="C128" i="8"/>
  <c r="P127" i="8"/>
  <c r="J127" i="8"/>
  <c r="H127" i="8"/>
  <c r="E127" i="8"/>
  <c r="D127" i="8"/>
  <c r="C127" i="8"/>
  <c r="P126" i="8"/>
  <c r="J126" i="8"/>
  <c r="H126" i="8"/>
  <c r="F126" i="8"/>
  <c r="E126" i="8"/>
  <c r="D126" i="8"/>
  <c r="C126" i="8"/>
  <c r="P125" i="8"/>
  <c r="J125" i="8"/>
  <c r="H125" i="8"/>
  <c r="E125" i="8"/>
  <c r="D125" i="8"/>
  <c r="C125" i="8"/>
  <c r="P124" i="8"/>
  <c r="J124" i="8"/>
  <c r="H124" i="8"/>
  <c r="E124" i="8"/>
  <c r="D124" i="8"/>
  <c r="C124" i="8"/>
  <c r="P123" i="8"/>
  <c r="J123" i="8"/>
  <c r="H123" i="8"/>
  <c r="E123" i="8"/>
  <c r="D123" i="8"/>
  <c r="C123" i="8"/>
  <c r="P122" i="8"/>
  <c r="J122" i="8"/>
  <c r="H122" i="8"/>
  <c r="E122" i="8"/>
  <c r="D122" i="8"/>
  <c r="C122" i="8"/>
  <c r="P121" i="8"/>
  <c r="J121" i="8"/>
  <c r="H121" i="8"/>
  <c r="E121" i="8"/>
  <c r="D121" i="8"/>
  <c r="C121" i="8"/>
  <c r="P120" i="8"/>
  <c r="J120" i="8"/>
  <c r="H120" i="8"/>
  <c r="F120" i="8"/>
  <c r="E120" i="8"/>
  <c r="D120" i="8"/>
  <c r="C120" i="8"/>
  <c r="P119" i="8"/>
  <c r="J119" i="8"/>
  <c r="H119" i="8"/>
  <c r="E119" i="8"/>
  <c r="D119" i="8"/>
  <c r="C119" i="8"/>
  <c r="P118" i="8"/>
  <c r="J118" i="8"/>
  <c r="H118" i="8"/>
  <c r="E118" i="8"/>
  <c r="D118" i="8"/>
  <c r="C118" i="8"/>
  <c r="P117" i="8"/>
  <c r="J117" i="8"/>
  <c r="H117" i="8"/>
  <c r="E117" i="8"/>
  <c r="D117" i="8"/>
  <c r="C117" i="8"/>
  <c r="P116" i="8"/>
  <c r="J116" i="8"/>
  <c r="H116" i="8"/>
  <c r="F116" i="8"/>
  <c r="E116" i="8"/>
  <c r="D116" i="8"/>
  <c r="C116" i="8"/>
  <c r="P115" i="8"/>
  <c r="N115" i="8"/>
  <c r="J115" i="8"/>
  <c r="H115" i="8"/>
  <c r="F115" i="8"/>
  <c r="E115" i="8"/>
  <c r="D115" i="8"/>
  <c r="C115" i="8"/>
  <c r="P114" i="8"/>
  <c r="J114" i="8"/>
  <c r="H114" i="8"/>
  <c r="E114" i="8"/>
  <c r="D114" i="8"/>
  <c r="C114" i="8"/>
  <c r="P113" i="8"/>
  <c r="J113" i="8"/>
  <c r="H113" i="8"/>
  <c r="E113" i="8"/>
  <c r="D113" i="8"/>
  <c r="C113" i="8"/>
  <c r="P112" i="8"/>
  <c r="J112" i="8"/>
  <c r="H112" i="8"/>
  <c r="E112" i="8"/>
  <c r="D112" i="8"/>
  <c r="C112" i="8"/>
  <c r="P111" i="8"/>
  <c r="J111" i="8"/>
  <c r="H111" i="8"/>
  <c r="E111" i="8"/>
  <c r="D111" i="8"/>
  <c r="C111" i="8"/>
  <c r="P110" i="8"/>
  <c r="J110" i="8"/>
  <c r="H110" i="8"/>
  <c r="F110" i="8"/>
  <c r="E110" i="8"/>
  <c r="D110" i="8"/>
  <c r="C110" i="8"/>
  <c r="P109" i="8"/>
  <c r="J109" i="8"/>
  <c r="H109" i="8"/>
  <c r="E109" i="8"/>
  <c r="D109" i="8"/>
  <c r="C109" i="8"/>
  <c r="P108" i="8"/>
  <c r="J108" i="8"/>
  <c r="H108" i="8"/>
  <c r="E108" i="8"/>
  <c r="D108" i="8"/>
  <c r="C108" i="8"/>
  <c r="P107" i="8"/>
  <c r="J107" i="8"/>
  <c r="H107" i="8"/>
  <c r="E107" i="8"/>
  <c r="D107" i="8"/>
  <c r="C107" i="8"/>
  <c r="P106" i="8"/>
  <c r="J106" i="8"/>
  <c r="H106" i="8"/>
  <c r="E106" i="8"/>
  <c r="D106" i="8"/>
  <c r="C106" i="8"/>
  <c r="P105" i="8"/>
  <c r="N105" i="8"/>
  <c r="R105" i="8" s="1"/>
  <c r="J105" i="8"/>
  <c r="H105" i="8"/>
  <c r="E105" i="8"/>
  <c r="D105" i="8"/>
  <c r="C105" i="8"/>
  <c r="P104" i="8"/>
  <c r="J104" i="8"/>
  <c r="H104" i="8"/>
  <c r="F104" i="8"/>
  <c r="E104" i="8"/>
  <c r="D104" i="8"/>
  <c r="C104" i="8"/>
  <c r="P103" i="8"/>
  <c r="N103" i="8"/>
  <c r="R103" i="8" s="1"/>
  <c r="J103" i="8"/>
  <c r="H103" i="8"/>
  <c r="F103" i="8"/>
  <c r="E103" i="8"/>
  <c r="D103" i="8"/>
  <c r="C103" i="8"/>
  <c r="P102" i="8"/>
  <c r="J102" i="8"/>
  <c r="H102" i="8"/>
  <c r="E102" i="8"/>
  <c r="D102" i="8"/>
  <c r="C102" i="8"/>
  <c r="P101" i="8"/>
  <c r="J101" i="8"/>
  <c r="H101" i="8"/>
  <c r="E101" i="8"/>
  <c r="D101" i="8"/>
  <c r="C101" i="8"/>
  <c r="P100" i="8"/>
  <c r="J100" i="8"/>
  <c r="H100" i="8"/>
  <c r="E100" i="8"/>
  <c r="D100" i="8"/>
  <c r="C100" i="8"/>
  <c r="P99" i="8"/>
  <c r="J99" i="8"/>
  <c r="H99" i="8"/>
  <c r="E99" i="8"/>
  <c r="D99" i="8"/>
  <c r="C99" i="8"/>
  <c r="P98" i="8"/>
  <c r="N98" i="8"/>
  <c r="R98" i="8" s="1"/>
  <c r="J98" i="8"/>
  <c r="H98" i="8"/>
  <c r="E98" i="8"/>
  <c r="D98" i="8"/>
  <c r="C98" i="8"/>
  <c r="P97" i="8"/>
  <c r="J97" i="8"/>
  <c r="H97" i="8"/>
  <c r="E97" i="8"/>
  <c r="D97" i="8"/>
  <c r="C97" i="8"/>
  <c r="P96" i="8"/>
  <c r="J96" i="8"/>
  <c r="H96" i="8"/>
  <c r="E96" i="8"/>
  <c r="D96" i="8"/>
  <c r="C96" i="8"/>
  <c r="P95" i="8"/>
  <c r="J95" i="8"/>
  <c r="H95" i="8"/>
  <c r="E95" i="8"/>
  <c r="D95" i="8"/>
  <c r="C95" i="8"/>
  <c r="P94" i="8"/>
  <c r="J94" i="8"/>
  <c r="H94" i="8"/>
  <c r="E94" i="8"/>
  <c r="D94" i="8"/>
  <c r="C94" i="8"/>
  <c r="P93" i="8"/>
  <c r="J93" i="8"/>
  <c r="H93" i="8"/>
  <c r="E93" i="8"/>
  <c r="D93" i="8"/>
  <c r="C93" i="8"/>
  <c r="P92" i="8"/>
  <c r="J92" i="8"/>
  <c r="H92" i="8"/>
  <c r="E92" i="8"/>
  <c r="D92" i="8"/>
  <c r="C92" i="8"/>
  <c r="P91" i="8"/>
  <c r="N91" i="8"/>
  <c r="R91" i="8" s="1"/>
  <c r="J91" i="8"/>
  <c r="H91" i="8"/>
  <c r="E91" i="8"/>
  <c r="D91" i="8"/>
  <c r="C91" i="8"/>
  <c r="P90" i="8"/>
  <c r="J90" i="8"/>
  <c r="H90" i="8"/>
  <c r="E90" i="8"/>
  <c r="D90" i="8"/>
  <c r="C90" i="8"/>
  <c r="P89" i="8"/>
  <c r="J89" i="8"/>
  <c r="H89" i="8"/>
  <c r="E89" i="8"/>
  <c r="D89" i="8"/>
  <c r="C89" i="8"/>
  <c r="P88" i="8"/>
  <c r="J88" i="8"/>
  <c r="H88" i="8"/>
  <c r="E88" i="8"/>
  <c r="D88" i="8"/>
  <c r="C88" i="8"/>
  <c r="P87" i="8"/>
  <c r="J87" i="8"/>
  <c r="H87" i="8"/>
  <c r="F87" i="8"/>
  <c r="E87" i="8"/>
  <c r="D87" i="8"/>
  <c r="C87" i="8"/>
  <c r="P86" i="8"/>
  <c r="J86" i="8"/>
  <c r="H86" i="8"/>
  <c r="E86" i="8"/>
  <c r="D86" i="8"/>
  <c r="C86" i="8"/>
  <c r="P85" i="8"/>
  <c r="J85" i="8"/>
  <c r="H85" i="8"/>
  <c r="E85" i="8"/>
  <c r="D85" i="8"/>
  <c r="C85" i="8"/>
  <c r="P84" i="8"/>
  <c r="J84" i="8"/>
  <c r="H84" i="8"/>
  <c r="E84" i="8"/>
  <c r="D84" i="8"/>
  <c r="C84" i="8"/>
  <c r="P83" i="8"/>
  <c r="N83" i="8"/>
  <c r="R83" i="8" s="1"/>
  <c r="J83" i="8"/>
  <c r="H83" i="8"/>
  <c r="E83" i="8"/>
  <c r="D83" i="8"/>
  <c r="C83" i="8"/>
  <c r="P82" i="8"/>
  <c r="J82" i="8"/>
  <c r="H82" i="8"/>
  <c r="E82" i="8"/>
  <c r="D82" i="8"/>
  <c r="C82" i="8"/>
  <c r="P81" i="8"/>
  <c r="J81" i="8"/>
  <c r="H81" i="8"/>
  <c r="E81" i="8"/>
  <c r="D81" i="8"/>
  <c r="C81" i="8"/>
  <c r="P80" i="8"/>
  <c r="J80" i="8"/>
  <c r="H80" i="8"/>
  <c r="E80" i="8"/>
  <c r="D80" i="8"/>
  <c r="C80" i="8"/>
  <c r="P79" i="8"/>
  <c r="J79" i="8"/>
  <c r="H79" i="8"/>
  <c r="E79" i="8"/>
  <c r="D79" i="8"/>
  <c r="C79" i="8"/>
  <c r="P78" i="8"/>
  <c r="N78" i="8"/>
  <c r="R78" i="8" s="1"/>
  <c r="J78" i="8"/>
  <c r="H78" i="8"/>
  <c r="E78" i="8"/>
  <c r="D78" i="8"/>
  <c r="C78" i="8"/>
  <c r="P77" i="8"/>
  <c r="J77" i="8"/>
  <c r="H77" i="8"/>
  <c r="E77" i="8"/>
  <c r="D77" i="8"/>
  <c r="C77" i="8"/>
  <c r="P76" i="8"/>
  <c r="J76" i="8"/>
  <c r="H76" i="8"/>
  <c r="E76" i="8"/>
  <c r="D76" i="8"/>
  <c r="C76" i="8"/>
  <c r="P75" i="8"/>
  <c r="J75" i="8"/>
  <c r="H75" i="8"/>
  <c r="E75" i="8"/>
  <c r="D75" i="8"/>
  <c r="C75" i="8"/>
  <c r="P74" i="8"/>
  <c r="J74" i="8"/>
  <c r="H74" i="8"/>
  <c r="E74" i="8"/>
  <c r="D74" i="8"/>
  <c r="C74" i="8"/>
  <c r="P73" i="8"/>
  <c r="N73" i="8"/>
  <c r="J73" i="8"/>
  <c r="H73" i="8"/>
  <c r="E73" i="8"/>
  <c r="D73" i="8"/>
  <c r="C73" i="8"/>
  <c r="P72" i="8"/>
  <c r="J72" i="8"/>
  <c r="H72" i="8"/>
  <c r="F72" i="8"/>
  <c r="E72" i="8"/>
  <c r="D72" i="8"/>
  <c r="C72" i="8"/>
  <c r="P71" i="8"/>
  <c r="J71" i="8"/>
  <c r="H71" i="8"/>
  <c r="E71" i="8"/>
  <c r="D71" i="8"/>
  <c r="C71" i="8"/>
  <c r="P70" i="8"/>
  <c r="J70" i="8"/>
  <c r="H70" i="8"/>
  <c r="E70" i="8"/>
  <c r="D70" i="8"/>
  <c r="C70" i="8"/>
  <c r="P69" i="8"/>
  <c r="J69" i="8"/>
  <c r="H69" i="8"/>
  <c r="E69" i="8"/>
  <c r="D69" i="8"/>
  <c r="C69" i="8"/>
  <c r="P68" i="8"/>
  <c r="J68" i="8"/>
  <c r="H68" i="8"/>
  <c r="E68" i="8"/>
  <c r="D68" i="8"/>
  <c r="C68" i="8"/>
  <c r="P67" i="8"/>
  <c r="J67" i="8"/>
  <c r="H67" i="8"/>
  <c r="E67" i="8"/>
  <c r="D67" i="8"/>
  <c r="C67" i="8"/>
  <c r="P66" i="8"/>
  <c r="J66" i="8"/>
  <c r="H66" i="8"/>
  <c r="E66" i="8"/>
  <c r="D66" i="8"/>
  <c r="C66" i="8"/>
  <c r="P65" i="8"/>
  <c r="N65" i="8"/>
  <c r="J65" i="8"/>
  <c r="H65" i="8"/>
  <c r="E65" i="8"/>
  <c r="D65" i="8"/>
  <c r="C65" i="8"/>
  <c r="P64" i="8"/>
  <c r="J64" i="8"/>
  <c r="H64" i="8"/>
  <c r="F64" i="8"/>
  <c r="E64" i="8"/>
  <c r="D64" i="8"/>
  <c r="C64" i="8"/>
  <c r="P63" i="8"/>
  <c r="J63" i="8"/>
  <c r="H63" i="8"/>
  <c r="E63" i="8"/>
  <c r="D63" i="8"/>
  <c r="C63" i="8"/>
  <c r="P62" i="8"/>
  <c r="J62" i="8"/>
  <c r="H62" i="8"/>
  <c r="E62" i="8"/>
  <c r="D62" i="8"/>
  <c r="C62" i="8"/>
  <c r="P61" i="8"/>
  <c r="J61" i="8"/>
  <c r="H61" i="8"/>
  <c r="E61" i="8"/>
  <c r="D61" i="8"/>
  <c r="C61" i="8"/>
  <c r="P60" i="8"/>
  <c r="J60" i="8"/>
  <c r="H60" i="8"/>
  <c r="E60" i="8"/>
  <c r="D60" i="8"/>
  <c r="C60" i="8"/>
  <c r="P59" i="8"/>
  <c r="J59" i="8"/>
  <c r="H59" i="8"/>
  <c r="F59" i="8"/>
  <c r="E59" i="8"/>
  <c r="D59" i="8"/>
  <c r="C59" i="8"/>
  <c r="P58" i="8"/>
  <c r="J58" i="8"/>
  <c r="H58" i="8"/>
  <c r="E58" i="8"/>
  <c r="D58" i="8"/>
  <c r="C58" i="8"/>
  <c r="P57" i="8"/>
  <c r="J57" i="8"/>
  <c r="H57" i="8"/>
  <c r="E57" i="8"/>
  <c r="D57" i="8"/>
  <c r="C57" i="8"/>
  <c r="P56" i="8"/>
  <c r="J56" i="8"/>
  <c r="H56" i="8"/>
  <c r="E56" i="8"/>
  <c r="D56" i="8"/>
  <c r="C56" i="8"/>
  <c r="P55" i="8"/>
  <c r="N55" i="8"/>
  <c r="R55" i="8" s="1"/>
  <c r="J55" i="8"/>
  <c r="H55" i="8"/>
  <c r="E55" i="8"/>
  <c r="D55" i="8"/>
  <c r="C55" i="8"/>
  <c r="P54" i="8"/>
  <c r="J54" i="8"/>
  <c r="H54" i="8"/>
  <c r="E54" i="8"/>
  <c r="D54" i="8"/>
  <c r="C54" i="8"/>
  <c r="P53" i="8"/>
  <c r="J53" i="8"/>
  <c r="H53" i="8"/>
  <c r="E53" i="8"/>
  <c r="D53" i="8"/>
  <c r="C53" i="8"/>
  <c r="P52" i="8"/>
  <c r="J52" i="8"/>
  <c r="H52" i="8"/>
  <c r="E52" i="8"/>
  <c r="D52" i="8"/>
  <c r="C52" i="8"/>
  <c r="P51" i="8"/>
  <c r="J51" i="8"/>
  <c r="H51" i="8"/>
  <c r="F51" i="8"/>
  <c r="E51" i="8"/>
  <c r="D51" i="8"/>
  <c r="C51" i="8"/>
  <c r="P50" i="8"/>
  <c r="J50" i="8"/>
  <c r="H50" i="8"/>
  <c r="E50" i="8"/>
  <c r="D50" i="8"/>
  <c r="C50" i="8"/>
  <c r="P49" i="8"/>
  <c r="J49" i="8"/>
  <c r="H49" i="8"/>
  <c r="E49" i="8"/>
  <c r="D49" i="8"/>
  <c r="C49" i="8"/>
  <c r="P48" i="8"/>
  <c r="J48" i="8"/>
  <c r="H48" i="8"/>
  <c r="E48" i="8"/>
  <c r="D48" i="8"/>
  <c r="C48" i="8"/>
  <c r="P47" i="8"/>
  <c r="J47" i="8"/>
  <c r="H47" i="8"/>
  <c r="E47" i="8"/>
  <c r="D47" i="8"/>
  <c r="C47" i="8"/>
  <c r="P46" i="8"/>
  <c r="J46" i="8"/>
  <c r="H46" i="8"/>
  <c r="F46" i="8"/>
  <c r="E46" i="8"/>
  <c r="D46" i="8"/>
  <c r="C46" i="8"/>
  <c r="P45" i="8"/>
  <c r="J45" i="8"/>
  <c r="H45" i="8"/>
  <c r="E45" i="8"/>
  <c r="D45" i="8"/>
  <c r="C45" i="8"/>
  <c r="P44" i="8"/>
  <c r="J44" i="8"/>
  <c r="H44" i="8"/>
  <c r="E44" i="8"/>
  <c r="D44" i="8"/>
  <c r="C44" i="8"/>
  <c r="P43" i="8"/>
  <c r="J43" i="8"/>
  <c r="H43" i="8"/>
  <c r="E43" i="8"/>
  <c r="D43" i="8"/>
  <c r="C43" i="8"/>
  <c r="P42" i="8"/>
  <c r="J42" i="8"/>
  <c r="H42" i="8"/>
  <c r="E42" i="8"/>
  <c r="D42" i="8"/>
  <c r="C42" i="8"/>
  <c r="P41" i="8"/>
  <c r="J41" i="8"/>
  <c r="H41" i="8"/>
  <c r="E41" i="8"/>
  <c r="D41" i="8"/>
  <c r="C41" i="8"/>
  <c r="P40" i="8"/>
  <c r="N40" i="8"/>
  <c r="R40" i="8" s="1"/>
  <c r="J40" i="8"/>
  <c r="H40" i="8"/>
  <c r="E40" i="8"/>
  <c r="D40" i="8"/>
  <c r="C40" i="8"/>
  <c r="P39" i="8"/>
  <c r="J39" i="8"/>
  <c r="H39" i="8"/>
  <c r="F39" i="8"/>
  <c r="E39" i="8"/>
  <c r="D39" i="8"/>
  <c r="C39" i="8"/>
  <c r="P38" i="8"/>
  <c r="J38" i="8"/>
  <c r="H38" i="8"/>
  <c r="E38" i="8"/>
  <c r="D38" i="8"/>
  <c r="C38" i="8"/>
  <c r="P37" i="8"/>
  <c r="J37" i="8"/>
  <c r="H37" i="8"/>
  <c r="E37" i="8"/>
  <c r="D37" i="8"/>
  <c r="C37" i="8"/>
  <c r="P36" i="8"/>
  <c r="J36" i="8"/>
  <c r="H36" i="8"/>
  <c r="E36" i="8"/>
  <c r="D36" i="8"/>
  <c r="C36" i="8"/>
  <c r="P35" i="8"/>
  <c r="J35" i="8"/>
  <c r="H35" i="8"/>
  <c r="E35" i="8"/>
  <c r="D35" i="8"/>
  <c r="C35" i="8"/>
  <c r="P34" i="8"/>
  <c r="J34" i="8"/>
  <c r="H34" i="8"/>
  <c r="E34" i="8"/>
  <c r="D34" i="8"/>
  <c r="C34" i="8"/>
  <c r="P33" i="8"/>
  <c r="J33" i="8"/>
  <c r="H33" i="8"/>
  <c r="E33" i="8"/>
  <c r="D33" i="8"/>
  <c r="C33" i="8"/>
  <c r="P32" i="8"/>
  <c r="J32" i="8"/>
  <c r="H32" i="8"/>
  <c r="E32" i="8"/>
  <c r="D32" i="8"/>
  <c r="C32" i="8"/>
  <c r="P31" i="8"/>
  <c r="J31" i="8"/>
  <c r="H31" i="8"/>
  <c r="E31" i="8"/>
  <c r="D31" i="8"/>
  <c r="C31" i="8"/>
  <c r="P30" i="8"/>
  <c r="J30" i="8"/>
  <c r="H30" i="8"/>
  <c r="E30" i="8"/>
  <c r="D30" i="8"/>
  <c r="C30" i="8"/>
  <c r="P29" i="8"/>
  <c r="J29" i="8"/>
  <c r="H29" i="8"/>
  <c r="F29" i="8"/>
  <c r="E29" i="8"/>
  <c r="D29" i="8"/>
  <c r="C29" i="8"/>
  <c r="P28" i="8"/>
  <c r="J28" i="8"/>
  <c r="H28" i="8"/>
  <c r="E28" i="8"/>
  <c r="D28" i="8"/>
  <c r="C28" i="8"/>
  <c r="P27" i="8"/>
  <c r="J27" i="8"/>
  <c r="H27" i="8"/>
  <c r="E27" i="8"/>
  <c r="D27" i="8"/>
  <c r="C27" i="8"/>
  <c r="P26" i="8"/>
  <c r="J26" i="8"/>
  <c r="H26" i="8"/>
  <c r="E26" i="8"/>
  <c r="D26" i="8"/>
  <c r="C26" i="8"/>
  <c r="P25" i="8"/>
  <c r="J25" i="8"/>
  <c r="H25" i="8"/>
  <c r="E25" i="8"/>
  <c r="D25" i="8"/>
  <c r="C25" i="8"/>
  <c r="P24" i="8"/>
  <c r="J24" i="8"/>
  <c r="H24" i="8"/>
  <c r="E24" i="8"/>
  <c r="D24" i="8"/>
  <c r="C24" i="8"/>
  <c r="P23" i="8"/>
  <c r="N23" i="8"/>
  <c r="R23" i="8" s="1"/>
  <c r="J23" i="8"/>
  <c r="H23" i="8"/>
  <c r="E23" i="8"/>
  <c r="D23" i="8"/>
  <c r="C23" i="8"/>
  <c r="P22" i="8"/>
  <c r="J22" i="8"/>
  <c r="H22" i="8"/>
  <c r="F22" i="8"/>
  <c r="E22" i="8"/>
  <c r="D22" i="8"/>
  <c r="C22" i="8"/>
  <c r="P21" i="8"/>
  <c r="N21" i="8"/>
  <c r="J21" i="8"/>
  <c r="H21" i="8"/>
  <c r="E21" i="8"/>
  <c r="D21" i="8"/>
  <c r="C21" i="8"/>
  <c r="P20" i="8"/>
  <c r="J20" i="8"/>
  <c r="H20" i="8"/>
  <c r="E20" i="8"/>
  <c r="D20" i="8"/>
  <c r="C20" i="8"/>
  <c r="P19" i="8"/>
  <c r="J19" i="8"/>
  <c r="H19" i="8"/>
  <c r="E19" i="8"/>
  <c r="D19" i="8"/>
  <c r="C19" i="8"/>
  <c r="P18" i="8"/>
  <c r="J18" i="8"/>
  <c r="H18" i="8"/>
  <c r="E18" i="8"/>
  <c r="D18" i="8"/>
  <c r="C18" i="8"/>
  <c r="P17" i="8"/>
  <c r="J17" i="8"/>
  <c r="H17" i="8"/>
  <c r="E17" i="8"/>
  <c r="D17" i="8"/>
  <c r="C17" i="8"/>
  <c r="P16" i="8"/>
  <c r="J16" i="8"/>
  <c r="H16" i="8"/>
  <c r="F16" i="8"/>
  <c r="E16" i="8"/>
  <c r="D16" i="8"/>
  <c r="C16" i="8"/>
  <c r="P15" i="8"/>
  <c r="J15" i="8"/>
  <c r="H15" i="8"/>
  <c r="F15" i="8"/>
  <c r="E15" i="8"/>
  <c r="D15" i="8"/>
  <c r="C15" i="8"/>
  <c r="P14" i="8"/>
  <c r="N14" i="8"/>
  <c r="R14" i="8" s="1"/>
  <c r="J14" i="8"/>
  <c r="H14" i="8"/>
  <c r="E14" i="8"/>
  <c r="D14" i="8"/>
  <c r="C14" i="8"/>
  <c r="P13" i="8"/>
  <c r="J13" i="8"/>
  <c r="H13" i="8"/>
  <c r="E13" i="8"/>
  <c r="D13" i="8"/>
  <c r="C13" i="8"/>
  <c r="P12" i="8"/>
  <c r="J12" i="8"/>
  <c r="H12" i="8"/>
  <c r="F12" i="8"/>
  <c r="E12" i="8"/>
  <c r="D12" i="8"/>
  <c r="C12" i="8"/>
  <c r="P11" i="8"/>
  <c r="J11" i="8"/>
  <c r="H11" i="8"/>
  <c r="F11" i="8"/>
  <c r="E11" i="8"/>
  <c r="D11" i="8"/>
  <c r="C11" i="8"/>
  <c r="P10" i="8"/>
  <c r="J10" i="8"/>
  <c r="H10" i="8"/>
  <c r="F10" i="8"/>
  <c r="E10" i="8"/>
  <c r="D10" i="8"/>
  <c r="C10" i="8"/>
  <c r="P9" i="8"/>
  <c r="J9" i="8"/>
  <c r="H9" i="8"/>
  <c r="F9" i="8"/>
  <c r="E9" i="8"/>
  <c r="D9" i="8"/>
  <c r="C9" i="8"/>
  <c r="P8" i="8"/>
  <c r="J8" i="8"/>
  <c r="H8" i="8"/>
  <c r="E8" i="8"/>
  <c r="D8" i="8"/>
  <c r="C8" i="8"/>
  <c r="P7" i="8"/>
  <c r="J7" i="8"/>
  <c r="H7" i="8"/>
  <c r="E7" i="8"/>
  <c r="D7" i="8"/>
  <c r="C7" i="8"/>
  <c r="P6" i="8"/>
  <c r="J6" i="8"/>
  <c r="H6" i="8"/>
  <c r="E6" i="8"/>
  <c r="D6" i="8"/>
  <c r="C6" i="8"/>
  <c r="P5" i="8"/>
  <c r="N5" i="8"/>
  <c r="J5" i="8"/>
  <c r="H5" i="8"/>
  <c r="E5" i="8"/>
  <c r="D5" i="8"/>
  <c r="C5" i="8"/>
  <c r="P4" i="8"/>
  <c r="J4" i="8"/>
  <c r="H4" i="8"/>
  <c r="E4" i="8"/>
  <c r="D4" i="8"/>
  <c r="C4" i="8"/>
  <c r="P3" i="8"/>
  <c r="J3" i="8"/>
  <c r="H3" i="8"/>
  <c r="F3" i="8"/>
  <c r="E3" i="8"/>
  <c r="D3" i="8"/>
  <c r="C3" i="8"/>
  <c r="P2" i="8"/>
  <c r="J2" i="8"/>
  <c r="H2" i="8"/>
  <c r="E2" i="8"/>
  <c r="D2" i="8"/>
  <c r="C2" i="8"/>
  <c r="N631" i="7"/>
  <c r="L631" i="7"/>
  <c r="J631" i="7"/>
  <c r="H631" i="7"/>
  <c r="F631" i="7"/>
  <c r="E631" i="7"/>
  <c r="D631" i="7"/>
  <c r="C631" i="7"/>
  <c r="N630" i="7"/>
  <c r="L630" i="7"/>
  <c r="J630" i="7"/>
  <c r="H630" i="7"/>
  <c r="F630" i="7"/>
  <c r="E630" i="7"/>
  <c r="D630" i="7"/>
  <c r="C630" i="7"/>
  <c r="N629" i="7"/>
  <c r="L629" i="7"/>
  <c r="J629" i="7"/>
  <c r="H629" i="7"/>
  <c r="E629" i="7"/>
  <c r="D629" i="7"/>
  <c r="C629" i="7"/>
  <c r="N628" i="7"/>
  <c r="L628" i="7"/>
  <c r="J628" i="7"/>
  <c r="H628" i="7"/>
  <c r="F628" i="7"/>
  <c r="E628" i="7"/>
  <c r="D628" i="7"/>
  <c r="C628" i="7"/>
  <c r="N627" i="7"/>
  <c r="L627" i="7"/>
  <c r="J627" i="7"/>
  <c r="H627" i="7"/>
  <c r="E627" i="7"/>
  <c r="D627" i="7"/>
  <c r="C627" i="7"/>
  <c r="N626" i="7"/>
  <c r="L626" i="7"/>
  <c r="J626" i="7"/>
  <c r="H626" i="7"/>
  <c r="E626" i="7"/>
  <c r="D626" i="7"/>
  <c r="C626" i="7"/>
  <c r="N625" i="7"/>
  <c r="L625" i="7"/>
  <c r="J625" i="7"/>
  <c r="H625" i="7"/>
  <c r="E625" i="7"/>
  <c r="D625" i="7"/>
  <c r="C625" i="7"/>
  <c r="N624" i="7"/>
  <c r="L624" i="7"/>
  <c r="J624" i="7"/>
  <c r="H624" i="7"/>
  <c r="F624" i="7"/>
  <c r="E624" i="7"/>
  <c r="D624" i="7"/>
  <c r="C624" i="7"/>
  <c r="N623" i="7"/>
  <c r="L623" i="7"/>
  <c r="J623" i="7"/>
  <c r="H623" i="7"/>
  <c r="F623" i="7"/>
  <c r="E623" i="7"/>
  <c r="D623" i="7"/>
  <c r="C623" i="7"/>
  <c r="N622" i="7"/>
  <c r="L622" i="7"/>
  <c r="J622" i="7"/>
  <c r="H622" i="7"/>
  <c r="E622" i="7"/>
  <c r="D622" i="7"/>
  <c r="C622" i="7"/>
  <c r="N621" i="7"/>
  <c r="L621" i="7"/>
  <c r="J621" i="7"/>
  <c r="H621" i="7"/>
  <c r="F621" i="7"/>
  <c r="E621" i="7"/>
  <c r="D621" i="7"/>
  <c r="C621" i="7"/>
  <c r="N620" i="7"/>
  <c r="L620" i="7"/>
  <c r="J620" i="7"/>
  <c r="H620" i="7"/>
  <c r="E620" i="7"/>
  <c r="D620" i="7"/>
  <c r="C620" i="7"/>
  <c r="N619" i="7"/>
  <c r="L619" i="7"/>
  <c r="J619" i="7"/>
  <c r="H619" i="7"/>
  <c r="F619" i="7"/>
  <c r="E619" i="7"/>
  <c r="D619" i="7"/>
  <c r="C619" i="7"/>
  <c r="N618" i="7"/>
  <c r="L618" i="7"/>
  <c r="J618" i="7"/>
  <c r="H618" i="7"/>
  <c r="E618" i="7"/>
  <c r="D618" i="7"/>
  <c r="C618" i="7"/>
  <c r="N617" i="7"/>
  <c r="L617" i="7"/>
  <c r="J617" i="7"/>
  <c r="H617" i="7"/>
  <c r="E617" i="7"/>
  <c r="D617" i="7"/>
  <c r="C617" i="7"/>
  <c r="N616" i="7"/>
  <c r="L616" i="7"/>
  <c r="J616" i="7"/>
  <c r="H616" i="7"/>
  <c r="E616" i="7"/>
  <c r="D616" i="7"/>
  <c r="C616" i="7"/>
  <c r="N615" i="7"/>
  <c r="L615" i="7"/>
  <c r="J615" i="7"/>
  <c r="H615" i="7"/>
  <c r="F615" i="7"/>
  <c r="E615" i="7"/>
  <c r="D615" i="7"/>
  <c r="C615" i="7"/>
  <c r="N614" i="7"/>
  <c r="L614" i="7"/>
  <c r="J614" i="7"/>
  <c r="H614" i="7"/>
  <c r="F614" i="7"/>
  <c r="E614" i="7"/>
  <c r="D614" i="7"/>
  <c r="C614" i="7"/>
  <c r="N613" i="7"/>
  <c r="L613" i="7"/>
  <c r="J613" i="7"/>
  <c r="H613" i="7"/>
  <c r="E613" i="7"/>
  <c r="D613" i="7"/>
  <c r="C613" i="7"/>
  <c r="N612" i="7"/>
  <c r="L612" i="7"/>
  <c r="J612" i="7"/>
  <c r="H612" i="7"/>
  <c r="E612" i="7"/>
  <c r="D612" i="7"/>
  <c r="C612" i="7"/>
  <c r="N611" i="7"/>
  <c r="L611" i="7"/>
  <c r="J611" i="7"/>
  <c r="H611" i="7"/>
  <c r="F611" i="7"/>
  <c r="E611" i="7"/>
  <c r="D611" i="7"/>
  <c r="C611" i="7"/>
  <c r="N610" i="7"/>
  <c r="L610" i="7"/>
  <c r="J610" i="7"/>
  <c r="H610" i="7"/>
  <c r="F610" i="7"/>
  <c r="E610" i="7"/>
  <c r="D610" i="7"/>
  <c r="C610" i="7"/>
  <c r="N609" i="7"/>
  <c r="L609" i="7"/>
  <c r="J609" i="7"/>
  <c r="H609" i="7"/>
  <c r="E609" i="7"/>
  <c r="D609" i="7"/>
  <c r="C609" i="7"/>
  <c r="N608" i="7"/>
  <c r="L608" i="7"/>
  <c r="J608" i="7"/>
  <c r="H608" i="7"/>
  <c r="E608" i="7"/>
  <c r="D608" i="7"/>
  <c r="C608" i="7"/>
  <c r="N607" i="7"/>
  <c r="L607" i="7"/>
  <c r="J607" i="7"/>
  <c r="H607" i="7"/>
  <c r="E607" i="7"/>
  <c r="D607" i="7"/>
  <c r="C607" i="7"/>
  <c r="N606" i="7"/>
  <c r="L606" i="7"/>
  <c r="J606" i="7"/>
  <c r="H606" i="7"/>
  <c r="F606" i="7"/>
  <c r="E606" i="7"/>
  <c r="D606" i="7"/>
  <c r="C606" i="7"/>
  <c r="N605" i="7"/>
  <c r="L605" i="7"/>
  <c r="J605" i="7"/>
  <c r="H605" i="7"/>
  <c r="E605" i="7"/>
  <c r="D605" i="7"/>
  <c r="C605" i="7"/>
  <c r="N604" i="7"/>
  <c r="L604" i="7"/>
  <c r="J604" i="7"/>
  <c r="H604" i="7"/>
  <c r="F604" i="7"/>
  <c r="E604" i="7"/>
  <c r="D604" i="7"/>
  <c r="C604" i="7"/>
  <c r="N603" i="7"/>
  <c r="L603" i="7"/>
  <c r="J603" i="7"/>
  <c r="H603" i="7"/>
  <c r="E603" i="7"/>
  <c r="D603" i="7"/>
  <c r="C603" i="7"/>
  <c r="N602" i="7"/>
  <c r="L602" i="7"/>
  <c r="J602" i="7"/>
  <c r="H602" i="7"/>
  <c r="F602" i="7"/>
  <c r="E602" i="7"/>
  <c r="D602" i="7"/>
  <c r="C602" i="7"/>
  <c r="N601" i="7"/>
  <c r="L601" i="7"/>
  <c r="J601" i="7"/>
  <c r="H601" i="7"/>
  <c r="F601" i="7"/>
  <c r="E601" i="7"/>
  <c r="D601" i="7"/>
  <c r="C601" i="7"/>
  <c r="N600" i="7"/>
  <c r="L600" i="7"/>
  <c r="J600" i="7"/>
  <c r="H600" i="7"/>
  <c r="F600" i="7"/>
  <c r="E600" i="7"/>
  <c r="D600" i="7"/>
  <c r="C600" i="7"/>
  <c r="N599" i="7"/>
  <c r="L599" i="7"/>
  <c r="J599" i="7"/>
  <c r="H599" i="7"/>
  <c r="F599" i="7"/>
  <c r="E599" i="7"/>
  <c r="D599" i="7"/>
  <c r="C599" i="7"/>
  <c r="N598" i="7"/>
  <c r="L598" i="7"/>
  <c r="J598" i="7"/>
  <c r="H598" i="7"/>
  <c r="E598" i="7"/>
  <c r="D598" i="7"/>
  <c r="C598" i="7"/>
  <c r="N597" i="7"/>
  <c r="L597" i="7"/>
  <c r="J597" i="7"/>
  <c r="H597" i="7"/>
  <c r="F597" i="7"/>
  <c r="E597" i="7"/>
  <c r="D597" i="7"/>
  <c r="C597" i="7"/>
  <c r="N596" i="7"/>
  <c r="L596" i="7"/>
  <c r="J596" i="7"/>
  <c r="H596" i="7"/>
  <c r="E596" i="7"/>
  <c r="D596" i="7"/>
  <c r="C596" i="7"/>
  <c r="N595" i="7"/>
  <c r="L595" i="7"/>
  <c r="J595" i="7"/>
  <c r="H595" i="7"/>
  <c r="F595" i="7"/>
  <c r="E595" i="7"/>
  <c r="D595" i="7"/>
  <c r="C595" i="7"/>
  <c r="N594" i="7"/>
  <c r="L594" i="7"/>
  <c r="J594" i="7"/>
  <c r="H594" i="7"/>
  <c r="E594" i="7"/>
  <c r="D594" i="7"/>
  <c r="C594" i="7"/>
  <c r="N593" i="7"/>
  <c r="L593" i="7"/>
  <c r="J593" i="7"/>
  <c r="H593" i="7"/>
  <c r="E593" i="7"/>
  <c r="D593" i="7"/>
  <c r="C593" i="7"/>
  <c r="N592" i="7"/>
  <c r="L592" i="7"/>
  <c r="J592" i="7"/>
  <c r="H592" i="7"/>
  <c r="E592" i="7"/>
  <c r="D592" i="7"/>
  <c r="C592" i="7"/>
  <c r="N591" i="7"/>
  <c r="L591" i="7"/>
  <c r="J591" i="7"/>
  <c r="H591" i="7"/>
  <c r="F591" i="7"/>
  <c r="E591" i="7"/>
  <c r="D591" i="7"/>
  <c r="C591" i="7"/>
  <c r="N590" i="7"/>
  <c r="L590" i="7"/>
  <c r="J590" i="7"/>
  <c r="H590" i="7"/>
  <c r="F590" i="7"/>
  <c r="E590" i="7"/>
  <c r="D590" i="7"/>
  <c r="C590" i="7"/>
  <c r="N589" i="7"/>
  <c r="L589" i="7"/>
  <c r="J589" i="7"/>
  <c r="H589" i="7"/>
  <c r="E589" i="7"/>
  <c r="D589" i="7"/>
  <c r="C589" i="7"/>
  <c r="N588" i="7"/>
  <c r="L588" i="7"/>
  <c r="J588" i="7"/>
  <c r="H588" i="7"/>
  <c r="F588" i="7"/>
  <c r="E588" i="7"/>
  <c r="D588" i="7"/>
  <c r="C588" i="7"/>
  <c r="N587" i="7"/>
  <c r="L587" i="7"/>
  <c r="J587" i="7"/>
  <c r="H587" i="7"/>
  <c r="E587" i="7"/>
  <c r="D587" i="7"/>
  <c r="C587" i="7"/>
  <c r="N586" i="7"/>
  <c r="L586" i="7"/>
  <c r="J586" i="7"/>
  <c r="H586" i="7"/>
  <c r="F586" i="7"/>
  <c r="E586" i="7"/>
  <c r="D586" i="7"/>
  <c r="C586" i="7"/>
  <c r="N585" i="7"/>
  <c r="L585" i="7"/>
  <c r="J585" i="7"/>
  <c r="H585" i="7"/>
  <c r="E585" i="7"/>
  <c r="D585" i="7"/>
  <c r="C585" i="7"/>
  <c r="N584" i="7"/>
  <c r="L584" i="7"/>
  <c r="J584" i="7"/>
  <c r="H584" i="7"/>
  <c r="E584" i="7"/>
  <c r="D584" i="7"/>
  <c r="C584" i="7"/>
  <c r="N583" i="7"/>
  <c r="L583" i="7"/>
  <c r="J583" i="7"/>
  <c r="H583" i="7"/>
  <c r="E583" i="7"/>
  <c r="D583" i="7"/>
  <c r="C583" i="7"/>
  <c r="N582" i="7"/>
  <c r="L582" i="7"/>
  <c r="J582" i="7"/>
  <c r="H582" i="7"/>
  <c r="F582" i="7"/>
  <c r="E582" i="7"/>
  <c r="D582" i="7"/>
  <c r="C582" i="7"/>
  <c r="N581" i="7"/>
  <c r="L581" i="7"/>
  <c r="J581" i="7"/>
  <c r="H581" i="7"/>
  <c r="F581" i="7"/>
  <c r="E581" i="7"/>
  <c r="D581" i="7"/>
  <c r="C581" i="7"/>
  <c r="N580" i="7"/>
  <c r="L580" i="7"/>
  <c r="J580" i="7"/>
  <c r="H580" i="7"/>
  <c r="E580" i="7"/>
  <c r="D580" i="7"/>
  <c r="C580" i="7"/>
  <c r="N579" i="7"/>
  <c r="L579" i="7"/>
  <c r="J579" i="7"/>
  <c r="H579" i="7"/>
  <c r="E579" i="7"/>
  <c r="D579" i="7"/>
  <c r="C579" i="7"/>
  <c r="N578" i="7"/>
  <c r="L578" i="7"/>
  <c r="J578" i="7"/>
  <c r="H578" i="7"/>
  <c r="E578" i="7"/>
  <c r="D578" i="7"/>
  <c r="C578" i="7"/>
  <c r="N577" i="7"/>
  <c r="L577" i="7"/>
  <c r="J577" i="7"/>
  <c r="H577" i="7"/>
  <c r="E577" i="7"/>
  <c r="D577" i="7"/>
  <c r="C577" i="7"/>
  <c r="N576" i="7"/>
  <c r="L576" i="7"/>
  <c r="J576" i="7"/>
  <c r="H576" i="7"/>
  <c r="E576" i="7"/>
  <c r="D576" i="7"/>
  <c r="C576" i="7"/>
  <c r="N575" i="7"/>
  <c r="L575" i="7"/>
  <c r="J575" i="7"/>
  <c r="H575" i="7"/>
  <c r="E575" i="7"/>
  <c r="D575" i="7"/>
  <c r="C575" i="7"/>
  <c r="N574" i="7"/>
  <c r="L574" i="7"/>
  <c r="J574" i="7"/>
  <c r="H574" i="7"/>
  <c r="E574" i="7"/>
  <c r="D574" i="7"/>
  <c r="C574" i="7"/>
  <c r="N573" i="7"/>
  <c r="L573" i="7"/>
  <c r="J573" i="7"/>
  <c r="H573" i="7"/>
  <c r="E573" i="7"/>
  <c r="D573" i="7"/>
  <c r="C573" i="7"/>
  <c r="N572" i="7"/>
  <c r="L572" i="7"/>
  <c r="J572" i="7"/>
  <c r="H572" i="7"/>
  <c r="E572" i="7"/>
  <c r="D572" i="7"/>
  <c r="C572" i="7"/>
  <c r="N571" i="7"/>
  <c r="L571" i="7"/>
  <c r="J571" i="7"/>
  <c r="H571" i="7"/>
  <c r="F571" i="7"/>
  <c r="E571" i="7"/>
  <c r="D571" i="7"/>
  <c r="C571" i="7"/>
  <c r="N570" i="7"/>
  <c r="L570" i="7"/>
  <c r="J570" i="7"/>
  <c r="H570" i="7"/>
  <c r="E570" i="7"/>
  <c r="D570" i="7"/>
  <c r="C570" i="7"/>
  <c r="N569" i="7"/>
  <c r="L569" i="7"/>
  <c r="J569" i="7"/>
  <c r="H569" i="7"/>
  <c r="E569" i="7"/>
  <c r="D569" i="7"/>
  <c r="C569" i="7"/>
  <c r="N568" i="7"/>
  <c r="L568" i="7"/>
  <c r="J568" i="7"/>
  <c r="H568" i="7"/>
  <c r="E568" i="7"/>
  <c r="D568" i="7"/>
  <c r="C568" i="7"/>
  <c r="N567" i="7"/>
  <c r="L567" i="7"/>
  <c r="J567" i="7"/>
  <c r="H567" i="7"/>
  <c r="E567" i="7"/>
  <c r="D567" i="7"/>
  <c r="C567" i="7"/>
  <c r="N566" i="7"/>
  <c r="L566" i="7"/>
  <c r="J566" i="7"/>
  <c r="H566" i="7"/>
  <c r="F566" i="7"/>
  <c r="E566" i="7"/>
  <c r="D566" i="7"/>
  <c r="C566" i="7"/>
  <c r="N565" i="7"/>
  <c r="L565" i="7"/>
  <c r="J565" i="7"/>
  <c r="H565" i="7"/>
  <c r="E565" i="7"/>
  <c r="D565" i="7"/>
  <c r="C565" i="7"/>
  <c r="N564" i="7"/>
  <c r="L564" i="7"/>
  <c r="J564" i="7"/>
  <c r="H564" i="7"/>
  <c r="E564" i="7"/>
  <c r="D564" i="7"/>
  <c r="C564" i="7"/>
  <c r="N563" i="7"/>
  <c r="L563" i="7"/>
  <c r="J563" i="7"/>
  <c r="H563" i="7"/>
  <c r="E563" i="7"/>
  <c r="D563" i="7"/>
  <c r="C563" i="7"/>
  <c r="N562" i="7"/>
  <c r="L562" i="7"/>
  <c r="J562" i="7"/>
  <c r="H562" i="7"/>
  <c r="E562" i="7"/>
  <c r="D562" i="7"/>
  <c r="C562" i="7"/>
  <c r="N561" i="7"/>
  <c r="L561" i="7"/>
  <c r="J561" i="7"/>
  <c r="H561" i="7"/>
  <c r="E561" i="7"/>
  <c r="D561" i="7"/>
  <c r="C561" i="7"/>
  <c r="N560" i="7"/>
  <c r="L560" i="7"/>
  <c r="J560" i="7"/>
  <c r="H560" i="7"/>
  <c r="E560" i="7"/>
  <c r="D560" i="7"/>
  <c r="C560" i="7"/>
  <c r="N559" i="7"/>
  <c r="L559" i="7"/>
  <c r="J559" i="7"/>
  <c r="H559" i="7"/>
  <c r="E559" i="7"/>
  <c r="D559" i="7"/>
  <c r="C559" i="7"/>
  <c r="N558" i="7"/>
  <c r="L558" i="7"/>
  <c r="J558" i="7"/>
  <c r="H558" i="7"/>
  <c r="E558" i="7"/>
  <c r="D558" i="7"/>
  <c r="C558" i="7"/>
  <c r="N557" i="7"/>
  <c r="L557" i="7"/>
  <c r="J557" i="7"/>
  <c r="H557" i="7"/>
  <c r="E557" i="7"/>
  <c r="D557" i="7"/>
  <c r="C557" i="7"/>
  <c r="N556" i="7"/>
  <c r="L556" i="7"/>
  <c r="J556" i="7"/>
  <c r="H556" i="7"/>
  <c r="E556" i="7"/>
  <c r="D556" i="7"/>
  <c r="C556" i="7"/>
  <c r="N555" i="7"/>
  <c r="L555" i="7"/>
  <c r="J555" i="7"/>
  <c r="H555" i="7"/>
  <c r="E555" i="7"/>
  <c r="D555" i="7"/>
  <c r="C555" i="7"/>
  <c r="N554" i="7"/>
  <c r="L554" i="7"/>
  <c r="J554" i="7"/>
  <c r="H554" i="7"/>
  <c r="E554" i="7"/>
  <c r="D554" i="7"/>
  <c r="C554" i="7"/>
  <c r="N553" i="7"/>
  <c r="L553" i="7"/>
  <c r="J553" i="7"/>
  <c r="H553" i="7"/>
  <c r="E553" i="7"/>
  <c r="D553" i="7"/>
  <c r="C553" i="7"/>
  <c r="N552" i="7"/>
  <c r="L552" i="7"/>
  <c r="J552" i="7"/>
  <c r="H552" i="7"/>
  <c r="F552" i="7"/>
  <c r="E552" i="7"/>
  <c r="D552" i="7"/>
  <c r="C552" i="7"/>
  <c r="N551" i="7"/>
  <c r="L551" i="7"/>
  <c r="J551" i="7"/>
  <c r="H551" i="7"/>
  <c r="E551" i="7"/>
  <c r="D551" i="7"/>
  <c r="C551" i="7"/>
  <c r="N550" i="7"/>
  <c r="L550" i="7"/>
  <c r="J550" i="7"/>
  <c r="H550" i="7"/>
  <c r="F550" i="7"/>
  <c r="E550" i="7"/>
  <c r="D550" i="7"/>
  <c r="C550" i="7"/>
  <c r="N549" i="7"/>
  <c r="L549" i="7"/>
  <c r="J549" i="7"/>
  <c r="H549" i="7"/>
  <c r="E549" i="7"/>
  <c r="D549" i="7"/>
  <c r="C549" i="7"/>
  <c r="N548" i="7"/>
  <c r="L548" i="7"/>
  <c r="J548" i="7"/>
  <c r="H548" i="7"/>
  <c r="E548" i="7"/>
  <c r="D548" i="7"/>
  <c r="C548" i="7"/>
  <c r="N547" i="7"/>
  <c r="L547" i="7"/>
  <c r="J547" i="7"/>
  <c r="H547" i="7"/>
  <c r="E547" i="7"/>
  <c r="D547" i="7"/>
  <c r="C547" i="7"/>
  <c r="N546" i="7"/>
  <c r="L546" i="7"/>
  <c r="J546" i="7"/>
  <c r="H546" i="7"/>
  <c r="F546" i="7"/>
  <c r="E546" i="7"/>
  <c r="D546" i="7"/>
  <c r="C546" i="7"/>
  <c r="N545" i="7"/>
  <c r="L545" i="7"/>
  <c r="J545" i="7"/>
  <c r="H545" i="7"/>
  <c r="E545" i="7"/>
  <c r="D545" i="7"/>
  <c r="C545" i="7"/>
  <c r="N544" i="7"/>
  <c r="L544" i="7"/>
  <c r="J544" i="7"/>
  <c r="H544" i="7"/>
  <c r="E544" i="7"/>
  <c r="D544" i="7"/>
  <c r="C544" i="7"/>
  <c r="N543" i="7"/>
  <c r="L543" i="7"/>
  <c r="J543" i="7"/>
  <c r="H543" i="7"/>
  <c r="F543" i="7"/>
  <c r="E543" i="7"/>
  <c r="D543" i="7"/>
  <c r="C543" i="7"/>
  <c r="N542" i="7"/>
  <c r="L542" i="7"/>
  <c r="J542" i="7"/>
  <c r="H542" i="7"/>
  <c r="E542" i="7"/>
  <c r="D542" i="7"/>
  <c r="C542" i="7"/>
  <c r="N541" i="7"/>
  <c r="L541" i="7"/>
  <c r="J541" i="7"/>
  <c r="H541" i="7"/>
  <c r="F541" i="7"/>
  <c r="E541" i="7"/>
  <c r="D541" i="7"/>
  <c r="C541" i="7"/>
  <c r="N540" i="7"/>
  <c r="L540" i="7"/>
  <c r="J540" i="7"/>
  <c r="H540" i="7"/>
  <c r="E540" i="7"/>
  <c r="D540" i="7"/>
  <c r="C540" i="7"/>
  <c r="N539" i="7"/>
  <c r="L539" i="7"/>
  <c r="J539" i="7"/>
  <c r="H539" i="7"/>
  <c r="F539" i="7"/>
  <c r="E539" i="7"/>
  <c r="D539" i="7"/>
  <c r="C539" i="7"/>
  <c r="N538" i="7"/>
  <c r="L538" i="7"/>
  <c r="J538" i="7"/>
  <c r="H538" i="7"/>
  <c r="E538" i="7"/>
  <c r="D538" i="7"/>
  <c r="C538" i="7"/>
  <c r="N537" i="7"/>
  <c r="L537" i="7"/>
  <c r="J537" i="7"/>
  <c r="H537" i="7"/>
  <c r="F537" i="7"/>
  <c r="E537" i="7"/>
  <c r="D537" i="7"/>
  <c r="C537" i="7"/>
  <c r="N536" i="7"/>
  <c r="L536" i="7"/>
  <c r="J536" i="7"/>
  <c r="H536" i="7"/>
  <c r="E536" i="7"/>
  <c r="D536" i="7"/>
  <c r="C536" i="7"/>
  <c r="N535" i="7"/>
  <c r="L535" i="7"/>
  <c r="J535" i="7"/>
  <c r="H535" i="7"/>
  <c r="E535" i="7"/>
  <c r="D535" i="7"/>
  <c r="C535" i="7"/>
  <c r="N534" i="7"/>
  <c r="L534" i="7"/>
  <c r="J534" i="7"/>
  <c r="H534" i="7"/>
  <c r="E534" i="7"/>
  <c r="D534" i="7"/>
  <c r="C534" i="7"/>
  <c r="N533" i="7"/>
  <c r="L533" i="7"/>
  <c r="J533" i="7"/>
  <c r="H533" i="7"/>
  <c r="F533" i="7"/>
  <c r="E533" i="7"/>
  <c r="D533" i="7"/>
  <c r="C533" i="7"/>
  <c r="N532" i="7"/>
  <c r="L532" i="7"/>
  <c r="J532" i="7"/>
  <c r="H532" i="7"/>
  <c r="E532" i="7"/>
  <c r="D532" i="7"/>
  <c r="C532" i="7"/>
  <c r="N531" i="7"/>
  <c r="L531" i="7"/>
  <c r="J531" i="7"/>
  <c r="H531" i="7"/>
  <c r="E531" i="7"/>
  <c r="D531" i="7"/>
  <c r="C531" i="7"/>
  <c r="N530" i="7"/>
  <c r="L530" i="7"/>
  <c r="J530" i="7"/>
  <c r="H530" i="7"/>
  <c r="F530" i="7"/>
  <c r="E530" i="7"/>
  <c r="D530" i="7"/>
  <c r="C530" i="7"/>
  <c r="N529" i="7"/>
  <c r="L529" i="7"/>
  <c r="J529" i="7"/>
  <c r="H529" i="7"/>
  <c r="E529" i="7"/>
  <c r="D529" i="7"/>
  <c r="C529" i="7"/>
  <c r="N528" i="7"/>
  <c r="L528" i="7"/>
  <c r="J528" i="7"/>
  <c r="H528" i="7"/>
  <c r="F528" i="7"/>
  <c r="E528" i="7"/>
  <c r="D528" i="7"/>
  <c r="C528" i="7"/>
  <c r="N527" i="7"/>
  <c r="L527" i="7"/>
  <c r="J527" i="7"/>
  <c r="H527" i="7"/>
  <c r="E527" i="7"/>
  <c r="D527" i="7"/>
  <c r="C527" i="7"/>
  <c r="N526" i="7"/>
  <c r="L526" i="7"/>
  <c r="J526" i="7"/>
  <c r="H526" i="7"/>
  <c r="E526" i="7"/>
  <c r="D526" i="7"/>
  <c r="C526" i="7"/>
  <c r="N525" i="7"/>
  <c r="L525" i="7"/>
  <c r="J525" i="7"/>
  <c r="H525" i="7"/>
  <c r="E525" i="7"/>
  <c r="D525" i="7"/>
  <c r="C525" i="7"/>
  <c r="N524" i="7"/>
  <c r="L524" i="7"/>
  <c r="J524" i="7"/>
  <c r="H524" i="7"/>
  <c r="F524" i="7"/>
  <c r="E524" i="7"/>
  <c r="D524" i="7"/>
  <c r="C524" i="7"/>
  <c r="N523" i="7"/>
  <c r="L523" i="7"/>
  <c r="J523" i="7"/>
  <c r="H523" i="7"/>
  <c r="E523" i="7"/>
  <c r="D523" i="7"/>
  <c r="C523" i="7"/>
  <c r="N522" i="7"/>
  <c r="L522" i="7"/>
  <c r="J522" i="7"/>
  <c r="H522" i="7"/>
  <c r="F522" i="7"/>
  <c r="E522" i="7"/>
  <c r="D522" i="7"/>
  <c r="C522" i="7"/>
  <c r="N521" i="7"/>
  <c r="L521" i="7"/>
  <c r="J521" i="7"/>
  <c r="H521" i="7"/>
  <c r="E521" i="7"/>
  <c r="D521" i="7"/>
  <c r="C521" i="7"/>
  <c r="N520" i="7"/>
  <c r="L520" i="7"/>
  <c r="J520" i="7"/>
  <c r="H520" i="7"/>
  <c r="E520" i="7"/>
  <c r="D520" i="7"/>
  <c r="C520" i="7"/>
  <c r="N519" i="7"/>
  <c r="L519" i="7"/>
  <c r="J519" i="7"/>
  <c r="H519" i="7"/>
  <c r="E519" i="7"/>
  <c r="D519" i="7"/>
  <c r="C519" i="7"/>
  <c r="N518" i="7"/>
  <c r="L518" i="7"/>
  <c r="J518" i="7"/>
  <c r="H518" i="7"/>
  <c r="E518" i="7"/>
  <c r="D518" i="7"/>
  <c r="C518" i="7"/>
  <c r="N517" i="7"/>
  <c r="L517" i="7"/>
  <c r="J517" i="7"/>
  <c r="H517" i="7"/>
  <c r="E517" i="7"/>
  <c r="D517" i="7"/>
  <c r="C517" i="7"/>
  <c r="N516" i="7"/>
  <c r="L516" i="7"/>
  <c r="J516" i="7"/>
  <c r="H516" i="7"/>
  <c r="E516" i="7"/>
  <c r="D516" i="7"/>
  <c r="C516" i="7"/>
  <c r="N515" i="7"/>
  <c r="L515" i="7"/>
  <c r="J515" i="7"/>
  <c r="H515" i="7"/>
  <c r="E515" i="7"/>
  <c r="D515" i="7"/>
  <c r="C515" i="7"/>
  <c r="N514" i="7"/>
  <c r="L514" i="7"/>
  <c r="J514" i="7"/>
  <c r="H514" i="7"/>
  <c r="E514" i="7"/>
  <c r="D514" i="7"/>
  <c r="C514" i="7"/>
  <c r="N513" i="7"/>
  <c r="L513" i="7"/>
  <c r="J513" i="7"/>
  <c r="H513" i="7"/>
  <c r="E513" i="7"/>
  <c r="D513" i="7"/>
  <c r="C513" i="7"/>
  <c r="N512" i="7"/>
  <c r="L512" i="7"/>
  <c r="J512" i="7"/>
  <c r="H512" i="7"/>
  <c r="E512" i="7"/>
  <c r="D512" i="7"/>
  <c r="C512" i="7"/>
  <c r="N511" i="7"/>
  <c r="L511" i="7"/>
  <c r="J511" i="7"/>
  <c r="H511" i="7"/>
  <c r="E511" i="7"/>
  <c r="D511" i="7"/>
  <c r="C511" i="7"/>
  <c r="N510" i="7"/>
  <c r="L510" i="7"/>
  <c r="J510" i="7"/>
  <c r="H510" i="7"/>
  <c r="E510" i="7"/>
  <c r="D510" i="7"/>
  <c r="C510" i="7"/>
  <c r="N509" i="7"/>
  <c r="L509" i="7"/>
  <c r="J509" i="7"/>
  <c r="H509" i="7"/>
  <c r="E509" i="7"/>
  <c r="D509" i="7"/>
  <c r="C509" i="7"/>
  <c r="N508" i="7"/>
  <c r="L508" i="7"/>
  <c r="J508" i="7"/>
  <c r="H508" i="7"/>
  <c r="E508" i="7"/>
  <c r="D508" i="7"/>
  <c r="C508" i="7"/>
  <c r="N507" i="7"/>
  <c r="L507" i="7"/>
  <c r="J507" i="7"/>
  <c r="H507" i="7"/>
  <c r="E507" i="7"/>
  <c r="D507" i="7"/>
  <c r="C507" i="7"/>
  <c r="N506" i="7"/>
  <c r="L506" i="7"/>
  <c r="J506" i="7"/>
  <c r="H506" i="7"/>
  <c r="E506" i="7"/>
  <c r="D506" i="7"/>
  <c r="C506" i="7"/>
  <c r="N505" i="7"/>
  <c r="L505" i="7"/>
  <c r="J505" i="7"/>
  <c r="H505" i="7"/>
  <c r="E505" i="7"/>
  <c r="D505" i="7"/>
  <c r="C505" i="7"/>
  <c r="N504" i="7"/>
  <c r="L504" i="7"/>
  <c r="J504" i="7"/>
  <c r="H504" i="7"/>
  <c r="F504" i="7"/>
  <c r="E504" i="7"/>
  <c r="D504" i="7"/>
  <c r="C504" i="7"/>
  <c r="N503" i="7"/>
  <c r="L503" i="7"/>
  <c r="J503" i="7"/>
  <c r="H503" i="7"/>
  <c r="F503" i="7"/>
  <c r="E503" i="7"/>
  <c r="D503" i="7"/>
  <c r="C503" i="7"/>
  <c r="N502" i="7"/>
  <c r="L502" i="7"/>
  <c r="J502" i="7"/>
  <c r="H502" i="7"/>
  <c r="E502" i="7"/>
  <c r="D502" i="7"/>
  <c r="C502" i="7"/>
  <c r="N501" i="7"/>
  <c r="L501" i="7"/>
  <c r="J501" i="7"/>
  <c r="H501" i="7"/>
  <c r="E501" i="7"/>
  <c r="D501" i="7"/>
  <c r="C501" i="7"/>
  <c r="N500" i="7"/>
  <c r="L500" i="7"/>
  <c r="J500" i="7"/>
  <c r="H500" i="7"/>
  <c r="E500" i="7"/>
  <c r="D500" i="7"/>
  <c r="C500" i="7"/>
  <c r="N499" i="7"/>
  <c r="L499" i="7"/>
  <c r="J499" i="7"/>
  <c r="H499" i="7"/>
  <c r="F499" i="7"/>
  <c r="E499" i="7"/>
  <c r="D499" i="7"/>
  <c r="C499" i="7"/>
  <c r="N498" i="7"/>
  <c r="L498" i="7"/>
  <c r="J498" i="7"/>
  <c r="H498" i="7"/>
  <c r="E498" i="7"/>
  <c r="D498" i="7"/>
  <c r="C498" i="7"/>
  <c r="N497" i="7"/>
  <c r="L497" i="7"/>
  <c r="J497" i="7"/>
  <c r="H497" i="7"/>
  <c r="E497" i="7"/>
  <c r="D497" i="7"/>
  <c r="C497" i="7"/>
  <c r="N496" i="7"/>
  <c r="L496" i="7"/>
  <c r="J496" i="7"/>
  <c r="H496" i="7"/>
  <c r="E496" i="7"/>
  <c r="D496" i="7"/>
  <c r="C496" i="7"/>
  <c r="N495" i="7"/>
  <c r="L495" i="7"/>
  <c r="J495" i="7"/>
  <c r="H495" i="7"/>
  <c r="F495" i="7"/>
  <c r="E495" i="7"/>
  <c r="D495" i="7"/>
  <c r="C495" i="7"/>
  <c r="N494" i="7"/>
  <c r="L494" i="7"/>
  <c r="J494" i="7"/>
  <c r="H494" i="7"/>
  <c r="F494" i="7"/>
  <c r="E494" i="7"/>
  <c r="D494" i="7"/>
  <c r="C494" i="7"/>
  <c r="N493" i="7"/>
  <c r="L493" i="7"/>
  <c r="J493" i="7"/>
  <c r="H493" i="7"/>
  <c r="E493" i="7"/>
  <c r="D493" i="7"/>
  <c r="C493" i="7"/>
  <c r="N492" i="7"/>
  <c r="L492" i="7"/>
  <c r="J492" i="7"/>
  <c r="H492" i="7"/>
  <c r="E492" i="7"/>
  <c r="D492" i="7"/>
  <c r="C492" i="7"/>
  <c r="N491" i="7"/>
  <c r="L491" i="7"/>
  <c r="J491" i="7"/>
  <c r="H491" i="7"/>
  <c r="E491" i="7"/>
  <c r="D491" i="7"/>
  <c r="C491" i="7"/>
  <c r="N490" i="7"/>
  <c r="L490" i="7"/>
  <c r="J490" i="7"/>
  <c r="H490" i="7"/>
  <c r="F490" i="7"/>
  <c r="E490" i="7"/>
  <c r="D490" i="7"/>
  <c r="C490" i="7"/>
  <c r="N489" i="7"/>
  <c r="L489" i="7"/>
  <c r="J489" i="7"/>
  <c r="H489" i="7"/>
  <c r="E489" i="7"/>
  <c r="D489" i="7"/>
  <c r="C489" i="7"/>
  <c r="N488" i="7"/>
  <c r="L488" i="7"/>
  <c r="J488" i="7"/>
  <c r="H488" i="7"/>
  <c r="F488" i="7"/>
  <c r="E488" i="7"/>
  <c r="D488" i="7"/>
  <c r="C488" i="7"/>
  <c r="N487" i="7"/>
  <c r="L487" i="7"/>
  <c r="J487" i="7"/>
  <c r="H487" i="7"/>
  <c r="E487" i="7"/>
  <c r="D487" i="7"/>
  <c r="C487" i="7"/>
  <c r="N486" i="7"/>
  <c r="L486" i="7"/>
  <c r="J486" i="7"/>
  <c r="H486" i="7"/>
  <c r="F486" i="7"/>
  <c r="E486" i="7"/>
  <c r="D486" i="7"/>
  <c r="C486" i="7"/>
  <c r="N485" i="7"/>
  <c r="L485" i="7"/>
  <c r="J485" i="7"/>
  <c r="H485" i="7"/>
  <c r="E485" i="7"/>
  <c r="D485" i="7"/>
  <c r="C485" i="7"/>
  <c r="N484" i="7"/>
  <c r="L484" i="7"/>
  <c r="J484" i="7"/>
  <c r="H484" i="7"/>
  <c r="F484" i="7"/>
  <c r="E484" i="7"/>
  <c r="D484" i="7"/>
  <c r="C484" i="7"/>
  <c r="N483" i="7"/>
  <c r="L483" i="7"/>
  <c r="J483" i="7"/>
  <c r="H483" i="7"/>
  <c r="E483" i="7"/>
  <c r="D483" i="7"/>
  <c r="C483" i="7"/>
  <c r="N482" i="7"/>
  <c r="L482" i="7"/>
  <c r="J482" i="7"/>
  <c r="H482" i="7"/>
  <c r="E482" i="7"/>
  <c r="D482" i="7"/>
  <c r="C482" i="7"/>
  <c r="N481" i="7"/>
  <c r="L481" i="7"/>
  <c r="J481" i="7"/>
  <c r="H481" i="7"/>
  <c r="E481" i="7"/>
  <c r="D481" i="7"/>
  <c r="C481" i="7"/>
  <c r="N480" i="7"/>
  <c r="L480" i="7"/>
  <c r="J480" i="7"/>
  <c r="H480" i="7"/>
  <c r="E480" i="7"/>
  <c r="D480" i="7"/>
  <c r="C480" i="7"/>
  <c r="N479" i="7"/>
  <c r="L479" i="7"/>
  <c r="J479" i="7"/>
  <c r="H479" i="7"/>
  <c r="E479" i="7"/>
  <c r="D479" i="7"/>
  <c r="C479" i="7"/>
  <c r="N478" i="7"/>
  <c r="L478" i="7"/>
  <c r="J478" i="7"/>
  <c r="H478" i="7"/>
  <c r="E478" i="7"/>
  <c r="D478" i="7"/>
  <c r="C478" i="7"/>
  <c r="N477" i="7"/>
  <c r="L477" i="7"/>
  <c r="J477" i="7"/>
  <c r="H477" i="7"/>
  <c r="E477" i="7"/>
  <c r="D477" i="7"/>
  <c r="C477" i="7"/>
  <c r="N476" i="7"/>
  <c r="L476" i="7"/>
  <c r="J476" i="7"/>
  <c r="H476" i="7"/>
  <c r="E476" i="7"/>
  <c r="D476" i="7"/>
  <c r="C476" i="7"/>
  <c r="N475" i="7"/>
  <c r="L475" i="7"/>
  <c r="J475" i="7"/>
  <c r="H475" i="7"/>
  <c r="E475" i="7"/>
  <c r="D475" i="7"/>
  <c r="C475" i="7"/>
  <c r="N474" i="7"/>
  <c r="L474" i="7"/>
  <c r="J474" i="7"/>
  <c r="H474" i="7"/>
  <c r="E474" i="7"/>
  <c r="D474" i="7"/>
  <c r="C474" i="7"/>
  <c r="N473" i="7"/>
  <c r="L473" i="7"/>
  <c r="J473" i="7"/>
  <c r="H473" i="7"/>
  <c r="E473" i="7"/>
  <c r="D473" i="7"/>
  <c r="C473" i="7"/>
  <c r="N472" i="7"/>
  <c r="L472" i="7"/>
  <c r="J472" i="7"/>
  <c r="H472" i="7"/>
  <c r="E472" i="7"/>
  <c r="D472" i="7"/>
  <c r="C472" i="7"/>
  <c r="N471" i="7"/>
  <c r="L471" i="7"/>
  <c r="J471" i="7"/>
  <c r="H471" i="7"/>
  <c r="E471" i="7"/>
  <c r="D471" i="7"/>
  <c r="C471" i="7"/>
  <c r="N470" i="7"/>
  <c r="L470" i="7"/>
  <c r="J470" i="7"/>
  <c r="H470" i="7"/>
  <c r="E470" i="7"/>
  <c r="D470" i="7"/>
  <c r="C470" i="7"/>
  <c r="N469" i="7"/>
  <c r="L469" i="7"/>
  <c r="J469" i="7"/>
  <c r="H469" i="7"/>
  <c r="E469" i="7"/>
  <c r="D469" i="7"/>
  <c r="C469" i="7"/>
  <c r="N468" i="7"/>
  <c r="L468" i="7"/>
  <c r="J468" i="7"/>
  <c r="H468" i="7"/>
  <c r="E468" i="7"/>
  <c r="D468" i="7"/>
  <c r="C468" i="7"/>
  <c r="N467" i="7"/>
  <c r="L467" i="7"/>
  <c r="J467" i="7"/>
  <c r="H467" i="7"/>
  <c r="E467" i="7"/>
  <c r="D467" i="7"/>
  <c r="C467" i="7"/>
  <c r="N466" i="7"/>
  <c r="L466" i="7"/>
  <c r="J466" i="7"/>
  <c r="H466" i="7"/>
  <c r="E466" i="7"/>
  <c r="D466" i="7"/>
  <c r="C466" i="7"/>
  <c r="N465" i="7"/>
  <c r="L465" i="7"/>
  <c r="J465" i="7"/>
  <c r="H465" i="7"/>
  <c r="E465" i="7"/>
  <c r="D465" i="7"/>
  <c r="C465" i="7"/>
  <c r="N464" i="7"/>
  <c r="L464" i="7"/>
  <c r="J464" i="7"/>
  <c r="H464" i="7"/>
  <c r="E464" i="7"/>
  <c r="D464" i="7"/>
  <c r="C464" i="7"/>
  <c r="N463" i="7"/>
  <c r="L463" i="7"/>
  <c r="J463" i="7"/>
  <c r="H463" i="7"/>
  <c r="E463" i="7"/>
  <c r="D463" i="7"/>
  <c r="C463" i="7"/>
  <c r="N462" i="7"/>
  <c r="L462" i="7"/>
  <c r="J462" i="7"/>
  <c r="H462" i="7"/>
  <c r="E462" i="7"/>
  <c r="D462" i="7"/>
  <c r="C462" i="7"/>
  <c r="N461" i="7"/>
  <c r="L461" i="7"/>
  <c r="J461" i="7"/>
  <c r="H461" i="7"/>
  <c r="E461" i="7"/>
  <c r="D461" i="7"/>
  <c r="C461" i="7"/>
  <c r="N460" i="7"/>
  <c r="L460" i="7"/>
  <c r="J460" i="7"/>
  <c r="H460" i="7"/>
  <c r="E460" i="7"/>
  <c r="D460" i="7"/>
  <c r="C460" i="7"/>
  <c r="N459" i="7"/>
  <c r="L459" i="7"/>
  <c r="J459" i="7"/>
  <c r="H459" i="7"/>
  <c r="E459" i="7"/>
  <c r="D459" i="7"/>
  <c r="C459" i="7"/>
  <c r="N458" i="7"/>
  <c r="L458" i="7"/>
  <c r="J458" i="7"/>
  <c r="H458" i="7"/>
  <c r="E458" i="7"/>
  <c r="D458" i="7"/>
  <c r="C458" i="7"/>
  <c r="N457" i="7"/>
  <c r="L457" i="7"/>
  <c r="J457" i="7"/>
  <c r="H457" i="7"/>
  <c r="E457" i="7"/>
  <c r="D457" i="7"/>
  <c r="C457" i="7"/>
  <c r="N456" i="7"/>
  <c r="L456" i="7"/>
  <c r="J456" i="7"/>
  <c r="H456" i="7"/>
  <c r="E456" i="7"/>
  <c r="D456" i="7"/>
  <c r="C456" i="7"/>
  <c r="N455" i="7"/>
  <c r="L455" i="7"/>
  <c r="J455" i="7"/>
  <c r="H455" i="7"/>
  <c r="E455" i="7"/>
  <c r="D455" i="7"/>
  <c r="C455" i="7"/>
  <c r="N454" i="7"/>
  <c r="L454" i="7"/>
  <c r="J454" i="7"/>
  <c r="H454" i="7"/>
  <c r="F454" i="7"/>
  <c r="E454" i="7"/>
  <c r="D454" i="7"/>
  <c r="C454" i="7"/>
  <c r="N453" i="7"/>
  <c r="L453" i="7"/>
  <c r="J453" i="7"/>
  <c r="H453" i="7"/>
  <c r="E453" i="7"/>
  <c r="D453" i="7"/>
  <c r="C453" i="7"/>
  <c r="N452" i="7"/>
  <c r="L452" i="7"/>
  <c r="J452" i="7"/>
  <c r="H452" i="7"/>
  <c r="E452" i="7"/>
  <c r="D452" i="7"/>
  <c r="C452" i="7"/>
  <c r="N451" i="7"/>
  <c r="L451" i="7"/>
  <c r="J451" i="7"/>
  <c r="H451" i="7"/>
  <c r="E451" i="7"/>
  <c r="D451" i="7"/>
  <c r="C451" i="7"/>
  <c r="N450" i="7"/>
  <c r="L450" i="7"/>
  <c r="J450" i="7"/>
  <c r="H450" i="7"/>
  <c r="E450" i="7"/>
  <c r="D450" i="7"/>
  <c r="C450" i="7"/>
  <c r="N449" i="7"/>
  <c r="L449" i="7"/>
  <c r="J449" i="7"/>
  <c r="H449" i="7"/>
  <c r="E449" i="7"/>
  <c r="D449" i="7"/>
  <c r="C449" i="7"/>
  <c r="N448" i="7"/>
  <c r="L448" i="7"/>
  <c r="J448" i="7"/>
  <c r="H448" i="7"/>
  <c r="E448" i="7"/>
  <c r="D448" i="7"/>
  <c r="C448" i="7"/>
  <c r="N447" i="7"/>
  <c r="L447" i="7"/>
  <c r="J447" i="7"/>
  <c r="H447" i="7"/>
  <c r="E447" i="7"/>
  <c r="D447" i="7"/>
  <c r="C447" i="7"/>
  <c r="N446" i="7"/>
  <c r="L446" i="7"/>
  <c r="J446" i="7"/>
  <c r="H446" i="7"/>
  <c r="E446" i="7"/>
  <c r="D446" i="7"/>
  <c r="C446" i="7"/>
  <c r="N445" i="7"/>
  <c r="L445" i="7"/>
  <c r="J445" i="7"/>
  <c r="H445" i="7"/>
  <c r="E445" i="7"/>
  <c r="D445" i="7"/>
  <c r="C445" i="7"/>
  <c r="N444" i="7"/>
  <c r="L444" i="7"/>
  <c r="J444" i="7"/>
  <c r="H444" i="7"/>
  <c r="E444" i="7"/>
  <c r="D444" i="7"/>
  <c r="C444" i="7"/>
  <c r="N443" i="7"/>
  <c r="L443" i="7"/>
  <c r="J443" i="7"/>
  <c r="H443" i="7"/>
  <c r="E443" i="7"/>
  <c r="D443" i="7"/>
  <c r="C443" i="7"/>
  <c r="N442" i="7"/>
  <c r="L442" i="7"/>
  <c r="J442" i="7"/>
  <c r="H442" i="7"/>
  <c r="E442" i="7"/>
  <c r="D442" i="7"/>
  <c r="C442" i="7"/>
  <c r="N441" i="7"/>
  <c r="L441" i="7"/>
  <c r="J441" i="7"/>
  <c r="H441" i="7"/>
  <c r="F441" i="7"/>
  <c r="E441" i="7"/>
  <c r="D441" i="7"/>
  <c r="C441" i="7"/>
  <c r="N440" i="7"/>
  <c r="L440" i="7"/>
  <c r="J440" i="7"/>
  <c r="H440" i="7"/>
  <c r="E440" i="7"/>
  <c r="D440" i="7"/>
  <c r="C440" i="7"/>
  <c r="N439" i="7"/>
  <c r="L439" i="7"/>
  <c r="J439" i="7"/>
  <c r="H439" i="7"/>
  <c r="E439" i="7"/>
  <c r="D439" i="7"/>
  <c r="C439" i="7"/>
  <c r="N438" i="7"/>
  <c r="L438" i="7"/>
  <c r="J438" i="7"/>
  <c r="H438" i="7"/>
  <c r="E438" i="7"/>
  <c r="D438" i="7"/>
  <c r="C438" i="7"/>
  <c r="N437" i="7"/>
  <c r="L437" i="7"/>
  <c r="J437" i="7"/>
  <c r="H437" i="7"/>
  <c r="E437" i="7"/>
  <c r="D437" i="7"/>
  <c r="C437" i="7"/>
  <c r="N436" i="7"/>
  <c r="L436" i="7"/>
  <c r="J436" i="7"/>
  <c r="H436" i="7"/>
  <c r="E436" i="7"/>
  <c r="D436" i="7"/>
  <c r="C436" i="7"/>
  <c r="N435" i="7"/>
  <c r="L435" i="7"/>
  <c r="J435" i="7"/>
  <c r="H435" i="7"/>
  <c r="E435" i="7"/>
  <c r="D435" i="7"/>
  <c r="C435" i="7"/>
  <c r="N434" i="7"/>
  <c r="L434" i="7"/>
  <c r="J434" i="7"/>
  <c r="H434" i="7"/>
  <c r="E434" i="7"/>
  <c r="D434" i="7"/>
  <c r="C434" i="7"/>
  <c r="N433" i="7"/>
  <c r="L433" i="7"/>
  <c r="J433" i="7"/>
  <c r="H433" i="7"/>
  <c r="E433" i="7"/>
  <c r="D433" i="7"/>
  <c r="C433" i="7"/>
  <c r="N432" i="7"/>
  <c r="L432" i="7"/>
  <c r="J432" i="7"/>
  <c r="H432" i="7"/>
  <c r="E432" i="7"/>
  <c r="D432" i="7"/>
  <c r="C432" i="7"/>
  <c r="N431" i="7"/>
  <c r="L431" i="7"/>
  <c r="J431" i="7"/>
  <c r="H431" i="7"/>
  <c r="E431" i="7"/>
  <c r="D431" i="7"/>
  <c r="C431" i="7"/>
  <c r="N430" i="7"/>
  <c r="L430" i="7"/>
  <c r="J430" i="7"/>
  <c r="H430" i="7"/>
  <c r="E430" i="7"/>
  <c r="D430" i="7"/>
  <c r="C430" i="7"/>
  <c r="N429" i="7"/>
  <c r="L429" i="7"/>
  <c r="J429" i="7"/>
  <c r="H429" i="7"/>
  <c r="E429" i="7"/>
  <c r="D429" i="7"/>
  <c r="C429" i="7"/>
  <c r="N428" i="7"/>
  <c r="L428" i="7"/>
  <c r="J428" i="7"/>
  <c r="H428" i="7"/>
  <c r="E428" i="7"/>
  <c r="D428" i="7"/>
  <c r="C428" i="7"/>
  <c r="N427" i="7"/>
  <c r="L427" i="7"/>
  <c r="J427" i="7"/>
  <c r="H427" i="7"/>
  <c r="E427" i="7"/>
  <c r="D427" i="7"/>
  <c r="C427" i="7"/>
  <c r="N426" i="7"/>
  <c r="L426" i="7"/>
  <c r="J426" i="7"/>
  <c r="H426" i="7"/>
  <c r="F426" i="7"/>
  <c r="E426" i="7"/>
  <c r="D426" i="7"/>
  <c r="C426" i="7"/>
  <c r="N425" i="7"/>
  <c r="L425" i="7"/>
  <c r="J425" i="7"/>
  <c r="H425" i="7"/>
  <c r="E425" i="7"/>
  <c r="D425" i="7"/>
  <c r="C425" i="7"/>
  <c r="N424" i="7"/>
  <c r="L424" i="7"/>
  <c r="J424" i="7"/>
  <c r="H424" i="7"/>
  <c r="E424" i="7"/>
  <c r="D424" i="7"/>
  <c r="C424" i="7"/>
  <c r="N423" i="7"/>
  <c r="L423" i="7"/>
  <c r="J423" i="7"/>
  <c r="H423" i="7"/>
  <c r="E423" i="7"/>
  <c r="D423" i="7"/>
  <c r="C423" i="7"/>
  <c r="N422" i="7"/>
  <c r="L422" i="7"/>
  <c r="J422" i="7"/>
  <c r="H422" i="7"/>
  <c r="E422" i="7"/>
  <c r="D422" i="7"/>
  <c r="C422" i="7"/>
  <c r="N421" i="7"/>
  <c r="L421" i="7"/>
  <c r="J421" i="7"/>
  <c r="H421" i="7"/>
  <c r="F421" i="7"/>
  <c r="E421" i="7"/>
  <c r="D421" i="7"/>
  <c r="C421" i="7"/>
  <c r="N420" i="7"/>
  <c r="L420" i="7"/>
  <c r="J420" i="7"/>
  <c r="H420" i="7"/>
  <c r="E420" i="7"/>
  <c r="D420" i="7"/>
  <c r="C420" i="7"/>
  <c r="N419" i="7"/>
  <c r="L419" i="7"/>
  <c r="J419" i="7"/>
  <c r="H419" i="7"/>
  <c r="F419" i="7"/>
  <c r="E419" i="7"/>
  <c r="D419" i="7"/>
  <c r="C419" i="7"/>
  <c r="N418" i="7"/>
  <c r="L418" i="7"/>
  <c r="J418" i="7"/>
  <c r="H418" i="7"/>
  <c r="F418" i="7"/>
  <c r="E418" i="7"/>
  <c r="D418" i="7"/>
  <c r="C418" i="7"/>
  <c r="N417" i="7"/>
  <c r="L417" i="7"/>
  <c r="J417" i="7"/>
  <c r="H417" i="7"/>
  <c r="E417" i="7"/>
  <c r="D417" i="7"/>
  <c r="C417" i="7"/>
  <c r="N416" i="7"/>
  <c r="L416" i="7"/>
  <c r="J416" i="7"/>
  <c r="H416" i="7"/>
  <c r="F416" i="7"/>
  <c r="E416" i="7"/>
  <c r="D416" i="7"/>
  <c r="C416" i="7"/>
  <c r="N415" i="7"/>
  <c r="L415" i="7"/>
  <c r="J415" i="7"/>
  <c r="H415" i="7"/>
  <c r="E415" i="7"/>
  <c r="D415" i="7"/>
  <c r="C415" i="7"/>
  <c r="N414" i="7"/>
  <c r="L414" i="7"/>
  <c r="J414" i="7"/>
  <c r="H414" i="7"/>
  <c r="F414" i="7"/>
  <c r="E414" i="7"/>
  <c r="D414" i="7"/>
  <c r="C414" i="7"/>
  <c r="N413" i="7"/>
  <c r="L413" i="7"/>
  <c r="J413" i="7"/>
  <c r="H413" i="7"/>
  <c r="E413" i="7"/>
  <c r="D413" i="7"/>
  <c r="C413" i="7"/>
  <c r="N412" i="7"/>
  <c r="L412" i="7"/>
  <c r="J412" i="7"/>
  <c r="H412" i="7"/>
  <c r="F412" i="7"/>
  <c r="E412" i="7"/>
  <c r="D412" i="7"/>
  <c r="C412" i="7"/>
  <c r="N411" i="7"/>
  <c r="L411" i="7"/>
  <c r="J411" i="7"/>
  <c r="H411" i="7"/>
  <c r="E411" i="7"/>
  <c r="D411" i="7"/>
  <c r="C411" i="7"/>
  <c r="N410" i="7"/>
  <c r="L410" i="7"/>
  <c r="J410" i="7"/>
  <c r="H410" i="7"/>
  <c r="F410" i="7"/>
  <c r="E410" i="7"/>
  <c r="D410" i="7"/>
  <c r="C410" i="7"/>
  <c r="N409" i="7"/>
  <c r="L409" i="7"/>
  <c r="J409" i="7"/>
  <c r="H409" i="7"/>
  <c r="F409" i="7"/>
  <c r="E409" i="7"/>
  <c r="D409" i="7"/>
  <c r="C409" i="7"/>
  <c r="N408" i="7"/>
  <c r="L408" i="7"/>
  <c r="J408" i="7"/>
  <c r="H408" i="7"/>
  <c r="F408" i="7"/>
  <c r="E408" i="7"/>
  <c r="D408" i="7"/>
  <c r="C408" i="7"/>
  <c r="N407" i="7"/>
  <c r="L407" i="7"/>
  <c r="J407" i="7"/>
  <c r="H407" i="7"/>
  <c r="F407" i="7"/>
  <c r="E407" i="7"/>
  <c r="D407" i="7"/>
  <c r="C407" i="7"/>
  <c r="N406" i="7"/>
  <c r="L406" i="7"/>
  <c r="J406" i="7"/>
  <c r="H406" i="7"/>
  <c r="E406" i="7"/>
  <c r="D406" i="7"/>
  <c r="C406" i="7"/>
  <c r="N405" i="7"/>
  <c r="L405" i="7"/>
  <c r="J405" i="7"/>
  <c r="H405" i="7"/>
  <c r="F405" i="7"/>
  <c r="E405" i="7"/>
  <c r="D405" i="7"/>
  <c r="C405" i="7"/>
  <c r="N404" i="7"/>
  <c r="L404" i="7"/>
  <c r="J404" i="7"/>
  <c r="H404" i="7"/>
  <c r="E404" i="7"/>
  <c r="D404" i="7"/>
  <c r="C404" i="7"/>
  <c r="N403" i="7"/>
  <c r="L403" i="7"/>
  <c r="J403" i="7"/>
  <c r="H403" i="7"/>
  <c r="F403" i="7"/>
  <c r="E403" i="7"/>
  <c r="D403" i="7"/>
  <c r="C403" i="7"/>
  <c r="N402" i="7"/>
  <c r="L402" i="7"/>
  <c r="J402" i="7"/>
  <c r="H402" i="7"/>
  <c r="E402" i="7"/>
  <c r="D402" i="7"/>
  <c r="C402" i="7"/>
  <c r="N401" i="7"/>
  <c r="L401" i="7"/>
  <c r="J401" i="7"/>
  <c r="H401" i="7"/>
  <c r="E401" i="7"/>
  <c r="D401" i="7"/>
  <c r="C401" i="7"/>
  <c r="N400" i="7"/>
  <c r="L400" i="7"/>
  <c r="J400" i="7"/>
  <c r="H400" i="7"/>
  <c r="E400" i="7"/>
  <c r="D400" i="7"/>
  <c r="C400" i="7"/>
  <c r="N399" i="7"/>
  <c r="L399" i="7"/>
  <c r="J399" i="7"/>
  <c r="H399" i="7"/>
  <c r="F399" i="7"/>
  <c r="E399" i="7"/>
  <c r="D399" i="7"/>
  <c r="C399" i="7"/>
  <c r="N398" i="7"/>
  <c r="L398" i="7"/>
  <c r="J398" i="7"/>
  <c r="H398" i="7"/>
  <c r="F398" i="7"/>
  <c r="E398" i="7"/>
  <c r="D398" i="7"/>
  <c r="C398" i="7"/>
  <c r="N397" i="7"/>
  <c r="L397" i="7"/>
  <c r="J397" i="7"/>
  <c r="H397" i="7"/>
  <c r="F397" i="7"/>
  <c r="E397" i="7"/>
  <c r="D397" i="7"/>
  <c r="C397" i="7"/>
  <c r="N396" i="7"/>
  <c r="L396" i="7"/>
  <c r="J396" i="7"/>
  <c r="H396" i="7"/>
  <c r="F396" i="7"/>
  <c r="E396" i="7"/>
  <c r="D396" i="7"/>
  <c r="C396" i="7"/>
  <c r="N395" i="7"/>
  <c r="L395" i="7"/>
  <c r="J395" i="7"/>
  <c r="H395" i="7"/>
  <c r="E395" i="7"/>
  <c r="D395" i="7"/>
  <c r="C395" i="7"/>
  <c r="N394" i="7"/>
  <c r="L394" i="7"/>
  <c r="J394" i="7"/>
  <c r="H394" i="7"/>
  <c r="F394" i="7"/>
  <c r="E394" i="7"/>
  <c r="D394" i="7"/>
  <c r="C394" i="7"/>
  <c r="N393" i="7"/>
  <c r="L393" i="7"/>
  <c r="J393" i="7"/>
  <c r="H393" i="7"/>
  <c r="E393" i="7"/>
  <c r="D393" i="7"/>
  <c r="C393" i="7"/>
  <c r="N392" i="7"/>
  <c r="L392" i="7"/>
  <c r="J392" i="7"/>
  <c r="H392" i="7"/>
  <c r="F392" i="7"/>
  <c r="E392" i="7"/>
  <c r="D392" i="7"/>
  <c r="C392" i="7"/>
  <c r="N391" i="7"/>
  <c r="L391" i="7"/>
  <c r="J391" i="7"/>
  <c r="H391" i="7"/>
  <c r="E391" i="7"/>
  <c r="D391" i="7"/>
  <c r="C391" i="7"/>
  <c r="N390" i="7"/>
  <c r="L390" i="7"/>
  <c r="J390" i="7"/>
  <c r="H390" i="7"/>
  <c r="E390" i="7"/>
  <c r="D390" i="7"/>
  <c r="C390" i="7"/>
  <c r="N389" i="7"/>
  <c r="L389" i="7"/>
  <c r="J389" i="7"/>
  <c r="H389" i="7"/>
  <c r="F389" i="7"/>
  <c r="E389" i="7"/>
  <c r="D389" i="7"/>
  <c r="C389" i="7"/>
  <c r="N388" i="7"/>
  <c r="L388" i="7"/>
  <c r="J388" i="7"/>
  <c r="H388" i="7"/>
  <c r="F388" i="7"/>
  <c r="E388" i="7"/>
  <c r="D388" i="7"/>
  <c r="C388" i="7"/>
  <c r="N387" i="7"/>
  <c r="L387" i="7"/>
  <c r="J387" i="7"/>
  <c r="H387" i="7"/>
  <c r="F387" i="7"/>
  <c r="E387" i="7"/>
  <c r="D387" i="7"/>
  <c r="C387" i="7"/>
  <c r="N386" i="7"/>
  <c r="L386" i="7"/>
  <c r="J386" i="7"/>
  <c r="H386" i="7"/>
  <c r="E386" i="7"/>
  <c r="D386" i="7"/>
  <c r="C386" i="7"/>
  <c r="N385" i="7"/>
  <c r="L385" i="7"/>
  <c r="J385" i="7"/>
  <c r="H385" i="7"/>
  <c r="E385" i="7"/>
  <c r="D385" i="7"/>
  <c r="C385" i="7"/>
  <c r="N384" i="7"/>
  <c r="L384" i="7"/>
  <c r="J384" i="7"/>
  <c r="H384" i="7"/>
  <c r="E384" i="7"/>
  <c r="D384" i="7"/>
  <c r="C384" i="7"/>
  <c r="N383" i="7"/>
  <c r="L383" i="7"/>
  <c r="J383" i="7"/>
  <c r="H383" i="7"/>
  <c r="F383" i="7"/>
  <c r="E383" i="7"/>
  <c r="D383" i="7"/>
  <c r="C383" i="7"/>
  <c r="N382" i="7"/>
  <c r="L382" i="7"/>
  <c r="J382" i="7"/>
  <c r="H382" i="7"/>
  <c r="E382" i="7"/>
  <c r="D382" i="7"/>
  <c r="C382" i="7"/>
  <c r="N381" i="7"/>
  <c r="L381" i="7"/>
  <c r="J381" i="7"/>
  <c r="H381" i="7"/>
  <c r="E381" i="7"/>
  <c r="D381" i="7"/>
  <c r="C381" i="7"/>
  <c r="N380" i="7"/>
  <c r="L380" i="7"/>
  <c r="J380" i="7"/>
  <c r="H380" i="7"/>
  <c r="E380" i="7"/>
  <c r="D380" i="7"/>
  <c r="C380" i="7"/>
  <c r="N379" i="7"/>
  <c r="L379" i="7"/>
  <c r="J379" i="7"/>
  <c r="H379" i="7"/>
  <c r="F379" i="7"/>
  <c r="E379" i="7"/>
  <c r="D379" i="7"/>
  <c r="C379" i="7"/>
  <c r="N378" i="7"/>
  <c r="L378" i="7"/>
  <c r="J378" i="7"/>
  <c r="H378" i="7"/>
  <c r="F378" i="7"/>
  <c r="E378" i="7"/>
  <c r="D378" i="7"/>
  <c r="C378" i="7"/>
  <c r="N377" i="7"/>
  <c r="L377" i="7"/>
  <c r="J377" i="7"/>
  <c r="H377" i="7"/>
  <c r="F377" i="7"/>
  <c r="E377" i="7"/>
  <c r="D377" i="7"/>
  <c r="C377" i="7"/>
  <c r="N376" i="7"/>
  <c r="L376" i="7"/>
  <c r="J376" i="7"/>
  <c r="H376" i="7"/>
  <c r="F376" i="7"/>
  <c r="E376" i="7"/>
  <c r="D376" i="7"/>
  <c r="C376" i="7"/>
  <c r="N375" i="7"/>
  <c r="L375" i="7"/>
  <c r="J375" i="7"/>
  <c r="H375" i="7"/>
  <c r="E375" i="7"/>
  <c r="D375" i="7"/>
  <c r="C375" i="7"/>
  <c r="N374" i="7"/>
  <c r="L374" i="7"/>
  <c r="J374" i="7"/>
  <c r="H374" i="7"/>
  <c r="F374" i="7"/>
  <c r="E374" i="7"/>
  <c r="D374" i="7"/>
  <c r="C374" i="7"/>
  <c r="N373" i="7"/>
  <c r="L373" i="7"/>
  <c r="J373" i="7"/>
  <c r="H373" i="7"/>
  <c r="E373" i="7"/>
  <c r="D373" i="7"/>
  <c r="C373" i="7"/>
  <c r="N372" i="7"/>
  <c r="L372" i="7"/>
  <c r="J372" i="7"/>
  <c r="H372" i="7"/>
  <c r="F372" i="7"/>
  <c r="E372" i="7"/>
  <c r="D372" i="7"/>
  <c r="C372" i="7"/>
  <c r="N371" i="7"/>
  <c r="L371" i="7"/>
  <c r="J371" i="7"/>
  <c r="H371" i="7"/>
  <c r="F371" i="7"/>
  <c r="E371" i="7"/>
  <c r="D371" i="7"/>
  <c r="C371" i="7"/>
  <c r="N370" i="7"/>
  <c r="L370" i="7"/>
  <c r="J370" i="7"/>
  <c r="H370" i="7"/>
  <c r="E370" i="7"/>
  <c r="D370" i="7"/>
  <c r="C370" i="7"/>
  <c r="N369" i="7"/>
  <c r="L369" i="7"/>
  <c r="J369" i="7"/>
  <c r="H369" i="7"/>
  <c r="E369" i="7"/>
  <c r="D369" i="7"/>
  <c r="C369" i="7"/>
  <c r="N368" i="7"/>
  <c r="L368" i="7"/>
  <c r="J368" i="7"/>
  <c r="H368" i="7"/>
  <c r="F368" i="7"/>
  <c r="E368" i="7"/>
  <c r="D368" i="7"/>
  <c r="C368" i="7"/>
  <c r="N367" i="7"/>
  <c r="L367" i="7"/>
  <c r="J367" i="7"/>
  <c r="H367" i="7"/>
  <c r="F367" i="7"/>
  <c r="E367" i="7"/>
  <c r="D367" i="7"/>
  <c r="C367" i="7"/>
  <c r="N366" i="7"/>
  <c r="L366" i="7"/>
  <c r="J366" i="7"/>
  <c r="H366" i="7"/>
  <c r="E366" i="7"/>
  <c r="D366" i="7"/>
  <c r="C366" i="7"/>
  <c r="N365" i="7"/>
  <c r="L365" i="7"/>
  <c r="J365" i="7"/>
  <c r="H365" i="7"/>
  <c r="F365" i="7"/>
  <c r="E365" i="7"/>
  <c r="D365" i="7"/>
  <c r="C365" i="7"/>
  <c r="N364" i="7"/>
  <c r="L364" i="7"/>
  <c r="J364" i="7"/>
  <c r="H364" i="7"/>
  <c r="E364" i="7"/>
  <c r="D364" i="7"/>
  <c r="C364" i="7"/>
  <c r="N363" i="7"/>
  <c r="L363" i="7"/>
  <c r="J363" i="7"/>
  <c r="H363" i="7"/>
  <c r="F363" i="7"/>
  <c r="E363" i="7"/>
  <c r="D363" i="7"/>
  <c r="C363" i="7"/>
  <c r="N362" i="7"/>
  <c r="L362" i="7"/>
  <c r="J362" i="7"/>
  <c r="H362" i="7"/>
  <c r="E362" i="7"/>
  <c r="D362" i="7"/>
  <c r="C362" i="7"/>
  <c r="N361" i="7"/>
  <c r="L361" i="7"/>
  <c r="J361" i="7"/>
  <c r="H361" i="7"/>
  <c r="E361" i="7"/>
  <c r="D361" i="7"/>
  <c r="C361" i="7"/>
  <c r="N360" i="7"/>
  <c r="L360" i="7"/>
  <c r="J360" i="7"/>
  <c r="H360" i="7"/>
  <c r="E360" i="7"/>
  <c r="D360" i="7"/>
  <c r="C360" i="7"/>
  <c r="N359" i="7"/>
  <c r="L359" i="7"/>
  <c r="J359" i="7"/>
  <c r="H359" i="7"/>
  <c r="F359" i="7"/>
  <c r="E359" i="7"/>
  <c r="D359" i="7"/>
  <c r="C359" i="7"/>
  <c r="N358" i="7"/>
  <c r="L358" i="7"/>
  <c r="J358" i="7"/>
  <c r="H358" i="7"/>
  <c r="F358" i="7"/>
  <c r="E358" i="7"/>
  <c r="D358" i="7"/>
  <c r="C358" i="7"/>
  <c r="N357" i="7"/>
  <c r="L357" i="7"/>
  <c r="J357" i="7"/>
  <c r="H357" i="7"/>
  <c r="E357" i="7"/>
  <c r="D357" i="7"/>
  <c r="C357" i="7"/>
  <c r="N356" i="7"/>
  <c r="L356" i="7"/>
  <c r="J356" i="7"/>
  <c r="H356" i="7"/>
  <c r="E356" i="7"/>
  <c r="D356" i="7"/>
  <c r="C356" i="7"/>
  <c r="N355" i="7"/>
  <c r="L355" i="7"/>
  <c r="J355" i="7"/>
  <c r="H355" i="7"/>
  <c r="E355" i="7"/>
  <c r="D355" i="7"/>
  <c r="C355" i="7"/>
  <c r="N354" i="7"/>
  <c r="L354" i="7"/>
  <c r="J354" i="7"/>
  <c r="H354" i="7"/>
  <c r="E354" i="7"/>
  <c r="D354" i="7"/>
  <c r="C354" i="7"/>
  <c r="N353" i="7"/>
  <c r="L353" i="7"/>
  <c r="J353" i="7"/>
  <c r="H353" i="7"/>
  <c r="E353" i="7"/>
  <c r="D353" i="7"/>
  <c r="C353" i="7"/>
  <c r="N352" i="7"/>
  <c r="L352" i="7"/>
  <c r="J352" i="7"/>
  <c r="H352" i="7"/>
  <c r="E352" i="7"/>
  <c r="D352" i="7"/>
  <c r="C352" i="7"/>
  <c r="N351" i="7"/>
  <c r="L351" i="7"/>
  <c r="J351" i="7"/>
  <c r="H351" i="7"/>
  <c r="E351" i="7"/>
  <c r="D351" i="7"/>
  <c r="C351" i="7"/>
  <c r="N350" i="7"/>
  <c r="L350" i="7"/>
  <c r="J350" i="7"/>
  <c r="H350" i="7"/>
  <c r="F350" i="7"/>
  <c r="E350" i="7"/>
  <c r="D350" i="7"/>
  <c r="C350" i="7"/>
  <c r="N349" i="7"/>
  <c r="L349" i="7"/>
  <c r="J349" i="7"/>
  <c r="H349" i="7"/>
  <c r="E349" i="7"/>
  <c r="D349" i="7"/>
  <c r="C349" i="7"/>
  <c r="N348" i="7"/>
  <c r="L348" i="7"/>
  <c r="J348" i="7"/>
  <c r="H348" i="7"/>
  <c r="E348" i="7"/>
  <c r="D348" i="7"/>
  <c r="C348" i="7"/>
  <c r="N347" i="7"/>
  <c r="L347" i="7"/>
  <c r="J347" i="7"/>
  <c r="H347" i="7"/>
  <c r="E347" i="7"/>
  <c r="D347" i="7"/>
  <c r="C347" i="7"/>
  <c r="N346" i="7"/>
  <c r="L346" i="7"/>
  <c r="J346" i="7"/>
  <c r="H346" i="7"/>
  <c r="E346" i="7"/>
  <c r="D346" i="7"/>
  <c r="C346" i="7"/>
  <c r="N345" i="7"/>
  <c r="L345" i="7"/>
  <c r="J345" i="7"/>
  <c r="H345" i="7"/>
  <c r="F345" i="7"/>
  <c r="E345" i="7"/>
  <c r="D345" i="7"/>
  <c r="C345" i="7"/>
  <c r="N344" i="7"/>
  <c r="L344" i="7"/>
  <c r="J344" i="7"/>
  <c r="H344" i="7"/>
  <c r="E344" i="7"/>
  <c r="D344" i="7"/>
  <c r="C344" i="7"/>
  <c r="N343" i="7"/>
  <c r="L343" i="7"/>
  <c r="J343" i="7"/>
  <c r="H343" i="7"/>
  <c r="E343" i="7"/>
  <c r="D343" i="7"/>
  <c r="C343" i="7"/>
  <c r="N342" i="7"/>
  <c r="L342" i="7"/>
  <c r="J342" i="7"/>
  <c r="H342" i="7"/>
  <c r="E342" i="7"/>
  <c r="D342" i="7"/>
  <c r="C342" i="7"/>
  <c r="N341" i="7"/>
  <c r="L341" i="7"/>
  <c r="J341" i="7"/>
  <c r="H341" i="7"/>
  <c r="E341" i="7"/>
  <c r="D341" i="7"/>
  <c r="C341" i="7"/>
  <c r="N340" i="7"/>
  <c r="L340" i="7"/>
  <c r="J340" i="7"/>
  <c r="H340" i="7"/>
  <c r="E340" i="7"/>
  <c r="D340" i="7"/>
  <c r="C340" i="7"/>
  <c r="N339" i="7"/>
  <c r="L339" i="7"/>
  <c r="J339" i="7"/>
  <c r="H339" i="7"/>
  <c r="F339" i="7"/>
  <c r="E339" i="7"/>
  <c r="D339" i="7"/>
  <c r="C339" i="7"/>
  <c r="N338" i="7"/>
  <c r="L338" i="7"/>
  <c r="J338" i="7"/>
  <c r="H338" i="7"/>
  <c r="F338" i="7"/>
  <c r="E338" i="7"/>
  <c r="D338" i="7"/>
  <c r="C338" i="7"/>
  <c r="N337" i="7"/>
  <c r="L337" i="7"/>
  <c r="J337" i="7"/>
  <c r="H337" i="7"/>
  <c r="E337" i="7"/>
  <c r="D337" i="7"/>
  <c r="C337" i="7"/>
  <c r="N336" i="7"/>
  <c r="L336" i="7"/>
  <c r="J336" i="7"/>
  <c r="H336" i="7"/>
  <c r="E336" i="7"/>
  <c r="D336" i="7"/>
  <c r="C336" i="7"/>
  <c r="N335" i="7"/>
  <c r="L335" i="7"/>
  <c r="J335" i="7"/>
  <c r="H335" i="7"/>
  <c r="E335" i="7"/>
  <c r="D335" i="7"/>
  <c r="C335" i="7"/>
  <c r="N334" i="7"/>
  <c r="L334" i="7"/>
  <c r="J334" i="7"/>
  <c r="H334" i="7"/>
  <c r="F334" i="7"/>
  <c r="E334" i="7"/>
  <c r="D334" i="7"/>
  <c r="C334" i="7"/>
  <c r="N333" i="7"/>
  <c r="L333" i="7"/>
  <c r="J333" i="7"/>
  <c r="H333" i="7"/>
  <c r="E333" i="7"/>
  <c r="D333" i="7"/>
  <c r="C333" i="7"/>
  <c r="N332" i="7"/>
  <c r="L332" i="7"/>
  <c r="J332" i="7"/>
  <c r="H332" i="7"/>
  <c r="F332" i="7"/>
  <c r="E332" i="7"/>
  <c r="D332" i="7"/>
  <c r="C332" i="7"/>
  <c r="N331" i="7"/>
  <c r="L331" i="7"/>
  <c r="J331" i="7"/>
  <c r="H331" i="7"/>
  <c r="E331" i="7"/>
  <c r="D331" i="7"/>
  <c r="C331" i="7"/>
  <c r="N330" i="7"/>
  <c r="L330" i="7"/>
  <c r="J330" i="7"/>
  <c r="H330" i="7"/>
  <c r="E330" i="7"/>
  <c r="D330" i="7"/>
  <c r="C330" i="7"/>
  <c r="N329" i="7"/>
  <c r="L329" i="7"/>
  <c r="J329" i="7"/>
  <c r="H329" i="7"/>
  <c r="E329" i="7"/>
  <c r="D329" i="7"/>
  <c r="C329" i="7"/>
  <c r="N328" i="7"/>
  <c r="L328" i="7"/>
  <c r="J328" i="7"/>
  <c r="H328" i="7"/>
  <c r="E328" i="7"/>
  <c r="D328" i="7"/>
  <c r="C328" i="7"/>
  <c r="N327" i="7"/>
  <c r="L327" i="7"/>
  <c r="J327" i="7"/>
  <c r="H327" i="7"/>
  <c r="F327" i="7"/>
  <c r="E327" i="7"/>
  <c r="D327" i="7"/>
  <c r="C327" i="7"/>
  <c r="N326" i="7"/>
  <c r="L326" i="7"/>
  <c r="J326" i="7"/>
  <c r="H326" i="7"/>
  <c r="E326" i="7"/>
  <c r="D326" i="7"/>
  <c r="C326" i="7"/>
  <c r="N325" i="7"/>
  <c r="L325" i="7"/>
  <c r="J325" i="7"/>
  <c r="H325" i="7"/>
  <c r="F325" i="7"/>
  <c r="E325" i="7"/>
  <c r="D325" i="7"/>
  <c r="C325" i="7"/>
  <c r="N324" i="7"/>
  <c r="L324" i="7"/>
  <c r="J324" i="7"/>
  <c r="H324" i="7"/>
  <c r="E324" i="7"/>
  <c r="D324" i="7"/>
  <c r="C324" i="7"/>
  <c r="N323" i="7"/>
  <c r="L323" i="7"/>
  <c r="J323" i="7"/>
  <c r="H323" i="7"/>
  <c r="F323" i="7"/>
  <c r="E323" i="7"/>
  <c r="D323" i="7"/>
  <c r="C323" i="7"/>
  <c r="N322" i="7"/>
  <c r="L322" i="7"/>
  <c r="J322" i="7"/>
  <c r="H322" i="7"/>
  <c r="E322" i="7"/>
  <c r="D322" i="7"/>
  <c r="C322" i="7"/>
  <c r="N321" i="7"/>
  <c r="L321" i="7"/>
  <c r="J321" i="7"/>
  <c r="H321" i="7"/>
  <c r="F321" i="7"/>
  <c r="E321" i="7"/>
  <c r="D321" i="7"/>
  <c r="C321" i="7"/>
  <c r="N320" i="7"/>
  <c r="L320" i="7"/>
  <c r="J320" i="7"/>
  <c r="H320" i="7"/>
  <c r="E320" i="7"/>
  <c r="D320" i="7"/>
  <c r="C320" i="7"/>
  <c r="N319" i="7"/>
  <c r="L319" i="7"/>
  <c r="J319" i="7"/>
  <c r="H319" i="7"/>
  <c r="F319" i="7"/>
  <c r="E319" i="7"/>
  <c r="D319" i="7"/>
  <c r="C319" i="7"/>
  <c r="N318" i="7"/>
  <c r="L318" i="7"/>
  <c r="J318" i="7"/>
  <c r="H318" i="7"/>
  <c r="E318" i="7"/>
  <c r="D318" i="7"/>
  <c r="C318" i="7"/>
  <c r="N317" i="7"/>
  <c r="L317" i="7"/>
  <c r="J317" i="7"/>
  <c r="H317" i="7"/>
  <c r="E317" i="7"/>
  <c r="D317" i="7"/>
  <c r="C317" i="7"/>
  <c r="N316" i="7"/>
  <c r="L316" i="7"/>
  <c r="J316" i="7"/>
  <c r="H316" i="7"/>
  <c r="E316" i="7"/>
  <c r="D316" i="7"/>
  <c r="C316" i="7"/>
  <c r="N315" i="7"/>
  <c r="L315" i="7"/>
  <c r="J315" i="7"/>
  <c r="H315" i="7"/>
  <c r="E315" i="7"/>
  <c r="D315" i="7"/>
  <c r="C315" i="7"/>
  <c r="N314" i="7"/>
  <c r="L314" i="7"/>
  <c r="J314" i="7"/>
  <c r="H314" i="7"/>
  <c r="E314" i="7"/>
  <c r="D314" i="7"/>
  <c r="C314" i="7"/>
  <c r="N313" i="7"/>
  <c r="L313" i="7"/>
  <c r="J313" i="7"/>
  <c r="H313" i="7"/>
  <c r="E313" i="7"/>
  <c r="D313" i="7"/>
  <c r="C313" i="7"/>
  <c r="N312" i="7"/>
  <c r="L312" i="7"/>
  <c r="J312" i="7"/>
  <c r="H312" i="7"/>
  <c r="F312" i="7"/>
  <c r="E312" i="7"/>
  <c r="D312" i="7"/>
  <c r="C312" i="7"/>
  <c r="N311" i="7"/>
  <c r="L311" i="7"/>
  <c r="J311" i="7"/>
  <c r="H311" i="7"/>
  <c r="E311" i="7"/>
  <c r="D311" i="7"/>
  <c r="C311" i="7"/>
  <c r="N310" i="7"/>
  <c r="L310" i="7"/>
  <c r="J310" i="7"/>
  <c r="H310" i="7"/>
  <c r="F310" i="7"/>
  <c r="E310" i="7"/>
  <c r="D310" i="7"/>
  <c r="C310" i="7"/>
  <c r="N309" i="7"/>
  <c r="L309" i="7"/>
  <c r="J309" i="7"/>
  <c r="H309" i="7"/>
  <c r="F309" i="7"/>
  <c r="E309" i="7"/>
  <c r="D309" i="7"/>
  <c r="C309" i="7"/>
  <c r="N308" i="7"/>
  <c r="L308" i="7"/>
  <c r="J308" i="7"/>
  <c r="H308" i="7"/>
  <c r="E308" i="7"/>
  <c r="D308" i="7"/>
  <c r="C308" i="7"/>
  <c r="N307" i="7"/>
  <c r="L307" i="7"/>
  <c r="J307" i="7"/>
  <c r="H307" i="7"/>
  <c r="E307" i="7"/>
  <c r="D307" i="7"/>
  <c r="C307" i="7"/>
  <c r="N306" i="7"/>
  <c r="L306" i="7"/>
  <c r="J306" i="7"/>
  <c r="H306" i="7"/>
  <c r="E306" i="7"/>
  <c r="D306" i="7"/>
  <c r="C306" i="7"/>
  <c r="N305" i="7"/>
  <c r="L305" i="7"/>
  <c r="J305" i="7"/>
  <c r="H305" i="7"/>
  <c r="E305" i="7"/>
  <c r="D305" i="7"/>
  <c r="C305" i="7"/>
  <c r="N304" i="7"/>
  <c r="L304" i="7"/>
  <c r="J304" i="7"/>
  <c r="H304" i="7"/>
  <c r="E304" i="7"/>
  <c r="D304" i="7"/>
  <c r="C304" i="7"/>
  <c r="N303" i="7"/>
  <c r="L303" i="7"/>
  <c r="J303" i="7"/>
  <c r="H303" i="7"/>
  <c r="E303" i="7"/>
  <c r="D303" i="7"/>
  <c r="C303" i="7"/>
  <c r="N302" i="7"/>
  <c r="L302" i="7"/>
  <c r="J302" i="7"/>
  <c r="H302" i="7"/>
  <c r="E302" i="7"/>
  <c r="D302" i="7"/>
  <c r="C302" i="7"/>
  <c r="N301" i="7"/>
  <c r="L301" i="7"/>
  <c r="J301" i="7"/>
  <c r="H301" i="7"/>
  <c r="F301" i="7"/>
  <c r="E301" i="7"/>
  <c r="D301" i="7"/>
  <c r="C301" i="7"/>
  <c r="N300" i="7"/>
  <c r="L300" i="7"/>
  <c r="J300" i="7"/>
  <c r="H300" i="7"/>
  <c r="F300" i="7"/>
  <c r="E300" i="7"/>
  <c r="D300" i="7"/>
  <c r="C300" i="7"/>
  <c r="N299" i="7"/>
  <c r="L299" i="7"/>
  <c r="J299" i="7"/>
  <c r="H299" i="7"/>
  <c r="E299" i="7"/>
  <c r="D299" i="7"/>
  <c r="C299" i="7"/>
  <c r="N298" i="7"/>
  <c r="L298" i="7"/>
  <c r="J298" i="7"/>
  <c r="H298" i="7"/>
  <c r="E298" i="7"/>
  <c r="D298" i="7"/>
  <c r="C298" i="7"/>
  <c r="N297" i="7"/>
  <c r="L297" i="7"/>
  <c r="J297" i="7"/>
  <c r="H297" i="7"/>
  <c r="E297" i="7"/>
  <c r="D297" i="7"/>
  <c r="C297" i="7"/>
  <c r="N296" i="7"/>
  <c r="L296" i="7"/>
  <c r="J296" i="7"/>
  <c r="H296" i="7"/>
  <c r="F296" i="7"/>
  <c r="E296" i="7"/>
  <c r="D296" i="7"/>
  <c r="C296" i="7"/>
  <c r="N295" i="7"/>
  <c r="L295" i="7"/>
  <c r="J295" i="7"/>
  <c r="H295" i="7"/>
  <c r="E295" i="7"/>
  <c r="D295" i="7"/>
  <c r="C295" i="7"/>
  <c r="N294" i="7"/>
  <c r="L294" i="7"/>
  <c r="J294" i="7"/>
  <c r="H294" i="7"/>
  <c r="E294" i="7"/>
  <c r="D294" i="7"/>
  <c r="C294" i="7"/>
  <c r="N293" i="7"/>
  <c r="L293" i="7"/>
  <c r="J293" i="7"/>
  <c r="H293" i="7"/>
  <c r="F293" i="7"/>
  <c r="E293" i="7"/>
  <c r="D293" i="7"/>
  <c r="C293" i="7"/>
  <c r="N292" i="7"/>
  <c r="L292" i="7"/>
  <c r="J292" i="7"/>
  <c r="H292" i="7"/>
  <c r="F292" i="7"/>
  <c r="E292" i="7"/>
  <c r="D292" i="7"/>
  <c r="C292" i="7"/>
  <c r="N291" i="7"/>
  <c r="L291" i="7"/>
  <c r="J291" i="7"/>
  <c r="H291" i="7"/>
  <c r="E291" i="7"/>
  <c r="D291" i="7"/>
  <c r="C291" i="7"/>
  <c r="N290" i="7"/>
  <c r="L290" i="7"/>
  <c r="J290" i="7"/>
  <c r="H290" i="7"/>
  <c r="E290" i="7"/>
  <c r="D290" i="7"/>
  <c r="C290" i="7"/>
  <c r="N289" i="7"/>
  <c r="L289" i="7"/>
  <c r="J289" i="7"/>
  <c r="H289" i="7"/>
  <c r="E289" i="7"/>
  <c r="D289" i="7"/>
  <c r="C289" i="7"/>
  <c r="N288" i="7"/>
  <c r="L288" i="7"/>
  <c r="J288" i="7"/>
  <c r="H288" i="7"/>
  <c r="E288" i="7"/>
  <c r="D288" i="7"/>
  <c r="C288" i="7"/>
  <c r="N287" i="7"/>
  <c r="L287" i="7"/>
  <c r="J287" i="7"/>
  <c r="H287" i="7"/>
  <c r="F287" i="7"/>
  <c r="E287" i="7"/>
  <c r="D287" i="7"/>
  <c r="C287" i="7"/>
  <c r="N286" i="7"/>
  <c r="L286" i="7"/>
  <c r="J286" i="7"/>
  <c r="H286" i="7"/>
  <c r="E286" i="7"/>
  <c r="D286" i="7"/>
  <c r="C286" i="7"/>
  <c r="N285" i="7"/>
  <c r="L285" i="7"/>
  <c r="J285" i="7"/>
  <c r="H285" i="7"/>
  <c r="E285" i="7"/>
  <c r="D285" i="7"/>
  <c r="C285" i="7"/>
  <c r="N284" i="7"/>
  <c r="L284" i="7"/>
  <c r="J284" i="7"/>
  <c r="H284" i="7"/>
  <c r="F284" i="7"/>
  <c r="E284" i="7"/>
  <c r="D284" i="7"/>
  <c r="C284" i="7"/>
  <c r="N283" i="7"/>
  <c r="L283" i="7"/>
  <c r="J283" i="7"/>
  <c r="H283" i="7"/>
  <c r="E283" i="7"/>
  <c r="D283" i="7"/>
  <c r="C283" i="7"/>
  <c r="N282" i="7"/>
  <c r="L282" i="7"/>
  <c r="J282" i="7"/>
  <c r="H282" i="7"/>
  <c r="F282" i="7"/>
  <c r="E282" i="7"/>
  <c r="D282" i="7"/>
  <c r="C282" i="7"/>
  <c r="N281" i="7"/>
  <c r="L281" i="7"/>
  <c r="J281" i="7"/>
  <c r="H281" i="7"/>
  <c r="E281" i="7"/>
  <c r="D281" i="7"/>
  <c r="C281" i="7"/>
  <c r="N280" i="7"/>
  <c r="L280" i="7"/>
  <c r="J280" i="7"/>
  <c r="H280" i="7"/>
  <c r="F280" i="7"/>
  <c r="E280" i="7"/>
  <c r="D280" i="7"/>
  <c r="C280" i="7"/>
  <c r="N279" i="7"/>
  <c r="L279" i="7"/>
  <c r="J279" i="7"/>
  <c r="H279" i="7"/>
  <c r="E279" i="7"/>
  <c r="D279" i="7"/>
  <c r="C279" i="7"/>
  <c r="N278" i="7"/>
  <c r="L278" i="7"/>
  <c r="J278" i="7"/>
  <c r="H278" i="7"/>
  <c r="F278" i="7"/>
  <c r="E278" i="7"/>
  <c r="D278" i="7"/>
  <c r="C278" i="7"/>
  <c r="N277" i="7"/>
  <c r="L277" i="7"/>
  <c r="J277" i="7"/>
  <c r="H277" i="7"/>
  <c r="E277" i="7"/>
  <c r="D277" i="7"/>
  <c r="C277" i="7"/>
  <c r="N276" i="7"/>
  <c r="L276" i="7"/>
  <c r="J276" i="7"/>
  <c r="H276" i="7"/>
  <c r="E276" i="7"/>
  <c r="D276" i="7"/>
  <c r="C276" i="7"/>
  <c r="N275" i="7"/>
  <c r="L275" i="7"/>
  <c r="J275" i="7"/>
  <c r="H275" i="7"/>
  <c r="F275" i="7"/>
  <c r="E275" i="7"/>
  <c r="D275" i="7"/>
  <c r="C275" i="7"/>
  <c r="N274" i="7"/>
  <c r="L274" i="7"/>
  <c r="J274" i="7"/>
  <c r="H274" i="7"/>
  <c r="F274" i="7"/>
  <c r="E274" i="7"/>
  <c r="D274" i="7"/>
  <c r="C274" i="7"/>
  <c r="N273" i="7"/>
  <c r="L273" i="7"/>
  <c r="J273" i="7"/>
  <c r="H273" i="7"/>
  <c r="F273" i="7"/>
  <c r="E273" i="7"/>
  <c r="D273" i="7"/>
  <c r="C273" i="7"/>
  <c r="N272" i="7"/>
  <c r="L272" i="7"/>
  <c r="J272" i="7"/>
  <c r="H272" i="7"/>
  <c r="E272" i="7"/>
  <c r="D272" i="7"/>
  <c r="C272" i="7"/>
  <c r="N271" i="7"/>
  <c r="L271" i="7"/>
  <c r="J271" i="7"/>
  <c r="H271" i="7"/>
  <c r="F271" i="7"/>
  <c r="E271" i="7"/>
  <c r="D271" i="7"/>
  <c r="C271" i="7"/>
  <c r="N270" i="7"/>
  <c r="L270" i="7"/>
  <c r="J270" i="7"/>
  <c r="H270" i="7"/>
  <c r="E270" i="7"/>
  <c r="D270" i="7"/>
  <c r="C270" i="7"/>
  <c r="N269" i="7"/>
  <c r="L269" i="7"/>
  <c r="J269" i="7"/>
  <c r="H269" i="7"/>
  <c r="F269" i="7"/>
  <c r="E269" i="7"/>
  <c r="D269" i="7"/>
  <c r="C269" i="7"/>
  <c r="N268" i="7"/>
  <c r="L268" i="7"/>
  <c r="J268" i="7"/>
  <c r="H268" i="7"/>
  <c r="E268" i="7"/>
  <c r="D268" i="7"/>
  <c r="C268" i="7"/>
  <c r="N267" i="7"/>
  <c r="L267" i="7"/>
  <c r="J267" i="7"/>
  <c r="H267" i="7"/>
  <c r="E267" i="7"/>
  <c r="D267" i="7"/>
  <c r="C267" i="7"/>
  <c r="N266" i="7"/>
  <c r="L266" i="7"/>
  <c r="J266" i="7"/>
  <c r="H266" i="7"/>
  <c r="E266" i="7"/>
  <c r="D266" i="7"/>
  <c r="C266" i="7"/>
  <c r="N265" i="7"/>
  <c r="L265" i="7"/>
  <c r="J265" i="7"/>
  <c r="H265" i="7"/>
  <c r="F265" i="7"/>
  <c r="E265" i="7"/>
  <c r="D265" i="7"/>
  <c r="C265" i="7"/>
  <c r="N264" i="7"/>
  <c r="L264" i="7"/>
  <c r="J264" i="7"/>
  <c r="H264" i="7"/>
  <c r="E264" i="7"/>
  <c r="D264" i="7"/>
  <c r="C264" i="7"/>
  <c r="N263" i="7"/>
  <c r="L263" i="7"/>
  <c r="J263" i="7"/>
  <c r="H263" i="7"/>
  <c r="E263" i="7"/>
  <c r="D263" i="7"/>
  <c r="C263" i="7"/>
  <c r="N262" i="7"/>
  <c r="L262" i="7"/>
  <c r="J262" i="7"/>
  <c r="H262" i="7"/>
  <c r="F262" i="7"/>
  <c r="E262" i="7"/>
  <c r="D262" i="7"/>
  <c r="C262" i="7"/>
  <c r="N261" i="7"/>
  <c r="L261" i="7"/>
  <c r="J261" i="7"/>
  <c r="H261" i="7"/>
  <c r="E261" i="7"/>
  <c r="D261" i="7"/>
  <c r="C261" i="7"/>
  <c r="N260" i="7"/>
  <c r="L260" i="7"/>
  <c r="J260" i="7"/>
  <c r="H260" i="7"/>
  <c r="F260" i="7"/>
  <c r="E260" i="7"/>
  <c r="D260" i="7"/>
  <c r="C260" i="7"/>
  <c r="N259" i="7"/>
  <c r="L259" i="7"/>
  <c r="J259" i="7"/>
  <c r="H259" i="7"/>
  <c r="E259" i="7"/>
  <c r="D259" i="7"/>
  <c r="C259" i="7"/>
  <c r="N258" i="7"/>
  <c r="L258" i="7"/>
  <c r="J258" i="7"/>
  <c r="H258" i="7"/>
  <c r="F258" i="7"/>
  <c r="E258" i="7"/>
  <c r="D258" i="7"/>
  <c r="C258" i="7"/>
  <c r="N257" i="7"/>
  <c r="L257" i="7"/>
  <c r="J257" i="7"/>
  <c r="H257" i="7"/>
  <c r="E257" i="7"/>
  <c r="D257" i="7"/>
  <c r="C257" i="7"/>
  <c r="N256" i="7"/>
  <c r="L256" i="7"/>
  <c r="J256" i="7"/>
  <c r="H256" i="7"/>
  <c r="E256" i="7"/>
  <c r="D256" i="7"/>
  <c r="C256" i="7"/>
  <c r="N255" i="7"/>
  <c r="L255" i="7"/>
  <c r="J255" i="7"/>
  <c r="H255" i="7"/>
  <c r="F255" i="7"/>
  <c r="E255" i="7"/>
  <c r="D255" i="7"/>
  <c r="C255" i="7"/>
  <c r="N254" i="7"/>
  <c r="L254" i="7"/>
  <c r="J254" i="7"/>
  <c r="H254" i="7"/>
  <c r="E254" i="7"/>
  <c r="D254" i="7"/>
  <c r="C254" i="7"/>
  <c r="N253" i="7"/>
  <c r="L253" i="7"/>
  <c r="J253" i="7"/>
  <c r="H253" i="7"/>
  <c r="E253" i="7"/>
  <c r="D253" i="7"/>
  <c r="C253" i="7"/>
  <c r="N252" i="7"/>
  <c r="L252" i="7"/>
  <c r="J252" i="7"/>
  <c r="H252" i="7"/>
  <c r="E252" i="7"/>
  <c r="D252" i="7"/>
  <c r="C252" i="7"/>
  <c r="N251" i="7"/>
  <c r="L251" i="7"/>
  <c r="J251" i="7"/>
  <c r="H251" i="7"/>
  <c r="E251" i="7"/>
  <c r="D251" i="7"/>
  <c r="C251" i="7"/>
  <c r="N250" i="7"/>
  <c r="L250" i="7"/>
  <c r="J250" i="7"/>
  <c r="H250" i="7"/>
  <c r="E250" i="7"/>
  <c r="D250" i="7"/>
  <c r="C250" i="7"/>
  <c r="N249" i="7"/>
  <c r="L249" i="7"/>
  <c r="J249" i="7"/>
  <c r="H249" i="7"/>
  <c r="E249" i="7"/>
  <c r="D249" i="7"/>
  <c r="C249" i="7"/>
  <c r="N248" i="7"/>
  <c r="L248" i="7"/>
  <c r="J248" i="7"/>
  <c r="H248" i="7"/>
  <c r="E248" i="7"/>
  <c r="D248" i="7"/>
  <c r="C248" i="7"/>
  <c r="N247" i="7"/>
  <c r="L247" i="7"/>
  <c r="J247" i="7"/>
  <c r="H247" i="7"/>
  <c r="F247" i="7"/>
  <c r="E247" i="7"/>
  <c r="D247" i="7"/>
  <c r="C247" i="7"/>
  <c r="N246" i="7"/>
  <c r="L246" i="7"/>
  <c r="J246" i="7"/>
  <c r="H246" i="7"/>
  <c r="F246" i="7"/>
  <c r="E246" i="7"/>
  <c r="D246" i="7"/>
  <c r="C246" i="7"/>
  <c r="N245" i="7"/>
  <c r="L245" i="7"/>
  <c r="J245" i="7"/>
  <c r="H245" i="7"/>
  <c r="E245" i="7"/>
  <c r="D245" i="7"/>
  <c r="C245" i="7"/>
  <c r="N244" i="7"/>
  <c r="L244" i="7"/>
  <c r="J244" i="7"/>
  <c r="H244" i="7"/>
  <c r="E244" i="7"/>
  <c r="D244" i="7"/>
  <c r="C244" i="7"/>
  <c r="N243" i="7"/>
  <c r="L243" i="7"/>
  <c r="J243" i="7"/>
  <c r="H243" i="7"/>
  <c r="E243" i="7"/>
  <c r="D243" i="7"/>
  <c r="C243" i="7"/>
  <c r="N242" i="7"/>
  <c r="L242" i="7"/>
  <c r="J242" i="7"/>
  <c r="H242" i="7"/>
  <c r="F242" i="7"/>
  <c r="E242" i="7"/>
  <c r="D242" i="7"/>
  <c r="C242" i="7"/>
  <c r="N241" i="7"/>
  <c r="L241" i="7"/>
  <c r="J241" i="7"/>
  <c r="H241" i="7"/>
  <c r="E241" i="7"/>
  <c r="D241" i="7"/>
  <c r="C241" i="7"/>
  <c r="N240" i="7"/>
  <c r="L240" i="7"/>
  <c r="J240" i="7"/>
  <c r="H240" i="7"/>
  <c r="E240" i="7"/>
  <c r="D240" i="7"/>
  <c r="C240" i="7"/>
  <c r="N239" i="7"/>
  <c r="L239" i="7"/>
  <c r="J239" i="7"/>
  <c r="H239" i="7"/>
  <c r="F239" i="7"/>
  <c r="E239" i="7"/>
  <c r="D239" i="7"/>
  <c r="C239" i="7"/>
  <c r="N238" i="7"/>
  <c r="L238" i="7"/>
  <c r="J238" i="7"/>
  <c r="H238" i="7"/>
  <c r="E238" i="7"/>
  <c r="D238" i="7"/>
  <c r="C238" i="7"/>
  <c r="N237" i="7"/>
  <c r="L237" i="7"/>
  <c r="J237" i="7"/>
  <c r="H237" i="7"/>
  <c r="F237" i="7"/>
  <c r="E237" i="7"/>
  <c r="D237" i="7"/>
  <c r="C237" i="7"/>
  <c r="N236" i="7"/>
  <c r="L236" i="7"/>
  <c r="J236" i="7"/>
  <c r="H236" i="7"/>
  <c r="E236" i="7"/>
  <c r="D236" i="7"/>
  <c r="C236" i="7"/>
  <c r="N235" i="7"/>
  <c r="L235" i="7"/>
  <c r="J235" i="7"/>
  <c r="H235" i="7"/>
  <c r="E235" i="7"/>
  <c r="D235" i="7"/>
  <c r="C235" i="7"/>
  <c r="N234" i="7"/>
  <c r="L234" i="7"/>
  <c r="J234" i="7"/>
  <c r="H234" i="7"/>
  <c r="E234" i="7"/>
  <c r="D234" i="7"/>
  <c r="C234" i="7"/>
  <c r="N233" i="7"/>
  <c r="L233" i="7"/>
  <c r="J233" i="7"/>
  <c r="H233" i="7"/>
  <c r="E233" i="7"/>
  <c r="D233" i="7"/>
  <c r="C233" i="7"/>
  <c r="N232" i="7"/>
  <c r="L232" i="7"/>
  <c r="J232" i="7"/>
  <c r="H232" i="7"/>
  <c r="E232" i="7"/>
  <c r="D232" i="7"/>
  <c r="C232" i="7"/>
  <c r="N231" i="7"/>
  <c r="L231" i="7"/>
  <c r="J231" i="7"/>
  <c r="H231" i="7"/>
  <c r="E231" i="7"/>
  <c r="D231" i="7"/>
  <c r="C231" i="7"/>
  <c r="N230" i="7"/>
  <c r="L230" i="7"/>
  <c r="J230" i="7"/>
  <c r="H230" i="7"/>
  <c r="E230" i="7"/>
  <c r="D230" i="7"/>
  <c r="C230" i="7"/>
  <c r="N229" i="7"/>
  <c r="L229" i="7"/>
  <c r="J229" i="7"/>
  <c r="H229" i="7"/>
  <c r="E229" i="7"/>
  <c r="D229" i="7"/>
  <c r="C229" i="7"/>
  <c r="N228" i="7"/>
  <c r="L228" i="7"/>
  <c r="J228" i="7"/>
  <c r="H228" i="7"/>
  <c r="F228" i="7"/>
  <c r="E228" i="7"/>
  <c r="D228" i="7"/>
  <c r="C228" i="7"/>
  <c r="N227" i="7"/>
  <c r="L227" i="7"/>
  <c r="J227" i="7"/>
  <c r="H227" i="7"/>
  <c r="E227" i="7"/>
  <c r="D227" i="7"/>
  <c r="C227" i="7"/>
  <c r="N226" i="7"/>
  <c r="L226" i="7"/>
  <c r="J226" i="7"/>
  <c r="H226" i="7"/>
  <c r="F226" i="7"/>
  <c r="E226" i="7"/>
  <c r="D226" i="7"/>
  <c r="C226" i="7"/>
  <c r="N225" i="7"/>
  <c r="L225" i="7"/>
  <c r="J225" i="7"/>
  <c r="H225" i="7"/>
  <c r="E225" i="7"/>
  <c r="D225" i="7"/>
  <c r="C225" i="7"/>
  <c r="N224" i="7"/>
  <c r="L224" i="7"/>
  <c r="J224" i="7"/>
  <c r="H224" i="7"/>
  <c r="E224" i="7"/>
  <c r="D224" i="7"/>
  <c r="C224" i="7"/>
  <c r="N223" i="7"/>
  <c r="L223" i="7"/>
  <c r="J223" i="7"/>
  <c r="H223" i="7"/>
  <c r="E223" i="7"/>
  <c r="D223" i="7"/>
  <c r="C223" i="7"/>
  <c r="N222" i="7"/>
  <c r="L222" i="7"/>
  <c r="J222" i="7"/>
  <c r="H222" i="7"/>
  <c r="E222" i="7"/>
  <c r="D222" i="7"/>
  <c r="C222" i="7"/>
  <c r="N221" i="7"/>
  <c r="L221" i="7"/>
  <c r="J221" i="7"/>
  <c r="H221" i="7"/>
  <c r="E221" i="7"/>
  <c r="D221" i="7"/>
  <c r="C221" i="7"/>
  <c r="N220" i="7"/>
  <c r="L220" i="7"/>
  <c r="J220" i="7"/>
  <c r="H220" i="7"/>
  <c r="E220" i="7"/>
  <c r="D220" i="7"/>
  <c r="C220" i="7"/>
  <c r="N219" i="7"/>
  <c r="L219" i="7"/>
  <c r="J219" i="7"/>
  <c r="H219" i="7"/>
  <c r="E219" i="7"/>
  <c r="D219" i="7"/>
  <c r="C219" i="7"/>
  <c r="N218" i="7"/>
  <c r="L218" i="7"/>
  <c r="J218" i="7"/>
  <c r="H218" i="7"/>
  <c r="E218" i="7"/>
  <c r="D218" i="7"/>
  <c r="C218" i="7"/>
  <c r="N217" i="7"/>
  <c r="L217" i="7"/>
  <c r="J217" i="7"/>
  <c r="H217" i="7"/>
  <c r="E217" i="7"/>
  <c r="D217" i="7"/>
  <c r="C217" i="7"/>
  <c r="N216" i="7"/>
  <c r="L216" i="7"/>
  <c r="J216" i="7"/>
  <c r="H216" i="7"/>
  <c r="E216" i="7"/>
  <c r="D216" i="7"/>
  <c r="C216" i="7"/>
  <c r="N215" i="7"/>
  <c r="L215" i="7"/>
  <c r="J215" i="7"/>
  <c r="H215" i="7"/>
  <c r="F215" i="7"/>
  <c r="E215" i="7"/>
  <c r="D215" i="7"/>
  <c r="C215" i="7"/>
  <c r="N214" i="7"/>
  <c r="L214" i="7"/>
  <c r="J214" i="7"/>
  <c r="H214" i="7"/>
  <c r="E214" i="7"/>
  <c r="D214" i="7"/>
  <c r="C214" i="7"/>
  <c r="N213" i="7"/>
  <c r="L213" i="7"/>
  <c r="J213" i="7"/>
  <c r="H213" i="7"/>
  <c r="F213" i="7"/>
  <c r="E213" i="7"/>
  <c r="D213" i="7"/>
  <c r="C213" i="7"/>
  <c r="N212" i="7"/>
  <c r="L212" i="7"/>
  <c r="J212" i="7"/>
  <c r="H212" i="7"/>
  <c r="E212" i="7"/>
  <c r="D212" i="7"/>
  <c r="C212" i="7"/>
  <c r="N211" i="7"/>
  <c r="L211" i="7"/>
  <c r="J211" i="7"/>
  <c r="H211" i="7"/>
  <c r="E211" i="7"/>
  <c r="D211" i="7"/>
  <c r="C211" i="7"/>
  <c r="N210" i="7"/>
  <c r="L210" i="7"/>
  <c r="J210" i="7"/>
  <c r="H210" i="7"/>
  <c r="E210" i="7"/>
  <c r="D210" i="7"/>
  <c r="C210" i="7"/>
  <c r="N209" i="7"/>
  <c r="L209" i="7"/>
  <c r="J209" i="7"/>
  <c r="H209" i="7"/>
  <c r="E209" i="7"/>
  <c r="D209" i="7"/>
  <c r="C209" i="7"/>
  <c r="N208" i="7"/>
  <c r="L208" i="7"/>
  <c r="J208" i="7"/>
  <c r="H208" i="7"/>
  <c r="E208" i="7"/>
  <c r="D208" i="7"/>
  <c r="C208" i="7"/>
  <c r="N207" i="7"/>
  <c r="L207" i="7"/>
  <c r="J207" i="7"/>
  <c r="H207" i="7"/>
  <c r="E207" i="7"/>
  <c r="D207" i="7"/>
  <c r="C207" i="7"/>
  <c r="N206" i="7"/>
  <c r="L206" i="7"/>
  <c r="J206" i="7"/>
  <c r="H206" i="7"/>
  <c r="E206" i="7"/>
  <c r="D206" i="7"/>
  <c r="C206" i="7"/>
  <c r="N205" i="7"/>
  <c r="L205" i="7"/>
  <c r="J205" i="7"/>
  <c r="H205" i="7"/>
  <c r="E205" i="7"/>
  <c r="D205" i="7"/>
  <c r="C205" i="7"/>
  <c r="N204" i="7"/>
  <c r="L204" i="7"/>
  <c r="J204" i="7"/>
  <c r="H204" i="7"/>
  <c r="E204" i="7"/>
  <c r="D204" i="7"/>
  <c r="C204" i="7"/>
  <c r="N203" i="7"/>
  <c r="L203" i="7"/>
  <c r="J203" i="7"/>
  <c r="H203" i="7"/>
  <c r="E203" i="7"/>
  <c r="D203" i="7"/>
  <c r="C203" i="7"/>
  <c r="N202" i="7"/>
  <c r="L202" i="7"/>
  <c r="J202" i="7"/>
  <c r="H202" i="7"/>
  <c r="E202" i="7"/>
  <c r="D202" i="7"/>
  <c r="C202" i="7"/>
  <c r="N201" i="7"/>
  <c r="L201" i="7"/>
  <c r="J201" i="7"/>
  <c r="H201" i="7"/>
  <c r="E201" i="7"/>
  <c r="D201" i="7"/>
  <c r="C201" i="7"/>
  <c r="N200" i="7"/>
  <c r="L200" i="7"/>
  <c r="J200" i="7"/>
  <c r="H200" i="7"/>
  <c r="E200" i="7"/>
  <c r="D200" i="7"/>
  <c r="C200" i="7"/>
  <c r="N199" i="7"/>
  <c r="L199" i="7"/>
  <c r="J199" i="7"/>
  <c r="H199" i="7"/>
  <c r="E199" i="7"/>
  <c r="D199" i="7"/>
  <c r="C199" i="7"/>
  <c r="N198" i="7"/>
  <c r="L198" i="7"/>
  <c r="J198" i="7"/>
  <c r="H198" i="7"/>
  <c r="E198" i="7"/>
  <c r="D198" i="7"/>
  <c r="C198" i="7"/>
  <c r="N197" i="7"/>
  <c r="L197" i="7"/>
  <c r="J197" i="7"/>
  <c r="H197" i="7"/>
  <c r="E197" i="7"/>
  <c r="D197" i="7"/>
  <c r="C197" i="7"/>
  <c r="N196" i="7"/>
  <c r="L196" i="7"/>
  <c r="J196" i="7"/>
  <c r="H196" i="7"/>
  <c r="E196" i="7"/>
  <c r="D196" i="7"/>
  <c r="C196" i="7"/>
  <c r="N195" i="7"/>
  <c r="L195" i="7"/>
  <c r="J195" i="7"/>
  <c r="H195" i="7"/>
  <c r="E195" i="7"/>
  <c r="D195" i="7"/>
  <c r="C195" i="7"/>
  <c r="N194" i="7"/>
  <c r="L194" i="7"/>
  <c r="J194" i="7"/>
  <c r="H194" i="7"/>
  <c r="E194" i="7"/>
  <c r="D194" i="7"/>
  <c r="C194" i="7"/>
  <c r="N193" i="7"/>
  <c r="L193" i="7"/>
  <c r="J193" i="7"/>
  <c r="H193" i="7"/>
  <c r="E193" i="7"/>
  <c r="D193" i="7"/>
  <c r="C193" i="7"/>
  <c r="N192" i="7"/>
  <c r="L192" i="7"/>
  <c r="J192" i="7"/>
  <c r="H192" i="7"/>
  <c r="E192" i="7"/>
  <c r="D192" i="7"/>
  <c r="C192" i="7"/>
  <c r="N191" i="7"/>
  <c r="L191" i="7"/>
  <c r="J191" i="7"/>
  <c r="H191" i="7"/>
  <c r="E191" i="7"/>
  <c r="D191" i="7"/>
  <c r="C191" i="7"/>
  <c r="N190" i="7"/>
  <c r="L190" i="7"/>
  <c r="J190" i="7"/>
  <c r="H190" i="7"/>
  <c r="E190" i="7"/>
  <c r="D190" i="7"/>
  <c r="C190" i="7"/>
  <c r="N189" i="7"/>
  <c r="L189" i="7"/>
  <c r="J189" i="7"/>
  <c r="H189" i="7"/>
  <c r="E189" i="7"/>
  <c r="D189" i="7"/>
  <c r="C189" i="7"/>
  <c r="N188" i="7"/>
  <c r="L188" i="7"/>
  <c r="J188" i="7"/>
  <c r="H188" i="7"/>
  <c r="E188" i="7"/>
  <c r="D188" i="7"/>
  <c r="C188" i="7"/>
  <c r="N187" i="7"/>
  <c r="L187" i="7"/>
  <c r="J187" i="7"/>
  <c r="H187" i="7"/>
  <c r="E187" i="7"/>
  <c r="D187" i="7"/>
  <c r="C187" i="7"/>
  <c r="N186" i="7"/>
  <c r="L186" i="7"/>
  <c r="J186" i="7"/>
  <c r="H186" i="7"/>
  <c r="E186" i="7"/>
  <c r="D186" i="7"/>
  <c r="C186" i="7"/>
  <c r="N185" i="7"/>
  <c r="L185" i="7"/>
  <c r="J185" i="7"/>
  <c r="H185" i="7"/>
  <c r="E185" i="7"/>
  <c r="D185" i="7"/>
  <c r="C185" i="7"/>
  <c r="N184" i="7"/>
  <c r="L184" i="7"/>
  <c r="J184" i="7"/>
  <c r="H184" i="7"/>
  <c r="E184" i="7"/>
  <c r="D184" i="7"/>
  <c r="C184" i="7"/>
  <c r="N183" i="7"/>
  <c r="L183" i="7"/>
  <c r="J183" i="7"/>
  <c r="H183" i="7"/>
  <c r="E183" i="7"/>
  <c r="D183" i="7"/>
  <c r="C183" i="7"/>
  <c r="N182" i="7"/>
  <c r="L182" i="7"/>
  <c r="J182" i="7"/>
  <c r="H182" i="7"/>
  <c r="E182" i="7"/>
  <c r="D182" i="7"/>
  <c r="C182" i="7"/>
  <c r="N181" i="7"/>
  <c r="L181" i="7"/>
  <c r="J181" i="7"/>
  <c r="H181" i="7"/>
  <c r="F181" i="7"/>
  <c r="E181" i="7"/>
  <c r="D181" i="7"/>
  <c r="C181" i="7"/>
  <c r="N180" i="7"/>
  <c r="L180" i="7"/>
  <c r="J180" i="7"/>
  <c r="H180" i="7"/>
  <c r="F180" i="7"/>
  <c r="E180" i="7"/>
  <c r="D180" i="7"/>
  <c r="C180" i="7"/>
  <c r="N179" i="7"/>
  <c r="L179" i="7"/>
  <c r="J179" i="7"/>
  <c r="H179" i="7"/>
  <c r="F179" i="7"/>
  <c r="E179" i="7"/>
  <c r="D179" i="7"/>
  <c r="C179" i="7"/>
  <c r="N178" i="7"/>
  <c r="L178" i="7"/>
  <c r="J178" i="7"/>
  <c r="H178" i="7"/>
  <c r="F178" i="7"/>
  <c r="E178" i="7"/>
  <c r="D178" i="7"/>
  <c r="C178" i="7"/>
  <c r="N177" i="7"/>
  <c r="L177" i="7"/>
  <c r="J177" i="7"/>
  <c r="H177" i="7"/>
  <c r="E177" i="7"/>
  <c r="D177" i="7"/>
  <c r="C177" i="7"/>
  <c r="N176" i="7"/>
  <c r="L176" i="7"/>
  <c r="J176" i="7"/>
  <c r="H176" i="7"/>
  <c r="E176" i="7"/>
  <c r="D176" i="7"/>
  <c r="C176" i="7"/>
  <c r="N175" i="7"/>
  <c r="L175" i="7"/>
  <c r="J175" i="7"/>
  <c r="H175" i="7"/>
  <c r="E175" i="7"/>
  <c r="D175" i="7"/>
  <c r="C175" i="7"/>
  <c r="N174" i="7"/>
  <c r="L174" i="7"/>
  <c r="J174" i="7"/>
  <c r="H174" i="7"/>
  <c r="F174" i="7"/>
  <c r="E174" i="7"/>
  <c r="D174" i="7"/>
  <c r="C174" i="7"/>
  <c r="N173" i="7"/>
  <c r="L173" i="7"/>
  <c r="J173" i="7"/>
  <c r="H173" i="7"/>
  <c r="E173" i="7"/>
  <c r="D173" i="7"/>
  <c r="C173" i="7"/>
  <c r="N172" i="7"/>
  <c r="L172" i="7"/>
  <c r="J172" i="7"/>
  <c r="H172" i="7"/>
  <c r="F172" i="7"/>
  <c r="E172" i="7"/>
  <c r="D172" i="7"/>
  <c r="C172" i="7"/>
  <c r="N171" i="7"/>
  <c r="L171" i="7"/>
  <c r="J171" i="7"/>
  <c r="H171" i="7"/>
  <c r="F171" i="7"/>
  <c r="E171" i="7"/>
  <c r="D171" i="7"/>
  <c r="C171" i="7"/>
  <c r="N170" i="7"/>
  <c r="L170" i="7"/>
  <c r="J170" i="7"/>
  <c r="H170" i="7"/>
  <c r="F170" i="7"/>
  <c r="E170" i="7"/>
  <c r="D170" i="7"/>
  <c r="C170" i="7"/>
  <c r="N169" i="7"/>
  <c r="L169" i="7"/>
  <c r="J169" i="7"/>
  <c r="H169" i="7"/>
  <c r="F169" i="7"/>
  <c r="E169" i="7"/>
  <c r="D169" i="7"/>
  <c r="C169" i="7"/>
  <c r="N168" i="7"/>
  <c r="L168" i="7"/>
  <c r="J168" i="7"/>
  <c r="H168" i="7"/>
  <c r="E168" i="7"/>
  <c r="D168" i="7"/>
  <c r="C168" i="7"/>
  <c r="N167" i="7"/>
  <c r="L167" i="7"/>
  <c r="J167" i="7"/>
  <c r="H167" i="7"/>
  <c r="F167" i="7"/>
  <c r="E167" i="7"/>
  <c r="D167" i="7"/>
  <c r="C167" i="7"/>
  <c r="N166" i="7"/>
  <c r="L166" i="7"/>
  <c r="J166" i="7"/>
  <c r="H166" i="7"/>
  <c r="E166" i="7"/>
  <c r="D166" i="7"/>
  <c r="C166" i="7"/>
  <c r="N165" i="7"/>
  <c r="L165" i="7"/>
  <c r="J165" i="7"/>
  <c r="H165" i="7"/>
  <c r="F165" i="7"/>
  <c r="E165" i="7"/>
  <c r="D165" i="7"/>
  <c r="C165" i="7"/>
  <c r="N164" i="7"/>
  <c r="L164" i="7"/>
  <c r="J164" i="7"/>
  <c r="H164" i="7"/>
  <c r="F164" i="7"/>
  <c r="E164" i="7"/>
  <c r="D164" i="7"/>
  <c r="C164" i="7"/>
  <c r="N163" i="7"/>
  <c r="L163" i="7"/>
  <c r="J163" i="7"/>
  <c r="H163" i="7"/>
  <c r="F163" i="7"/>
  <c r="E163" i="7"/>
  <c r="D163" i="7"/>
  <c r="C163" i="7"/>
  <c r="N162" i="7"/>
  <c r="L162" i="7"/>
  <c r="J162" i="7"/>
  <c r="H162" i="7"/>
  <c r="F162" i="7"/>
  <c r="E162" i="7"/>
  <c r="D162" i="7"/>
  <c r="C162" i="7"/>
  <c r="N161" i="7"/>
  <c r="L161" i="7"/>
  <c r="J161" i="7"/>
  <c r="H161" i="7"/>
  <c r="E161" i="7"/>
  <c r="D161" i="7"/>
  <c r="C161" i="7"/>
  <c r="N160" i="7"/>
  <c r="L160" i="7"/>
  <c r="J160" i="7"/>
  <c r="H160" i="7"/>
  <c r="E160" i="7"/>
  <c r="D160" i="7"/>
  <c r="C160" i="7"/>
  <c r="N159" i="7"/>
  <c r="L159" i="7"/>
  <c r="J159" i="7"/>
  <c r="H159" i="7"/>
  <c r="E159" i="7"/>
  <c r="D159" i="7"/>
  <c r="C159" i="7"/>
  <c r="N158" i="7"/>
  <c r="L158" i="7"/>
  <c r="J158" i="7"/>
  <c r="H158" i="7"/>
  <c r="F158" i="7"/>
  <c r="E158" i="7"/>
  <c r="D158" i="7"/>
  <c r="C158" i="7"/>
  <c r="N157" i="7"/>
  <c r="L157" i="7"/>
  <c r="J157" i="7"/>
  <c r="H157" i="7"/>
  <c r="E157" i="7"/>
  <c r="D157" i="7"/>
  <c r="C157" i="7"/>
  <c r="N156" i="7"/>
  <c r="L156" i="7"/>
  <c r="J156" i="7"/>
  <c r="H156" i="7"/>
  <c r="F156" i="7"/>
  <c r="E156" i="7"/>
  <c r="D156" i="7"/>
  <c r="C156" i="7"/>
  <c r="N155" i="7"/>
  <c r="L155" i="7"/>
  <c r="J155" i="7"/>
  <c r="H155" i="7"/>
  <c r="F155" i="7"/>
  <c r="E155" i="7"/>
  <c r="D155" i="7"/>
  <c r="C155" i="7"/>
  <c r="N154" i="7"/>
  <c r="L154" i="7"/>
  <c r="J154" i="7"/>
  <c r="H154" i="7"/>
  <c r="F154" i="7"/>
  <c r="E154" i="7"/>
  <c r="D154" i="7"/>
  <c r="C154" i="7"/>
  <c r="N153" i="7"/>
  <c r="L153" i="7"/>
  <c r="J153" i="7"/>
  <c r="H153" i="7"/>
  <c r="F153" i="7"/>
  <c r="E153" i="7"/>
  <c r="D153" i="7"/>
  <c r="C153" i="7"/>
  <c r="N152" i="7"/>
  <c r="L152" i="7"/>
  <c r="J152" i="7"/>
  <c r="H152" i="7"/>
  <c r="E152" i="7"/>
  <c r="D152" i="7"/>
  <c r="C152" i="7"/>
  <c r="N151" i="7"/>
  <c r="L151" i="7"/>
  <c r="J151" i="7"/>
  <c r="H151" i="7"/>
  <c r="F151" i="7"/>
  <c r="E151" i="7"/>
  <c r="D151" i="7"/>
  <c r="C151" i="7"/>
  <c r="N150" i="7"/>
  <c r="L150" i="7"/>
  <c r="J150" i="7"/>
  <c r="H150" i="7"/>
  <c r="E150" i="7"/>
  <c r="D150" i="7"/>
  <c r="C150" i="7"/>
  <c r="N149" i="7"/>
  <c r="L149" i="7"/>
  <c r="J149" i="7"/>
  <c r="H149" i="7"/>
  <c r="F149" i="7"/>
  <c r="E149" i="7"/>
  <c r="D149" i="7"/>
  <c r="C149" i="7"/>
  <c r="N148" i="7"/>
  <c r="L148" i="7"/>
  <c r="J148" i="7"/>
  <c r="H148" i="7"/>
  <c r="E148" i="7"/>
  <c r="D148" i="7"/>
  <c r="C148" i="7"/>
  <c r="N147" i="7"/>
  <c r="L147" i="7"/>
  <c r="J147" i="7"/>
  <c r="H147" i="7"/>
  <c r="F147" i="7"/>
  <c r="E147" i="7"/>
  <c r="D147" i="7"/>
  <c r="C147" i="7"/>
  <c r="N146" i="7"/>
  <c r="L146" i="7"/>
  <c r="J146" i="7"/>
  <c r="H146" i="7"/>
  <c r="F146" i="7"/>
  <c r="E146" i="7"/>
  <c r="D146" i="7"/>
  <c r="C146" i="7"/>
  <c r="N145" i="7"/>
  <c r="L145" i="7"/>
  <c r="J145" i="7"/>
  <c r="H145" i="7"/>
  <c r="F145" i="7"/>
  <c r="E145" i="7"/>
  <c r="D145" i="7"/>
  <c r="C145" i="7"/>
  <c r="N144" i="7"/>
  <c r="L144" i="7"/>
  <c r="J144" i="7"/>
  <c r="H144" i="7"/>
  <c r="E144" i="7"/>
  <c r="D144" i="7"/>
  <c r="C144" i="7"/>
  <c r="N143" i="7"/>
  <c r="L143" i="7"/>
  <c r="J143" i="7"/>
  <c r="H143" i="7"/>
  <c r="E143" i="7"/>
  <c r="D143" i="7"/>
  <c r="C143" i="7"/>
  <c r="N142" i="7"/>
  <c r="L142" i="7"/>
  <c r="J142" i="7"/>
  <c r="H142" i="7"/>
  <c r="F142" i="7"/>
  <c r="E142" i="7"/>
  <c r="D142" i="7"/>
  <c r="C142" i="7"/>
  <c r="N141" i="7"/>
  <c r="L141" i="7"/>
  <c r="J141" i="7"/>
  <c r="H141" i="7"/>
  <c r="E141" i="7"/>
  <c r="D141" i="7"/>
  <c r="C141" i="7"/>
  <c r="N140" i="7"/>
  <c r="L140" i="7"/>
  <c r="J140" i="7"/>
  <c r="H140" i="7"/>
  <c r="F140" i="7"/>
  <c r="E140" i="7"/>
  <c r="D140" i="7"/>
  <c r="C140" i="7"/>
  <c r="N139" i="7"/>
  <c r="L139" i="7"/>
  <c r="J139" i="7"/>
  <c r="H139" i="7"/>
  <c r="E139" i="7"/>
  <c r="D139" i="7"/>
  <c r="C139" i="7"/>
  <c r="N138" i="7"/>
  <c r="L138" i="7"/>
  <c r="J138" i="7"/>
  <c r="H138" i="7"/>
  <c r="F138" i="7"/>
  <c r="E138" i="7"/>
  <c r="D138" i="7"/>
  <c r="C138" i="7"/>
  <c r="N137" i="7"/>
  <c r="L137" i="7"/>
  <c r="J137" i="7"/>
  <c r="H137" i="7"/>
  <c r="F137" i="7"/>
  <c r="E137" i="7"/>
  <c r="D137" i="7"/>
  <c r="C137" i="7"/>
  <c r="N136" i="7"/>
  <c r="L136" i="7"/>
  <c r="J136" i="7"/>
  <c r="H136" i="7"/>
  <c r="F136" i="7"/>
  <c r="E136" i="7"/>
  <c r="D136" i="7"/>
  <c r="C136" i="7"/>
  <c r="N135" i="7"/>
  <c r="L135" i="7"/>
  <c r="J135" i="7"/>
  <c r="H135" i="7"/>
  <c r="F135" i="7"/>
  <c r="E135" i="7"/>
  <c r="D135" i="7"/>
  <c r="C135" i="7"/>
  <c r="N134" i="7"/>
  <c r="L134" i="7"/>
  <c r="J134" i="7"/>
  <c r="H134" i="7"/>
  <c r="E134" i="7"/>
  <c r="D134" i="7"/>
  <c r="C134" i="7"/>
  <c r="N133" i="7"/>
  <c r="L133" i="7"/>
  <c r="J133" i="7"/>
  <c r="H133" i="7"/>
  <c r="F133" i="7"/>
  <c r="E133" i="7"/>
  <c r="D133" i="7"/>
  <c r="C133" i="7"/>
  <c r="N132" i="7"/>
  <c r="L132" i="7"/>
  <c r="J132" i="7"/>
  <c r="H132" i="7"/>
  <c r="E132" i="7"/>
  <c r="D132" i="7"/>
  <c r="C132" i="7"/>
  <c r="N131" i="7"/>
  <c r="L131" i="7"/>
  <c r="J131" i="7"/>
  <c r="H131" i="7"/>
  <c r="F131" i="7"/>
  <c r="E131" i="7"/>
  <c r="D131" i="7"/>
  <c r="C131" i="7"/>
  <c r="N130" i="7"/>
  <c r="L130" i="7"/>
  <c r="J130" i="7"/>
  <c r="H130" i="7"/>
  <c r="F130" i="7"/>
  <c r="E130" i="7"/>
  <c r="D130" i="7"/>
  <c r="C130" i="7"/>
  <c r="N129" i="7"/>
  <c r="L129" i="7"/>
  <c r="J129" i="7"/>
  <c r="H129" i="7"/>
  <c r="F129" i="7"/>
  <c r="E129" i="7"/>
  <c r="D129" i="7"/>
  <c r="C129" i="7"/>
  <c r="N128" i="7"/>
  <c r="L128" i="7"/>
  <c r="J128" i="7"/>
  <c r="H128" i="7"/>
  <c r="F128" i="7"/>
  <c r="E128" i="7"/>
  <c r="D128" i="7"/>
  <c r="C128" i="7"/>
  <c r="N127" i="7"/>
  <c r="L127" i="7"/>
  <c r="J127" i="7"/>
  <c r="H127" i="7"/>
  <c r="F127" i="7"/>
  <c r="E127" i="7"/>
  <c r="D127" i="7"/>
  <c r="C127" i="7"/>
  <c r="N126" i="7"/>
  <c r="L126" i="7"/>
  <c r="J126" i="7"/>
  <c r="H126" i="7"/>
  <c r="F126" i="7"/>
  <c r="E126" i="7"/>
  <c r="D126" i="7"/>
  <c r="C126" i="7"/>
  <c r="N125" i="7"/>
  <c r="L125" i="7"/>
  <c r="J125" i="7"/>
  <c r="H125" i="7"/>
  <c r="E125" i="7"/>
  <c r="D125" i="7"/>
  <c r="C125" i="7"/>
  <c r="N124" i="7"/>
  <c r="L124" i="7"/>
  <c r="J124" i="7"/>
  <c r="H124" i="7"/>
  <c r="F124" i="7"/>
  <c r="E124" i="7"/>
  <c r="D124" i="7"/>
  <c r="C124" i="7"/>
  <c r="N123" i="7"/>
  <c r="L123" i="7"/>
  <c r="J123" i="7"/>
  <c r="H123" i="7"/>
  <c r="E123" i="7"/>
  <c r="D123" i="7"/>
  <c r="C123" i="7"/>
  <c r="N122" i="7"/>
  <c r="L122" i="7"/>
  <c r="J122" i="7"/>
  <c r="H122" i="7"/>
  <c r="F122" i="7"/>
  <c r="E122" i="7"/>
  <c r="D122" i="7"/>
  <c r="C122" i="7"/>
  <c r="N121" i="7"/>
  <c r="L121" i="7"/>
  <c r="J121" i="7"/>
  <c r="H121" i="7"/>
  <c r="F121" i="7"/>
  <c r="E121" i="7"/>
  <c r="D121" i="7"/>
  <c r="C121" i="7"/>
  <c r="N120" i="7"/>
  <c r="L120" i="7"/>
  <c r="J120" i="7"/>
  <c r="H120" i="7"/>
  <c r="F120" i="7"/>
  <c r="E120" i="7"/>
  <c r="D120" i="7"/>
  <c r="C120" i="7"/>
  <c r="N119" i="7"/>
  <c r="L119" i="7"/>
  <c r="J119" i="7"/>
  <c r="H119" i="7"/>
  <c r="E119" i="7"/>
  <c r="D119" i="7"/>
  <c r="C119" i="7"/>
  <c r="N118" i="7"/>
  <c r="L118" i="7"/>
  <c r="J118" i="7"/>
  <c r="H118" i="7"/>
  <c r="E118" i="7"/>
  <c r="D118" i="7"/>
  <c r="C118" i="7"/>
  <c r="N117" i="7"/>
  <c r="L117" i="7"/>
  <c r="J117" i="7"/>
  <c r="H117" i="7"/>
  <c r="F117" i="7"/>
  <c r="E117" i="7"/>
  <c r="D117" i="7"/>
  <c r="C117" i="7"/>
  <c r="N116" i="7"/>
  <c r="L116" i="7"/>
  <c r="J116" i="7"/>
  <c r="H116" i="7"/>
  <c r="E116" i="7"/>
  <c r="D116" i="7"/>
  <c r="C116" i="7"/>
  <c r="N115" i="7"/>
  <c r="L115" i="7"/>
  <c r="J115" i="7"/>
  <c r="H115" i="7"/>
  <c r="F115" i="7"/>
  <c r="E115" i="7"/>
  <c r="D115" i="7"/>
  <c r="C115" i="7"/>
  <c r="N114" i="7"/>
  <c r="L114" i="7"/>
  <c r="J114" i="7"/>
  <c r="H114" i="7"/>
  <c r="E114" i="7"/>
  <c r="D114" i="7"/>
  <c r="C114" i="7"/>
  <c r="N113" i="7"/>
  <c r="L113" i="7"/>
  <c r="J113" i="7"/>
  <c r="H113" i="7"/>
  <c r="F113" i="7"/>
  <c r="E113" i="7"/>
  <c r="D113" i="7"/>
  <c r="C113" i="7"/>
  <c r="N112" i="7"/>
  <c r="L112" i="7"/>
  <c r="J112" i="7"/>
  <c r="H112" i="7"/>
  <c r="F112" i="7"/>
  <c r="E112" i="7"/>
  <c r="D112" i="7"/>
  <c r="C112" i="7"/>
  <c r="N111" i="7"/>
  <c r="L111" i="7"/>
  <c r="J111" i="7"/>
  <c r="H111" i="7"/>
  <c r="E111" i="7"/>
  <c r="D111" i="7"/>
  <c r="C111" i="7"/>
  <c r="N110" i="7"/>
  <c r="L110" i="7"/>
  <c r="J110" i="7"/>
  <c r="H110" i="7"/>
  <c r="F110" i="7"/>
  <c r="E110" i="7"/>
  <c r="D110" i="7"/>
  <c r="C110" i="7"/>
  <c r="N109" i="7"/>
  <c r="L109" i="7"/>
  <c r="J109" i="7"/>
  <c r="H109" i="7"/>
  <c r="E109" i="7"/>
  <c r="D109" i="7"/>
  <c r="C109" i="7"/>
  <c r="N108" i="7"/>
  <c r="L108" i="7"/>
  <c r="J108" i="7"/>
  <c r="H108" i="7"/>
  <c r="F108" i="7"/>
  <c r="E108" i="7"/>
  <c r="D108" i="7"/>
  <c r="C108" i="7"/>
  <c r="N107" i="7"/>
  <c r="L107" i="7"/>
  <c r="J107" i="7"/>
  <c r="H107" i="7"/>
  <c r="E107" i="7"/>
  <c r="D107" i="7"/>
  <c r="C107" i="7"/>
  <c r="N106" i="7"/>
  <c r="L106" i="7"/>
  <c r="J106" i="7"/>
  <c r="H106" i="7"/>
  <c r="E106" i="7"/>
  <c r="D106" i="7"/>
  <c r="C106" i="7"/>
  <c r="N105" i="7"/>
  <c r="L105" i="7"/>
  <c r="J105" i="7"/>
  <c r="H105" i="7"/>
  <c r="F105" i="7"/>
  <c r="E105" i="7"/>
  <c r="D105" i="7"/>
  <c r="C105" i="7"/>
  <c r="N104" i="7"/>
  <c r="L104" i="7"/>
  <c r="J104" i="7"/>
  <c r="H104" i="7"/>
  <c r="F104" i="7"/>
  <c r="E104" i="7"/>
  <c r="D104" i="7"/>
  <c r="C104" i="7"/>
  <c r="N103" i="7"/>
  <c r="L103" i="7"/>
  <c r="J103" i="7"/>
  <c r="H103" i="7"/>
  <c r="E103" i="7"/>
  <c r="D103" i="7"/>
  <c r="C103" i="7"/>
  <c r="N102" i="7"/>
  <c r="L102" i="7"/>
  <c r="J102" i="7"/>
  <c r="H102" i="7"/>
  <c r="E102" i="7"/>
  <c r="D102" i="7"/>
  <c r="C102" i="7"/>
  <c r="N101" i="7"/>
  <c r="L101" i="7"/>
  <c r="J101" i="7"/>
  <c r="H101" i="7"/>
  <c r="E101" i="7"/>
  <c r="D101" i="7"/>
  <c r="C101" i="7"/>
  <c r="N100" i="7"/>
  <c r="L100" i="7"/>
  <c r="J100" i="7"/>
  <c r="H100" i="7"/>
  <c r="E100" i="7"/>
  <c r="D100" i="7"/>
  <c r="C100" i="7"/>
  <c r="N99" i="7"/>
  <c r="L99" i="7"/>
  <c r="J99" i="7"/>
  <c r="H99" i="7"/>
  <c r="F99" i="7"/>
  <c r="E99" i="7"/>
  <c r="D99" i="7"/>
  <c r="C99" i="7"/>
  <c r="N98" i="7"/>
  <c r="L98" i="7"/>
  <c r="J98" i="7"/>
  <c r="H98" i="7"/>
  <c r="E98" i="7"/>
  <c r="D98" i="7"/>
  <c r="C98" i="7"/>
  <c r="N97" i="7"/>
  <c r="L97" i="7"/>
  <c r="J97" i="7"/>
  <c r="H97" i="7"/>
  <c r="F97" i="7"/>
  <c r="E97" i="7"/>
  <c r="D97" i="7"/>
  <c r="C97" i="7"/>
  <c r="N96" i="7"/>
  <c r="L96" i="7"/>
  <c r="J96" i="7"/>
  <c r="H96" i="7"/>
  <c r="F96" i="7"/>
  <c r="E96" i="7"/>
  <c r="D96" i="7"/>
  <c r="C96" i="7"/>
  <c r="N95" i="7"/>
  <c r="L95" i="7"/>
  <c r="J95" i="7"/>
  <c r="H95" i="7"/>
  <c r="E95" i="7"/>
  <c r="D95" i="7"/>
  <c r="C95" i="7"/>
  <c r="N94" i="7"/>
  <c r="L94" i="7"/>
  <c r="J94" i="7"/>
  <c r="H94" i="7"/>
  <c r="F94" i="7"/>
  <c r="E94" i="7"/>
  <c r="D94" i="7"/>
  <c r="C94" i="7"/>
  <c r="N93" i="7"/>
  <c r="L93" i="7"/>
  <c r="J93" i="7"/>
  <c r="H93" i="7"/>
  <c r="E93" i="7"/>
  <c r="D93" i="7"/>
  <c r="C93" i="7"/>
  <c r="N92" i="7"/>
  <c r="L92" i="7"/>
  <c r="J92" i="7"/>
  <c r="H92" i="7"/>
  <c r="F92" i="7"/>
  <c r="E92" i="7"/>
  <c r="D92" i="7"/>
  <c r="C92" i="7"/>
  <c r="N91" i="7"/>
  <c r="L91" i="7"/>
  <c r="J91" i="7"/>
  <c r="H91" i="7"/>
  <c r="E91" i="7"/>
  <c r="D91" i="7"/>
  <c r="C91" i="7"/>
  <c r="N90" i="7"/>
  <c r="L90" i="7"/>
  <c r="J90" i="7"/>
  <c r="H90" i="7"/>
  <c r="F90" i="7"/>
  <c r="E90" i="7"/>
  <c r="D90" i="7"/>
  <c r="C90" i="7"/>
  <c r="N89" i="7"/>
  <c r="L89" i="7"/>
  <c r="J89" i="7"/>
  <c r="H89" i="7"/>
  <c r="E89" i="7"/>
  <c r="D89" i="7"/>
  <c r="C89" i="7"/>
  <c r="N88" i="7"/>
  <c r="L88" i="7"/>
  <c r="J88" i="7"/>
  <c r="H88" i="7"/>
  <c r="E88" i="7"/>
  <c r="D88" i="7"/>
  <c r="C88" i="7"/>
  <c r="N87" i="7"/>
  <c r="L87" i="7"/>
  <c r="J87" i="7"/>
  <c r="H87" i="7"/>
  <c r="F87" i="7"/>
  <c r="E87" i="7"/>
  <c r="D87" i="7"/>
  <c r="C87" i="7"/>
  <c r="N86" i="7"/>
  <c r="L86" i="7"/>
  <c r="J86" i="7"/>
  <c r="H86" i="7"/>
  <c r="E86" i="7"/>
  <c r="D86" i="7"/>
  <c r="C86" i="7"/>
  <c r="N85" i="7"/>
  <c r="L85" i="7"/>
  <c r="J85" i="7"/>
  <c r="H85" i="7"/>
  <c r="F85" i="7"/>
  <c r="E85" i="7"/>
  <c r="D85" i="7"/>
  <c r="C85" i="7"/>
  <c r="N84" i="7"/>
  <c r="L84" i="7"/>
  <c r="J84" i="7"/>
  <c r="H84" i="7"/>
  <c r="E84" i="7"/>
  <c r="D84" i="7"/>
  <c r="C84" i="7"/>
  <c r="N83" i="7"/>
  <c r="L83" i="7"/>
  <c r="J83" i="7"/>
  <c r="H83" i="7"/>
  <c r="F83" i="7"/>
  <c r="E83" i="7"/>
  <c r="D83" i="7"/>
  <c r="C83" i="7"/>
  <c r="N82" i="7"/>
  <c r="L82" i="7"/>
  <c r="J82" i="7"/>
  <c r="H82" i="7"/>
  <c r="E82" i="7"/>
  <c r="D82" i="7"/>
  <c r="C82" i="7"/>
  <c r="N81" i="7"/>
  <c r="L81" i="7"/>
  <c r="J81" i="7"/>
  <c r="H81" i="7"/>
  <c r="F81" i="7"/>
  <c r="E81" i="7"/>
  <c r="D81" i="7"/>
  <c r="C81" i="7"/>
  <c r="N80" i="7"/>
  <c r="L80" i="7"/>
  <c r="J80" i="7"/>
  <c r="H80" i="7"/>
  <c r="E80" i="7"/>
  <c r="D80" i="7"/>
  <c r="C80" i="7"/>
  <c r="N79" i="7"/>
  <c r="L79" i="7"/>
  <c r="J79" i="7"/>
  <c r="H79" i="7"/>
  <c r="E79" i="7"/>
  <c r="D79" i="7"/>
  <c r="C79" i="7"/>
  <c r="N78" i="7"/>
  <c r="L78" i="7"/>
  <c r="J78" i="7"/>
  <c r="H78" i="7"/>
  <c r="E78" i="7"/>
  <c r="D78" i="7"/>
  <c r="C78" i="7"/>
  <c r="N77" i="7"/>
  <c r="L77" i="7"/>
  <c r="J77" i="7"/>
  <c r="H77" i="7"/>
  <c r="E77" i="7"/>
  <c r="D77" i="7"/>
  <c r="C77" i="7"/>
  <c r="N76" i="7"/>
  <c r="L76" i="7"/>
  <c r="J76" i="7"/>
  <c r="H76" i="7"/>
  <c r="F76" i="7"/>
  <c r="E76" i="7"/>
  <c r="D76" i="7"/>
  <c r="C76" i="7"/>
  <c r="N75" i="7"/>
  <c r="L75" i="7"/>
  <c r="J75" i="7"/>
  <c r="H75" i="7"/>
  <c r="E75" i="7"/>
  <c r="D75" i="7"/>
  <c r="C75" i="7"/>
  <c r="N74" i="7"/>
  <c r="L74" i="7"/>
  <c r="J74" i="7"/>
  <c r="H74" i="7"/>
  <c r="F74" i="7"/>
  <c r="E74" i="7"/>
  <c r="D74" i="7"/>
  <c r="C74" i="7"/>
  <c r="N73" i="7"/>
  <c r="L73" i="7"/>
  <c r="J73" i="7"/>
  <c r="H73" i="7"/>
  <c r="E73" i="7"/>
  <c r="D73" i="7"/>
  <c r="C73" i="7"/>
  <c r="N72" i="7"/>
  <c r="L72" i="7"/>
  <c r="J72" i="7"/>
  <c r="H72" i="7"/>
  <c r="F72" i="7"/>
  <c r="E72" i="7"/>
  <c r="D72" i="7"/>
  <c r="C72" i="7"/>
  <c r="N71" i="7"/>
  <c r="L71" i="7"/>
  <c r="J71" i="7"/>
  <c r="H71" i="7"/>
  <c r="E71" i="7"/>
  <c r="D71" i="7"/>
  <c r="C71" i="7"/>
  <c r="N70" i="7"/>
  <c r="L70" i="7"/>
  <c r="J70" i="7"/>
  <c r="H70" i="7"/>
  <c r="E70" i="7"/>
  <c r="D70" i="7"/>
  <c r="C70" i="7"/>
  <c r="N69" i="7"/>
  <c r="L69" i="7"/>
  <c r="J69" i="7"/>
  <c r="H69" i="7"/>
  <c r="E69" i="7"/>
  <c r="D69" i="7"/>
  <c r="C69" i="7"/>
  <c r="N68" i="7"/>
  <c r="L68" i="7"/>
  <c r="J68" i="7"/>
  <c r="H68" i="7"/>
  <c r="E68" i="7"/>
  <c r="D68" i="7"/>
  <c r="C68" i="7"/>
  <c r="N67" i="7"/>
  <c r="L67" i="7"/>
  <c r="J67" i="7"/>
  <c r="H67" i="7"/>
  <c r="E67" i="7"/>
  <c r="D67" i="7"/>
  <c r="C67" i="7"/>
  <c r="N66" i="7"/>
  <c r="L66" i="7"/>
  <c r="J66" i="7"/>
  <c r="H66" i="7"/>
  <c r="E66" i="7"/>
  <c r="D66" i="7"/>
  <c r="C66" i="7"/>
  <c r="N65" i="7"/>
  <c r="L65" i="7"/>
  <c r="J65" i="7"/>
  <c r="H65" i="7"/>
  <c r="F65" i="7"/>
  <c r="E65" i="7"/>
  <c r="D65" i="7"/>
  <c r="C65" i="7"/>
  <c r="N64" i="7"/>
  <c r="L64" i="7"/>
  <c r="J64" i="7"/>
  <c r="H64" i="7"/>
  <c r="E64" i="7"/>
  <c r="D64" i="7"/>
  <c r="C64" i="7"/>
  <c r="N63" i="7"/>
  <c r="L63" i="7"/>
  <c r="J63" i="7"/>
  <c r="H63" i="7"/>
  <c r="E63" i="7"/>
  <c r="D63" i="7"/>
  <c r="C63" i="7"/>
  <c r="N62" i="7"/>
  <c r="L62" i="7"/>
  <c r="J62" i="7"/>
  <c r="H62" i="7"/>
  <c r="E62" i="7"/>
  <c r="D62" i="7"/>
  <c r="C62" i="7"/>
  <c r="N61" i="7"/>
  <c r="L61" i="7"/>
  <c r="J61" i="7"/>
  <c r="H61" i="7"/>
  <c r="E61" i="7"/>
  <c r="D61" i="7"/>
  <c r="C61" i="7"/>
  <c r="N60" i="7"/>
  <c r="L60" i="7"/>
  <c r="J60" i="7"/>
  <c r="H60" i="7"/>
  <c r="F60" i="7"/>
  <c r="E60" i="7"/>
  <c r="D60" i="7"/>
  <c r="C60" i="7"/>
  <c r="N59" i="7"/>
  <c r="L59" i="7"/>
  <c r="J59" i="7"/>
  <c r="H59" i="7"/>
  <c r="E59" i="7"/>
  <c r="D59" i="7"/>
  <c r="C59" i="7"/>
  <c r="N58" i="7"/>
  <c r="L58" i="7"/>
  <c r="J58" i="7"/>
  <c r="H58" i="7"/>
  <c r="E58" i="7"/>
  <c r="D58" i="7"/>
  <c r="C58" i="7"/>
  <c r="N57" i="7"/>
  <c r="L57" i="7"/>
  <c r="J57" i="7"/>
  <c r="H57" i="7"/>
  <c r="F57" i="7"/>
  <c r="E57" i="7"/>
  <c r="D57" i="7"/>
  <c r="C57" i="7"/>
  <c r="N56" i="7"/>
  <c r="L56" i="7"/>
  <c r="J56" i="7"/>
  <c r="H56" i="7"/>
  <c r="F56" i="7"/>
  <c r="E56" i="7"/>
  <c r="D56" i="7"/>
  <c r="C56" i="7"/>
  <c r="N55" i="7"/>
  <c r="L55" i="7"/>
  <c r="J55" i="7"/>
  <c r="H55" i="7"/>
  <c r="E55" i="7"/>
  <c r="D55" i="7"/>
  <c r="C55" i="7"/>
  <c r="N54" i="7"/>
  <c r="L54" i="7"/>
  <c r="J54" i="7"/>
  <c r="H54" i="7"/>
  <c r="E54" i="7"/>
  <c r="D54" i="7"/>
  <c r="C54" i="7"/>
  <c r="N53" i="7"/>
  <c r="L53" i="7"/>
  <c r="J53" i="7"/>
  <c r="H53" i="7"/>
  <c r="E53" i="7"/>
  <c r="D53" i="7"/>
  <c r="C53" i="7"/>
  <c r="N52" i="7"/>
  <c r="L52" i="7"/>
  <c r="J52" i="7"/>
  <c r="H52" i="7"/>
  <c r="E52" i="7"/>
  <c r="D52" i="7"/>
  <c r="C52" i="7"/>
  <c r="N51" i="7"/>
  <c r="L51" i="7"/>
  <c r="J51" i="7"/>
  <c r="H51" i="7"/>
  <c r="F51" i="7"/>
  <c r="E51" i="7"/>
  <c r="D51" i="7"/>
  <c r="C51" i="7"/>
  <c r="N50" i="7"/>
  <c r="L50" i="7"/>
  <c r="J50" i="7"/>
  <c r="H50" i="7"/>
  <c r="F50" i="7"/>
  <c r="E50" i="7"/>
  <c r="D50" i="7"/>
  <c r="C50" i="7"/>
  <c r="N49" i="7"/>
  <c r="L49" i="7"/>
  <c r="J49" i="7"/>
  <c r="H49" i="7"/>
  <c r="F49" i="7"/>
  <c r="E49" i="7"/>
  <c r="D49" i="7"/>
  <c r="C49" i="7"/>
  <c r="N48" i="7"/>
  <c r="L48" i="7"/>
  <c r="J48" i="7"/>
  <c r="H48" i="7"/>
  <c r="F48" i="7"/>
  <c r="E48" i="7"/>
  <c r="D48" i="7"/>
  <c r="C48" i="7"/>
  <c r="N47" i="7"/>
  <c r="L47" i="7"/>
  <c r="J47" i="7"/>
  <c r="H47" i="7"/>
  <c r="E47" i="7"/>
  <c r="D47" i="7"/>
  <c r="C47" i="7"/>
  <c r="N46" i="7"/>
  <c r="L46" i="7"/>
  <c r="J46" i="7"/>
  <c r="H46" i="7"/>
  <c r="F46" i="7"/>
  <c r="E46" i="7"/>
  <c r="D46" i="7"/>
  <c r="C46" i="7"/>
  <c r="N45" i="7"/>
  <c r="L45" i="7"/>
  <c r="J45" i="7"/>
  <c r="H45" i="7"/>
  <c r="E45" i="7"/>
  <c r="D45" i="7"/>
  <c r="C45" i="7"/>
  <c r="N44" i="7"/>
  <c r="L44" i="7"/>
  <c r="J44" i="7"/>
  <c r="H44" i="7"/>
  <c r="F44" i="7"/>
  <c r="E44" i="7"/>
  <c r="D44" i="7"/>
  <c r="C44" i="7"/>
  <c r="N43" i="7"/>
  <c r="L43" i="7"/>
  <c r="J43" i="7"/>
  <c r="H43" i="7"/>
  <c r="E43" i="7"/>
  <c r="D43" i="7"/>
  <c r="C43" i="7"/>
  <c r="N42" i="7"/>
  <c r="L42" i="7"/>
  <c r="J42" i="7"/>
  <c r="H42" i="7"/>
  <c r="E42" i="7"/>
  <c r="D42" i="7"/>
  <c r="C42" i="7"/>
  <c r="N41" i="7"/>
  <c r="L41" i="7"/>
  <c r="J41" i="7"/>
  <c r="H41" i="7"/>
  <c r="F41" i="7"/>
  <c r="E41" i="7"/>
  <c r="D41" i="7"/>
  <c r="C41" i="7"/>
  <c r="N40" i="7"/>
  <c r="L40" i="7"/>
  <c r="J40" i="7"/>
  <c r="H40" i="7"/>
  <c r="F40" i="7"/>
  <c r="E40" i="7"/>
  <c r="D40" i="7"/>
  <c r="C40" i="7"/>
  <c r="N39" i="7"/>
  <c r="L39" i="7"/>
  <c r="J39" i="7"/>
  <c r="H39" i="7"/>
  <c r="F39" i="7"/>
  <c r="E39" i="7"/>
  <c r="D39" i="7"/>
  <c r="C39" i="7"/>
  <c r="N38" i="7"/>
  <c r="L38" i="7"/>
  <c r="J38" i="7"/>
  <c r="H38" i="7"/>
  <c r="E38" i="7"/>
  <c r="D38" i="7"/>
  <c r="C38" i="7"/>
  <c r="N37" i="7"/>
  <c r="L37" i="7"/>
  <c r="J37" i="7"/>
  <c r="H37" i="7"/>
  <c r="F37" i="7"/>
  <c r="E37" i="7"/>
  <c r="D37" i="7"/>
  <c r="C37" i="7"/>
  <c r="N36" i="7"/>
  <c r="L36" i="7"/>
  <c r="J36" i="7"/>
  <c r="H36" i="7"/>
  <c r="E36" i="7"/>
  <c r="D36" i="7"/>
  <c r="C36" i="7"/>
  <c r="N35" i="7"/>
  <c r="L35" i="7"/>
  <c r="J35" i="7"/>
  <c r="H35" i="7"/>
  <c r="F35" i="7"/>
  <c r="E35" i="7"/>
  <c r="D35" i="7"/>
  <c r="C35" i="7"/>
  <c r="N34" i="7"/>
  <c r="L34" i="7"/>
  <c r="J34" i="7"/>
  <c r="H34" i="7"/>
  <c r="E34" i="7"/>
  <c r="D34" i="7"/>
  <c r="C34" i="7"/>
  <c r="N33" i="7"/>
  <c r="L33" i="7"/>
  <c r="J33" i="7"/>
  <c r="H33" i="7"/>
  <c r="F33" i="7"/>
  <c r="E33" i="7"/>
  <c r="D33" i="7"/>
  <c r="C33" i="7"/>
  <c r="N32" i="7"/>
  <c r="L32" i="7"/>
  <c r="J32" i="7"/>
  <c r="H32" i="7"/>
  <c r="F32" i="7"/>
  <c r="E32" i="7"/>
  <c r="D32" i="7"/>
  <c r="C32" i="7"/>
  <c r="N31" i="7"/>
  <c r="L31" i="7"/>
  <c r="J31" i="7"/>
  <c r="H31" i="7"/>
  <c r="E31" i="7"/>
  <c r="D31" i="7"/>
  <c r="C31" i="7"/>
  <c r="N30" i="7"/>
  <c r="L30" i="7"/>
  <c r="J30" i="7"/>
  <c r="H30" i="7"/>
  <c r="F30" i="7"/>
  <c r="E30" i="7"/>
  <c r="D30" i="7"/>
  <c r="C30" i="7"/>
  <c r="N29" i="7"/>
  <c r="L29" i="7"/>
  <c r="J29" i="7"/>
  <c r="H29" i="7"/>
  <c r="E29" i="7"/>
  <c r="D29" i="7"/>
  <c r="C29" i="7"/>
  <c r="N28" i="7"/>
  <c r="L28" i="7"/>
  <c r="J28" i="7"/>
  <c r="H28" i="7"/>
  <c r="F28" i="7"/>
  <c r="E28" i="7"/>
  <c r="D28" i="7"/>
  <c r="C28" i="7"/>
  <c r="N27" i="7"/>
  <c r="L27" i="7"/>
  <c r="J27" i="7"/>
  <c r="H27" i="7"/>
  <c r="E27" i="7"/>
  <c r="D27" i="7"/>
  <c r="C27" i="7"/>
  <c r="N26" i="7"/>
  <c r="L26" i="7"/>
  <c r="J26" i="7"/>
  <c r="H26" i="7"/>
  <c r="F26" i="7"/>
  <c r="E26" i="7"/>
  <c r="D26" i="7"/>
  <c r="C26" i="7"/>
  <c r="N25" i="7"/>
  <c r="L25" i="7"/>
  <c r="J25" i="7"/>
  <c r="H25" i="7"/>
  <c r="F25" i="7"/>
  <c r="E25" i="7"/>
  <c r="D25" i="7"/>
  <c r="C25" i="7"/>
  <c r="N24" i="7"/>
  <c r="L24" i="7"/>
  <c r="J24" i="7"/>
  <c r="H24" i="7"/>
  <c r="F24" i="7"/>
  <c r="E24" i="7"/>
  <c r="D24" i="7"/>
  <c r="C24" i="7"/>
  <c r="N23" i="7"/>
  <c r="L23" i="7"/>
  <c r="J23" i="7"/>
  <c r="H23" i="7"/>
  <c r="E23" i="7"/>
  <c r="D23" i="7"/>
  <c r="C23" i="7"/>
  <c r="N22" i="7"/>
  <c r="L22" i="7"/>
  <c r="J22" i="7"/>
  <c r="H22" i="7"/>
  <c r="E22" i="7"/>
  <c r="D22" i="7"/>
  <c r="C22" i="7"/>
  <c r="N21" i="7"/>
  <c r="L21" i="7"/>
  <c r="J21" i="7"/>
  <c r="H21" i="7"/>
  <c r="E21" i="7"/>
  <c r="D21" i="7"/>
  <c r="C21" i="7"/>
  <c r="N20" i="7"/>
  <c r="L20" i="7"/>
  <c r="J20" i="7"/>
  <c r="H20" i="7"/>
  <c r="E20" i="7"/>
  <c r="D20" i="7"/>
  <c r="C20" i="7"/>
  <c r="N19" i="7"/>
  <c r="L19" i="7"/>
  <c r="J19" i="7"/>
  <c r="H19" i="7"/>
  <c r="F19" i="7"/>
  <c r="E19" i="7"/>
  <c r="D19" i="7"/>
  <c r="C19" i="7"/>
  <c r="N18" i="7"/>
  <c r="L18" i="7"/>
  <c r="J18" i="7"/>
  <c r="H18" i="7"/>
  <c r="E18" i="7"/>
  <c r="D18" i="7"/>
  <c r="C18" i="7"/>
  <c r="N17" i="7"/>
  <c r="L17" i="7"/>
  <c r="J17" i="7"/>
  <c r="H17" i="7"/>
  <c r="F17" i="7"/>
  <c r="E17" i="7"/>
  <c r="D17" i="7"/>
  <c r="C17" i="7"/>
  <c r="N16" i="7"/>
  <c r="L16" i="7"/>
  <c r="J16" i="7"/>
  <c r="H16" i="7"/>
  <c r="E16" i="7"/>
  <c r="D16" i="7"/>
  <c r="C16" i="7"/>
  <c r="N15" i="7"/>
  <c r="L15" i="7"/>
  <c r="J15" i="7"/>
  <c r="H15" i="7"/>
  <c r="E15" i="7"/>
  <c r="D15" i="7"/>
  <c r="C15" i="7"/>
  <c r="N14" i="7"/>
  <c r="L14" i="7"/>
  <c r="J14" i="7"/>
  <c r="H14" i="7"/>
  <c r="F14" i="7"/>
  <c r="E14" i="7"/>
  <c r="D14" i="7"/>
  <c r="C14" i="7"/>
  <c r="N13" i="7"/>
  <c r="L13" i="7"/>
  <c r="J13" i="7"/>
  <c r="H13" i="7"/>
  <c r="E13" i="7"/>
  <c r="D13" i="7"/>
  <c r="C13" i="7"/>
  <c r="N12" i="7"/>
  <c r="L12" i="7"/>
  <c r="J12" i="7"/>
  <c r="H12" i="7"/>
  <c r="E12" i="7"/>
  <c r="D12" i="7"/>
  <c r="C12" i="7"/>
  <c r="N11" i="7"/>
  <c r="L11" i="7"/>
  <c r="J11" i="7"/>
  <c r="H11" i="7"/>
  <c r="E11" i="7"/>
  <c r="D11" i="7"/>
  <c r="C11" i="7"/>
  <c r="N10" i="7"/>
  <c r="L10" i="7"/>
  <c r="J10" i="7"/>
  <c r="H10" i="7"/>
  <c r="E10" i="7"/>
  <c r="D10" i="7"/>
  <c r="C10" i="7"/>
  <c r="N9" i="7"/>
  <c r="L9" i="7"/>
  <c r="J9" i="7"/>
  <c r="H9" i="7"/>
  <c r="F9" i="7"/>
  <c r="E9" i="7"/>
  <c r="D9" i="7"/>
  <c r="C9" i="7"/>
  <c r="N8" i="7"/>
  <c r="L8" i="7"/>
  <c r="J8" i="7"/>
  <c r="H8" i="7"/>
  <c r="F8" i="7"/>
  <c r="E8" i="7"/>
  <c r="D8" i="7"/>
  <c r="C8" i="7"/>
  <c r="N7" i="7"/>
  <c r="L7" i="7"/>
  <c r="J7" i="7"/>
  <c r="H7" i="7"/>
  <c r="E7" i="7"/>
  <c r="D7" i="7"/>
  <c r="C7" i="7"/>
  <c r="N6" i="7"/>
  <c r="L6" i="7"/>
  <c r="J6" i="7"/>
  <c r="H6" i="7"/>
  <c r="E6" i="7"/>
  <c r="D6" i="7"/>
  <c r="C6" i="7"/>
  <c r="N5" i="7"/>
  <c r="L5" i="7"/>
  <c r="J5" i="7"/>
  <c r="H5" i="7"/>
  <c r="F5" i="7"/>
  <c r="E5" i="7"/>
  <c r="D5" i="7"/>
  <c r="C5" i="7"/>
  <c r="N4" i="7"/>
  <c r="L4" i="7"/>
  <c r="J4" i="7"/>
  <c r="H4" i="7"/>
  <c r="E4" i="7"/>
  <c r="D4" i="7"/>
  <c r="C4" i="7"/>
  <c r="N3" i="7"/>
  <c r="L3" i="7"/>
  <c r="J3" i="7"/>
  <c r="H3" i="7"/>
  <c r="E3" i="7"/>
  <c r="D3" i="7"/>
  <c r="C3" i="7"/>
  <c r="N2" i="7"/>
  <c r="J2" i="7"/>
  <c r="H2" i="7"/>
  <c r="F2" i="7"/>
  <c r="E2" i="7"/>
  <c r="D2" i="7"/>
  <c r="C2" i="7"/>
  <c r="O421" i="6"/>
  <c r="M421" i="6"/>
  <c r="L421" i="6"/>
  <c r="J421" i="6"/>
  <c r="H421" i="6"/>
  <c r="E421" i="6"/>
  <c r="D421" i="6"/>
  <c r="C421" i="6"/>
  <c r="O420" i="6"/>
  <c r="M420" i="6"/>
  <c r="L420" i="6"/>
  <c r="J420" i="6"/>
  <c r="H420" i="6"/>
  <c r="E420" i="6"/>
  <c r="D420" i="6"/>
  <c r="C420" i="6"/>
  <c r="O419" i="6"/>
  <c r="M419" i="6"/>
  <c r="L419" i="6"/>
  <c r="J419" i="6"/>
  <c r="H419" i="6"/>
  <c r="E419" i="6"/>
  <c r="D419" i="6"/>
  <c r="C419" i="6"/>
  <c r="O418" i="6"/>
  <c r="M418" i="6"/>
  <c r="L418" i="6"/>
  <c r="J418" i="6"/>
  <c r="H418" i="6"/>
  <c r="F418" i="6"/>
  <c r="E418" i="6"/>
  <c r="D418" i="6"/>
  <c r="C418" i="6"/>
  <c r="O417" i="6"/>
  <c r="M417" i="6"/>
  <c r="L417" i="6"/>
  <c r="J417" i="6"/>
  <c r="H417" i="6"/>
  <c r="E417" i="6"/>
  <c r="D417" i="6"/>
  <c r="C417" i="6"/>
  <c r="O416" i="6"/>
  <c r="M416" i="6"/>
  <c r="L416" i="6"/>
  <c r="J416" i="6"/>
  <c r="H416" i="6"/>
  <c r="E416" i="6"/>
  <c r="D416" i="6"/>
  <c r="C416" i="6"/>
  <c r="O415" i="6"/>
  <c r="M415" i="6"/>
  <c r="L415" i="6"/>
  <c r="J415" i="6"/>
  <c r="H415" i="6"/>
  <c r="E415" i="6"/>
  <c r="D415" i="6"/>
  <c r="C415" i="6"/>
  <c r="O414" i="6"/>
  <c r="M414" i="6"/>
  <c r="L414" i="6"/>
  <c r="J414" i="6"/>
  <c r="H414" i="6"/>
  <c r="E414" i="6"/>
  <c r="D414" i="6"/>
  <c r="C414" i="6"/>
  <c r="O413" i="6"/>
  <c r="M413" i="6"/>
  <c r="L413" i="6"/>
  <c r="J413" i="6"/>
  <c r="H413" i="6"/>
  <c r="F413" i="6"/>
  <c r="E413" i="6"/>
  <c r="D413" i="6"/>
  <c r="C413" i="6"/>
  <c r="O412" i="6"/>
  <c r="M412" i="6"/>
  <c r="L412" i="6"/>
  <c r="J412" i="6"/>
  <c r="H412" i="6"/>
  <c r="E412" i="6"/>
  <c r="D412" i="6"/>
  <c r="C412" i="6"/>
  <c r="O411" i="6"/>
  <c r="M411" i="6"/>
  <c r="L411" i="6"/>
  <c r="J411" i="6"/>
  <c r="H411" i="6"/>
  <c r="F411" i="6"/>
  <c r="E411" i="6"/>
  <c r="D411" i="6"/>
  <c r="C411" i="6"/>
  <c r="O410" i="6"/>
  <c r="M410" i="6"/>
  <c r="L410" i="6"/>
  <c r="J410" i="6"/>
  <c r="H410" i="6"/>
  <c r="E410" i="6"/>
  <c r="D410" i="6"/>
  <c r="C410" i="6"/>
  <c r="O409" i="6"/>
  <c r="M409" i="6"/>
  <c r="L409" i="6"/>
  <c r="J409" i="6"/>
  <c r="H409" i="6"/>
  <c r="F409" i="6"/>
  <c r="E409" i="6"/>
  <c r="D409" i="6"/>
  <c r="C409" i="6"/>
  <c r="O408" i="6"/>
  <c r="M408" i="6"/>
  <c r="L408" i="6"/>
  <c r="J408" i="6"/>
  <c r="H408" i="6"/>
  <c r="E408" i="6"/>
  <c r="D408" i="6"/>
  <c r="C408" i="6"/>
  <c r="O407" i="6"/>
  <c r="M407" i="6"/>
  <c r="L407" i="6"/>
  <c r="J407" i="6"/>
  <c r="H407" i="6"/>
  <c r="E407" i="6"/>
  <c r="D407" i="6"/>
  <c r="C407" i="6"/>
  <c r="O406" i="6"/>
  <c r="M406" i="6"/>
  <c r="L406" i="6"/>
  <c r="J406" i="6"/>
  <c r="H406" i="6"/>
  <c r="E406" i="6"/>
  <c r="D406" i="6"/>
  <c r="C406" i="6"/>
  <c r="O405" i="6"/>
  <c r="M405" i="6"/>
  <c r="L405" i="6"/>
  <c r="J405" i="6"/>
  <c r="H405" i="6"/>
  <c r="E405" i="6"/>
  <c r="D405" i="6"/>
  <c r="C405" i="6"/>
  <c r="O404" i="6"/>
  <c r="M404" i="6"/>
  <c r="L404" i="6"/>
  <c r="J404" i="6"/>
  <c r="H404" i="6"/>
  <c r="E404" i="6"/>
  <c r="D404" i="6"/>
  <c r="C404" i="6"/>
  <c r="O403" i="6"/>
  <c r="M403" i="6"/>
  <c r="L403" i="6"/>
  <c r="J403" i="6"/>
  <c r="H403" i="6"/>
  <c r="E403" i="6"/>
  <c r="D403" i="6"/>
  <c r="C403" i="6"/>
  <c r="O402" i="6"/>
  <c r="M402" i="6"/>
  <c r="L402" i="6"/>
  <c r="J402" i="6"/>
  <c r="H402" i="6"/>
  <c r="F402" i="6"/>
  <c r="E402" i="6"/>
  <c r="D402" i="6"/>
  <c r="C402" i="6"/>
  <c r="O401" i="6"/>
  <c r="M401" i="6"/>
  <c r="L401" i="6"/>
  <c r="J401" i="6"/>
  <c r="H401" i="6"/>
  <c r="E401" i="6"/>
  <c r="D401" i="6"/>
  <c r="C401" i="6"/>
  <c r="O400" i="6"/>
  <c r="M400" i="6"/>
  <c r="L400" i="6"/>
  <c r="J400" i="6"/>
  <c r="H400" i="6"/>
  <c r="F400" i="6"/>
  <c r="E400" i="6"/>
  <c r="D400" i="6"/>
  <c r="C400" i="6"/>
  <c r="O399" i="6"/>
  <c r="M399" i="6"/>
  <c r="L399" i="6"/>
  <c r="J399" i="6"/>
  <c r="H399" i="6"/>
  <c r="E399" i="6"/>
  <c r="D399" i="6"/>
  <c r="C399" i="6"/>
  <c r="O398" i="6"/>
  <c r="M398" i="6"/>
  <c r="L398" i="6"/>
  <c r="J398" i="6"/>
  <c r="H398" i="6"/>
  <c r="F398" i="6"/>
  <c r="E398" i="6"/>
  <c r="D398" i="6"/>
  <c r="C398" i="6"/>
  <c r="O397" i="6"/>
  <c r="M397" i="6"/>
  <c r="L397" i="6"/>
  <c r="J397" i="6"/>
  <c r="H397" i="6"/>
  <c r="E397" i="6"/>
  <c r="D397" i="6"/>
  <c r="C397" i="6"/>
  <c r="O396" i="6"/>
  <c r="M396" i="6"/>
  <c r="L396" i="6"/>
  <c r="J396" i="6"/>
  <c r="H396" i="6"/>
  <c r="F396" i="6"/>
  <c r="E396" i="6"/>
  <c r="D396" i="6"/>
  <c r="C396" i="6"/>
  <c r="O395" i="6"/>
  <c r="M395" i="6"/>
  <c r="L395" i="6"/>
  <c r="J395" i="6"/>
  <c r="H395" i="6"/>
  <c r="E395" i="6"/>
  <c r="D395" i="6"/>
  <c r="C395" i="6"/>
  <c r="O394" i="6"/>
  <c r="M394" i="6"/>
  <c r="L394" i="6"/>
  <c r="J394" i="6"/>
  <c r="H394" i="6"/>
  <c r="E394" i="6"/>
  <c r="D394" i="6"/>
  <c r="C394" i="6"/>
  <c r="O393" i="6"/>
  <c r="M393" i="6"/>
  <c r="L393" i="6"/>
  <c r="J393" i="6"/>
  <c r="H393" i="6"/>
  <c r="E393" i="6"/>
  <c r="D393" i="6"/>
  <c r="C393" i="6"/>
  <c r="O392" i="6"/>
  <c r="M392" i="6"/>
  <c r="L392" i="6"/>
  <c r="J392" i="6"/>
  <c r="H392" i="6"/>
  <c r="E392" i="6"/>
  <c r="D392" i="6"/>
  <c r="C392" i="6"/>
  <c r="O391" i="6"/>
  <c r="M391" i="6"/>
  <c r="L391" i="6"/>
  <c r="J391" i="6"/>
  <c r="H391" i="6"/>
  <c r="E391" i="6"/>
  <c r="D391" i="6"/>
  <c r="C391" i="6"/>
  <c r="O390" i="6"/>
  <c r="M390" i="6"/>
  <c r="L390" i="6"/>
  <c r="J390" i="6"/>
  <c r="H390" i="6"/>
  <c r="E390" i="6"/>
  <c r="D390" i="6"/>
  <c r="C390" i="6"/>
  <c r="O389" i="6"/>
  <c r="M389" i="6"/>
  <c r="L389" i="6"/>
  <c r="J389" i="6"/>
  <c r="H389" i="6"/>
  <c r="F389" i="6"/>
  <c r="E389" i="6"/>
  <c r="D389" i="6"/>
  <c r="C389" i="6"/>
  <c r="O388" i="6"/>
  <c r="M388" i="6"/>
  <c r="L388" i="6"/>
  <c r="J388" i="6"/>
  <c r="H388" i="6"/>
  <c r="E388" i="6"/>
  <c r="D388" i="6"/>
  <c r="C388" i="6"/>
  <c r="O387" i="6"/>
  <c r="M387" i="6"/>
  <c r="L387" i="6"/>
  <c r="J387" i="6"/>
  <c r="H387" i="6"/>
  <c r="E387" i="6"/>
  <c r="D387" i="6"/>
  <c r="C387" i="6"/>
  <c r="O386" i="6"/>
  <c r="M386" i="6"/>
  <c r="L386" i="6"/>
  <c r="J386" i="6"/>
  <c r="H386" i="6"/>
  <c r="E386" i="6"/>
  <c r="D386" i="6"/>
  <c r="C386" i="6"/>
  <c r="O385" i="6"/>
  <c r="M385" i="6"/>
  <c r="L385" i="6"/>
  <c r="J385" i="6"/>
  <c r="H385" i="6"/>
  <c r="E385" i="6"/>
  <c r="D385" i="6"/>
  <c r="C385" i="6"/>
  <c r="O384" i="6"/>
  <c r="M384" i="6"/>
  <c r="L384" i="6"/>
  <c r="J384" i="6"/>
  <c r="H384" i="6"/>
  <c r="E384" i="6"/>
  <c r="D384" i="6"/>
  <c r="C384" i="6"/>
  <c r="O383" i="6"/>
  <c r="M383" i="6"/>
  <c r="L383" i="6"/>
  <c r="J383" i="6"/>
  <c r="H383" i="6"/>
  <c r="E383" i="6"/>
  <c r="D383" i="6"/>
  <c r="C383" i="6"/>
  <c r="O382" i="6"/>
  <c r="M382" i="6"/>
  <c r="L382" i="6"/>
  <c r="J382" i="6"/>
  <c r="H382" i="6"/>
  <c r="E382" i="6"/>
  <c r="D382" i="6"/>
  <c r="C382" i="6"/>
  <c r="O381" i="6"/>
  <c r="M381" i="6"/>
  <c r="L381" i="6"/>
  <c r="J381" i="6"/>
  <c r="H381" i="6"/>
  <c r="E381" i="6"/>
  <c r="D381" i="6"/>
  <c r="C381" i="6"/>
  <c r="O380" i="6"/>
  <c r="M380" i="6"/>
  <c r="L380" i="6"/>
  <c r="J380" i="6"/>
  <c r="H380" i="6"/>
  <c r="E380" i="6"/>
  <c r="D380" i="6"/>
  <c r="C380" i="6"/>
  <c r="O379" i="6"/>
  <c r="M379" i="6"/>
  <c r="L379" i="6"/>
  <c r="J379" i="6"/>
  <c r="H379" i="6"/>
  <c r="E379" i="6"/>
  <c r="D379" i="6"/>
  <c r="C379" i="6"/>
  <c r="O378" i="6"/>
  <c r="M378" i="6"/>
  <c r="L378" i="6"/>
  <c r="J378" i="6"/>
  <c r="H378" i="6"/>
  <c r="E378" i="6"/>
  <c r="D378" i="6"/>
  <c r="C378" i="6"/>
  <c r="O377" i="6"/>
  <c r="M377" i="6"/>
  <c r="L377" i="6"/>
  <c r="J377" i="6"/>
  <c r="H377" i="6"/>
  <c r="E377" i="6"/>
  <c r="D377" i="6"/>
  <c r="C377" i="6"/>
  <c r="O376" i="6"/>
  <c r="M376" i="6"/>
  <c r="L376" i="6"/>
  <c r="J376" i="6"/>
  <c r="H376" i="6"/>
  <c r="E376" i="6"/>
  <c r="D376" i="6"/>
  <c r="C376" i="6"/>
  <c r="O375" i="6"/>
  <c r="M375" i="6"/>
  <c r="L375" i="6"/>
  <c r="J375" i="6"/>
  <c r="H375" i="6"/>
  <c r="E375" i="6"/>
  <c r="D375" i="6"/>
  <c r="C375" i="6"/>
  <c r="O374" i="6"/>
  <c r="M374" i="6"/>
  <c r="L374" i="6"/>
  <c r="J374" i="6"/>
  <c r="H374" i="6"/>
  <c r="E374" i="6"/>
  <c r="D374" i="6"/>
  <c r="C374" i="6"/>
  <c r="O373" i="6"/>
  <c r="M373" i="6"/>
  <c r="L373" i="6"/>
  <c r="J373" i="6"/>
  <c r="H373" i="6"/>
  <c r="E373" i="6"/>
  <c r="D373" i="6"/>
  <c r="C373" i="6"/>
  <c r="O372" i="6"/>
  <c r="M372" i="6"/>
  <c r="L372" i="6"/>
  <c r="J372" i="6"/>
  <c r="H372" i="6"/>
  <c r="E372" i="6"/>
  <c r="D372" i="6"/>
  <c r="C372" i="6"/>
  <c r="O371" i="6"/>
  <c r="M371" i="6"/>
  <c r="L371" i="6"/>
  <c r="J371" i="6"/>
  <c r="H371" i="6"/>
  <c r="F371" i="6"/>
  <c r="E371" i="6"/>
  <c r="D371" i="6"/>
  <c r="C371" i="6"/>
  <c r="O370" i="6"/>
  <c r="M370" i="6"/>
  <c r="L370" i="6"/>
  <c r="J370" i="6"/>
  <c r="H370" i="6"/>
  <c r="E370" i="6"/>
  <c r="D370" i="6"/>
  <c r="C370" i="6"/>
  <c r="O369" i="6"/>
  <c r="M369" i="6"/>
  <c r="L369" i="6"/>
  <c r="J369" i="6"/>
  <c r="H369" i="6"/>
  <c r="E369" i="6"/>
  <c r="D369" i="6"/>
  <c r="C369" i="6"/>
  <c r="O368" i="6"/>
  <c r="M368" i="6"/>
  <c r="L368" i="6"/>
  <c r="J368" i="6"/>
  <c r="H368" i="6"/>
  <c r="E368" i="6"/>
  <c r="D368" i="6"/>
  <c r="C368" i="6"/>
  <c r="O367" i="6"/>
  <c r="M367" i="6"/>
  <c r="L367" i="6"/>
  <c r="J367" i="6"/>
  <c r="H367" i="6"/>
  <c r="E367" i="6"/>
  <c r="D367" i="6"/>
  <c r="C367" i="6"/>
  <c r="O366" i="6"/>
  <c r="M366" i="6"/>
  <c r="L366" i="6"/>
  <c r="J366" i="6"/>
  <c r="H366" i="6"/>
  <c r="E366" i="6"/>
  <c r="D366" i="6"/>
  <c r="C366" i="6"/>
  <c r="O365" i="6"/>
  <c r="M365" i="6"/>
  <c r="L365" i="6"/>
  <c r="J365" i="6"/>
  <c r="H365" i="6"/>
  <c r="E365" i="6"/>
  <c r="D365" i="6"/>
  <c r="C365" i="6"/>
  <c r="O364" i="6"/>
  <c r="M364" i="6"/>
  <c r="L364" i="6"/>
  <c r="J364" i="6"/>
  <c r="H364" i="6"/>
  <c r="E364" i="6"/>
  <c r="D364" i="6"/>
  <c r="C364" i="6"/>
  <c r="O363" i="6"/>
  <c r="M363" i="6"/>
  <c r="L363" i="6"/>
  <c r="J363" i="6"/>
  <c r="H363" i="6"/>
  <c r="F363" i="6"/>
  <c r="E363" i="6"/>
  <c r="D363" i="6"/>
  <c r="C363" i="6"/>
  <c r="O362" i="6"/>
  <c r="M362" i="6"/>
  <c r="L362" i="6"/>
  <c r="J362" i="6"/>
  <c r="H362" i="6"/>
  <c r="E362" i="6"/>
  <c r="D362" i="6"/>
  <c r="C362" i="6"/>
  <c r="O361" i="6"/>
  <c r="M361" i="6"/>
  <c r="L361" i="6"/>
  <c r="J361" i="6"/>
  <c r="H361" i="6"/>
  <c r="F361" i="6"/>
  <c r="E361" i="6"/>
  <c r="D361" i="6"/>
  <c r="C361" i="6"/>
  <c r="O360" i="6"/>
  <c r="M360" i="6"/>
  <c r="L360" i="6"/>
  <c r="J360" i="6"/>
  <c r="H360" i="6"/>
  <c r="E360" i="6"/>
  <c r="D360" i="6"/>
  <c r="C360" i="6"/>
  <c r="O359" i="6"/>
  <c r="M359" i="6"/>
  <c r="L359" i="6"/>
  <c r="J359" i="6"/>
  <c r="H359" i="6"/>
  <c r="F359" i="6"/>
  <c r="E359" i="6"/>
  <c r="D359" i="6"/>
  <c r="C359" i="6"/>
  <c r="O358" i="6"/>
  <c r="M358" i="6"/>
  <c r="L358" i="6"/>
  <c r="J358" i="6"/>
  <c r="H358" i="6"/>
  <c r="F358" i="6"/>
  <c r="E358" i="6"/>
  <c r="D358" i="6"/>
  <c r="C358" i="6"/>
  <c r="O357" i="6"/>
  <c r="M357" i="6"/>
  <c r="L357" i="6"/>
  <c r="J357" i="6"/>
  <c r="H357" i="6"/>
  <c r="F357" i="6"/>
  <c r="E357" i="6"/>
  <c r="D357" i="6"/>
  <c r="C357" i="6"/>
  <c r="O356" i="6"/>
  <c r="M356" i="6"/>
  <c r="L356" i="6"/>
  <c r="J356" i="6"/>
  <c r="H356" i="6"/>
  <c r="F356" i="6"/>
  <c r="E356" i="6"/>
  <c r="D356" i="6"/>
  <c r="C356" i="6"/>
  <c r="O355" i="6"/>
  <c r="M355" i="6"/>
  <c r="L355" i="6"/>
  <c r="J355" i="6"/>
  <c r="H355" i="6"/>
  <c r="F355" i="6"/>
  <c r="E355" i="6"/>
  <c r="D355" i="6"/>
  <c r="C355" i="6"/>
  <c r="O354" i="6"/>
  <c r="M354" i="6"/>
  <c r="L354" i="6"/>
  <c r="J354" i="6"/>
  <c r="H354" i="6"/>
  <c r="F354" i="6"/>
  <c r="E354" i="6"/>
  <c r="D354" i="6"/>
  <c r="C354" i="6"/>
  <c r="O353" i="6"/>
  <c r="M353" i="6"/>
  <c r="L353" i="6"/>
  <c r="J353" i="6"/>
  <c r="H353" i="6"/>
  <c r="E353" i="6"/>
  <c r="D353" i="6"/>
  <c r="C353" i="6"/>
  <c r="O352" i="6"/>
  <c r="M352" i="6"/>
  <c r="L352" i="6"/>
  <c r="J352" i="6"/>
  <c r="H352" i="6"/>
  <c r="F352" i="6"/>
  <c r="E352" i="6"/>
  <c r="D352" i="6"/>
  <c r="C352" i="6"/>
  <c r="O351" i="6"/>
  <c r="M351" i="6"/>
  <c r="L351" i="6"/>
  <c r="J351" i="6"/>
  <c r="H351" i="6"/>
  <c r="E351" i="6"/>
  <c r="D351" i="6"/>
  <c r="C351" i="6"/>
  <c r="O350" i="6"/>
  <c r="M350" i="6"/>
  <c r="L350" i="6"/>
  <c r="J350" i="6"/>
  <c r="H350" i="6"/>
  <c r="F350" i="6"/>
  <c r="E350" i="6"/>
  <c r="D350" i="6"/>
  <c r="C350" i="6"/>
  <c r="O349" i="6"/>
  <c r="M349" i="6"/>
  <c r="L349" i="6"/>
  <c r="J349" i="6"/>
  <c r="H349" i="6"/>
  <c r="F349" i="6"/>
  <c r="E349" i="6"/>
  <c r="D349" i="6"/>
  <c r="C349" i="6"/>
  <c r="O348" i="6"/>
  <c r="M348" i="6"/>
  <c r="L348" i="6"/>
  <c r="J348" i="6"/>
  <c r="H348" i="6"/>
  <c r="F348" i="6"/>
  <c r="E348" i="6"/>
  <c r="D348" i="6"/>
  <c r="C348" i="6"/>
  <c r="O347" i="6"/>
  <c r="M347" i="6"/>
  <c r="L347" i="6"/>
  <c r="J347" i="6"/>
  <c r="H347" i="6"/>
  <c r="F347" i="6"/>
  <c r="E347" i="6"/>
  <c r="D347" i="6"/>
  <c r="C347" i="6"/>
  <c r="O346" i="6"/>
  <c r="M346" i="6"/>
  <c r="L346" i="6"/>
  <c r="J346" i="6"/>
  <c r="H346" i="6"/>
  <c r="E346" i="6"/>
  <c r="D346" i="6"/>
  <c r="C346" i="6"/>
  <c r="O345" i="6"/>
  <c r="M345" i="6"/>
  <c r="L345" i="6"/>
  <c r="J345" i="6"/>
  <c r="H345" i="6"/>
  <c r="F345" i="6"/>
  <c r="E345" i="6"/>
  <c r="D345" i="6"/>
  <c r="C345" i="6"/>
  <c r="O344" i="6"/>
  <c r="M344" i="6"/>
  <c r="L344" i="6"/>
  <c r="J344" i="6"/>
  <c r="H344" i="6"/>
  <c r="E344" i="6"/>
  <c r="D344" i="6"/>
  <c r="C344" i="6"/>
  <c r="O343" i="6"/>
  <c r="M343" i="6"/>
  <c r="L343" i="6"/>
  <c r="J343" i="6"/>
  <c r="H343" i="6"/>
  <c r="F343" i="6"/>
  <c r="E343" i="6"/>
  <c r="D343" i="6"/>
  <c r="C343" i="6"/>
  <c r="O342" i="6"/>
  <c r="M342" i="6"/>
  <c r="L342" i="6"/>
  <c r="J342" i="6"/>
  <c r="H342" i="6"/>
  <c r="F342" i="6"/>
  <c r="E342" i="6"/>
  <c r="D342" i="6"/>
  <c r="C342" i="6"/>
  <c r="O341" i="6"/>
  <c r="M341" i="6"/>
  <c r="L341" i="6"/>
  <c r="J341" i="6"/>
  <c r="H341" i="6"/>
  <c r="F341" i="6"/>
  <c r="E341" i="6"/>
  <c r="D341" i="6"/>
  <c r="C341" i="6"/>
  <c r="O340" i="6"/>
  <c r="M340" i="6"/>
  <c r="L340" i="6"/>
  <c r="J340" i="6"/>
  <c r="H340" i="6"/>
  <c r="F340" i="6"/>
  <c r="E340" i="6"/>
  <c r="D340" i="6"/>
  <c r="C340" i="6"/>
  <c r="O339" i="6"/>
  <c r="M339" i="6"/>
  <c r="L339" i="6"/>
  <c r="J339" i="6"/>
  <c r="H339" i="6"/>
  <c r="F339" i="6"/>
  <c r="E339" i="6"/>
  <c r="D339" i="6"/>
  <c r="C339" i="6"/>
  <c r="O338" i="6"/>
  <c r="M338" i="6"/>
  <c r="L338" i="6"/>
  <c r="J338" i="6"/>
  <c r="H338" i="6"/>
  <c r="F338" i="6"/>
  <c r="E338" i="6"/>
  <c r="D338" i="6"/>
  <c r="C338" i="6"/>
  <c r="O337" i="6"/>
  <c r="M337" i="6"/>
  <c r="L337" i="6"/>
  <c r="J337" i="6"/>
  <c r="H337" i="6"/>
  <c r="E337" i="6"/>
  <c r="D337" i="6"/>
  <c r="C337" i="6"/>
  <c r="O336" i="6"/>
  <c r="M336" i="6"/>
  <c r="L336" i="6"/>
  <c r="J336" i="6"/>
  <c r="H336" i="6"/>
  <c r="F336" i="6"/>
  <c r="E336" i="6"/>
  <c r="D336" i="6"/>
  <c r="C336" i="6"/>
  <c r="O335" i="6"/>
  <c r="M335" i="6"/>
  <c r="L335" i="6"/>
  <c r="J335" i="6"/>
  <c r="H335" i="6"/>
  <c r="E335" i="6"/>
  <c r="D335" i="6"/>
  <c r="C335" i="6"/>
  <c r="O334" i="6"/>
  <c r="M334" i="6"/>
  <c r="L334" i="6"/>
  <c r="J334" i="6"/>
  <c r="H334" i="6"/>
  <c r="F334" i="6"/>
  <c r="E334" i="6"/>
  <c r="D334" i="6"/>
  <c r="C334" i="6"/>
  <c r="O333" i="6"/>
  <c r="M333" i="6"/>
  <c r="L333" i="6"/>
  <c r="J333" i="6"/>
  <c r="H333" i="6"/>
  <c r="F333" i="6"/>
  <c r="E333" i="6"/>
  <c r="D333" i="6"/>
  <c r="C333" i="6"/>
  <c r="O332" i="6"/>
  <c r="M332" i="6"/>
  <c r="L332" i="6"/>
  <c r="J332" i="6"/>
  <c r="H332" i="6"/>
  <c r="F332" i="6"/>
  <c r="E332" i="6"/>
  <c r="D332" i="6"/>
  <c r="C332" i="6"/>
  <c r="O331" i="6"/>
  <c r="M331" i="6"/>
  <c r="L331" i="6"/>
  <c r="J331" i="6"/>
  <c r="H331" i="6"/>
  <c r="F331" i="6"/>
  <c r="E331" i="6"/>
  <c r="D331" i="6"/>
  <c r="C331" i="6"/>
  <c r="O330" i="6"/>
  <c r="M330" i="6"/>
  <c r="L330" i="6"/>
  <c r="J330" i="6"/>
  <c r="H330" i="6"/>
  <c r="E330" i="6"/>
  <c r="D330" i="6"/>
  <c r="C330" i="6"/>
  <c r="O329" i="6"/>
  <c r="M329" i="6"/>
  <c r="L329" i="6"/>
  <c r="J329" i="6"/>
  <c r="H329" i="6"/>
  <c r="F329" i="6"/>
  <c r="E329" i="6"/>
  <c r="D329" i="6"/>
  <c r="C329" i="6"/>
  <c r="O328" i="6"/>
  <c r="M328" i="6"/>
  <c r="L328" i="6"/>
  <c r="J328" i="6"/>
  <c r="H328" i="6"/>
  <c r="E328" i="6"/>
  <c r="D328" i="6"/>
  <c r="C328" i="6"/>
  <c r="O327" i="6"/>
  <c r="M327" i="6"/>
  <c r="L327" i="6"/>
  <c r="J327" i="6"/>
  <c r="H327" i="6"/>
  <c r="F327" i="6"/>
  <c r="E327" i="6"/>
  <c r="D327" i="6"/>
  <c r="C327" i="6"/>
  <c r="O326" i="6"/>
  <c r="M326" i="6"/>
  <c r="L326" i="6"/>
  <c r="J326" i="6"/>
  <c r="H326" i="6"/>
  <c r="F326" i="6"/>
  <c r="E326" i="6"/>
  <c r="D326" i="6"/>
  <c r="C326" i="6"/>
  <c r="O325" i="6"/>
  <c r="M325" i="6"/>
  <c r="L325" i="6"/>
  <c r="J325" i="6"/>
  <c r="H325" i="6"/>
  <c r="F325" i="6"/>
  <c r="E325" i="6"/>
  <c r="D325" i="6"/>
  <c r="C325" i="6"/>
  <c r="O324" i="6"/>
  <c r="M324" i="6"/>
  <c r="L324" i="6"/>
  <c r="J324" i="6"/>
  <c r="H324" i="6"/>
  <c r="F324" i="6"/>
  <c r="E324" i="6"/>
  <c r="D324" i="6"/>
  <c r="C324" i="6"/>
  <c r="O323" i="6"/>
  <c r="M323" i="6"/>
  <c r="L323" i="6"/>
  <c r="J323" i="6"/>
  <c r="H323" i="6"/>
  <c r="F323" i="6"/>
  <c r="E323" i="6"/>
  <c r="D323" i="6"/>
  <c r="C323" i="6"/>
  <c r="O322" i="6"/>
  <c r="M322" i="6"/>
  <c r="L322" i="6"/>
  <c r="J322" i="6"/>
  <c r="H322" i="6"/>
  <c r="F322" i="6"/>
  <c r="E322" i="6"/>
  <c r="D322" i="6"/>
  <c r="C322" i="6"/>
  <c r="O321" i="6"/>
  <c r="M321" i="6"/>
  <c r="L321" i="6"/>
  <c r="J321" i="6"/>
  <c r="H321" i="6"/>
  <c r="E321" i="6"/>
  <c r="D321" i="6"/>
  <c r="C321" i="6"/>
  <c r="O320" i="6"/>
  <c r="M320" i="6"/>
  <c r="L320" i="6"/>
  <c r="J320" i="6"/>
  <c r="H320" i="6"/>
  <c r="F320" i="6"/>
  <c r="E320" i="6"/>
  <c r="D320" i="6"/>
  <c r="C320" i="6"/>
  <c r="O319" i="6"/>
  <c r="M319" i="6"/>
  <c r="L319" i="6"/>
  <c r="J319" i="6"/>
  <c r="H319" i="6"/>
  <c r="E319" i="6"/>
  <c r="D319" i="6"/>
  <c r="C319" i="6"/>
  <c r="O318" i="6"/>
  <c r="M318" i="6"/>
  <c r="L318" i="6"/>
  <c r="J318" i="6"/>
  <c r="H318" i="6"/>
  <c r="F318" i="6"/>
  <c r="E318" i="6"/>
  <c r="D318" i="6"/>
  <c r="C318" i="6"/>
  <c r="O317" i="6"/>
  <c r="M317" i="6"/>
  <c r="L317" i="6"/>
  <c r="J317" i="6"/>
  <c r="H317" i="6"/>
  <c r="F317" i="6"/>
  <c r="E317" i="6"/>
  <c r="D317" i="6"/>
  <c r="C317" i="6"/>
  <c r="O316" i="6"/>
  <c r="M316" i="6"/>
  <c r="L316" i="6"/>
  <c r="J316" i="6"/>
  <c r="H316" i="6"/>
  <c r="F316" i="6"/>
  <c r="E316" i="6"/>
  <c r="D316" i="6"/>
  <c r="C316" i="6"/>
  <c r="O315" i="6"/>
  <c r="M315" i="6"/>
  <c r="L315" i="6"/>
  <c r="J315" i="6"/>
  <c r="H315" i="6"/>
  <c r="F315" i="6"/>
  <c r="E315" i="6"/>
  <c r="D315" i="6"/>
  <c r="C315" i="6"/>
  <c r="O314" i="6"/>
  <c r="M314" i="6"/>
  <c r="L314" i="6"/>
  <c r="J314" i="6"/>
  <c r="H314" i="6"/>
  <c r="E314" i="6"/>
  <c r="D314" i="6"/>
  <c r="C314" i="6"/>
  <c r="O313" i="6"/>
  <c r="M313" i="6"/>
  <c r="L313" i="6"/>
  <c r="J313" i="6"/>
  <c r="H313" i="6"/>
  <c r="F313" i="6"/>
  <c r="E313" i="6"/>
  <c r="D313" i="6"/>
  <c r="C313" i="6"/>
  <c r="O312" i="6"/>
  <c r="M312" i="6"/>
  <c r="L312" i="6"/>
  <c r="J312" i="6"/>
  <c r="H312" i="6"/>
  <c r="E312" i="6"/>
  <c r="D312" i="6"/>
  <c r="C312" i="6"/>
  <c r="O311" i="6"/>
  <c r="M311" i="6"/>
  <c r="L311" i="6"/>
  <c r="J311" i="6"/>
  <c r="H311" i="6"/>
  <c r="F311" i="6"/>
  <c r="E311" i="6"/>
  <c r="D311" i="6"/>
  <c r="C311" i="6"/>
  <c r="O310" i="6"/>
  <c r="M310" i="6"/>
  <c r="L310" i="6"/>
  <c r="J310" i="6"/>
  <c r="H310" i="6"/>
  <c r="F310" i="6"/>
  <c r="E310" i="6"/>
  <c r="D310" i="6"/>
  <c r="C310" i="6"/>
  <c r="O309" i="6"/>
  <c r="M309" i="6"/>
  <c r="L309" i="6"/>
  <c r="J309" i="6"/>
  <c r="H309" i="6"/>
  <c r="F309" i="6"/>
  <c r="E309" i="6"/>
  <c r="D309" i="6"/>
  <c r="C309" i="6"/>
  <c r="O308" i="6"/>
  <c r="M308" i="6"/>
  <c r="L308" i="6"/>
  <c r="J308" i="6"/>
  <c r="H308" i="6"/>
  <c r="F308" i="6"/>
  <c r="E308" i="6"/>
  <c r="D308" i="6"/>
  <c r="C308" i="6"/>
  <c r="O307" i="6"/>
  <c r="M307" i="6"/>
  <c r="L307" i="6"/>
  <c r="J307" i="6"/>
  <c r="H307" i="6"/>
  <c r="F307" i="6"/>
  <c r="E307" i="6"/>
  <c r="D307" i="6"/>
  <c r="C307" i="6"/>
  <c r="O306" i="6"/>
  <c r="M306" i="6"/>
  <c r="L306" i="6"/>
  <c r="J306" i="6"/>
  <c r="H306" i="6"/>
  <c r="F306" i="6"/>
  <c r="E306" i="6"/>
  <c r="D306" i="6"/>
  <c r="C306" i="6"/>
  <c r="O305" i="6"/>
  <c r="M305" i="6"/>
  <c r="L305" i="6"/>
  <c r="J305" i="6"/>
  <c r="H305" i="6"/>
  <c r="E305" i="6"/>
  <c r="D305" i="6"/>
  <c r="C305" i="6"/>
  <c r="O304" i="6"/>
  <c r="M304" i="6"/>
  <c r="L304" i="6"/>
  <c r="J304" i="6"/>
  <c r="H304" i="6"/>
  <c r="F304" i="6"/>
  <c r="E304" i="6"/>
  <c r="D304" i="6"/>
  <c r="C304" i="6"/>
  <c r="O303" i="6"/>
  <c r="M303" i="6"/>
  <c r="L303" i="6"/>
  <c r="J303" i="6"/>
  <c r="H303" i="6"/>
  <c r="E303" i="6"/>
  <c r="D303" i="6"/>
  <c r="C303" i="6"/>
  <c r="O302" i="6"/>
  <c r="M302" i="6"/>
  <c r="L302" i="6"/>
  <c r="J302" i="6"/>
  <c r="H302" i="6"/>
  <c r="F302" i="6"/>
  <c r="E302" i="6"/>
  <c r="D302" i="6"/>
  <c r="C302" i="6"/>
  <c r="O301" i="6"/>
  <c r="M301" i="6"/>
  <c r="L301" i="6"/>
  <c r="J301" i="6"/>
  <c r="H301" i="6"/>
  <c r="F301" i="6"/>
  <c r="E301" i="6"/>
  <c r="D301" i="6"/>
  <c r="C301" i="6"/>
  <c r="O300" i="6"/>
  <c r="M300" i="6"/>
  <c r="L300" i="6"/>
  <c r="J300" i="6"/>
  <c r="H300" i="6"/>
  <c r="F300" i="6"/>
  <c r="E300" i="6"/>
  <c r="D300" i="6"/>
  <c r="C300" i="6"/>
  <c r="O299" i="6"/>
  <c r="M299" i="6"/>
  <c r="L299" i="6"/>
  <c r="J299" i="6"/>
  <c r="H299" i="6"/>
  <c r="F299" i="6"/>
  <c r="E299" i="6"/>
  <c r="D299" i="6"/>
  <c r="C299" i="6"/>
  <c r="O298" i="6"/>
  <c r="M298" i="6"/>
  <c r="L298" i="6"/>
  <c r="J298" i="6"/>
  <c r="H298" i="6"/>
  <c r="E298" i="6"/>
  <c r="D298" i="6"/>
  <c r="C298" i="6"/>
  <c r="O297" i="6"/>
  <c r="M297" i="6"/>
  <c r="L297" i="6"/>
  <c r="J297" i="6"/>
  <c r="H297" i="6"/>
  <c r="E297" i="6"/>
  <c r="D297" i="6"/>
  <c r="C297" i="6"/>
  <c r="O296" i="6"/>
  <c r="M296" i="6"/>
  <c r="L296" i="6"/>
  <c r="J296" i="6"/>
  <c r="H296" i="6"/>
  <c r="E296" i="6"/>
  <c r="D296" i="6"/>
  <c r="C296" i="6"/>
  <c r="O295" i="6"/>
  <c r="M295" i="6"/>
  <c r="L295" i="6"/>
  <c r="J295" i="6"/>
  <c r="H295" i="6"/>
  <c r="F295" i="6"/>
  <c r="E295" i="6"/>
  <c r="D295" i="6"/>
  <c r="C295" i="6"/>
  <c r="O294" i="6"/>
  <c r="M294" i="6"/>
  <c r="L294" i="6"/>
  <c r="J294" i="6"/>
  <c r="H294" i="6"/>
  <c r="F294" i="6"/>
  <c r="E294" i="6"/>
  <c r="D294" i="6"/>
  <c r="C294" i="6"/>
  <c r="O293" i="6"/>
  <c r="M293" i="6"/>
  <c r="L293" i="6"/>
  <c r="J293" i="6"/>
  <c r="H293" i="6"/>
  <c r="F293" i="6"/>
  <c r="E293" i="6"/>
  <c r="D293" i="6"/>
  <c r="C293" i="6"/>
  <c r="O292" i="6"/>
  <c r="M292" i="6"/>
  <c r="L292" i="6"/>
  <c r="J292" i="6"/>
  <c r="H292" i="6"/>
  <c r="F292" i="6"/>
  <c r="E292" i="6"/>
  <c r="D292" i="6"/>
  <c r="C292" i="6"/>
  <c r="O291" i="6"/>
  <c r="M291" i="6"/>
  <c r="L291" i="6"/>
  <c r="J291" i="6"/>
  <c r="H291" i="6"/>
  <c r="E291" i="6"/>
  <c r="D291" i="6"/>
  <c r="C291" i="6"/>
  <c r="O290" i="6"/>
  <c r="M290" i="6"/>
  <c r="L290" i="6"/>
  <c r="J290" i="6"/>
  <c r="H290" i="6"/>
  <c r="F290" i="6"/>
  <c r="E290" i="6"/>
  <c r="D290" i="6"/>
  <c r="C290" i="6"/>
  <c r="O289" i="6"/>
  <c r="M289" i="6"/>
  <c r="L289" i="6"/>
  <c r="J289" i="6"/>
  <c r="H289" i="6"/>
  <c r="E289" i="6"/>
  <c r="D289" i="6"/>
  <c r="C289" i="6"/>
  <c r="O288" i="6"/>
  <c r="M288" i="6"/>
  <c r="L288" i="6"/>
  <c r="J288" i="6"/>
  <c r="H288" i="6"/>
  <c r="F288" i="6"/>
  <c r="E288" i="6"/>
  <c r="D288" i="6"/>
  <c r="C288" i="6"/>
  <c r="O287" i="6"/>
  <c r="M287" i="6"/>
  <c r="L287" i="6"/>
  <c r="J287" i="6"/>
  <c r="H287" i="6"/>
  <c r="E287" i="6"/>
  <c r="D287" i="6"/>
  <c r="C287" i="6"/>
  <c r="O286" i="6"/>
  <c r="M286" i="6"/>
  <c r="L286" i="6"/>
  <c r="J286" i="6"/>
  <c r="H286" i="6"/>
  <c r="E286" i="6"/>
  <c r="D286" i="6"/>
  <c r="C286" i="6"/>
  <c r="O285" i="6"/>
  <c r="M285" i="6"/>
  <c r="L285" i="6"/>
  <c r="J285" i="6"/>
  <c r="H285" i="6"/>
  <c r="F285" i="6"/>
  <c r="E285" i="6"/>
  <c r="D285" i="6"/>
  <c r="C285" i="6"/>
  <c r="O284" i="6"/>
  <c r="M284" i="6"/>
  <c r="L284" i="6"/>
  <c r="J284" i="6"/>
  <c r="H284" i="6"/>
  <c r="F284" i="6"/>
  <c r="E284" i="6"/>
  <c r="D284" i="6"/>
  <c r="C284" i="6"/>
  <c r="O283" i="6"/>
  <c r="M283" i="6"/>
  <c r="L283" i="6"/>
  <c r="J283" i="6"/>
  <c r="H283" i="6"/>
  <c r="F283" i="6"/>
  <c r="E283" i="6"/>
  <c r="D283" i="6"/>
  <c r="C283" i="6"/>
  <c r="O282" i="6"/>
  <c r="M282" i="6"/>
  <c r="L282" i="6"/>
  <c r="J282" i="6"/>
  <c r="H282" i="6"/>
  <c r="E282" i="6"/>
  <c r="D282" i="6"/>
  <c r="C282" i="6"/>
  <c r="O281" i="6"/>
  <c r="M281" i="6"/>
  <c r="L281" i="6"/>
  <c r="J281" i="6"/>
  <c r="H281" i="6"/>
  <c r="F281" i="6"/>
  <c r="E281" i="6"/>
  <c r="D281" i="6"/>
  <c r="C281" i="6"/>
  <c r="O280" i="6"/>
  <c r="M280" i="6"/>
  <c r="L280" i="6"/>
  <c r="J280" i="6"/>
  <c r="H280" i="6"/>
  <c r="E280" i="6"/>
  <c r="D280" i="6"/>
  <c r="C280" i="6"/>
  <c r="O279" i="6"/>
  <c r="M279" i="6"/>
  <c r="L279" i="6"/>
  <c r="J279" i="6"/>
  <c r="H279" i="6"/>
  <c r="F279" i="6"/>
  <c r="E279" i="6"/>
  <c r="D279" i="6"/>
  <c r="C279" i="6"/>
  <c r="O278" i="6"/>
  <c r="M278" i="6"/>
  <c r="L278" i="6"/>
  <c r="J278" i="6"/>
  <c r="H278" i="6"/>
  <c r="F278" i="6"/>
  <c r="E278" i="6"/>
  <c r="D278" i="6"/>
  <c r="C278" i="6"/>
  <c r="O277" i="6"/>
  <c r="M277" i="6"/>
  <c r="L277" i="6"/>
  <c r="J277" i="6"/>
  <c r="H277" i="6"/>
  <c r="F277" i="6"/>
  <c r="E277" i="6"/>
  <c r="D277" i="6"/>
  <c r="C277" i="6"/>
  <c r="O276" i="6"/>
  <c r="M276" i="6"/>
  <c r="L276" i="6"/>
  <c r="J276" i="6"/>
  <c r="H276" i="6"/>
  <c r="F276" i="6"/>
  <c r="E276" i="6"/>
  <c r="D276" i="6"/>
  <c r="C276" i="6"/>
  <c r="O275" i="6"/>
  <c r="M275" i="6"/>
  <c r="L275" i="6"/>
  <c r="J275" i="6"/>
  <c r="H275" i="6"/>
  <c r="F275" i="6"/>
  <c r="E275" i="6"/>
  <c r="D275" i="6"/>
  <c r="C275" i="6"/>
  <c r="O274" i="6"/>
  <c r="M274" i="6"/>
  <c r="L274" i="6"/>
  <c r="J274" i="6"/>
  <c r="H274" i="6"/>
  <c r="F274" i="6"/>
  <c r="E274" i="6"/>
  <c r="D274" i="6"/>
  <c r="C274" i="6"/>
  <c r="O273" i="6"/>
  <c r="M273" i="6"/>
  <c r="L273" i="6"/>
  <c r="J273" i="6"/>
  <c r="H273" i="6"/>
  <c r="E273" i="6"/>
  <c r="D273" i="6"/>
  <c r="C273" i="6"/>
  <c r="O272" i="6"/>
  <c r="M272" i="6"/>
  <c r="L272" i="6"/>
  <c r="J272" i="6"/>
  <c r="H272" i="6"/>
  <c r="F272" i="6"/>
  <c r="E272" i="6"/>
  <c r="D272" i="6"/>
  <c r="C272" i="6"/>
  <c r="O271" i="6"/>
  <c r="M271" i="6"/>
  <c r="L271" i="6"/>
  <c r="J271" i="6"/>
  <c r="H271" i="6"/>
  <c r="E271" i="6"/>
  <c r="D271" i="6"/>
  <c r="C271" i="6"/>
  <c r="O270" i="6"/>
  <c r="M270" i="6"/>
  <c r="L270" i="6"/>
  <c r="J270" i="6"/>
  <c r="H270" i="6"/>
  <c r="F270" i="6"/>
  <c r="E270" i="6"/>
  <c r="D270" i="6"/>
  <c r="C270" i="6"/>
  <c r="O269" i="6"/>
  <c r="M269" i="6"/>
  <c r="L269" i="6"/>
  <c r="J269" i="6"/>
  <c r="H269" i="6"/>
  <c r="E269" i="6"/>
  <c r="D269" i="6"/>
  <c r="C269" i="6"/>
  <c r="O268" i="6"/>
  <c r="M268" i="6"/>
  <c r="L268" i="6"/>
  <c r="J268" i="6"/>
  <c r="H268" i="6"/>
  <c r="F268" i="6"/>
  <c r="E268" i="6"/>
  <c r="D268" i="6"/>
  <c r="C268" i="6"/>
  <c r="O267" i="6"/>
  <c r="M267" i="6"/>
  <c r="L267" i="6"/>
  <c r="J267" i="6"/>
  <c r="H267" i="6"/>
  <c r="E267" i="6"/>
  <c r="D267" i="6"/>
  <c r="C267" i="6"/>
  <c r="O266" i="6"/>
  <c r="M266" i="6"/>
  <c r="L266" i="6"/>
  <c r="J266" i="6"/>
  <c r="H266" i="6"/>
  <c r="E266" i="6"/>
  <c r="D266" i="6"/>
  <c r="C266" i="6"/>
  <c r="O265" i="6"/>
  <c r="M265" i="6"/>
  <c r="L265" i="6"/>
  <c r="J265" i="6"/>
  <c r="H265" i="6"/>
  <c r="F265" i="6"/>
  <c r="E265" i="6"/>
  <c r="D265" i="6"/>
  <c r="C265" i="6"/>
  <c r="O264" i="6"/>
  <c r="M264" i="6"/>
  <c r="L264" i="6"/>
  <c r="J264" i="6"/>
  <c r="H264" i="6"/>
  <c r="E264" i="6"/>
  <c r="D264" i="6"/>
  <c r="C264" i="6"/>
  <c r="O263" i="6"/>
  <c r="M263" i="6"/>
  <c r="L263" i="6"/>
  <c r="J263" i="6"/>
  <c r="H263" i="6"/>
  <c r="F263" i="6"/>
  <c r="E263" i="6"/>
  <c r="D263" i="6"/>
  <c r="C263" i="6"/>
  <c r="O262" i="6"/>
  <c r="M262" i="6"/>
  <c r="L262" i="6"/>
  <c r="J262" i="6"/>
  <c r="H262" i="6"/>
  <c r="E262" i="6"/>
  <c r="D262" i="6"/>
  <c r="C262" i="6"/>
  <c r="O261" i="6"/>
  <c r="M261" i="6"/>
  <c r="L261" i="6"/>
  <c r="J261" i="6"/>
  <c r="H261" i="6"/>
  <c r="F261" i="6"/>
  <c r="E261" i="6"/>
  <c r="D261" i="6"/>
  <c r="C261" i="6"/>
  <c r="O260" i="6"/>
  <c r="M260" i="6"/>
  <c r="L260" i="6"/>
  <c r="J260" i="6"/>
  <c r="H260" i="6"/>
  <c r="E260" i="6"/>
  <c r="D260" i="6"/>
  <c r="C260" i="6"/>
  <c r="O259" i="6"/>
  <c r="M259" i="6"/>
  <c r="L259" i="6"/>
  <c r="J259" i="6"/>
  <c r="H259" i="6"/>
  <c r="F259" i="6"/>
  <c r="E259" i="6"/>
  <c r="D259" i="6"/>
  <c r="C259" i="6"/>
  <c r="O258" i="6"/>
  <c r="M258" i="6"/>
  <c r="L258" i="6"/>
  <c r="J258" i="6"/>
  <c r="H258" i="6"/>
  <c r="E258" i="6"/>
  <c r="D258" i="6"/>
  <c r="C258" i="6"/>
  <c r="O257" i="6"/>
  <c r="M257" i="6"/>
  <c r="L257" i="6"/>
  <c r="J257" i="6"/>
  <c r="H257" i="6"/>
  <c r="E257" i="6"/>
  <c r="D257" i="6"/>
  <c r="C257" i="6"/>
  <c r="O256" i="6"/>
  <c r="M256" i="6"/>
  <c r="L256" i="6"/>
  <c r="J256" i="6"/>
  <c r="H256" i="6"/>
  <c r="E256" i="6"/>
  <c r="D256" i="6"/>
  <c r="C256" i="6"/>
  <c r="O255" i="6"/>
  <c r="M255" i="6"/>
  <c r="L255" i="6"/>
  <c r="J255" i="6"/>
  <c r="H255" i="6"/>
  <c r="E255" i="6"/>
  <c r="D255" i="6"/>
  <c r="C255" i="6"/>
  <c r="O254" i="6"/>
  <c r="M254" i="6"/>
  <c r="L254" i="6"/>
  <c r="J254" i="6"/>
  <c r="H254" i="6"/>
  <c r="F254" i="6"/>
  <c r="E254" i="6"/>
  <c r="D254" i="6"/>
  <c r="C254" i="6"/>
  <c r="O253" i="6"/>
  <c r="M253" i="6"/>
  <c r="L253" i="6"/>
  <c r="J253" i="6"/>
  <c r="H253" i="6"/>
  <c r="E253" i="6"/>
  <c r="D253" i="6"/>
  <c r="C253" i="6"/>
  <c r="O252" i="6"/>
  <c r="M252" i="6"/>
  <c r="L252" i="6"/>
  <c r="J252" i="6"/>
  <c r="H252" i="6"/>
  <c r="F252" i="6"/>
  <c r="E252" i="6"/>
  <c r="D252" i="6"/>
  <c r="C252" i="6"/>
  <c r="O251" i="6"/>
  <c r="M251" i="6"/>
  <c r="L251" i="6"/>
  <c r="J251" i="6"/>
  <c r="H251" i="6"/>
  <c r="F251" i="6"/>
  <c r="E251" i="6"/>
  <c r="D251" i="6"/>
  <c r="C251" i="6"/>
  <c r="O250" i="6"/>
  <c r="M250" i="6"/>
  <c r="L250" i="6"/>
  <c r="J250" i="6"/>
  <c r="H250" i="6"/>
  <c r="E250" i="6"/>
  <c r="D250" i="6"/>
  <c r="C250" i="6"/>
  <c r="O249" i="6"/>
  <c r="M249" i="6"/>
  <c r="L249" i="6"/>
  <c r="J249" i="6"/>
  <c r="H249" i="6"/>
  <c r="E249" i="6"/>
  <c r="D249" i="6"/>
  <c r="C249" i="6"/>
  <c r="O248" i="6"/>
  <c r="M248" i="6"/>
  <c r="L248" i="6"/>
  <c r="J248" i="6"/>
  <c r="H248" i="6"/>
  <c r="E248" i="6"/>
  <c r="D248" i="6"/>
  <c r="C248" i="6"/>
  <c r="O247" i="6"/>
  <c r="M247" i="6"/>
  <c r="L247" i="6"/>
  <c r="J247" i="6"/>
  <c r="H247" i="6"/>
  <c r="E247" i="6"/>
  <c r="D247" i="6"/>
  <c r="C247" i="6"/>
  <c r="O246" i="6"/>
  <c r="M246" i="6"/>
  <c r="L246" i="6"/>
  <c r="J246" i="6"/>
  <c r="H246" i="6"/>
  <c r="F246" i="6"/>
  <c r="E246" i="6"/>
  <c r="D246" i="6"/>
  <c r="C246" i="6"/>
  <c r="O245" i="6"/>
  <c r="M245" i="6"/>
  <c r="L245" i="6"/>
  <c r="J245" i="6"/>
  <c r="H245" i="6"/>
  <c r="E245" i="6"/>
  <c r="D245" i="6"/>
  <c r="C245" i="6"/>
  <c r="O244" i="6"/>
  <c r="M244" i="6"/>
  <c r="L244" i="6"/>
  <c r="J244" i="6"/>
  <c r="H244" i="6"/>
  <c r="E244" i="6"/>
  <c r="D244" i="6"/>
  <c r="C244" i="6"/>
  <c r="O243" i="6"/>
  <c r="M243" i="6"/>
  <c r="L243" i="6"/>
  <c r="J243" i="6"/>
  <c r="H243" i="6"/>
  <c r="F243" i="6"/>
  <c r="E243" i="6"/>
  <c r="D243" i="6"/>
  <c r="C243" i="6"/>
  <c r="O242" i="6"/>
  <c r="M242" i="6"/>
  <c r="L242" i="6"/>
  <c r="J242" i="6"/>
  <c r="H242" i="6"/>
  <c r="E242" i="6"/>
  <c r="D242" i="6"/>
  <c r="C242" i="6"/>
  <c r="O241" i="6"/>
  <c r="M241" i="6"/>
  <c r="L241" i="6"/>
  <c r="J241" i="6"/>
  <c r="H241" i="6"/>
  <c r="E241" i="6"/>
  <c r="D241" i="6"/>
  <c r="C241" i="6"/>
  <c r="O240" i="6"/>
  <c r="M240" i="6"/>
  <c r="L240" i="6"/>
  <c r="J240" i="6"/>
  <c r="H240" i="6"/>
  <c r="F240" i="6"/>
  <c r="E240" i="6"/>
  <c r="D240" i="6"/>
  <c r="C240" i="6"/>
  <c r="O239" i="6"/>
  <c r="M239" i="6"/>
  <c r="L239" i="6"/>
  <c r="J239" i="6"/>
  <c r="H239" i="6"/>
  <c r="E239" i="6"/>
  <c r="D239" i="6"/>
  <c r="C239" i="6"/>
  <c r="O238" i="6"/>
  <c r="M238" i="6"/>
  <c r="L238" i="6"/>
  <c r="J238" i="6"/>
  <c r="H238" i="6"/>
  <c r="E238" i="6"/>
  <c r="D238" i="6"/>
  <c r="C238" i="6"/>
  <c r="O237" i="6"/>
  <c r="M237" i="6"/>
  <c r="L237" i="6"/>
  <c r="J237" i="6"/>
  <c r="H237" i="6"/>
  <c r="F237" i="6"/>
  <c r="E237" i="6"/>
  <c r="D237" i="6"/>
  <c r="C237" i="6"/>
  <c r="O236" i="6"/>
  <c r="M236" i="6"/>
  <c r="L236" i="6"/>
  <c r="J236" i="6"/>
  <c r="H236" i="6"/>
  <c r="F236" i="6"/>
  <c r="E236" i="6"/>
  <c r="D236" i="6"/>
  <c r="C236" i="6"/>
  <c r="O235" i="6"/>
  <c r="M235" i="6"/>
  <c r="L235" i="6"/>
  <c r="J235" i="6"/>
  <c r="H235" i="6"/>
  <c r="F235" i="6"/>
  <c r="E235" i="6"/>
  <c r="D235" i="6"/>
  <c r="C235" i="6"/>
  <c r="O234" i="6"/>
  <c r="M234" i="6"/>
  <c r="L234" i="6"/>
  <c r="J234" i="6"/>
  <c r="H234" i="6"/>
  <c r="E234" i="6"/>
  <c r="D234" i="6"/>
  <c r="C234" i="6"/>
  <c r="O233" i="6"/>
  <c r="M233" i="6"/>
  <c r="L233" i="6"/>
  <c r="J233" i="6"/>
  <c r="H233" i="6"/>
  <c r="E233" i="6"/>
  <c r="D233" i="6"/>
  <c r="C233" i="6"/>
  <c r="O232" i="6"/>
  <c r="M232" i="6"/>
  <c r="L232" i="6"/>
  <c r="J232" i="6"/>
  <c r="H232" i="6"/>
  <c r="E232" i="6"/>
  <c r="D232" i="6"/>
  <c r="C232" i="6"/>
  <c r="O231" i="6"/>
  <c r="M231" i="6"/>
  <c r="L231" i="6"/>
  <c r="J231" i="6"/>
  <c r="H231" i="6"/>
  <c r="F231" i="6"/>
  <c r="E231" i="6"/>
  <c r="D231" i="6"/>
  <c r="C231" i="6"/>
  <c r="O230" i="6"/>
  <c r="M230" i="6"/>
  <c r="L230" i="6"/>
  <c r="J230" i="6"/>
  <c r="H230" i="6"/>
  <c r="F230" i="6"/>
  <c r="E230" i="6"/>
  <c r="D230" i="6"/>
  <c r="C230" i="6"/>
  <c r="O229" i="6"/>
  <c r="M229" i="6"/>
  <c r="L229" i="6"/>
  <c r="J229" i="6"/>
  <c r="H229" i="6"/>
  <c r="F229" i="6"/>
  <c r="E229" i="6"/>
  <c r="D229" i="6"/>
  <c r="C229" i="6"/>
  <c r="O228" i="6"/>
  <c r="M228" i="6"/>
  <c r="L228" i="6"/>
  <c r="J228" i="6"/>
  <c r="H228" i="6"/>
  <c r="F228" i="6"/>
  <c r="E228" i="6"/>
  <c r="D228" i="6"/>
  <c r="C228" i="6"/>
  <c r="O227" i="6"/>
  <c r="M227" i="6"/>
  <c r="L227" i="6"/>
  <c r="J227" i="6"/>
  <c r="H227" i="6"/>
  <c r="F227" i="6"/>
  <c r="E227" i="6"/>
  <c r="D227" i="6"/>
  <c r="C227" i="6"/>
  <c r="O226" i="6"/>
  <c r="M226" i="6"/>
  <c r="L226" i="6"/>
  <c r="J226" i="6"/>
  <c r="H226" i="6"/>
  <c r="F226" i="6"/>
  <c r="E226" i="6"/>
  <c r="D226" i="6"/>
  <c r="C226" i="6"/>
  <c r="O225" i="6"/>
  <c r="M225" i="6"/>
  <c r="L225" i="6"/>
  <c r="J225" i="6"/>
  <c r="H225" i="6"/>
  <c r="E225" i="6"/>
  <c r="D225" i="6"/>
  <c r="C225" i="6"/>
  <c r="O224" i="6"/>
  <c r="M224" i="6"/>
  <c r="L224" i="6"/>
  <c r="J224" i="6"/>
  <c r="H224" i="6"/>
  <c r="F224" i="6"/>
  <c r="E224" i="6"/>
  <c r="D224" i="6"/>
  <c r="C224" i="6"/>
  <c r="O223" i="6"/>
  <c r="M223" i="6"/>
  <c r="L223" i="6"/>
  <c r="J223" i="6"/>
  <c r="H223" i="6"/>
  <c r="E223" i="6"/>
  <c r="D223" i="6"/>
  <c r="C223" i="6"/>
  <c r="O222" i="6"/>
  <c r="M222" i="6"/>
  <c r="L222" i="6"/>
  <c r="J222" i="6"/>
  <c r="H222" i="6"/>
  <c r="E222" i="6"/>
  <c r="D222" i="6"/>
  <c r="C222" i="6"/>
  <c r="O221" i="6"/>
  <c r="M221" i="6"/>
  <c r="L221" i="6"/>
  <c r="J221" i="6"/>
  <c r="H221" i="6"/>
  <c r="F221" i="6"/>
  <c r="E221" i="6"/>
  <c r="D221" i="6"/>
  <c r="C221" i="6"/>
  <c r="O220" i="6"/>
  <c r="M220" i="6"/>
  <c r="L220" i="6"/>
  <c r="J220" i="6"/>
  <c r="H220" i="6"/>
  <c r="F220" i="6"/>
  <c r="E220" i="6"/>
  <c r="D220" i="6"/>
  <c r="C220" i="6"/>
  <c r="O219" i="6"/>
  <c r="M219" i="6"/>
  <c r="L219" i="6"/>
  <c r="J219" i="6"/>
  <c r="H219" i="6"/>
  <c r="F219" i="6"/>
  <c r="E219" i="6"/>
  <c r="D219" i="6"/>
  <c r="C219" i="6"/>
  <c r="O218" i="6"/>
  <c r="M218" i="6"/>
  <c r="L218" i="6"/>
  <c r="J218" i="6"/>
  <c r="H218" i="6"/>
  <c r="E218" i="6"/>
  <c r="D218" i="6"/>
  <c r="C218" i="6"/>
  <c r="O217" i="6"/>
  <c r="M217" i="6"/>
  <c r="L217" i="6"/>
  <c r="J217" i="6"/>
  <c r="H217" i="6"/>
  <c r="F217" i="6"/>
  <c r="E217" i="6"/>
  <c r="D217" i="6"/>
  <c r="C217" i="6"/>
  <c r="O216" i="6"/>
  <c r="M216" i="6"/>
  <c r="L216" i="6"/>
  <c r="J216" i="6"/>
  <c r="H216" i="6"/>
  <c r="E216" i="6"/>
  <c r="D216" i="6"/>
  <c r="C216" i="6"/>
  <c r="O215" i="6"/>
  <c r="M215" i="6"/>
  <c r="L215" i="6"/>
  <c r="J215" i="6"/>
  <c r="H215" i="6"/>
  <c r="F215" i="6"/>
  <c r="E215" i="6"/>
  <c r="D215" i="6"/>
  <c r="C215" i="6"/>
  <c r="O214" i="6"/>
  <c r="M214" i="6"/>
  <c r="L214" i="6"/>
  <c r="J214" i="6"/>
  <c r="H214" i="6"/>
  <c r="F214" i="6"/>
  <c r="E214" i="6"/>
  <c r="D214" i="6"/>
  <c r="C214" i="6"/>
  <c r="O213" i="6"/>
  <c r="M213" i="6"/>
  <c r="L213" i="6"/>
  <c r="J213" i="6"/>
  <c r="H213" i="6"/>
  <c r="F213" i="6"/>
  <c r="E213" i="6"/>
  <c r="D213" i="6"/>
  <c r="C213" i="6"/>
  <c r="O212" i="6"/>
  <c r="M212" i="6"/>
  <c r="L212" i="6"/>
  <c r="J212" i="6"/>
  <c r="H212" i="6"/>
  <c r="F212" i="6"/>
  <c r="E212" i="6"/>
  <c r="D212" i="6"/>
  <c r="C212" i="6"/>
  <c r="O211" i="6"/>
  <c r="M211" i="6"/>
  <c r="L211" i="6"/>
  <c r="J211" i="6"/>
  <c r="H211" i="6"/>
  <c r="F211" i="6"/>
  <c r="E211" i="6"/>
  <c r="D211" i="6"/>
  <c r="C211" i="6"/>
  <c r="O210" i="6"/>
  <c r="M210" i="6"/>
  <c r="L210" i="6"/>
  <c r="J210" i="6"/>
  <c r="H210" i="6"/>
  <c r="F210" i="6"/>
  <c r="E210" i="6"/>
  <c r="D210" i="6"/>
  <c r="C210" i="6"/>
  <c r="O209" i="6"/>
  <c r="M209" i="6"/>
  <c r="L209" i="6"/>
  <c r="J209" i="6"/>
  <c r="H209" i="6"/>
  <c r="E209" i="6"/>
  <c r="D209" i="6"/>
  <c r="C209" i="6"/>
  <c r="O208" i="6"/>
  <c r="M208" i="6"/>
  <c r="L208" i="6"/>
  <c r="J208" i="6"/>
  <c r="H208" i="6"/>
  <c r="F208" i="6"/>
  <c r="E208" i="6"/>
  <c r="D208" i="6"/>
  <c r="C208" i="6"/>
  <c r="O207" i="6"/>
  <c r="M207" i="6"/>
  <c r="L207" i="6"/>
  <c r="J207" i="6"/>
  <c r="H207" i="6"/>
  <c r="E207" i="6"/>
  <c r="D207" i="6"/>
  <c r="C207" i="6"/>
  <c r="O206" i="6"/>
  <c r="M206" i="6"/>
  <c r="L206" i="6"/>
  <c r="J206" i="6"/>
  <c r="H206" i="6"/>
  <c r="F206" i="6"/>
  <c r="E206" i="6"/>
  <c r="D206" i="6"/>
  <c r="C206" i="6"/>
  <c r="O205" i="6"/>
  <c r="M205" i="6"/>
  <c r="L205" i="6"/>
  <c r="J205" i="6"/>
  <c r="H205" i="6"/>
  <c r="E205" i="6"/>
  <c r="D205" i="6"/>
  <c r="C205" i="6"/>
  <c r="O204" i="6"/>
  <c r="M204" i="6"/>
  <c r="L204" i="6"/>
  <c r="J204" i="6"/>
  <c r="H204" i="6"/>
  <c r="F204" i="6"/>
  <c r="E204" i="6"/>
  <c r="D204" i="6"/>
  <c r="C204" i="6"/>
  <c r="O203" i="6"/>
  <c r="M203" i="6"/>
  <c r="L203" i="6"/>
  <c r="J203" i="6"/>
  <c r="H203" i="6"/>
  <c r="F203" i="6"/>
  <c r="E203" i="6"/>
  <c r="D203" i="6"/>
  <c r="C203" i="6"/>
  <c r="O202" i="6"/>
  <c r="M202" i="6"/>
  <c r="L202" i="6"/>
  <c r="J202" i="6"/>
  <c r="H202" i="6"/>
  <c r="E202" i="6"/>
  <c r="D202" i="6"/>
  <c r="C202" i="6"/>
  <c r="O201" i="6"/>
  <c r="M201" i="6"/>
  <c r="L201" i="6"/>
  <c r="J201" i="6"/>
  <c r="H201" i="6"/>
  <c r="F201" i="6"/>
  <c r="E201" i="6"/>
  <c r="D201" i="6"/>
  <c r="C201" i="6"/>
  <c r="O200" i="6"/>
  <c r="M200" i="6"/>
  <c r="L200" i="6"/>
  <c r="J200" i="6"/>
  <c r="H200" i="6"/>
  <c r="E200" i="6"/>
  <c r="D200" i="6"/>
  <c r="C200" i="6"/>
  <c r="O199" i="6"/>
  <c r="M199" i="6"/>
  <c r="L199" i="6"/>
  <c r="J199" i="6"/>
  <c r="H199" i="6"/>
  <c r="F199" i="6"/>
  <c r="E199" i="6"/>
  <c r="D199" i="6"/>
  <c r="C199" i="6"/>
  <c r="O198" i="6"/>
  <c r="M198" i="6"/>
  <c r="L198" i="6"/>
  <c r="J198" i="6"/>
  <c r="H198" i="6"/>
  <c r="F198" i="6"/>
  <c r="E198" i="6"/>
  <c r="D198" i="6"/>
  <c r="C198" i="6"/>
  <c r="O197" i="6"/>
  <c r="M197" i="6"/>
  <c r="L197" i="6"/>
  <c r="J197" i="6"/>
  <c r="H197" i="6"/>
  <c r="F197" i="6"/>
  <c r="E197" i="6"/>
  <c r="D197" i="6"/>
  <c r="C197" i="6"/>
  <c r="O196" i="6"/>
  <c r="M196" i="6"/>
  <c r="L196" i="6"/>
  <c r="J196" i="6"/>
  <c r="H196" i="6"/>
  <c r="E196" i="6"/>
  <c r="D196" i="6"/>
  <c r="C196" i="6"/>
  <c r="O195" i="6"/>
  <c r="M195" i="6"/>
  <c r="L195" i="6"/>
  <c r="J195" i="6"/>
  <c r="H195" i="6"/>
  <c r="F195" i="6"/>
  <c r="E195" i="6"/>
  <c r="D195" i="6"/>
  <c r="C195" i="6"/>
  <c r="O194" i="6"/>
  <c r="M194" i="6"/>
  <c r="L194" i="6"/>
  <c r="J194" i="6"/>
  <c r="H194" i="6"/>
  <c r="E194" i="6"/>
  <c r="D194" i="6"/>
  <c r="C194" i="6"/>
  <c r="O193" i="6"/>
  <c r="M193" i="6"/>
  <c r="L193" i="6"/>
  <c r="J193" i="6"/>
  <c r="H193" i="6"/>
  <c r="E193" i="6"/>
  <c r="D193" i="6"/>
  <c r="C193" i="6"/>
  <c r="O192" i="6"/>
  <c r="M192" i="6"/>
  <c r="L192" i="6"/>
  <c r="J192" i="6"/>
  <c r="H192" i="6"/>
  <c r="F192" i="6"/>
  <c r="E192" i="6"/>
  <c r="D192" i="6"/>
  <c r="C192" i="6"/>
  <c r="O191" i="6"/>
  <c r="M191" i="6"/>
  <c r="L191" i="6"/>
  <c r="J191" i="6"/>
  <c r="H191" i="6"/>
  <c r="E191" i="6"/>
  <c r="D191" i="6"/>
  <c r="C191" i="6"/>
  <c r="O190" i="6"/>
  <c r="M190" i="6"/>
  <c r="L190" i="6"/>
  <c r="J190" i="6"/>
  <c r="H190" i="6"/>
  <c r="F190" i="6"/>
  <c r="E190" i="6"/>
  <c r="D190" i="6"/>
  <c r="C190" i="6"/>
  <c r="O189" i="6"/>
  <c r="M189" i="6"/>
  <c r="L189" i="6"/>
  <c r="J189" i="6"/>
  <c r="H189" i="6"/>
  <c r="F189" i="6"/>
  <c r="E189" i="6"/>
  <c r="D189" i="6"/>
  <c r="C189" i="6"/>
  <c r="O188" i="6"/>
  <c r="M188" i="6"/>
  <c r="L188" i="6"/>
  <c r="J188" i="6"/>
  <c r="H188" i="6"/>
  <c r="F188" i="6"/>
  <c r="E188" i="6"/>
  <c r="D188" i="6"/>
  <c r="C188" i="6"/>
  <c r="O187" i="6"/>
  <c r="M187" i="6"/>
  <c r="L187" i="6"/>
  <c r="J187" i="6"/>
  <c r="H187" i="6"/>
  <c r="F187" i="6"/>
  <c r="E187" i="6"/>
  <c r="D187" i="6"/>
  <c r="C187" i="6"/>
  <c r="O186" i="6"/>
  <c r="M186" i="6"/>
  <c r="L186" i="6"/>
  <c r="J186" i="6"/>
  <c r="H186" i="6"/>
  <c r="E186" i="6"/>
  <c r="D186" i="6"/>
  <c r="C186" i="6"/>
  <c r="O185" i="6"/>
  <c r="M185" i="6"/>
  <c r="L185" i="6"/>
  <c r="J185" i="6"/>
  <c r="H185" i="6"/>
  <c r="E185" i="6"/>
  <c r="D185" i="6"/>
  <c r="C185" i="6"/>
  <c r="O184" i="6"/>
  <c r="M184" i="6"/>
  <c r="L184" i="6"/>
  <c r="J184" i="6"/>
  <c r="H184" i="6"/>
  <c r="E184" i="6"/>
  <c r="D184" i="6"/>
  <c r="C184" i="6"/>
  <c r="O183" i="6"/>
  <c r="M183" i="6"/>
  <c r="L183" i="6"/>
  <c r="J183" i="6"/>
  <c r="H183" i="6"/>
  <c r="E183" i="6"/>
  <c r="D183" i="6"/>
  <c r="C183" i="6"/>
  <c r="O182" i="6"/>
  <c r="M182" i="6"/>
  <c r="L182" i="6"/>
  <c r="J182" i="6"/>
  <c r="H182" i="6"/>
  <c r="F182" i="6"/>
  <c r="E182" i="6"/>
  <c r="D182" i="6"/>
  <c r="C182" i="6"/>
  <c r="O181" i="6"/>
  <c r="M181" i="6"/>
  <c r="L181" i="6"/>
  <c r="J181" i="6"/>
  <c r="H181" i="6"/>
  <c r="E181" i="6"/>
  <c r="D181" i="6"/>
  <c r="C181" i="6"/>
  <c r="O180" i="6"/>
  <c r="M180" i="6"/>
  <c r="L180" i="6"/>
  <c r="J180" i="6"/>
  <c r="H180" i="6"/>
  <c r="E180" i="6"/>
  <c r="D180" i="6"/>
  <c r="C180" i="6"/>
  <c r="O179" i="6"/>
  <c r="M179" i="6"/>
  <c r="L179" i="6"/>
  <c r="J179" i="6"/>
  <c r="H179" i="6"/>
  <c r="F179" i="6"/>
  <c r="E179" i="6"/>
  <c r="D179" i="6"/>
  <c r="C179" i="6"/>
  <c r="O178" i="6"/>
  <c r="M178" i="6"/>
  <c r="L178" i="6"/>
  <c r="J178" i="6"/>
  <c r="H178" i="6"/>
  <c r="E178" i="6"/>
  <c r="D178" i="6"/>
  <c r="C178" i="6"/>
  <c r="O177" i="6"/>
  <c r="M177" i="6"/>
  <c r="L177" i="6"/>
  <c r="J177" i="6"/>
  <c r="H177" i="6"/>
  <c r="E177" i="6"/>
  <c r="D177" i="6"/>
  <c r="C177" i="6"/>
  <c r="O176" i="6"/>
  <c r="M176" i="6"/>
  <c r="L176" i="6"/>
  <c r="J176" i="6"/>
  <c r="H176" i="6"/>
  <c r="E176" i="6"/>
  <c r="D176" i="6"/>
  <c r="C176" i="6"/>
  <c r="O175" i="6"/>
  <c r="M175" i="6"/>
  <c r="L175" i="6"/>
  <c r="J175" i="6"/>
  <c r="H175" i="6"/>
  <c r="E175" i="6"/>
  <c r="D175" i="6"/>
  <c r="C175" i="6"/>
  <c r="O174" i="6"/>
  <c r="M174" i="6"/>
  <c r="L174" i="6"/>
  <c r="J174" i="6"/>
  <c r="H174" i="6"/>
  <c r="E174" i="6"/>
  <c r="D174" i="6"/>
  <c r="C174" i="6"/>
  <c r="O173" i="6"/>
  <c r="M173" i="6"/>
  <c r="L173" i="6"/>
  <c r="J173" i="6"/>
  <c r="H173" i="6"/>
  <c r="F173" i="6"/>
  <c r="E173" i="6"/>
  <c r="D173" i="6"/>
  <c r="C173" i="6"/>
  <c r="O172" i="6"/>
  <c r="M172" i="6"/>
  <c r="L172" i="6"/>
  <c r="J172" i="6"/>
  <c r="H172" i="6"/>
  <c r="E172" i="6"/>
  <c r="D172" i="6"/>
  <c r="C172" i="6"/>
  <c r="O171" i="6"/>
  <c r="M171" i="6"/>
  <c r="L171" i="6"/>
  <c r="J171" i="6"/>
  <c r="H171" i="6"/>
  <c r="F171" i="6"/>
  <c r="E171" i="6"/>
  <c r="D171" i="6"/>
  <c r="C171" i="6"/>
  <c r="O170" i="6"/>
  <c r="M170" i="6"/>
  <c r="L170" i="6"/>
  <c r="J170" i="6"/>
  <c r="H170" i="6"/>
  <c r="E170" i="6"/>
  <c r="D170" i="6"/>
  <c r="C170" i="6"/>
  <c r="O169" i="6"/>
  <c r="M169" i="6"/>
  <c r="L169" i="6"/>
  <c r="J169" i="6"/>
  <c r="H169" i="6"/>
  <c r="E169" i="6"/>
  <c r="D169" i="6"/>
  <c r="C169" i="6"/>
  <c r="O168" i="6"/>
  <c r="M168" i="6"/>
  <c r="L168" i="6"/>
  <c r="J168" i="6"/>
  <c r="H168" i="6"/>
  <c r="E168" i="6"/>
  <c r="D168" i="6"/>
  <c r="C168" i="6"/>
  <c r="O167" i="6"/>
  <c r="M167" i="6"/>
  <c r="L167" i="6"/>
  <c r="J167" i="6"/>
  <c r="H167" i="6"/>
  <c r="E167" i="6"/>
  <c r="D167" i="6"/>
  <c r="C167" i="6"/>
  <c r="O166" i="6"/>
  <c r="M166" i="6"/>
  <c r="L166" i="6"/>
  <c r="J166" i="6"/>
  <c r="H166" i="6"/>
  <c r="F166" i="6"/>
  <c r="E166" i="6"/>
  <c r="D166" i="6"/>
  <c r="C166" i="6"/>
  <c r="O165" i="6"/>
  <c r="M165" i="6"/>
  <c r="L165" i="6"/>
  <c r="J165" i="6"/>
  <c r="H165" i="6"/>
  <c r="E165" i="6"/>
  <c r="D165" i="6"/>
  <c r="C165" i="6"/>
  <c r="O164" i="6"/>
  <c r="M164" i="6"/>
  <c r="L164" i="6"/>
  <c r="J164" i="6"/>
  <c r="H164" i="6"/>
  <c r="F164" i="6"/>
  <c r="E164" i="6"/>
  <c r="D164" i="6"/>
  <c r="C164" i="6"/>
  <c r="O163" i="6"/>
  <c r="M163" i="6"/>
  <c r="L163" i="6"/>
  <c r="J163" i="6"/>
  <c r="H163" i="6"/>
  <c r="E163" i="6"/>
  <c r="D163" i="6"/>
  <c r="C163" i="6"/>
  <c r="O162" i="6"/>
  <c r="M162" i="6"/>
  <c r="L162" i="6"/>
  <c r="J162" i="6"/>
  <c r="H162" i="6"/>
  <c r="F162" i="6"/>
  <c r="E162" i="6"/>
  <c r="D162" i="6"/>
  <c r="C162" i="6"/>
  <c r="O161" i="6"/>
  <c r="M161" i="6"/>
  <c r="L161" i="6"/>
  <c r="J161" i="6"/>
  <c r="H161" i="6"/>
  <c r="E161" i="6"/>
  <c r="D161" i="6"/>
  <c r="C161" i="6"/>
  <c r="O160" i="6"/>
  <c r="M160" i="6"/>
  <c r="L160" i="6"/>
  <c r="J160" i="6"/>
  <c r="H160" i="6"/>
  <c r="F160" i="6"/>
  <c r="E160" i="6"/>
  <c r="D160" i="6"/>
  <c r="C160" i="6"/>
  <c r="O159" i="6"/>
  <c r="M159" i="6"/>
  <c r="L159" i="6"/>
  <c r="J159" i="6"/>
  <c r="H159" i="6"/>
  <c r="E159" i="6"/>
  <c r="D159" i="6"/>
  <c r="C159" i="6"/>
  <c r="O158" i="6"/>
  <c r="M158" i="6"/>
  <c r="L158" i="6"/>
  <c r="J158" i="6"/>
  <c r="H158" i="6"/>
  <c r="E158" i="6"/>
  <c r="D158" i="6"/>
  <c r="C158" i="6"/>
  <c r="O157" i="6"/>
  <c r="M157" i="6"/>
  <c r="L157" i="6"/>
  <c r="J157" i="6"/>
  <c r="H157" i="6"/>
  <c r="F157" i="6"/>
  <c r="E157" i="6"/>
  <c r="D157" i="6"/>
  <c r="C157" i="6"/>
  <c r="O156" i="6"/>
  <c r="M156" i="6"/>
  <c r="L156" i="6"/>
  <c r="J156" i="6"/>
  <c r="H156" i="6"/>
  <c r="E156" i="6"/>
  <c r="D156" i="6"/>
  <c r="C156" i="6"/>
  <c r="O155" i="6"/>
  <c r="M155" i="6"/>
  <c r="L155" i="6"/>
  <c r="J155" i="6"/>
  <c r="H155" i="6"/>
  <c r="F155" i="6"/>
  <c r="E155" i="6"/>
  <c r="D155" i="6"/>
  <c r="C155" i="6"/>
  <c r="O154" i="6"/>
  <c r="M154" i="6"/>
  <c r="L154" i="6"/>
  <c r="J154" i="6"/>
  <c r="H154" i="6"/>
  <c r="E154" i="6"/>
  <c r="D154" i="6"/>
  <c r="C154" i="6"/>
  <c r="O153" i="6"/>
  <c r="M153" i="6"/>
  <c r="L153" i="6"/>
  <c r="J153" i="6"/>
  <c r="H153" i="6"/>
  <c r="F153" i="6"/>
  <c r="E153" i="6"/>
  <c r="D153" i="6"/>
  <c r="C153" i="6"/>
  <c r="O152" i="6"/>
  <c r="M152" i="6"/>
  <c r="L152" i="6"/>
  <c r="J152" i="6"/>
  <c r="H152" i="6"/>
  <c r="E152" i="6"/>
  <c r="D152" i="6"/>
  <c r="C152" i="6"/>
  <c r="O151" i="6"/>
  <c r="M151" i="6"/>
  <c r="L151" i="6"/>
  <c r="J151" i="6"/>
  <c r="H151" i="6"/>
  <c r="E151" i="6"/>
  <c r="D151" i="6"/>
  <c r="C151" i="6"/>
  <c r="O150" i="6"/>
  <c r="M150" i="6"/>
  <c r="L150" i="6"/>
  <c r="J150" i="6"/>
  <c r="H150" i="6"/>
  <c r="E150" i="6"/>
  <c r="D150" i="6"/>
  <c r="C150" i="6"/>
  <c r="O149" i="6"/>
  <c r="M149" i="6"/>
  <c r="L149" i="6"/>
  <c r="J149" i="6"/>
  <c r="H149" i="6"/>
  <c r="E149" i="6"/>
  <c r="D149" i="6"/>
  <c r="C149" i="6"/>
  <c r="O148" i="6"/>
  <c r="M148" i="6"/>
  <c r="L148" i="6"/>
  <c r="J148" i="6"/>
  <c r="H148" i="6"/>
  <c r="E148" i="6"/>
  <c r="D148" i="6"/>
  <c r="C148" i="6"/>
  <c r="O147" i="6"/>
  <c r="M147" i="6"/>
  <c r="L147" i="6"/>
  <c r="J147" i="6"/>
  <c r="H147" i="6"/>
  <c r="E147" i="6"/>
  <c r="D147" i="6"/>
  <c r="C147" i="6"/>
  <c r="O146" i="6"/>
  <c r="M146" i="6"/>
  <c r="L146" i="6"/>
  <c r="J146" i="6"/>
  <c r="H146" i="6"/>
  <c r="E146" i="6"/>
  <c r="D146" i="6"/>
  <c r="C146" i="6"/>
  <c r="O145" i="6"/>
  <c r="M145" i="6"/>
  <c r="L145" i="6"/>
  <c r="J145" i="6"/>
  <c r="H145" i="6"/>
  <c r="E145" i="6"/>
  <c r="D145" i="6"/>
  <c r="C145" i="6"/>
  <c r="O144" i="6"/>
  <c r="M144" i="6"/>
  <c r="L144" i="6"/>
  <c r="J144" i="6"/>
  <c r="H144" i="6"/>
  <c r="E144" i="6"/>
  <c r="D144" i="6"/>
  <c r="C144" i="6"/>
  <c r="O143" i="6"/>
  <c r="M143" i="6"/>
  <c r="L143" i="6"/>
  <c r="J143" i="6"/>
  <c r="H143" i="6"/>
  <c r="E143" i="6"/>
  <c r="D143" i="6"/>
  <c r="C143" i="6"/>
  <c r="O142" i="6"/>
  <c r="M142" i="6"/>
  <c r="L142" i="6"/>
  <c r="J142" i="6"/>
  <c r="H142" i="6"/>
  <c r="E142" i="6"/>
  <c r="D142" i="6"/>
  <c r="C142" i="6"/>
  <c r="O141" i="6"/>
  <c r="M141" i="6"/>
  <c r="L141" i="6"/>
  <c r="J141" i="6"/>
  <c r="H141" i="6"/>
  <c r="E141" i="6"/>
  <c r="D141" i="6"/>
  <c r="C141" i="6"/>
  <c r="O140" i="6"/>
  <c r="M140" i="6"/>
  <c r="L140" i="6"/>
  <c r="J140" i="6"/>
  <c r="H140" i="6"/>
  <c r="E140" i="6"/>
  <c r="D140" i="6"/>
  <c r="C140" i="6"/>
  <c r="O139" i="6"/>
  <c r="M139" i="6"/>
  <c r="L139" i="6"/>
  <c r="J139" i="6"/>
  <c r="H139" i="6"/>
  <c r="E139" i="6"/>
  <c r="D139" i="6"/>
  <c r="C139" i="6"/>
  <c r="O138" i="6"/>
  <c r="M138" i="6"/>
  <c r="L138" i="6"/>
  <c r="J138" i="6"/>
  <c r="H138" i="6"/>
  <c r="E138" i="6"/>
  <c r="D138" i="6"/>
  <c r="C138" i="6"/>
  <c r="O137" i="6"/>
  <c r="M137" i="6"/>
  <c r="L137" i="6"/>
  <c r="J137" i="6"/>
  <c r="H137" i="6"/>
  <c r="E137" i="6"/>
  <c r="D137" i="6"/>
  <c r="C137" i="6"/>
  <c r="O136" i="6"/>
  <c r="M136" i="6"/>
  <c r="L136" i="6"/>
  <c r="J136" i="6"/>
  <c r="H136" i="6"/>
  <c r="E136" i="6"/>
  <c r="D136" i="6"/>
  <c r="C136" i="6"/>
  <c r="O135" i="6"/>
  <c r="M135" i="6"/>
  <c r="L135" i="6"/>
  <c r="J135" i="6"/>
  <c r="H135" i="6"/>
  <c r="F135" i="6"/>
  <c r="E135" i="6"/>
  <c r="D135" i="6"/>
  <c r="C135" i="6"/>
  <c r="O134" i="6"/>
  <c r="M134" i="6"/>
  <c r="L134" i="6"/>
  <c r="J134" i="6"/>
  <c r="H134" i="6"/>
  <c r="E134" i="6"/>
  <c r="D134" i="6"/>
  <c r="C134" i="6"/>
  <c r="O133" i="6"/>
  <c r="M133" i="6"/>
  <c r="L133" i="6"/>
  <c r="J133" i="6"/>
  <c r="H133" i="6"/>
  <c r="F133" i="6"/>
  <c r="E133" i="6"/>
  <c r="D133" i="6"/>
  <c r="C133" i="6"/>
  <c r="O132" i="6"/>
  <c r="M132" i="6"/>
  <c r="L132" i="6"/>
  <c r="J132" i="6"/>
  <c r="H132" i="6"/>
  <c r="E132" i="6"/>
  <c r="D132" i="6"/>
  <c r="C132" i="6"/>
  <c r="O131" i="6"/>
  <c r="M131" i="6"/>
  <c r="L131" i="6"/>
  <c r="J131" i="6"/>
  <c r="H131" i="6"/>
  <c r="F131" i="6"/>
  <c r="E131" i="6"/>
  <c r="D131" i="6"/>
  <c r="C131" i="6"/>
  <c r="O130" i="6"/>
  <c r="M130" i="6"/>
  <c r="L130" i="6"/>
  <c r="J130" i="6"/>
  <c r="H130" i="6"/>
  <c r="E130" i="6"/>
  <c r="D130" i="6"/>
  <c r="C130" i="6"/>
  <c r="O129" i="6"/>
  <c r="M129" i="6"/>
  <c r="L129" i="6"/>
  <c r="J129" i="6"/>
  <c r="H129" i="6"/>
  <c r="E129" i="6"/>
  <c r="D129" i="6"/>
  <c r="C129" i="6"/>
  <c r="O128" i="6"/>
  <c r="M128" i="6"/>
  <c r="L128" i="6"/>
  <c r="J128" i="6"/>
  <c r="H128" i="6"/>
  <c r="E128" i="6"/>
  <c r="D128" i="6"/>
  <c r="C128" i="6"/>
  <c r="O127" i="6"/>
  <c r="M127" i="6"/>
  <c r="L127" i="6"/>
  <c r="J127" i="6"/>
  <c r="H127" i="6"/>
  <c r="E127" i="6"/>
  <c r="D127" i="6"/>
  <c r="C127" i="6"/>
  <c r="O126" i="6"/>
  <c r="M126" i="6"/>
  <c r="L126" i="6"/>
  <c r="J126" i="6"/>
  <c r="H126" i="6"/>
  <c r="E126" i="6"/>
  <c r="D126" i="6"/>
  <c r="C126" i="6"/>
  <c r="O125" i="6"/>
  <c r="M125" i="6"/>
  <c r="L125" i="6"/>
  <c r="J125" i="6"/>
  <c r="H125" i="6"/>
  <c r="E125" i="6"/>
  <c r="D125" i="6"/>
  <c r="C125" i="6"/>
  <c r="O124" i="6"/>
  <c r="M124" i="6"/>
  <c r="L124" i="6"/>
  <c r="J124" i="6"/>
  <c r="H124" i="6"/>
  <c r="E124" i="6"/>
  <c r="D124" i="6"/>
  <c r="C124" i="6"/>
  <c r="O123" i="6"/>
  <c r="M123" i="6"/>
  <c r="L123" i="6"/>
  <c r="J123" i="6"/>
  <c r="H123" i="6"/>
  <c r="E123" i="6"/>
  <c r="D123" i="6"/>
  <c r="C123" i="6"/>
  <c r="O122" i="6"/>
  <c r="M122" i="6"/>
  <c r="L122" i="6"/>
  <c r="J122" i="6"/>
  <c r="H122" i="6"/>
  <c r="E122" i="6"/>
  <c r="D122" i="6"/>
  <c r="C122" i="6"/>
  <c r="O121" i="6"/>
  <c r="M121" i="6"/>
  <c r="L121" i="6"/>
  <c r="J121" i="6"/>
  <c r="H121" i="6"/>
  <c r="F121" i="6"/>
  <c r="E121" i="6"/>
  <c r="D121" i="6"/>
  <c r="C121" i="6"/>
  <c r="O120" i="6"/>
  <c r="M120" i="6"/>
  <c r="L120" i="6"/>
  <c r="J120" i="6"/>
  <c r="H120" i="6"/>
  <c r="E120" i="6"/>
  <c r="D120" i="6"/>
  <c r="C120" i="6"/>
  <c r="O119" i="6"/>
  <c r="M119" i="6"/>
  <c r="L119" i="6"/>
  <c r="J119" i="6"/>
  <c r="H119" i="6"/>
  <c r="F119" i="6"/>
  <c r="E119" i="6"/>
  <c r="D119" i="6"/>
  <c r="C119" i="6"/>
  <c r="O118" i="6"/>
  <c r="M118" i="6"/>
  <c r="L118" i="6"/>
  <c r="J118" i="6"/>
  <c r="H118" i="6"/>
  <c r="F118" i="6"/>
  <c r="E118" i="6"/>
  <c r="D118" i="6"/>
  <c r="C118" i="6"/>
  <c r="O117" i="6"/>
  <c r="M117" i="6"/>
  <c r="L117" i="6"/>
  <c r="J117" i="6"/>
  <c r="H117" i="6"/>
  <c r="F117" i="6"/>
  <c r="E117" i="6"/>
  <c r="D117" i="6"/>
  <c r="C117" i="6"/>
  <c r="O116" i="6"/>
  <c r="M116" i="6"/>
  <c r="L116" i="6"/>
  <c r="J116" i="6"/>
  <c r="H116" i="6"/>
  <c r="F116" i="6"/>
  <c r="E116" i="6"/>
  <c r="D116" i="6"/>
  <c r="C116" i="6"/>
  <c r="O115" i="6"/>
  <c r="M115" i="6"/>
  <c r="L115" i="6"/>
  <c r="J115" i="6"/>
  <c r="H115" i="6"/>
  <c r="F115" i="6"/>
  <c r="E115" i="6"/>
  <c r="D115" i="6"/>
  <c r="C115" i="6"/>
  <c r="O114" i="6"/>
  <c r="M114" i="6"/>
  <c r="L114" i="6"/>
  <c r="J114" i="6"/>
  <c r="H114" i="6"/>
  <c r="F114" i="6"/>
  <c r="E114" i="6"/>
  <c r="D114" i="6"/>
  <c r="C114" i="6"/>
  <c r="O113" i="6"/>
  <c r="M113" i="6"/>
  <c r="L113" i="6"/>
  <c r="J113" i="6"/>
  <c r="H113" i="6"/>
  <c r="E113" i="6"/>
  <c r="D113" i="6"/>
  <c r="C113" i="6"/>
  <c r="O112" i="6"/>
  <c r="M112" i="6"/>
  <c r="L112" i="6"/>
  <c r="J112" i="6"/>
  <c r="H112" i="6"/>
  <c r="F112" i="6"/>
  <c r="E112" i="6"/>
  <c r="D112" i="6"/>
  <c r="C112" i="6"/>
  <c r="O111" i="6"/>
  <c r="M111" i="6"/>
  <c r="L111" i="6"/>
  <c r="J111" i="6"/>
  <c r="H111" i="6"/>
  <c r="E111" i="6"/>
  <c r="D111" i="6"/>
  <c r="C111" i="6"/>
  <c r="O110" i="6"/>
  <c r="M110" i="6"/>
  <c r="L110" i="6"/>
  <c r="J110" i="6"/>
  <c r="H110" i="6"/>
  <c r="F110" i="6"/>
  <c r="E110" i="6"/>
  <c r="D110" i="6"/>
  <c r="C110" i="6"/>
  <c r="O109" i="6"/>
  <c r="M109" i="6"/>
  <c r="L109" i="6"/>
  <c r="J109" i="6"/>
  <c r="H109" i="6"/>
  <c r="F109" i="6"/>
  <c r="E109" i="6"/>
  <c r="D109" i="6"/>
  <c r="C109" i="6"/>
  <c r="O108" i="6"/>
  <c r="M108" i="6"/>
  <c r="L108" i="6"/>
  <c r="J108" i="6"/>
  <c r="H108" i="6"/>
  <c r="F108" i="6"/>
  <c r="E108" i="6"/>
  <c r="D108" i="6"/>
  <c r="C108" i="6"/>
  <c r="O107" i="6"/>
  <c r="M107" i="6"/>
  <c r="L107" i="6"/>
  <c r="J107" i="6"/>
  <c r="H107" i="6"/>
  <c r="F107" i="6"/>
  <c r="E107" i="6"/>
  <c r="D107" i="6"/>
  <c r="C107" i="6"/>
  <c r="O106" i="6"/>
  <c r="M106" i="6"/>
  <c r="L106" i="6"/>
  <c r="J106" i="6"/>
  <c r="H106" i="6"/>
  <c r="E106" i="6"/>
  <c r="D106" i="6"/>
  <c r="C106" i="6"/>
  <c r="O105" i="6"/>
  <c r="M105" i="6"/>
  <c r="L105" i="6"/>
  <c r="J105" i="6"/>
  <c r="H105" i="6"/>
  <c r="F105" i="6"/>
  <c r="E105" i="6"/>
  <c r="D105" i="6"/>
  <c r="C105" i="6"/>
  <c r="O104" i="6"/>
  <c r="M104" i="6"/>
  <c r="L104" i="6"/>
  <c r="J104" i="6"/>
  <c r="H104" i="6"/>
  <c r="E104" i="6"/>
  <c r="D104" i="6"/>
  <c r="C104" i="6"/>
  <c r="O103" i="6"/>
  <c r="M103" i="6"/>
  <c r="L103" i="6"/>
  <c r="J103" i="6"/>
  <c r="H103" i="6"/>
  <c r="F103" i="6"/>
  <c r="E103" i="6"/>
  <c r="D103" i="6"/>
  <c r="C103" i="6"/>
  <c r="O102" i="6"/>
  <c r="M102" i="6"/>
  <c r="L102" i="6"/>
  <c r="J102" i="6"/>
  <c r="H102" i="6"/>
  <c r="F102" i="6"/>
  <c r="E102" i="6"/>
  <c r="D102" i="6"/>
  <c r="C102" i="6"/>
  <c r="O101" i="6"/>
  <c r="M101" i="6"/>
  <c r="L101" i="6"/>
  <c r="J101" i="6"/>
  <c r="H101" i="6"/>
  <c r="F101" i="6"/>
  <c r="E101" i="6"/>
  <c r="D101" i="6"/>
  <c r="C101" i="6"/>
  <c r="O100" i="6"/>
  <c r="M100" i="6"/>
  <c r="L100" i="6"/>
  <c r="J100" i="6"/>
  <c r="H100" i="6"/>
  <c r="F100" i="6"/>
  <c r="E100" i="6"/>
  <c r="D100" i="6"/>
  <c r="C100" i="6"/>
  <c r="O99" i="6"/>
  <c r="M99" i="6"/>
  <c r="L99" i="6"/>
  <c r="J99" i="6"/>
  <c r="H99" i="6"/>
  <c r="F99" i="6"/>
  <c r="E99" i="6"/>
  <c r="D99" i="6"/>
  <c r="C99" i="6"/>
  <c r="O98" i="6"/>
  <c r="M98" i="6"/>
  <c r="L98" i="6"/>
  <c r="J98" i="6"/>
  <c r="H98" i="6"/>
  <c r="F98" i="6"/>
  <c r="E98" i="6"/>
  <c r="D98" i="6"/>
  <c r="C98" i="6"/>
  <c r="O97" i="6"/>
  <c r="M97" i="6"/>
  <c r="L97" i="6"/>
  <c r="J97" i="6"/>
  <c r="H97" i="6"/>
  <c r="E97" i="6"/>
  <c r="D97" i="6"/>
  <c r="C97" i="6"/>
  <c r="O96" i="6"/>
  <c r="M96" i="6"/>
  <c r="L96" i="6"/>
  <c r="J96" i="6"/>
  <c r="H96" i="6"/>
  <c r="F96" i="6"/>
  <c r="E96" i="6"/>
  <c r="D96" i="6"/>
  <c r="C96" i="6"/>
  <c r="O95" i="6"/>
  <c r="M95" i="6"/>
  <c r="L95" i="6"/>
  <c r="J95" i="6"/>
  <c r="H95" i="6"/>
  <c r="E95" i="6"/>
  <c r="D95" i="6"/>
  <c r="C95" i="6"/>
  <c r="O94" i="6"/>
  <c r="M94" i="6"/>
  <c r="L94" i="6"/>
  <c r="J94" i="6"/>
  <c r="H94" i="6"/>
  <c r="F94" i="6"/>
  <c r="E94" i="6"/>
  <c r="D94" i="6"/>
  <c r="C94" i="6"/>
  <c r="O93" i="6"/>
  <c r="M93" i="6"/>
  <c r="L93" i="6"/>
  <c r="J93" i="6"/>
  <c r="H93" i="6"/>
  <c r="F93" i="6"/>
  <c r="E93" i="6"/>
  <c r="D93" i="6"/>
  <c r="C93" i="6"/>
  <c r="O92" i="6"/>
  <c r="M92" i="6"/>
  <c r="L92" i="6"/>
  <c r="J92" i="6"/>
  <c r="H92" i="6"/>
  <c r="F92" i="6"/>
  <c r="E92" i="6"/>
  <c r="D92" i="6"/>
  <c r="C92" i="6"/>
  <c r="O91" i="6"/>
  <c r="M91" i="6"/>
  <c r="L91" i="6"/>
  <c r="J91" i="6"/>
  <c r="H91" i="6"/>
  <c r="F91" i="6"/>
  <c r="E91" i="6"/>
  <c r="D91" i="6"/>
  <c r="C91" i="6"/>
  <c r="O90" i="6"/>
  <c r="M90" i="6"/>
  <c r="L90" i="6"/>
  <c r="J90" i="6"/>
  <c r="H90" i="6"/>
  <c r="F90" i="6"/>
  <c r="E90" i="6"/>
  <c r="D90" i="6"/>
  <c r="C90" i="6"/>
  <c r="O89" i="6"/>
  <c r="M89" i="6"/>
  <c r="L89" i="6"/>
  <c r="J89" i="6"/>
  <c r="H89" i="6"/>
  <c r="F89" i="6"/>
  <c r="E89" i="6"/>
  <c r="D89" i="6"/>
  <c r="C89" i="6"/>
  <c r="O88" i="6"/>
  <c r="M88" i="6"/>
  <c r="L88" i="6"/>
  <c r="J88" i="6"/>
  <c r="H88" i="6"/>
  <c r="F88" i="6"/>
  <c r="E88" i="6"/>
  <c r="D88" i="6"/>
  <c r="C88" i="6"/>
  <c r="O87" i="6"/>
  <c r="M87" i="6"/>
  <c r="L87" i="6"/>
  <c r="J87" i="6"/>
  <c r="H87" i="6"/>
  <c r="F87" i="6"/>
  <c r="E87" i="6"/>
  <c r="D87" i="6"/>
  <c r="C87" i="6"/>
  <c r="O86" i="6"/>
  <c r="M86" i="6"/>
  <c r="L86" i="6"/>
  <c r="J86" i="6"/>
  <c r="H86" i="6"/>
  <c r="F86" i="6"/>
  <c r="E86" i="6"/>
  <c r="D86" i="6"/>
  <c r="C86" i="6"/>
  <c r="O85" i="6"/>
  <c r="M85" i="6"/>
  <c r="L85" i="6"/>
  <c r="J85" i="6"/>
  <c r="H85" i="6"/>
  <c r="F85" i="6"/>
  <c r="E85" i="6"/>
  <c r="D85" i="6"/>
  <c r="C85" i="6"/>
  <c r="O84" i="6"/>
  <c r="M84" i="6"/>
  <c r="L84" i="6"/>
  <c r="J84" i="6"/>
  <c r="H84" i="6"/>
  <c r="F84" i="6"/>
  <c r="E84" i="6"/>
  <c r="D84" i="6"/>
  <c r="C84" i="6"/>
  <c r="O83" i="6"/>
  <c r="M83" i="6"/>
  <c r="L83" i="6"/>
  <c r="J83" i="6"/>
  <c r="H83" i="6"/>
  <c r="F83" i="6"/>
  <c r="E83" i="6"/>
  <c r="D83" i="6"/>
  <c r="C83" i="6"/>
  <c r="O82" i="6"/>
  <c r="M82" i="6"/>
  <c r="L82" i="6"/>
  <c r="J82" i="6"/>
  <c r="H82" i="6"/>
  <c r="F82" i="6"/>
  <c r="E82" i="6"/>
  <c r="D82" i="6"/>
  <c r="C82" i="6"/>
  <c r="O81" i="6"/>
  <c r="M81" i="6"/>
  <c r="L81" i="6"/>
  <c r="J81" i="6"/>
  <c r="H81" i="6"/>
  <c r="E81" i="6"/>
  <c r="D81" i="6"/>
  <c r="C81" i="6"/>
  <c r="O80" i="6"/>
  <c r="M80" i="6"/>
  <c r="L80" i="6"/>
  <c r="J80" i="6"/>
  <c r="H80" i="6"/>
  <c r="F80" i="6"/>
  <c r="E80" i="6"/>
  <c r="D80" i="6"/>
  <c r="C80" i="6"/>
  <c r="O79" i="6"/>
  <c r="M79" i="6"/>
  <c r="L79" i="6"/>
  <c r="J79" i="6"/>
  <c r="H79" i="6"/>
  <c r="E79" i="6"/>
  <c r="D79" i="6"/>
  <c r="C79" i="6"/>
  <c r="O78" i="6"/>
  <c r="M78" i="6"/>
  <c r="L78" i="6"/>
  <c r="J78" i="6"/>
  <c r="H78" i="6"/>
  <c r="F78" i="6"/>
  <c r="E78" i="6"/>
  <c r="D78" i="6"/>
  <c r="C78" i="6"/>
  <c r="O77" i="6"/>
  <c r="M77" i="6"/>
  <c r="L77" i="6"/>
  <c r="J77" i="6"/>
  <c r="H77" i="6"/>
  <c r="F77" i="6"/>
  <c r="E77" i="6"/>
  <c r="D77" i="6"/>
  <c r="C77" i="6"/>
  <c r="O76" i="6"/>
  <c r="M76" i="6"/>
  <c r="L76" i="6"/>
  <c r="J76" i="6"/>
  <c r="H76" i="6"/>
  <c r="F76" i="6"/>
  <c r="E76" i="6"/>
  <c r="D76" i="6"/>
  <c r="C76" i="6"/>
  <c r="O75" i="6"/>
  <c r="M75" i="6"/>
  <c r="L75" i="6"/>
  <c r="J75" i="6"/>
  <c r="H75" i="6"/>
  <c r="F75" i="6"/>
  <c r="E75" i="6"/>
  <c r="D75" i="6"/>
  <c r="C75" i="6"/>
  <c r="O74" i="6"/>
  <c r="M74" i="6"/>
  <c r="L74" i="6"/>
  <c r="J74" i="6"/>
  <c r="H74" i="6"/>
  <c r="F74" i="6"/>
  <c r="E74" i="6"/>
  <c r="D74" i="6"/>
  <c r="C74" i="6"/>
  <c r="O73" i="6"/>
  <c r="M73" i="6"/>
  <c r="L73" i="6"/>
  <c r="J73" i="6"/>
  <c r="H73" i="6"/>
  <c r="F73" i="6"/>
  <c r="E73" i="6"/>
  <c r="D73" i="6"/>
  <c r="C73" i="6"/>
  <c r="O72" i="6"/>
  <c r="M72" i="6"/>
  <c r="L72" i="6"/>
  <c r="J72" i="6"/>
  <c r="H72" i="6"/>
  <c r="F72" i="6"/>
  <c r="E72" i="6"/>
  <c r="D72" i="6"/>
  <c r="C72" i="6"/>
  <c r="O71" i="6"/>
  <c r="M71" i="6"/>
  <c r="L71" i="6"/>
  <c r="J71" i="6"/>
  <c r="H71" i="6"/>
  <c r="F71" i="6"/>
  <c r="E71" i="6"/>
  <c r="D71" i="6"/>
  <c r="C71" i="6"/>
  <c r="O70" i="6"/>
  <c r="M70" i="6"/>
  <c r="L70" i="6"/>
  <c r="J70" i="6"/>
  <c r="H70" i="6"/>
  <c r="F70" i="6"/>
  <c r="E70" i="6"/>
  <c r="D70" i="6"/>
  <c r="C70" i="6"/>
  <c r="O69" i="6"/>
  <c r="M69" i="6"/>
  <c r="L69" i="6"/>
  <c r="J69" i="6"/>
  <c r="H69" i="6"/>
  <c r="F69" i="6"/>
  <c r="E69" i="6"/>
  <c r="D69" i="6"/>
  <c r="C69" i="6"/>
  <c r="O68" i="6"/>
  <c r="M68" i="6"/>
  <c r="L68" i="6"/>
  <c r="J68" i="6"/>
  <c r="H68" i="6"/>
  <c r="F68" i="6"/>
  <c r="E68" i="6"/>
  <c r="D68" i="6"/>
  <c r="C68" i="6"/>
  <c r="O67" i="6"/>
  <c r="M67" i="6"/>
  <c r="L67" i="6"/>
  <c r="J67" i="6"/>
  <c r="H67" i="6"/>
  <c r="F67" i="6"/>
  <c r="E67" i="6"/>
  <c r="D67" i="6"/>
  <c r="C67" i="6"/>
  <c r="O66" i="6"/>
  <c r="M66" i="6"/>
  <c r="L66" i="6"/>
  <c r="J66" i="6"/>
  <c r="H66" i="6"/>
  <c r="F66" i="6"/>
  <c r="E66" i="6"/>
  <c r="D66" i="6"/>
  <c r="C66" i="6"/>
  <c r="O65" i="6"/>
  <c r="M65" i="6"/>
  <c r="L65" i="6"/>
  <c r="J65" i="6"/>
  <c r="H65" i="6"/>
  <c r="E65" i="6"/>
  <c r="D65" i="6"/>
  <c r="C65" i="6"/>
  <c r="O64" i="6"/>
  <c r="M64" i="6"/>
  <c r="L64" i="6"/>
  <c r="J64" i="6"/>
  <c r="H64" i="6"/>
  <c r="F64" i="6"/>
  <c r="E64" i="6"/>
  <c r="D64" i="6"/>
  <c r="C64" i="6"/>
  <c r="O63" i="6"/>
  <c r="M63" i="6"/>
  <c r="L63" i="6"/>
  <c r="J63" i="6"/>
  <c r="H63" i="6"/>
  <c r="E63" i="6"/>
  <c r="D63" i="6"/>
  <c r="C63" i="6"/>
  <c r="O62" i="6"/>
  <c r="M62" i="6"/>
  <c r="L62" i="6"/>
  <c r="J62" i="6"/>
  <c r="H62" i="6"/>
  <c r="F62" i="6"/>
  <c r="E62" i="6"/>
  <c r="D62" i="6"/>
  <c r="C62" i="6"/>
  <c r="O61" i="6"/>
  <c r="M61" i="6"/>
  <c r="L61" i="6"/>
  <c r="J61" i="6"/>
  <c r="H61" i="6"/>
  <c r="F61" i="6"/>
  <c r="E61" i="6"/>
  <c r="D61" i="6"/>
  <c r="C61" i="6"/>
  <c r="O60" i="6"/>
  <c r="M60" i="6"/>
  <c r="L60" i="6"/>
  <c r="J60" i="6"/>
  <c r="H60" i="6"/>
  <c r="F60" i="6"/>
  <c r="E60" i="6"/>
  <c r="D60" i="6"/>
  <c r="C60" i="6"/>
  <c r="O59" i="6"/>
  <c r="M59" i="6"/>
  <c r="L59" i="6"/>
  <c r="J59" i="6"/>
  <c r="H59" i="6"/>
  <c r="F59" i="6"/>
  <c r="E59" i="6"/>
  <c r="D59" i="6"/>
  <c r="C59" i="6"/>
  <c r="O58" i="6"/>
  <c r="M58" i="6"/>
  <c r="L58" i="6"/>
  <c r="J58" i="6"/>
  <c r="H58" i="6"/>
  <c r="E58" i="6"/>
  <c r="D58" i="6"/>
  <c r="C58" i="6"/>
  <c r="O57" i="6"/>
  <c r="M57" i="6"/>
  <c r="L57" i="6"/>
  <c r="J57" i="6"/>
  <c r="H57" i="6"/>
  <c r="F57" i="6"/>
  <c r="E57" i="6"/>
  <c r="D57" i="6"/>
  <c r="C57" i="6"/>
  <c r="O56" i="6"/>
  <c r="M56" i="6"/>
  <c r="L56" i="6"/>
  <c r="J56" i="6"/>
  <c r="H56" i="6"/>
  <c r="E56" i="6"/>
  <c r="D56" i="6"/>
  <c r="C56" i="6"/>
  <c r="O55" i="6"/>
  <c r="M55" i="6"/>
  <c r="L55" i="6"/>
  <c r="J55" i="6"/>
  <c r="H55" i="6"/>
  <c r="F55" i="6"/>
  <c r="E55" i="6"/>
  <c r="D55" i="6"/>
  <c r="C55" i="6"/>
  <c r="O54" i="6"/>
  <c r="M54" i="6"/>
  <c r="L54" i="6"/>
  <c r="J54" i="6"/>
  <c r="H54" i="6"/>
  <c r="F54" i="6"/>
  <c r="E54" i="6"/>
  <c r="D54" i="6"/>
  <c r="C54" i="6"/>
  <c r="O53" i="6"/>
  <c r="M53" i="6"/>
  <c r="L53" i="6"/>
  <c r="J53" i="6"/>
  <c r="H53" i="6"/>
  <c r="F53" i="6"/>
  <c r="E53" i="6"/>
  <c r="D53" i="6"/>
  <c r="C53" i="6"/>
  <c r="O52" i="6"/>
  <c r="M52" i="6"/>
  <c r="L52" i="6"/>
  <c r="J52" i="6"/>
  <c r="H52" i="6"/>
  <c r="F52" i="6"/>
  <c r="E52" i="6"/>
  <c r="D52" i="6"/>
  <c r="C52" i="6"/>
  <c r="O51" i="6"/>
  <c r="M51" i="6"/>
  <c r="L51" i="6"/>
  <c r="J51" i="6"/>
  <c r="H51" i="6"/>
  <c r="F51" i="6"/>
  <c r="E51" i="6"/>
  <c r="D51" i="6"/>
  <c r="C51" i="6"/>
  <c r="O50" i="6"/>
  <c r="M50" i="6"/>
  <c r="L50" i="6"/>
  <c r="J50" i="6"/>
  <c r="H50" i="6"/>
  <c r="F50" i="6"/>
  <c r="E50" i="6"/>
  <c r="D50" i="6"/>
  <c r="C50" i="6"/>
  <c r="O49" i="6"/>
  <c r="M49" i="6"/>
  <c r="L49" i="6"/>
  <c r="J49" i="6"/>
  <c r="H49" i="6"/>
  <c r="E49" i="6"/>
  <c r="D49" i="6"/>
  <c r="C49" i="6"/>
  <c r="O48" i="6"/>
  <c r="M48" i="6"/>
  <c r="L48" i="6"/>
  <c r="J48" i="6"/>
  <c r="H48" i="6"/>
  <c r="F48" i="6"/>
  <c r="E48" i="6"/>
  <c r="D48" i="6"/>
  <c r="C48" i="6"/>
  <c r="O47" i="6"/>
  <c r="M47" i="6"/>
  <c r="L47" i="6"/>
  <c r="J47" i="6"/>
  <c r="H47" i="6"/>
  <c r="E47" i="6"/>
  <c r="D47" i="6"/>
  <c r="C47" i="6"/>
  <c r="O46" i="6"/>
  <c r="M46" i="6"/>
  <c r="L46" i="6"/>
  <c r="J46" i="6"/>
  <c r="H46" i="6"/>
  <c r="F46" i="6"/>
  <c r="E46" i="6"/>
  <c r="D46" i="6"/>
  <c r="C46" i="6"/>
  <c r="O45" i="6"/>
  <c r="M45" i="6"/>
  <c r="L45" i="6"/>
  <c r="J45" i="6"/>
  <c r="H45" i="6"/>
  <c r="F45" i="6"/>
  <c r="E45" i="6"/>
  <c r="D45" i="6"/>
  <c r="C45" i="6"/>
  <c r="O44" i="6"/>
  <c r="M44" i="6"/>
  <c r="L44" i="6"/>
  <c r="J44" i="6"/>
  <c r="H44" i="6"/>
  <c r="F44" i="6"/>
  <c r="E44" i="6"/>
  <c r="D44" i="6"/>
  <c r="C44" i="6"/>
  <c r="O43" i="6"/>
  <c r="M43" i="6"/>
  <c r="L43" i="6"/>
  <c r="J43" i="6"/>
  <c r="H43" i="6"/>
  <c r="E43" i="6"/>
  <c r="D43" i="6"/>
  <c r="C43" i="6"/>
  <c r="O42" i="6"/>
  <c r="M42" i="6"/>
  <c r="L42" i="6"/>
  <c r="J42" i="6"/>
  <c r="H42" i="6"/>
  <c r="F42" i="6"/>
  <c r="E42" i="6"/>
  <c r="D42" i="6"/>
  <c r="C42" i="6"/>
  <c r="O41" i="6"/>
  <c r="M41" i="6"/>
  <c r="L41" i="6"/>
  <c r="J41" i="6"/>
  <c r="H41" i="6"/>
  <c r="F41" i="6"/>
  <c r="E41" i="6"/>
  <c r="D41" i="6"/>
  <c r="C41" i="6"/>
  <c r="O40" i="6"/>
  <c r="M40" i="6"/>
  <c r="L40" i="6"/>
  <c r="J40" i="6"/>
  <c r="H40" i="6"/>
  <c r="E40" i="6"/>
  <c r="D40" i="6"/>
  <c r="C40" i="6"/>
  <c r="O39" i="6"/>
  <c r="M39" i="6"/>
  <c r="L39" i="6"/>
  <c r="J39" i="6"/>
  <c r="H39" i="6"/>
  <c r="F39" i="6"/>
  <c r="E39" i="6"/>
  <c r="D39" i="6"/>
  <c r="C39" i="6"/>
  <c r="O38" i="6"/>
  <c r="M38" i="6"/>
  <c r="L38" i="6"/>
  <c r="J38" i="6"/>
  <c r="H38" i="6"/>
  <c r="E38" i="6"/>
  <c r="D38" i="6"/>
  <c r="C38" i="6"/>
  <c r="O37" i="6"/>
  <c r="M37" i="6"/>
  <c r="L37" i="6"/>
  <c r="J37" i="6"/>
  <c r="H37" i="6"/>
  <c r="F37" i="6"/>
  <c r="E37" i="6"/>
  <c r="D37" i="6"/>
  <c r="C37" i="6"/>
  <c r="O36" i="6"/>
  <c r="M36" i="6"/>
  <c r="L36" i="6"/>
  <c r="J36" i="6"/>
  <c r="H36" i="6"/>
  <c r="F36" i="6"/>
  <c r="E36" i="6"/>
  <c r="D36" i="6"/>
  <c r="C36" i="6"/>
  <c r="O35" i="6"/>
  <c r="M35" i="6"/>
  <c r="L35" i="6"/>
  <c r="J35" i="6"/>
  <c r="H35" i="6"/>
  <c r="F35" i="6"/>
  <c r="E35" i="6"/>
  <c r="D35" i="6"/>
  <c r="C35" i="6"/>
  <c r="O34" i="6"/>
  <c r="M34" i="6"/>
  <c r="L34" i="6"/>
  <c r="J34" i="6"/>
  <c r="H34" i="6"/>
  <c r="E34" i="6"/>
  <c r="D34" i="6"/>
  <c r="C34" i="6"/>
  <c r="O33" i="6"/>
  <c r="M33" i="6"/>
  <c r="L33" i="6"/>
  <c r="J33" i="6"/>
  <c r="H33" i="6"/>
  <c r="E33" i="6"/>
  <c r="D33" i="6"/>
  <c r="C33" i="6"/>
  <c r="O32" i="6"/>
  <c r="M32" i="6"/>
  <c r="L32" i="6"/>
  <c r="J32" i="6"/>
  <c r="H32" i="6"/>
  <c r="F32" i="6"/>
  <c r="E32" i="6"/>
  <c r="D32" i="6"/>
  <c r="C32" i="6"/>
  <c r="O31" i="6"/>
  <c r="M31" i="6"/>
  <c r="L31" i="6"/>
  <c r="J31" i="6"/>
  <c r="H31" i="6"/>
  <c r="E31" i="6"/>
  <c r="D31" i="6"/>
  <c r="C31" i="6"/>
  <c r="O30" i="6"/>
  <c r="M30" i="6"/>
  <c r="L30" i="6"/>
  <c r="J30" i="6"/>
  <c r="H30" i="6"/>
  <c r="E30" i="6"/>
  <c r="D30" i="6"/>
  <c r="C30" i="6"/>
  <c r="O29" i="6"/>
  <c r="M29" i="6"/>
  <c r="L29" i="6"/>
  <c r="J29" i="6"/>
  <c r="H29" i="6"/>
  <c r="F29" i="6"/>
  <c r="E29" i="6"/>
  <c r="D29" i="6"/>
  <c r="C29" i="6"/>
  <c r="O28" i="6"/>
  <c r="M28" i="6"/>
  <c r="L28" i="6"/>
  <c r="J28" i="6"/>
  <c r="H28" i="6"/>
  <c r="F28" i="6"/>
  <c r="E28" i="6"/>
  <c r="D28" i="6"/>
  <c r="C28" i="6"/>
  <c r="O27" i="6"/>
  <c r="M27" i="6"/>
  <c r="L27" i="6"/>
  <c r="J27" i="6"/>
  <c r="H27" i="6"/>
  <c r="F27" i="6"/>
  <c r="E27" i="6"/>
  <c r="D27" i="6"/>
  <c r="C27" i="6"/>
  <c r="O26" i="6"/>
  <c r="M26" i="6"/>
  <c r="L26" i="6"/>
  <c r="J26" i="6"/>
  <c r="H26" i="6"/>
  <c r="F26" i="6"/>
  <c r="E26" i="6"/>
  <c r="D26" i="6"/>
  <c r="C26" i="6"/>
  <c r="O25" i="6"/>
  <c r="M25" i="6"/>
  <c r="L25" i="6"/>
  <c r="J25" i="6"/>
  <c r="H25" i="6"/>
  <c r="F25" i="6"/>
  <c r="E25" i="6"/>
  <c r="D25" i="6"/>
  <c r="C25" i="6"/>
  <c r="O24" i="6"/>
  <c r="M24" i="6"/>
  <c r="L24" i="6"/>
  <c r="J24" i="6"/>
  <c r="H24" i="6"/>
  <c r="E24" i="6"/>
  <c r="D24" i="6"/>
  <c r="C24" i="6"/>
  <c r="O23" i="6"/>
  <c r="M23" i="6"/>
  <c r="L23" i="6"/>
  <c r="J23" i="6"/>
  <c r="H23" i="6"/>
  <c r="E23" i="6"/>
  <c r="D23" i="6"/>
  <c r="C23" i="6"/>
  <c r="O22" i="6"/>
  <c r="M22" i="6"/>
  <c r="L22" i="6"/>
  <c r="J22" i="6"/>
  <c r="H22" i="6"/>
  <c r="F22" i="6"/>
  <c r="E22" i="6"/>
  <c r="D22" i="6"/>
  <c r="C22" i="6"/>
  <c r="O21" i="6"/>
  <c r="M21" i="6"/>
  <c r="L21" i="6"/>
  <c r="J21" i="6"/>
  <c r="H21" i="6"/>
  <c r="E21" i="6"/>
  <c r="D21" i="6"/>
  <c r="C21" i="6"/>
  <c r="O20" i="6"/>
  <c r="M20" i="6"/>
  <c r="L20" i="6"/>
  <c r="J20" i="6"/>
  <c r="H20" i="6"/>
  <c r="F20" i="6"/>
  <c r="E20" i="6"/>
  <c r="D20" i="6"/>
  <c r="C20" i="6"/>
  <c r="O19" i="6"/>
  <c r="M19" i="6"/>
  <c r="L19" i="6"/>
  <c r="J19" i="6"/>
  <c r="H19" i="6"/>
  <c r="F19" i="6"/>
  <c r="E19" i="6"/>
  <c r="D19" i="6"/>
  <c r="C19" i="6"/>
  <c r="O18" i="6"/>
  <c r="M18" i="6"/>
  <c r="L18" i="6"/>
  <c r="J18" i="6"/>
  <c r="H18" i="6"/>
  <c r="F18" i="6"/>
  <c r="E18" i="6"/>
  <c r="D18" i="6"/>
  <c r="C18" i="6"/>
  <c r="O17" i="6"/>
  <c r="M17" i="6"/>
  <c r="L17" i="6"/>
  <c r="J17" i="6"/>
  <c r="H17" i="6"/>
  <c r="E17" i="6"/>
  <c r="D17" i="6"/>
  <c r="C17" i="6"/>
  <c r="O16" i="6"/>
  <c r="M16" i="6"/>
  <c r="L16" i="6"/>
  <c r="J16" i="6"/>
  <c r="H16" i="6"/>
  <c r="E16" i="6"/>
  <c r="D16" i="6"/>
  <c r="C16" i="6"/>
  <c r="O15" i="6"/>
  <c r="M15" i="6"/>
  <c r="L15" i="6"/>
  <c r="J15" i="6"/>
  <c r="H15" i="6"/>
  <c r="E15" i="6"/>
  <c r="D15" i="6"/>
  <c r="C15" i="6"/>
  <c r="O14" i="6"/>
  <c r="M14" i="6"/>
  <c r="L14" i="6"/>
  <c r="J14" i="6"/>
  <c r="H14" i="6"/>
  <c r="F14" i="6"/>
  <c r="E14" i="6"/>
  <c r="D14" i="6"/>
  <c r="C14" i="6"/>
  <c r="O13" i="6"/>
  <c r="M13" i="6"/>
  <c r="L13" i="6"/>
  <c r="J13" i="6"/>
  <c r="H13" i="6"/>
  <c r="F13" i="6"/>
  <c r="E13" i="6"/>
  <c r="D13" i="6"/>
  <c r="C13" i="6"/>
  <c r="O12" i="6"/>
  <c r="M12" i="6"/>
  <c r="L12" i="6"/>
  <c r="J12" i="6"/>
  <c r="H12" i="6"/>
  <c r="E12" i="6"/>
  <c r="D12" i="6"/>
  <c r="C12" i="6"/>
  <c r="O11" i="6"/>
  <c r="M11" i="6"/>
  <c r="L11" i="6"/>
  <c r="J11" i="6"/>
  <c r="H11" i="6"/>
  <c r="F11" i="6"/>
  <c r="E11" i="6"/>
  <c r="D11" i="6"/>
  <c r="C11" i="6"/>
  <c r="O10" i="6"/>
  <c r="M10" i="6"/>
  <c r="L10" i="6"/>
  <c r="J10" i="6"/>
  <c r="H10" i="6"/>
  <c r="E10" i="6"/>
  <c r="D10" i="6"/>
  <c r="C10" i="6"/>
  <c r="O9" i="6"/>
  <c r="M9" i="6"/>
  <c r="L9" i="6"/>
  <c r="J9" i="6"/>
  <c r="H9" i="6"/>
  <c r="E9" i="6"/>
  <c r="D9" i="6"/>
  <c r="C9" i="6"/>
  <c r="O8" i="6"/>
  <c r="M8" i="6"/>
  <c r="L8" i="6"/>
  <c r="J8" i="6"/>
  <c r="H8" i="6"/>
  <c r="E8" i="6"/>
  <c r="D8" i="6"/>
  <c r="C8" i="6"/>
  <c r="O7" i="6"/>
  <c r="M7" i="6"/>
  <c r="L7" i="6"/>
  <c r="J7" i="6"/>
  <c r="H7" i="6"/>
  <c r="F7" i="6"/>
  <c r="E7" i="6"/>
  <c r="D7" i="6"/>
  <c r="C7" i="6"/>
  <c r="O6" i="6"/>
  <c r="M6" i="6"/>
  <c r="L6" i="6"/>
  <c r="J6" i="6"/>
  <c r="H6" i="6"/>
  <c r="F6" i="6"/>
  <c r="E6" i="6"/>
  <c r="D6" i="6"/>
  <c r="C6" i="6"/>
  <c r="O5" i="6"/>
  <c r="M5" i="6"/>
  <c r="L5" i="6"/>
  <c r="J5" i="6"/>
  <c r="H5" i="6"/>
  <c r="F5" i="6"/>
  <c r="E5" i="6"/>
  <c r="D5" i="6"/>
  <c r="C5" i="6"/>
  <c r="O4" i="6"/>
  <c r="M4" i="6"/>
  <c r="L4" i="6"/>
  <c r="J4" i="6"/>
  <c r="H4" i="6"/>
  <c r="F4" i="6"/>
  <c r="E4" i="6"/>
  <c r="D4" i="6"/>
  <c r="C4" i="6"/>
  <c r="O3" i="6"/>
  <c r="M3" i="6"/>
  <c r="L3" i="6"/>
  <c r="J3" i="6"/>
  <c r="H3" i="6"/>
  <c r="E3" i="6"/>
  <c r="D3" i="6"/>
  <c r="C3" i="6"/>
  <c r="O2" i="6"/>
  <c r="M2" i="6"/>
  <c r="L2" i="6"/>
  <c r="J2" i="6"/>
  <c r="H2" i="6"/>
  <c r="F2" i="6"/>
  <c r="E2" i="6"/>
  <c r="D2" i="6"/>
  <c r="C2" i="6"/>
  <c r="N151" i="5"/>
  <c r="L151" i="5"/>
  <c r="J151" i="5"/>
  <c r="E151" i="5"/>
  <c r="D151" i="5"/>
  <c r="C151" i="5"/>
  <c r="N150" i="5"/>
  <c r="L150" i="5"/>
  <c r="J150" i="5"/>
  <c r="F150" i="5"/>
  <c r="E150" i="5"/>
  <c r="D150" i="5"/>
  <c r="C150" i="5"/>
  <c r="N149" i="5"/>
  <c r="L149" i="5"/>
  <c r="J149" i="5"/>
  <c r="E149" i="5"/>
  <c r="D149" i="5"/>
  <c r="C149" i="5"/>
  <c r="N148" i="5"/>
  <c r="L148" i="5"/>
  <c r="J148" i="5"/>
  <c r="E148" i="5"/>
  <c r="D148" i="5"/>
  <c r="C148" i="5"/>
  <c r="N147" i="5"/>
  <c r="L147" i="5"/>
  <c r="J147" i="5"/>
  <c r="F147" i="5"/>
  <c r="E147" i="5"/>
  <c r="D147" i="5"/>
  <c r="C147" i="5"/>
  <c r="N146" i="5"/>
  <c r="L146" i="5"/>
  <c r="J146" i="5"/>
  <c r="F146" i="5"/>
  <c r="E146" i="5"/>
  <c r="D146" i="5"/>
  <c r="C146" i="5"/>
  <c r="N145" i="5"/>
  <c r="L145" i="5"/>
  <c r="J145" i="5"/>
  <c r="F145" i="5"/>
  <c r="E145" i="5"/>
  <c r="D145" i="5"/>
  <c r="C145" i="5"/>
  <c r="N144" i="5"/>
  <c r="L144" i="5"/>
  <c r="J144" i="5"/>
  <c r="E144" i="5"/>
  <c r="D144" i="5"/>
  <c r="C144" i="5"/>
  <c r="N143" i="5"/>
  <c r="L143" i="5"/>
  <c r="J143" i="5"/>
  <c r="F143" i="5"/>
  <c r="E143" i="5"/>
  <c r="D143" i="5"/>
  <c r="C143" i="5"/>
  <c r="N142" i="5"/>
  <c r="L142" i="5"/>
  <c r="J142" i="5"/>
  <c r="E142" i="5"/>
  <c r="D142" i="5"/>
  <c r="C142" i="5"/>
  <c r="N141" i="5"/>
  <c r="L141" i="5"/>
  <c r="J141" i="5"/>
  <c r="F141" i="5"/>
  <c r="E141" i="5"/>
  <c r="D141" i="5"/>
  <c r="C141" i="5"/>
  <c r="N140" i="5"/>
  <c r="L140" i="5"/>
  <c r="J140" i="5"/>
  <c r="F140" i="5"/>
  <c r="E140" i="5"/>
  <c r="D140" i="5"/>
  <c r="C140" i="5"/>
  <c r="N139" i="5"/>
  <c r="L139" i="5"/>
  <c r="J139" i="5"/>
  <c r="E139" i="5"/>
  <c r="D139" i="5"/>
  <c r="C139" i="5"/>
  <c r="N138" i="5"/>
  <c r="L138" i="5"/>
  <c r="J138" i="5"/>
  <c r="F138" i="5"/>
  <c r="E138" i="5"/>
  <c r="D138" i="5"/>
  <c r="C138" i="5"/>
  <c r="N137" i="5"/>
  <c r="L137" i="5"/>
  <c r="J137" i="5"/>
  <c r="F137" i="5"/>
  <c r="E137" i="5"/>
  <c r="D137" i="5"/>
  <c r="C137" i="5"/>
  <c r="N136" i="5"/>
  <c r="L136" i="5"/>
  <c r="J136" i="5"/>
  <c r="F136" i="5"/>
  <c r="E136" i="5"/>
  <c r="D136" i="5"/>
  <c r="C136" i="5"/>
  <c r="N135" i="5"/>
  <c r="L135" i="5"/>
  <c r="J135" i="5"/>
  <c r="E135" i="5"/>
  <c r="D135" i="5"/>
  <c r="C135" i="5"/>
  <c r="N134" i="5"/>
  <c r="L134" i="5"/>
  <c r="J134" i="5"/>
  <c r="F134" i="5"/>
  <c r="E134" i="5"/>
  <c r="D134" i="5"/>
  <c r="C134" i="5"/>
  <c r="N133" i="5"/>
  <c r="L133" i="5"/>
  <c r="J133" i="5"/>
  <c r="E133" i="5"/>
  <c r="D133" i="5"/>
  <c r="C133" i="5"/>
  <c r="N132" i="5"/>
  <c r="L132" i="5"/>
  <c r="J132" i="5"/>
  <c r="F132" i="5"/>
  <c r="E132" i="5"/>
  <c r="D132" i="5"/>
  <c r="C132" i="5"/>
  <c r="N131" i="5"/>
  <c r="L131" i="5"/>
  <c r="J131" i="5"/>
  <c r="F131" i="5"/>
  <c r="E131" i="5"/>
  <c r="D131" i="5"/>
  <c r="C131" i="5"/>
  <c r="N130" i="5"/>
  <c r="L130" i="5"/>
  <c r="J130" i="5"/>
  <c r="F130" i="5"/>
  <c r="E130" i="5"/>
  <c r="D130" i="5"/>
  <c r="C130" i="5"/>
  <c r="N129" i="5"/>
  <c r="L129" i="5"/>
  <c r="J129" i="5"/>
  <c r="F129" i="5"/>
  <c r="E129" i="5"/>
  <c r="D129" i="5"/>
  <c r="C129" i="5"/>
  <c r="N128" i="5"/>
  <c r="L128" i="5"/>
  <c r="J128" i="5"/>
  <c r="F128" i="5"/>
  <c r="E128" i="5"/>
  <c r="D128" i="5"/>
  <c r="C128" i="5"/>
  <c r="N127" i="5"/>
  <c r="L127" i="5"/>
  <c r="J127" i="5"/>
  <c r="F127" i="5"/>
  <c r="E127" i="5"/>
  <c r="D127" i="5"/>
  <c r="C127" i="5"/>
  <c r="N126" i="5"/>
  <c r="L126" i="5"/>
  <c r="J126" i="5"/>
  <c r="E126" i="5"/>
  <c r="D126" i="5"/>
  <c r="C126" i="5"/>
  <c r="N125" i="5"/>
  <c r="L125" i="5"/>
  <c r="J125" i="5"/>
  <c r="F125" i="5"/>
  <c r="E125" i="5"/>
  <c r="D125" i="5"/>
  <c r="C125" i="5"/>
  <c r="N124" i="5"/>
  <c r="L124" i="5"/>
  <c r="J124" i="5"/>
  <c r="E124" i="5"/>
  <c r="D124" i="5"/>
  <c r="C124" i="5"/>
  <c r="N123" i="5"/>
  <c r="L123" i="5"/>
  <c r="J123" i="5"/>
  <c r="F123" i="5"/>
  <c r="E123" i="5"/>
  <c r="D123" i="5"/>
  <c r="C123" i="5"/>
  <c r="N122" i="5"/>
  <c r="L122" i="5"/>
  <c r="J122" i="5"/>
  <c r="F122" i="5"/>
  <c r="E122" i="5"/>
  <c r="D122" i="5"/>
  <c r="C122" i="5"/>
  <c r="N121" i="5"/>
  <c r="L121" i="5"/>
  <c r="J121" i="5"/>
  <c r="F121" i="5"/>
  <c r="E121" i="5"/>
  <c r="D121" i="5"/>
  <c r="C121" i="5"/>
  <c r="N120" i="5"/>
  <c r="L120" i="5"/>
  <c r="J120" i="5"/>
  <c r="F120" i="5"/>
  <c r="E120" i="5"/>
  <c r="D120" i="5"/>
  <c r="C120" i="5"/>
  <c r="N119" i="5"/>
  <c r="L119" i="5"/>
  <c r="J119" i="5"/>
  <c r="E119" i="5"/>
  <c r="D119" i="5"/>
  <c r="C119" i="5"/>
  <c r="N118" i="5"/>
  <c r="L118" i="5"/>
  <c r="J118" i="5"/>
  <c r="F118" i="5"/>
  <c r="E118" i="5"/>
  <c r="D118" i="5"/>
  <c r="C118" i="5"/>
  <c r="N117" i="5"/>
  <c r="L117" i="5"/>
  <c r="J117" i="5"/>
  <c r="E117" i="5"/>
  <c r="D117" i="5"/>
  <c r="C117" i="5"/>
  <c r="N116" i="5"/>
  <c r="L116" i="5"/>
  <c r="J116" i="5"/>
  <c r="F116" i="5"/>
  <c r="E116" i="5"/>
  <c r="D116" i="5"/>
  <c r="C116" i="5"/>
  <c r="N115" i="5"/>
  <c r="L115" i="5"/>
  <c r="J115" i="5"/>
  <c r="F115" i="5"/>
  <c r="E115" i="5"/>
  <c r="D115" i="5"/>
  <c r="C115" i="5"/>
  <c r="N114" i="5"/>
  <c r="L114" i="5"/>
  <c r="J114" i="5"/>
  <c r="F114" i="5"/>
  <c r="E114" i="5"/>
  <c r="D114" i="5"/>
  <c r="C114" i="5"/>
  <c r="N113" i="5"/>
  <c r="L113" i="5"/>
  <c r="J113" i="5"/>
  <c r="E113" i="5"/>
  <c r="D113" i="5"/>
  <c r="C113" i="5"/>
  <c r="N112" i="5"/>
  <c r="L112" i="5"/>
  <c r="J112" i="5"/>
  <c r="F112" i="5"/>
  <c r="E112" i="5"/>
  <c r="D112" i="5"/>
  <c r="C112" i="5"/>
  <c r="N111" i="5"/>
  <c r="L111" i="5"/>
  <c r="J111" i="5"/>
  <c r="F111" i="5"/>
  <c r="E111" i="5"/>
  <c r="D111" i="5"/>
  <c r="C111" i="5"/>
  <c r="N110" i="5"/>
  <c r="L110" i="5"/>
  <c r="J110" i="5"/>
  <c r="E110" i="5"/>
  <c r="D110" i="5"/>
  <c r="C110" i="5"/>
  <c r="N109" i="5"/>
  <c r="L109" i="5"/>
  <c r="J109" i="5"/>
  <c r="F109" i="5"/>
  <c r="E109" i="5"/>
  <c r="D109" i="5"/>
  <c r="C109" i="5"/>
  <c r="N108" i="5"/>
  <c r="L108" i="5"/>
  <c r="J108" i="5"/>
  <c r="F108" i="5"/>
  <c r="E108" i="5"/>
  <c r="D108" i="5"/>
  <c r="C108" i="5"/>
  <c r="N107" i="5"/>
  <c r="L107" i="5"/>
  <c r="J107" i="5"/>
  <c r="F107" i="5"/>
  <c r="E107" i="5"/>
  <c r="D107" i="5"/>
  <c r="C107" i="5"/>
  <c r="N106" i="5"/>
  <c r="L106" i="5"/>
  <c r="J106" i="5"/>
  <c r="F106" i="5"/>
  <c r="E106" i="5"/>
  <c r="D106" i="5"/>
  <c r="C106" i="5"/>
  <c r="N105" i="5"/>
  <c r="L105" i="5"/>
  <c r="J105" i="5"/>
  <c r="F105" i="5"/>
  <c r="E105" i="5"/>
  <c r="D105" i="5"/>
  <c r="C105" i="5"/>
  <c r="N104" i="5"/>
  <c r="L104" i="5"/>
  <c r="J104" i="5"/>
  <c r="E104" i="5"/>
  <c r="D104" i="5"/>
  <c r="C104" i="5"/>
  <c r="N103" i="5"/>
  <c r="L103" i="5"/>
  <c r="J103" i="5"/>
  <c r="E103" i="5"/>
  <c r="D103" i="5"/>
  <c r="C103" i="5"/>
  <c r="N102" i="5"/>
  <c r="L102" i="5"/>
  <c r="J102" i="5"/>
  <c r="E102" i="5"/>
  <c r="D102" i="5"/>
  <c r="C102" i="5"/>
  <c r="N101" i="5"/>
  <c r="L101" i="5"/>
  <c r="J101" i="5"/>
  <c r="E101" i="5"/>
  <c r="D101" i="5"/>
  <c r="C101" i="5"/>
  <c r="N100" i="5"/>
  <c r="L100" i="5"/>
  <c r="J100" i="5"/>
  <c r="F100" i="5"/>
  <c r="E100" i="5"/>
  <c r="D100" i="5"/>
  <c r="C100" i="5"/>
  <c r="N99" i="5"/>
  <c r="L99" i="5"/>
  <c r="J99" i="5"/>
  <c r="E99" i="5"/>
  <c r="D99" i="5"/>
  <c r="C99" i="5"/>
  <c r="N98" i="5"/>
  <c r="L98" i="5"/>
  <c r="J98" i="5"/>
  <c r="F98" i="5"/>
  <c r="E98" i="5"/>
  <c r="D98" i="5"/>
  <c r="C98" i="5"/>
  <c r="N97" i="5"/>
  <c r="L97" i="5"/>
  <c r="J97" i="5"/>
  <c r="F97" i="5"/>
  <c r="E97" i="5"/>
  <c r="D97" i="5"/>
  <c r="C97" i="5"/>
  <c r="N96" i="5"/>
  <c r="L96" i="5"/>
  <c r="J96" i="5"/>
  <c r="F96" i="5"/>
  <c r="E96" i="5"/>
  <c r="D96" i="5"/>
  <c r="C96" i="5"/>
  <c r="N95" i="5"/>
  <c r="L95" i="5"/>
  <c r="J95" i="5"/>
  <c r="E95" i="5"/>
  <c r="D95" i="5"/>
  <c r="C95" i="5"/>
  <c r="N94" i="5"/>
  <c r="L94" i="5"/>
  <c r="J94" i="5"/>
  <c r="E94" i="5"/>
  <c r="D94" i="5"/>
  <c r="C94" i="5"/>
  <c r="N93" i="5"/>
  <c r="L93" i="5"/>
  <c r="J93" i="5"/>
  <c r="E93" i="5"/>
  <c r="D93" i="5"/>
  <c r="C93" i="5"/>
  <c r="N92" i="5"/>
  <c r="L92" i="5"/>
  <c r="J92" i="5"/>
  <c r="F92" i="5"/>
  <c r="E92" i="5"/>
  <c r="D92" i="5"/>
  <c r="C92" i="5"/>
  <c r="N91" i="5"/>
  <c r="L91" i="5"/>
  <c r="J91" i="5"/>
  <c r="E91" i="5"/>
  <c r="D91" i="5"/>
  <c r="C91" i="5"/>
  <c r="N90" i="5"/>
  <c r="L90" i="5"/>
  <c r="J90" i="5"/>
  <c r="E90" i="5"/>
  <c r="D90" i="5"/>
  <c r="C90" i="5"/>
  <c r="N89" i="5"/>
  <c r="L89" i="5"/>
  <c r="J89" i="5"/>
  <c r="F89" i="5"/>
  <c r="E89" i="5"/>
  <c r="D89" i="5"/>
  <c r="C89" i="5"/>
  <c r="N88" i="5"/>
  <c r="L88" i="5"/>
  <c r="J88" i="5"/>
  <c r="E88" i="5"/>
  <c r="D88" i="5"/>
  <c r="C88" i="5"/>
  <c r="N87" i="5"/>
  <c r="L87" i="5"/>
  <c r="J87" i="5"/>
  <c r="E87" i="5"/>
  <c r="D87" i="5"/>
  <c r="C87" i="5"/>
  <c r="N86" i="5"/>
  <c r="L86" i="5"/>
  <c r="J86" i="5"/>
  <c r="E86" i="5"/>
  <c r="D86" i="5"/>
  <c r="C86" i="5"/>
  <c r="N85" i="5"/>
  <c r="L85" i="5"/>
  <c r="J85" i="5"/>
  <c r="E85" i="5"/>
  <c r="D85" i="5"/>
  <c r="C85" i="5"/>
  <c r="N84" i="5"/>
  <c r="L84" i="5"/>
  <c r="J84" i="5"/>
  <c r="E84" i="5"/>
  <c r="D84" i="5"/>
  <c r="C84" i="5"/>
  <c r="N83" i="5"/>
  <c r="L83" i="5"/>
  <c r="J83" i="5"/>
  <c r="F83" i="5"/>
  <c r="E83" i="5"/>
  <c r="D83" i="5"/>
  <c r="C83" i="5"/>
  <c r="N82" i="5"/>
  <c r="L82" i="5"/>
  <c r="J82" i="5"/>
  <c r="E82" i="5"/>
  <c r="D82" i="5"/>
  <c r="C82" i="5"/>
  <c r="N81" i="5"/>
  <c r="L81" i="5"/>
  <c r="J81" i="5"/>
  <c r="F81" i="5"/>
  <c r="E81" i="5"/>
  <c r="D81" i="5"/>
  <c r="C81" i="5"/>
  <c r="N80" i="5"/>
  <c r="L80" i="5"/>
  <c r="J80" i="5"/>
  <c r="E80" i="5"/>
  <c r="D80" i="5"/>
  <c r="C80" i="5"/>
  <c r="N79" i="5"/>
  <c r="L79" i="5"/>
  <c r="J79" i="5"/>
  <c r="E79" i="5"/>
  <c r="D79" i="5"/>
  <c r="C79" i="5"/>
  <c r="N78" i="5"/>
  <c r="L78" i="5"/>
  <c r="J78" i="5"/>
  <c r="E78" i="5"/>
  <c r="D78" i="5"/>
  <c r="C78" i="5"/>
  <c r="N77" i="5"/>
  <c r="L77" i="5"/>
  <c r="J77" i="5"/>
  <c r="E77" i="5"/>
  <c r="D77" i="5"/>
  <c r="C77" i="5"/>
  <c r="N76" i="5"/>
  <c r="L76" i="5"/>
  <c r="J76" i="5"/>
  <c r="F76" i="5"/>
  <c r="E76" i="5"/>
  <c r="D76" i="5"/>
  <c r="C76" i="5"/>
  <c r="N75" i="5"/>
  <c r="L75" i="5"/>
  <c r="J75" i="5"/>
  <c r="E75" i="5"/>
  <c r="D75" i="5"/>
  <c r="C75" i="5"/>
  <c r="N74" i="5"/>
  <c r="L74" i="5"/>
  <c r="J74" i="5"/>
  <c r="F74" i="5"/>
  <c r="E74" i="5"/>
  <c r="D74" i="5"/>
  <c r="C74" i="5"/>
  <c r="N73" i="5"/>
  <c r="L73" i="5"/>
  <c r="J73" i="5"/>
  <c r="E73" i="5"/>
  <c r="D73" i="5"/>
  <c r="C73" i="5"/>
  <c r="N72" i="5"/>
  <c r="L72" i="5"/>
  <c r="J72" i="5"/>
  <c r="F72" i="5"/>
  <c r="E72" i="5"/>
  <c r="D72" i="5"/>
  <c r="C72" i="5"/>
  <c r="N71" i="5"/>
  <c r="L71" i="5"/>
  <c r="J71" i="5"/>
  <c r="E71" i="5"/>
  <c r="D71" i="5"/>
  <c r="C71" i="5"/>
  <c r="N70" i="5"/>
  <c r="L70" i="5"/>
  <c r="J70" i="5"/>
  <c r="E70" i="5"/>
  <c r="D70" i="5"/>
  <c r="C70" i="5"/>
  <c r="N69" i="5"/>
  <c r="L69" i="5"/>
  <c r="J69" i="5"/>
  <c r="E69" i="5"/>
  <c r="D69" i="5"/>
  <c r="C69" i="5"/>
  <c r="N68" i="5"/>
  <c r="L68" i="5"/>
  <c r="J68" i="5"/>
  <c r="E68" i="5"/>
  <c r="D68" i="5"/>
  <c r="C68" i="5"/>
  <c r="N67" i="5"/>
  <c r="L67" i="5"/>
  <c r="J67" i="5"/>
  <c r="F67" i="5"/>
  <c r="E67" i="5"/>
  <c r="D67" i="5"/>
  <c r="C67" i="5"/>
  <c r="N66" i="5"/>
  <c r="L66" i="5"/>
  <c r="J66" i="5"/>
  <c r="E66" i="5"/>
  <c r="D66" i="5"/>
  <c r="C66" i="5"/>
  <c r="N65" i="5"/>
  <c r="L65" i="5"/>
  <c r="J65" i="5"/>
  <c r="F65" i="5"/>
  <c r="E65" i="5"/>
  <c r="D65" i="5"/>
  <c r="C65" i="5"/>
  <c r="N64" i="5"/>
  <c r="L64" i="5"/>
  <c r="J64" i="5"/>
  <c r="E64" i="5"/>
  <c r="D64" i="5"/>
  <c r="C64" i="5"/>
  <c r="N63" i="5"/>
  <c r="L63" i="5"/>
  <c r="J63" i="5"/>
  <c r="F63" i="5"/>
  <c r="E63" i="5"/>
  <c r="D63" i="5"/>
  <c r="C63" i="5"/>
  <c r="N62" i="5"/>
  <c r="L62" i="5"/>
  <c r="J62" i="5"/>
  <c r="E62" i="5"/>
  <c r="D62" i="5"/>
  <c r="C62" i="5"/>
  <c r="N61" i="5"/>
  <c r="L61" i="5"/>
  <c r="J61" i="5"/>
  <c r="E61" i="5"/>
  <c r="D61" i="5"/>
  <c r="C61" i="5"/>
  <c r="N60" i="5"/>
  <c r="L60" i="5"/>
  <c r="J60" i="5"/>
  <c r="E60" i="5"/>
  <c r="D60" i="5"/>
  <c r="C60" i="5"/>
  <c r="N59" i="5"/>
  <c r="L59" i="5"/>
  <c r="J59" i="5"/>
  <c r="E59" i="5"/>
  <c r="D59" i="5"/>
  <c r="C59" i="5"/>
  <c r="N58" i="5"/>
  <c r="L58" i="5"/>
  <c r="J58" i="5"/>
  <c r="F58" i="5"/>
  <c r="E58" i="5"/>
  <c r="D58" i="5"/>
  <c r="C58" i="5"/>
  <c r="N57" i="5"/>
  <c r="L57" i="5"/>
  <c r="J57" i="5"/>
  <c r="E57" i="5"/>
  <c r="D57" i="5"/>
  <c r="C57" i="5"/>
  <c r="N56" i="5"/>
  <c r="L56" i="5"/>
  <c r="J56" i="5"/>
  <c r="E56" i="5"/>
  <c r="D56" i="5"/>
  <c r="C56" i="5"/>
  <c r="N55" i="5"/>
  <c r="L55" i="5"/>
  <c r="J55" i="5"/>
  <c r="E55" i="5"/>
  <c r="D55" i="5"/>
  <c r="C55" i="5"/>
  <c r="N54" i="5"/>
  <c r="L54" i="5"/>
  <c r="J54" i="5"/>
  <c r="E54" i="5"/>
  <c r="D54" i="5"/>
  <c r="C54" i="5"/>
  <c r="N53" i="5"/>
  <c r="L53" i="5"/>
  <c r="J53" i="5"/>
  <c r="E53" i="5"/>
  <c r="D53" i="5"/>
  <c r="C53" i="5"/>
  <c r="N52" i="5"/>
  <c r="L52" i="5"/>
  <c r="J52" i="5"/>
  <c r="E52" i="5"/>
  <c r="D52" i="5"/>
  <c r="C52" i="5"/>
  <c r="N51" i="5"/>
  <c r="L51" i="5"/>
  <c r="J51" i="5"/>
  <c r="E51" i="5"/>
  <c r="D51" i="5"/>
  <c r="C51" i="5"/>
  <c r="N50" i="5"/>
  <c r="L50" i="5"/>
  <c r="J50" i="5"/>
  <c r="E50" i="5"/>
  <c r="D50" i="5"/>
  <c r="C50" i="5"/>
  <c r="N49" i="5"/>
  <c r="L49" i="5"/>
  <c r="J49" i="5"/>
  <c r="F49" i="5"/>
  <c r="E49" i="5"/>
  <c r="D49" i="5"/>
  <c r="C49" i="5"/>
  <c r="N48" i="5"/>
  <c r="L48" i="5"/>
  <c r="J48" i="5"/>
  <c r="E48" i="5"/>
  <c r="D48" i="5"/>
  <c r="C48" i="5"/>
  <c r="N47" i="5"/>
  <c r="L47" i="5"/>
  <c r="J47" i="5"/>
  <c r="F47" i="5"/>
  <c r="E47" i="5"/>
  <c r="D47" i="5"/>
  <c r="C47" i="5"/>
  <c r="N46" i="5"/>
  <c r="L46" i="5"/>
  <c r="J46" i="5"/>
  <c r="E46" i="5"/>
  <c r="D46" i="5"/>
  <c r="C46" i="5"/>
  <c r="N45" i="5"/>
  <c r="L45" i="5"/>
  <c r="J45" i="5"/>
  <c r="F45" i="5"/>
  <c r="E45" i="5"/>
  <c r="D45" i="5"/>
  <c r="C45" i="5"/>
  <c r="N44" i="5"/>
  <c r="L44" i="5"/>
  <c r="J44" i="5"/>
  <c r="E44" i="5"/>
  <c r="D44" i="5"/>
  <c r="C44" i="5"/>
  <c r="N43" i="5"/>
  <c r="L43" i="5"/>
  <c r="J43" i="5"/>
  <c r="F43" i="5"/>
  <c r="E43" i="5"/>
  <c r="D43" i="5"/>
  <c r="C43" i="5"/>
  <c r="N42" i="5"/>
  <c r="L42" i="5"/>
  <c r="J42" i="5"/>
  <c r="E42" i="5"/>
  <c r="D42" i="5"/>
  <c r="C42" i="5"/>
  <c r="N41" i="5"/>
  <c r="L41" i="5"/>
  <c r="J41" i="5"/>
  <c r="E41" i="5"/>
  <c r="D41" i="5"/>
  <c r="C41" i="5"/>
  <c r="N40" i="5"/>
  <c r="L40" i="5"/>
  <c r="J40" i="5"/>
  <c r="F40" i="5"/>
  <c r="E40" i="5"/>
  <c r="D40" i="5"/>
  <c r="C40" i="5"/>
  <c r="N39" i="5"/>
  <c r="L39" i="5"/>
  <c r="J39" i="5"/>
  <c r="E39" i="5"/>
  <c r="D39" i="5"/>
  <c r="C39" i="5"/>
  <c r="N38" i="5"/>
  <c r="L38" i="5"/>
  <c r="J38" i="5"/>
  <c r="F38" i="5"/>
  <c r="E38" i="5"/>
  <c r="D38" i="5"/>
  <c r="C38" i="5"/>
  <c r="N37" i="5"/>
  <c r="L37" i="5"/>
  <c r="J37" i="5"/>
  <c r="E37" i="5"/>
  <c r="D37" i="5"/>
  <c r="C37" i="5"/>
  <c r="N36" i="5"/>
  <c r="L36" i="5"/>
  <c r="J36" i="5"/>
  <c r="F36" i="5"/>
  <c r="E36" i="5"/>
  <c r="D36" i="5"/>
  <c r="C36" i="5"/>
  <c r="N35" i="5"/>
  <c r="L35" i="5"/>
  <c r="J35" i="5"/>
  <c r="E35" i="5"/>
  <c r="D35" i="5"/>
  <c r="C35" i="5"/>
  <c r="N34" i="5"/>
  <c r="L34" i="5"/>
  <c r="J34" i="5"/>
  <c r="F34" i="5"/>
  <c r="E34" i="5"/>
  <c r="D34" i="5"/>
  <c r="C34" i="5"/>
  <c r="N33" i="5"/>
  <c r="L33" i="5"/>
  <c r="J33" i="5"/>
  <c r="E33" i="5"/>
  <c r="D33" i="5"/>
  <c r="C33" i="5"/>
  <c r="N32" i="5"/>
  <c r="L32" i="5"/>
  <c r="J32" i="5"/>
  <c r="F32" i="5"/>
  <c r="E32" i="5"/>
  <c r="D32" i="5"/>
  <c r="C32" i="5"/>
  <c r="N31" i="5"/>
  <c r="L31" i="5"/>
  <c r="J31" i="5"/>
  <c r="F31" i="5"/>
  <c r="E31" i="5"/>
  <c r="D31" i="5"/>
  <c r="C31" i="5"/>
  <c r="N30" i="5"/>
  <c r="L30" i="5"/>
  <c r="J30" i="5"/>
  <c r="F30" i="5"/>
  <c r="E30" i="5"/>
  <c r="D30" i="5"/>
  <c r="C30" i="5"/>
  <c r="N29" i="5"/>
  <c r="L29" i="5"/>
  <c r="J29" i="5"/>
  <c r="F29" i="5"/>
  <c r="E29" i="5"/>
  <c r="D29" i="5"/>
  <c r="C29" i="5"/>
  <c r="N28" i="5"/>
  <c r="L28" i="5"/>
  <c r="J28" i="5"/>
  <c r="F28" i="5"/>
  <c r="E28" i="5"/>
  <c r="D28" i="5"/>
  <c r="C28" i="5"/>
  <c r="N27" i="5"/>
  <c r="L27" i="5"/>
  <c r="J27" i="5"/>
  <c r="F27" i="5"/>
  <c r="E27" i="5"/>
  <c r="D27" i="5"/>
  <c r="C27" i="5"/>
  <c r="N26" i="5"/>
  <c r="L26" i="5"/>
  <c r="J26" i="5"/>
  <c r="F26" i="5"/>
  <c r="E26" i="5"/>
  <c r="D26" i="5"/>
  <c r="C26" i="5"/>
  <c r="N25" i="5"/>
  <c r="L25" i="5"/>
  <c r="J25" i="5"/>
  <c r="F25" i="5"/>
  <c r="E25" i="5"/>
  <c r="D25" i="5"/>
  <c r="C25" i="5"/>
  <c r="N24" i="5"/>
  <c r="L24" i="5"/>
  <c r="J24" i="5"/>
  <c r="F24" i="5"/>
  <c r="E24" i="5"/>
  <c r="D24" i="5"/>
  <c r="C24" i="5"/>
  <c r="N23" i="5"/>
  <c r="L23" i="5"/>
  <c r="J23" i="5"/>
  <c r="E23" i="5"/>
  <c r="D23" i="5"/>
  <c r="C23" i="5"/>
  <c r="N22" i="5"/>
  <c r="L22" i="5"/>
  <c r="J22" i="5"/>
  <c r="F22" i="5"/>
  <c r="E22" i="5"/>
  <c r="D22" i="5"/>
  <c r="C22" i="5"/>
  <c r="N21" i="5"/>
  <c r="L21" i="5"/>
  <c r="J21" i="5"/>
  <c r="E21" i="5"/>
  <c r="D21" i="5"/>
  <c r="C21" i="5"/>
  <c r="N20" i="5"/>
  <c r="L20" i="5"/>
  <c r="J20" i="5"/>
  <c r="F20" i="5"/>
  <c r="E20" i="5"/>
  <c r="D20" i="5"/>
  <c r="C20" i="5"/>
  <c r="N19" i="5"/>
  <c r="L19" i="5"/>
  <c r="J19" i="5"/>
  <c r="F19" i="5"/>
  <c r="E19" i="5"/>
  <c r="D19" i="5"/>
  <c r="C19" i="5"/>
  <c r="N18" i="5"/>
  <c r="L18" i="5"/>
  <c r="J18" i="5"/>
  <c r="F18" i="5"/>
  <c r="E18" i="5"/>
  <c r="D18" i="5"/>
  <c r="C18" i="5"/>
  <c r="N17" i="5"/>
  <c r="L17" i="5"/>
  <c r="J17" i="5"/>
  <c r="F17" i="5"/>
  <c r="E17" i="5"/>
  <c r="D17" i="5"/>
  <c r="C17" i="5"/>
  <c r="N16" i="5"/>
  <c r="L16" i="5"/>
  <c r="J16" i="5"/>
  <c r="F16" i="5"/>
  <c r="E16" i="5"/>
  <c r="D16" i="5"/>
  <c r="C16" i="5"/>
  <c r="N15" i="5"/>
  <c r="L15" i="5"/>
  <c r="J15" i="5"/>
  <c r="F15" i="5"/>
  <c r="E15" i="5"/>
  <c r="D15" i="5"/>
  <c r="C15" i="5"/>
  <c r="N14" i="5"/>
  <c r="L14" i="5"/>
  <c r="J14" i="5"/>
  <c r="F14" i="5"/>
  <c r="E14" i="5"/>
  <c r="D14" i="5"/>
  <c r="C14" i="5"/>
  <c r="N13" i="5"/>
  <c r="L13" i="5"/>
  <c r="J13" i="5"/>
  <c r="F13" i="5"/>
  <c r="E13" i="5"/>
  <c r="D13" i="5"/>
  <c r="C13" i="5"/>
  <c r="N12" i="5"/>
  <c r="L12" i="5"/>
  <c r="J12" i="5"/>
  <c r="F12" i="5"/>
  <c r="E12" i="5"/>
  <c r="D12" i="5"/>
  <c r="C12" i="5"/>
  <c r="N11" i="5"/>
  <c r="L11" i="5"/>
  <c r="J11" i="5"/>
  <c r="F11" i="5"/>
  <c r="E11" i="5"/>
  <c r="D11" i="5"/>
  <c r="C11" i="5"/>
  <c r="N10" i="5"/>
  <c r="L10" i="5"/>
  <c r="J10" i="5"/>
  <c r="F10" i="5"/>
  <c r="E10" i="5"/>
  <c r="D10" i="5"/>
  <c r="C10" i="5"/>
  <c r="N9" i="5"/>
  <c r="L9" i="5"/>
  <c r="J9" i="5"/>
  <c r="F9" i="5"/>
  <c r="E9" i="5"/>
  <c r="D9" i="5"/>
  <c r="C9" i="5"/>
  <c r="N8" i="5"/>
  <c r="L8" i="5"/>
  <c r="J8" i="5"/>
  <c r="F8" i="5"/>
  <c r="E8" i="5"/>
  <c r="D8" i="5"/>
  <c r="C8" i="5"/>
  <c r="N7" i="5"/>
  <c r="L7" i="5"/>
  <c r="J7" i="5"/>
  <c r="E7" i="5"/>
  <c r="D7" i="5"/>
  <c r="C7" i="5"/>
  <c r="N6" i="5"/>
  <c r="L6" i="5"/>
  <c r="J6" i="5"/>
  <c r="F6" i="5"/>
  <c r="E6" i="5"/>
  <c r="D6" i="5"/>
  <c r="C6" i="5"/>
  <c r="N5" i="5"/>
  <c r="L5" i="5"/>
  <c r="J5" i="5"/>
  <c r="E5" i="5"/>
  <c r="D5" i="5"/>
  <c r="C5" i="5"/>
  <c r="N4" i="5"/>
  <c r="L4" i="5"/>
  <c r="J4" i="5"/>
  <c r="F4" i="5"/>
  <c r="E4" i="5"/>
  <c r="D4" i="5"/>
  <c r="C4" i="5"/>
  <c r="N3" i="5"/>
  <c r="L3" i="5"/>
  <c r="J3" i="5"/>
  <c r="F3" i="5"/>
  <c r="E3" i="5"/>
  <c r="D3" i="5"/>
  <c r="C3" i="5"/>
  <c r="N2" i="5"/>
  <c r="L2" i="5"/>
  <c r="J2" i="5"/>
  <c r="F2" i="5"/>
  <c r="E2" i="5"/>
  <c r="D2" i="5"/>
  <c r="C2" i="5"/>
  <c r="I41" i="4"/>
  <c r="F41" i="4"/>
  <c r="F716" i="8" s="1"/>
  <c r="I40" i="4"/>
  <c r="F40" i="4"/>
  <c r="F579" i="7" s="1"/>
  <c r="I39" i="4"/>
  <c r="F39" i="4"/>
  <c r="F564" i="7" s="1"/>
  <c r="I38" i="4"/>
  <c r="F38" i="4"/>
  <c r="F519" i="7" s="1"/>
  <c r="I37" i="4"/>
  <c r="F37" i="4"/>
  <c r="F483" i="7" s="1"/>
  <c r="I36" i="4"/>
  <c r="F36" i="4"/>
  <c r="F474" i="7" s="1"/>
  <c r="I35" i="4"/>
  <c r="F35" i="4"/>
  <c r="F450" i="7" s="1"/>
  <c r="I34" i="4"/>
  <c r="F34" i="4"/>
  <c r="F411" i="7" s="1"/>
  <c r="I33" i="4"/>
  <c r="F33" i="4"/>
  <c r="I32" i="4"/>
  <c r="F32" i="4"/>
  <c r="F354" i="7" s="1"/>
  <c r="I31" i="4"/>
  <c r="F31" i="4"/>
  <c r="F307" i="7" s="1"/>
  <c r="I30" i="4"/>
  <c r="F30" i="4"/>
  <c r="F517" i="8" s="1"/>
  <c r="I29" i="4"/>
  <c r="F29" i="4"/>
  <c r="I28" i="4"/>
  <c r="F28" i="4"/>
  <c r="F221" i="7" s="1"/>
  <c r="I27" i="4"/>
  <c r="F27" i="4"/>
  <c r="F187" i="7" s="1"/>
  <c r="I26" i="4"/>
  <c r="F26" i="4"/>
  <c r="F436" i="8" s="1"/>
  <c r="I25" i="4"/>
  <c r="F25" i="4"/>
  <c r="I24" i="4"/>
  <c r="F24" i="4"/>
  <c r="F399" i="8" s="1"/>
  <c r="I23" i="4"/>
  <c r="F23" i="4"/>
  <c r="F82" i="7" s="1"/>
  <c r="I22" i="4"/>
  <c r="F22" i="4"/>
  <c r="F379" i="8" s="1"/>
  <c r="I21" i="4"/>
  <c r="F21" i="4"/>
  <c r="F23" i="7" s="1"/>
  <c r="I20" i="4"/>
  <c r="F20" i="4"/>
  <c r="F336" i="8" s="1"/>
  <c r="I19" i="4"/>
  <c r="F19" i="4"/>
  <c r="F391" i="6" s="1"/>
  <c r="I18" i="4"/>
  <c r="F18" i="4"/>
  <c r="F296" i="8" s="1"/>
  <c r="I17" i="4"/>
  <c r="F17" i="4"/>
  <c r="F272" i="8" s="1"/>
  <c r="I16" i="4"/>
  <c r="F16" i="4"/>
  <c r="F265" i="8" s="1"/>
  <c r="I15" i="4"/>
  <c r="F15" i="4"/>
  <c r="F260" i="6" s="1"/>
  <c r="I14" i="4"/>
  <c r="F14" i="4"/>
  <c r="F229" i="8" s="1"/>
  <c r="I13" i="4"/>
  <c r="F13" i="4"/>
  <c r="I12" i="4"/>
  <c r="F12" i="4"/>
  <c r="F189" i="8" s="1"/>
  <c r="I11" i="4"/>
  <c r="F11" i="4"/>
  <c r="F149" i="6" s="1"/>
  <c r="I10" i="4"/>
  <c r="F10" i="4"/>
  <c r="F120" i="6" s="1"/>
  <c r="I9" i="4"/>
  <c r="F9" i="4"/>
  <c r="F128" i="8" s="1"/>
  <c r="I8" i="4"/>
  <c r="F8" i="4"/>
  <c r="F125" i="8" s="1"/>
  <c r="I7" i="4"/>
  <c r="F7" i="4"/>
  <c r="F23" i="6" s="1"/>
  <c r="I6" i="4"/>
  <c r="F6" i="4"/>
  <c r="F76" i="8" s="1"/>
  <c r="I5" i="4"/>
  <c r="F5" i="4"/>
  <c r="F58" i="8" s="1"/>
  <c r="I4" i="4"/>
  <c r="F4" i="4"/>
  <c r="F41" i="8" s="1"/>
  <c r="I3" i="4"/>
  <c r="F3" i="4"/>
  <c r="I2" i="4"/>
  <c r="F2" i="4"/>
  <c r="F13" i="8" s="1"/>
  <c r="Q483" i="8" l="1"/>
  <c r="N568" i="8"/>
  <c r="R568" i="8" s="1"/>
  <c r="N488" i="8"/>
  <c r="R488" i="8" s="1"/>
  <c r="N637" i="8"/>
  <c r="R637" i="8" s="1"/>
  <c r="N280" i="8"/>
  <c r="R280" i="8" s="1"/>
  <c r="N642" i="8"/>
  <c r="R642" i="8" s="1"/>
  <c r="N530" i="8"/>
  <c r="N472" i="8"/>
  <c r="R472" i="8" s="1"/>
  <c r="N696" i="8"/>
  <c r="R696" i="8" s="1"/>
  <c r="N573" i="8"/>
  <c r="R573" i="8" s="1"/>
  <c r="N317" i="8"/>
  <c r="R317" i="8" s="1"/>
  <c r="N659" i="8"/>
  <c r="R659" i="8" s="1"/>
  <c r="N600" i="8"/>
  <c r="R600" i="8" s="1"/>
  <c r="N584" i="8"/>
  <c r="R584" i="8" s="1"/>
  <c r="N717" i="8"/>
  <c r="R717" i="8" s="1"/>
  <c r="N701" i="8"/>
  <c r="R701" i="8" s="1"/>
  <c r="N269" i="8"/>
  <c r="R269" i="8" s="1"/>
  <c r="N173" i="8"/>
  <c r="R173" i="8" s="1"/>
  <c r="N706" i="8"/>
  <c r="R706" i="8" s="1"/>
  <c r="N594" i="8"/>
  <c r="N482" i="8"/>
  <c r="R482" i="8" s="1"/>
  <c r="N536" i="8"/>
  <c r="R536" i="8" s="1"/>
  <c r="N13" i="8"/>
  <c r="R13" i="8" s="1"/>
  <c r="N333" i="8"/>
  <c r="Q333" i="8" s="1"/>
  <c r="N632" i="8"/>
  <c r="R632" i="8" s="1"/>
  <c r="N456" i="8"/>
  <c r="R456" i="8" s="1"/>
  <c r="N349" i="8"/>
  <c r="R349" i="8" s="1"/>
  <c r="N419" i="8"/>
  <c r="R419" i="8" s="1"/>
  <c r="N392" i="8"/>
  <c r="R392" i="8" s="1"/>
  <c r="N296" i="8"/>
  <c r="R296" i="8" s="1"/>
  <c r="N61" i="8"/>
  <c r="R61" i="8" s="1"/>
  <c r="N546" i="8"/>
  <c r="R546" i="8" s="1"/>
  <c r="N669" i="8"/>
  <c r="R669" i="8" s="1"/>
  <c r="N376" i="8"/>
  <c r="R376" i="8" s="1"/>
  <c r="N360" i="8"/>
  <c r="R360" i="8" s="1"/>
  <c r="N541" i="8"/>
  <c r="R541" i="8" s="1"/>
  <c r="N643" i="8"/>
  <c r="R643" i="8" s="1"/>
  <c r="N440" i="8"/>
  <c r="R440" i="8" s="1"/>
  <c r="N653" i="8"/>
  <c r="R653" i="8" s="1"/>
  <c r="N477" i="8"/>
  <c r="R477" i="8" s="1"/>
  <c r="N413" i="8"/>
  <c r="R413" i="8" s="1"/>
  <c r="N397" i="8"/>
  <c r="R397" i="8" s="1"/>
  <c r="N29" i="8"/>
  <c r="Q29" i="8" s="1"/>
  <c r="N514" i="8"/>
  <c r="R514" i="8" s="1"/>
  <c r="N674" i="8"/>
  <c r="R674" i="8" s="1"/>
  <c r="N626" i="8"/>
  <c r="R626" i="8" s="1"/>
  <c r="N552" i="8"/>
  <c r="R552" i="8" s="1"/>
  <c r="N520" i="8"/>
  <c r="R520" i="8" s="1"/>
  <c r="N504" i="8"/>
  <c r="R504" i="8" s="1"/>
  <c r="N344" i="8"/>
  <c r="Q344" i="8" s="1"/>
  <c r="N301" i="8"/>
  <c r="R301" i="8" s="1"/>
  <c r="N221" i="8"/>
  <c r="R221" i="8" s="1"/>
  <c r="N157" i="8"/>
  <c r="R157" i="8" s="1"/>
  <c r="N707" i="8"/>
  <c r="N611" i="8"/>
  <c r="R611" i="8" s="1"/>
  <c r="N355" i="8"/>
  <c r="R355" i="8" s="1"/>
  <c r="N291" i="8"/>
  <c r="Q291" i="8" s="1"/>
  <c r="N259" i="8"/>
  <c r="R259" i="8" s="1"/>
  <c r="N195" i="8"/>
  <c r="R195" i="8" s="1"/>
  <c r="N163" i="8"/>
  <c r="R163" i="8" s="1"/>
  <c r="N51" i="8"/>
  <c r="R51" i="8" s="1"/>
  <c r="N35" i="8"/>
  <c r="R35" i="8" s="1"/>
  <c r="N19" i="8"/>
  <c r="R19" i="8" s="1"/>
  <c r="N263" i="8"/>
  <c r="R263" i="8" s="1"/>
  <c r="N711" i="8"/>
  <c r="R711" i="8" s="1"/>
  <c r="N359" i="8"/>
  <c r="R359" i="8" s="1"/>
  <c r="N402" i="8"/>
  <c r="R402" i="8" s="1"/>
  <c r="N183" i="8"/>
  <c r="R183" i="8" s="1"/>
  <c r="N54" i="8"/>
  <c r="R54" i="8" s="1"/>
  <c r="N647" i="8"/>
  <c r="N614" i="8"/>
  <c r="N231" i="8"/>
  <c r="R231" i="8" s="1"/>
  <c r="N630" i="8"/>
  <c r="R630" i="8" s="1"/>
  <c r="N519" i="8"/>
  <c r="Q519" i="8" s="1"/>
  <c r="N102" i="8"/>
  <c r="R102" i="8" s="1"/>
  <c r="N146" i="8"/>
  <c r="R146" i="8" s="1"/>
  <c r="N466" i="8"/>
  <c r="R466" i="8" s="1"/>
  <c r="N566" i="8"/>
  <c r="R566" i="8" s="1"/>
  <c r="Q74" i="8"/>
  <c r="N134" i="8"/>
  <c r="R134" i="8" s="1"/>
  <c r="N166" i="8"/>
  <c r="R166" i="8" s="1"/>
  <c r="N358" i="8"/>
  <c r="Q358" i="8" s="1"/>
  <c r="N386" i="8"/>
  <c r="R386" i="8" s="1"/>
  <c r="N391" i="8"/>
  <c r="R391" i="8" s="1"/>
  <c r="Q201" i="8"/>
  <c r="N678" i="8"/>
  <c r="R678" i="8" s="1"/>
  <c r="N198" i="8"/>
  <c r="R198" i="8" s="1"/>
  <c r="N294" i="8"/>
  <c r="R294" i="8" s="1"/>
  <c r="N322" i="8"/>
  <c r="R322" i="8" s="1"/>
  <c r="N418" i="8"/>
  <c r="R418" i="8" s="1"/>
  <c r="N82" i="8"/>
  <c r="R82" i="8" s="1"/>
  <c r="N497" i="8"/>
  <c r="R497" i="8" s="1"/>
  <c r="N22" i="8"/>
  <c r="R22" i="8" s="1"/>
  <c r="N6" i="8"/>
  <c r="R6" i="8" s="1"/>
  <c r="N70" i="8"/>
  <c r="R70" i="8" s="1"/>
  <c r="N262" i="8"/>
  <c r="Q262" i="8" s="1"/>
  <c r="N582" i="8"/>
  <c r="Q582" i="8" s="1"/>
  <c r="N96" i="8"/>
  <c r="R96" i="8" s="1"/>
  <c r="N64" i="8"/>
  <c r="R64" i="8" s="1"/>
  <c r="N48" i="8"/>
  <c r="R48" i="8" s="1"/>
  <c r="N26" i="8"/>
  <c r="R26" i="8" s="1"/>
  <c r="N709" i="8"/>
  <c r="R709" i="8" s="1"/>
  <c r="N693" i="8"/>
  <c r="R693" i="8" s="1"/>
  <c r="N677" i="8"/>
  <c r="R677" i="8" s="1"/>
  <c r="N661" i="8"/>
  <c r="R661" i="8" s="1"/>
  <c r="N645" i="8"/>
  <c r="R645" i="8" s="1"/>
  <c r="N629" i="8"/>
  <c r="Q629" i="8" s="1"/>
  <c r="N613" i="8"/>
  <c r="R613" i="8" s="1"/>
  <c r="N597" i="8"/>
  <c r="Q597" i="8" s="1"/>
  <c r="N565" i="8"/>
  <c r="R565" i="8" s="1"/>
  <c r="N533" i="8"/>
  <c r="R533" i="8" s="1"/>
  <c r="N485" i="8"/>
  <c r="Q485" i="8" s="1"/>
  <c r="N469" i="8"/>
  <c r="R469" i="8" s="1"/>
  <c r="N405" i="8"/>
  <c r="R405" i="8" s="1"/>
  <c r="N389" i="8"/>
  <c r="R389" i="8" s="1"/>
  <c r="N357" i="8"/>
  <c r="R357" i="8" s="1"/>
  <c r="N325" i="8"/>
  <c r="R325" i="8" s="1"/>
  <c r="N309" i="8"/>
  <c r="R309" i="8" s="1"/>
  <c r="N293" i="8"/>
  <c r="R293" i="8" s="1"/>
  <c r="N213" i="8"/>
  <c r="R213" i="8" s="1"/>
  <c r="N197" i="8"/>
  <c r="R197" i="8" s="1"/>
  <c r="N181" i="8"/>
  <c r="R181" i="8" s="1"/>
  <c r="N165" i="8"/>
  <c r="Q165" i="8" s="1"/>
  <c r="N149" i="8"/>
  <c r="R149" i="8" s="1"/>
  <c r="N133" i="8"/>
  <c r="R133" i="8" s="1"/>
  <c r="N101" i="8"/>
  <c r="R101" i="8" s="1"/>
  <c r="N85" i="8"/>
  <c r="R85" i="8" s="1"/>
  <c r="N69" i="8"/>
  <c r="R69" i="8" s="1"/>
  <c r="N37" i="8"/>
  <c r="Q37" i="8" s="1"/>
  <c r="N720" i="8"/>
  <c r="R720" i="8" s="1"/>
  <c r="N608" i="8"/>
  <c r="R608" i="8" s="1"/>
  <c r="N592" i="8"/>
  <c r="R592" i="8" s="1"/>
  <c r="N400" i="8"/>
  <c r="R400" i="8" s="1"/>
  <c r="N272" i="8"/>
  <c r="R272" i="8" s="1"/>
  <c r="N394" i="8"/>
  <c r="R394" i="8" s="1"/>
  <c r="N314" i="8"/>
  <c r="R314" i="8" s="1"/>
  <c r="N298" i="8"/>
  <c r="R298" i="8" s="1"/>
  <c r="N58" i="8"/>
  <c r="Q58" i="8" s="1"/>
  <c r="N42" i="8"/>
  <c r="R42" i="8" s="1"/>
  <c r="N10" i="8"/>
  <c r="R10" i="8" s="1"/>
  <c r="N383" i="8"/>
  <c r="R383" i="8" s="1"/>
  <c r="N367" i="8"/>
  <c r="R367" i="8" s="1"/>
  <c r="N708" i="8"/>
  <c r="R708" i="8" s="1"/>
  <c r="N436" i="8"/>
  <c r="R436" i="8" s="1"/>
  <c r="N624" i="8"/>
  <c r="N512" i="8"/>
  <c r="R512" i="8" s="1"/>
  <c r="N496" i="8"/>
  <c r="N464" i="8"/>
  <c r="N448" i="8"/>
  <c r="R448" i="8" s="1"/>
  <c r="N128" i="8"/>
  <c r="R128" i="8" s="1"/>
  <c r="N575" i="8"/>
  <c r="Q575" i="8" s="1"/>
  <c r="N559" i="8"/>
  <c r="R559" i="8" s="1"/>
  <c r="N319" i="8"/>
  <c r="R319" i="8" s="1"/>
  <c r="N303" i="8"/>
  <c r="R303" i="8" s="1"/>
  <c r="N207" i="8"/>
  <c r="N660" i="8"/>
  <c r="R660" i="8" s="1"/>
  <c r="N564" i="8"/>
  <c r="R564" i="8" s="1"/>
  <c r="N484" i="8"/>
  <c r="R484" i="8" s="1"/>
  <c r="N372" i="8"/>
  <c r="R372" i="8" s="1"/>
  <c r="N132" i="8"/>
  <c r="R132" i="8" s="1"/>
  <c r="N138" i="8"/>
  <c r="R138" i="8" s="1"/>
  <c r="N362" i="8"/>
  <c r="R362" i="8" s="1"/>
  <c r="N176" i="8"/>
  <c r="R176" i="8" s="1"/>
  <c r="N112" i="8"/>
  <c r="R112" i="8" s="1"/>
  <c r="N704" i="8"/>
  <c r="R704" i="8" s="1"/>
  <c r="N528" i="8"/>
  <c r="R528" i="8" s="1"/>
  <c r="N416" i="8"/>
  <c r="Q416" i="8" s="1"/>
  <c r="N336" i="8"/>
  <c r="Q336" i="8" s="1"/>
  <c r="N304" i="8"/>
  <c r="Q304" i="8" s="1"/>
  <c r="N570" i="8"/>
  <c r="R570" i="8" s="1"/>
  <c r="N410" i="8"/>
  <c r="R410" i="8" s="1"/>
  <c r="N250" i="8"/>
  <c r="R250" i="8" s="1"/>
  <c r="N687" i="8"/>
  <c r="R687" i="8" s="1"/>
  <c r="N495" i="8"/>
  <c r="R495" i="8" s="1"/>
  <c r="N463" i="8"/>
  <c r="R463" i="8" s="1"/>
  <c r="N95" i="8"/>
  <c r="R95" i="8" s="1"/>
  <c r="N79" i="8"/>
  <c r="R79" i="8" s="1"/>
  <c r="N47" i="8"/>
  <c r="R47" i="8" s="1"/>
  <c r="N31" i="8"/>
  <c r="R31" i="8" s="1"/>
  <c r="N420" i="8"/>
  <c r="N308" i="8"/>
  <c r="R308" i="8" s="1"/>
  <c r="N292" i="8"/>
  <c r="R292" i="8" s="1"/>
  <c r="N260" i="8"/>
  <c r="R260" i="8" s="1"/>
  <c r="N148" i="8"/>
  <c r="R148" i="8" s="1"/>
  <c r="N672" i="8"/>
  <c r="R672" i="8" s="1"/>
  <c r="N576" i="8"/>
  <c r="R576" i="8" s="1"/>
  <c r="N602" i="8"/>
  <c r="R602" i="8" s="1"/>
  <c r="N506" i="8"/>
  <c r="R506" i="8" s="1"/>
  <c r="N282" i="8"/>
  <c r="R282" i="8" s="1"/>
  <c r="N266" i="8"/>
  <c r="R266" i="8" s="1"/>
  <c r="N543" i="8"/>
  <c r="Q543" i="8" s="1"/>
  <c r="N271" i="8"/>
  <c r="R271" i="8" s="1"/>
  <c r="N191" i="8"/>
  <c r="R191" i="8" s="1"/>
  <c r="N175" i="8"/>
  <c r="R175" i="8" s="1"/>
  <c r="N468" i="8"/>
  <c r="R468" i="8" s="1"/>
  <c r="N228" i="8"/>
  <c r="R228" i="8" s="1"/>
  <c r="N212" i="8"/>
  <c r="Q212" i="8" s="1"/>
  <c r="N116" i="8"/>
  <c r="R116" i="8" s="1"/>
  <c r="N122" i="8"/>
  <c r="R122" i="8" s="1"/>
  <c r="N618" i="8"/>
  <c r="R618" i="8" s="1"/>
  <c r="N538" i="8"/>
  <c r="R538" i="8" s="1"/>
  <c r="N442" i="8"/>
  <c r="R442" i="8" s="1"/>
  <c r="N426" i="8"/>
  <c r="R426" i="8" s="1"/>
  <c r="N186" i="8"/>
  <c r="R186" i="8" s="1"/>
  <c r="N170" i="8"/>
  <c r="R170" i="8" s="1"/>
  <c r="N106" i="8"/>
  <c r="R106" i="8" s="1"/>
  <c r="N431" i="8"/>
  <c r="R431" i="8" s="1"/>
  <c r="N415" i="8"/>
  <c r="R415" i="8" s="1"/>
  <c r="N15" i="8"/>
  <c r="R15" i="8" s="1"/>
  <c r="N692" i="8"/>
  <c r="R692" i="8" s="1"/>
  <c r="N356" i="8"/>
  <c r="R356" i="8" s="1"/>
  <c r="N196" i="8"/>
  <c r="R196" i="8" s="1"/>
  <c r="N180" i="8"/>
  <c r="R180" i="8" s="1"/>
  <c r="N516" i="8"/>
  <c r="R516" i="8" s="1"/>
  <c r="N63" i="8"/>
  <c r="R63" i="8" s="1"/>
  <c r="N591" i="8"/>
  <c r="R591" i="8" s="1"/>
  <c r="N368" i="8"/>
  <c r="R368" i="8" s="1"/>
  <c r="N666" i="8"/>
  <c r="R666" i="8" s="1"/>
  <c r="N650" i="8"/>
  <c r="R650" i="8" s="1"/>
  <c r="N234" i="8"/>
  <c r="R234" i="8" s="1"/>
  <c r="N218" i="8"/>
  <c r="R218" i="8" s="1"/>
  <c r="N154" i="8"/>
  <c r="R154" i="8" s="1"/>
  <c r="N623" i="8"/>
  <c r="R623" i="8" s="1"/>
  <c r="N223" i="8"/>
  <c r="Q223" i="8" s="1"/>
  <c r="N676" i="8"/>
  <c r="R676" i="8" s="1"/>
  <c r="N500" i="8"/>
  <c r="R500" i="8" s="1"/>
  <c r="N324" i="8"/>
  <c r="R324" i="8" s="1"/>
  <c r="N244" i="8"/>
  <c r="Q244" i="8" s="1"/>
  <c r="N20" i="8"/>
  <c r="R20" i="8" s="1"/>
  <c r="N16" i="8"/>
  <c r="R16" i="8" s="1"/>
  <c r="N68" i="8"/>
  <c r="R68" i="8" s="1"/>
  <c r="N719" i="8"/>
  <c r="R719" i="8" s="1"/>
  <c r="N633" i="8"/>
  <c r="Q633" i="8" s="1"/>
  <c r="N307" i="8"/>
  <c r="R307" i="8" s="1"/>
  <c r="N515" i="8"/>
  <c r="R515" i="8" s="1"/>
  <c r="N691" i="8"/>
  <c r="R691" i="8" s="1"/>
  <c r="Q569" i="8"/>
  <c r="N99" i="8"/>
  <c r="R99" i="8" s="1"/>
  <c r="N339" i="8"/>
  <c r="R339" i="8" s="1"/>
  <c r="N578" i="8"/>
  <c r="R578" i="8" s="1"/>
  <c r="N2" i="8"/>
  <c r="Q273" i="8"/>
  <c r="Q487" i="8"/>
  <c r="Q25" i="8"/>
  <c r="Q318" i="8"/>
  <c r="Q335" i="8"/>
  <c r="Q420" i="8"/>
  <c r="Q359" i="8"/>
  <c r="Q157" i="8"/>
  <c r="Q248" i="8"/>
  <c r="Q665" i="8"/>
  <c r="Q38" i="8"/>
  <c r="Q89" i="8"/>
  <c r="Q285" i="8"/>
  <c r="Q455" i="8"/>
  <c r="Q509" i="8"/>
  <c r="Q503" i="8"/>
  <c r="Q594" i="8"/>
  <c r="Q498" i="8"/>
  <c r="Q617" i="8"/>
  <c r="Q486" i="8"/>
  <c r="Q530" i="8"/>
  <c r="N586" i="8"/>
  <c r="R586" i="8" s="1"/>
  <c r="Q614" i="8"/>
  <c r="N143" i="8"/>
  <c r="R143" i="8" s="1"/>
  <c r="Q135" i="8"/>
  <c r="Q477" i="8"/>
  <c r="Q515" i="8"/>
  <c r="Q518" i="8"/>
  <c r="Q529" i="8"/>
  <c r="Q405" i="8"/>
  <c r="Q417" i="8"/>
  <c r="Q481" i="8"/>
  <c r="R201" i="8"/>
  <c r="Q676" i="8"/>
  <c r="Q200" i="8"/>
  <c r="Q488" i="8"/>
  <c r="R248" i="8"/>
  <c r="Q254" i="8"/>
  <c r="Q550" i="8"/>
  <c r="Q302" i="8"/>
  <c r="Q700" i="8"/>
  <c r="Q353" i="8"/>
  <c r="Q493" i="8"/>
  <c r="Q641" i="8"/>
  <c r="Q638" i="8"/>
  <c r="R38" i="8"/>
  <c r="R273" i="8"/>
  <c r="R285" i="8"/>
  <c r="Q461" i="8"/>
  <c r="Q309" i="8"/>
  <c r="Q585" i="8"/>
  <c r="Q592" i="8"/>
  <c r="Q75" i="8"/>
  <c r="Q376" i="8"/>
  <c r="Q409" i="8"/>
  <c r="R498" i="8"/>
  <c r="Q183" i="8"/>
  <c r="Q603" i="8"/>
  <c r="R665" i="8"/>
  <c r="Q370" i="8"/>
  <c r="Q230" i="8"/>
  <c r="Q401" i="8"/>
  <c r="R25" i="8"/>
  <c r="Q340" i="8"/>
  <c r="Q81" i="8"/>
  <c r="Q534" i="8"/>
  <c r="R569" i="8"/>
  <c r="Q83" i="8"/>
  <c r="Q42" i="8"/>
  <c r="Q283" i="8"/>
  <c r="Q583" i="8"/>
  <c r="R483" i="8"/>
  <c r="Q39" i="8"/>
  <c r="Q258" i="8"/>
  <c r="Q187" i="8"/>
  <c r="Q631" i="8"/>
  <c r="Q209" i="8"/>
  <c r="Q103" i="8"/>
  <c r="Q355" i="8"/>
  <c r="Q267" i="8"/>
  <c r="Q310" i="8"/>
  <c r="Q129" i="8"/>
  <c r="R129" i="8"/>
  <c r="R598" i="8"/>
  <c r="Q598" i="8"/>
  <c r="Q647" i="8"/>
  <c r="R647" i="8"/>
  <c r="R5" i="8"/>
  <c r="Q5" i="8"/>
  <c r="Q48" i="8"/>
  <c r="Q270" i="8"/>
  <c r="Q305" i="8"/>
  <c r="Q627" i="8"/>
  <c r="Q673" i="8"/>
  <c r="Q184" i="8"/>
  <c r="R184" i="8"/>
  <c r="R41" i="8"/>
  <c r="Q41" i="8"/>
  <c r="Q452" i="8"/>
  <c r="Q443" i="8"/>
  <c r="Q508" i="8"/>
  <c r="Q715" i="8"/>
  <c r="R460" i="8"/>
  <c r="Q460" i="8"/>
  <c r="Q634" i="8"/>
  <c r="Q246" i="8"/>
  <c r="Q553" i="8"/>
  <c r="Q199" i="8"/>
  <c r="R420" i="8"/>
  <c r="Q537" i="8"/>
  <c r="Q151" i="8"/>
  <c r="Q198" i="8"/>
  <c r="Q281" i="8"/>
  <c r="Q297" i="8"/>
  <c r="Q301" i="8"/>
  <c r="Q203" i="8"/>
  <c r="Q369" i="8"/>
  <c r="Q429" i="8"/>
  <c r="Q435" i="8"/>
  <c r="Q438" i="8"/>
  <c r="Q599" i="8"/>
  <c r="Q608" i="8"/>
  <c r="R614" i="8"/>
  <c r="Q657" i="8"/>
  <c r="Q31" i="8"/>
  <c r="R37" i="8"/>
  <c r="R335" i="8"/>
  <c r="R115" i="8"/>
  <c r="Q115" i="8"/>
  <c r="R318" i="8"/>
  <c r="Q334" i="8"/>
  <c r="Q382" i="8"/>
  <c r="Q210" i="8"/>
  <c r="Q504" i="8"/>
  <c r="Q98" i="8"/>
  <c r="Q91" i="8"/>
  <c r="Q552" i="8"/>
  <c r="Q97" i="8"/>
  <c r="Q147" i="8"/>
  <c r="Q150" i="8"/>
  <c r="R617" i="8"/>
  <c r="R629" i="8"/>
  <c r="Q64" i="8"/>
  <c r="Q568" i="8"/>
  <c r="Q73" i="8"/>
  <c r="R73" i="8"/>
  <c r="Q439" i="8"/>
  <c r="Q171" i="8"/>
  <c r="Q7" i="8"/>
  <c r="Q245" i="8"/>
  <c r="Q268" i="8"/>
  <c r="Q49" i="8"/>
  <c r="Q280" i="8"/>
  <c r="Q293" i="8"/>
  <c r="R530" i="8"/>
  <c r="Q342" i="8"/>
  <c r="Q168" i="8"/>
  <c r="Q457" i="8"/>
  <c r="Q204" i="8"/>
  <c r="Q278" i="8"/>
  <c r="Q55" i="8"/>
  <c r="R9" i="8"/>
  <c r="Q9" i="8"/>
  <c r="Q206" i="8"/>
  <c r="Q27" i="8"/>
  <c r="Q33" i="8"/>
  <c r="Q86" i="8"/>
  <c r="Q114" i="8"/>
  <c r="Q119" i="8"/>
  <c r="Q167" i="8"/>
  <c r="Q232" i="8"/>
  <c r="Q482" i="8"/>
  <c r="Q714" i="8"/>
  <c r="Q528" i="8"/>
  <c r="Q551" i="8"/>
  <c r="Q316" i="8"/>
  <c r="Q695" i="8"/>
  <c r="Q104" i="8"/>
  <c r="R333" i="8"/>
  <c r="Q222" i="8"/>
  <c r="Q249" i="8"/>
  <c r="Q357" i="8"/>
  <c r="Q499" i="8"/>
  <c r="Q8" i="8"/>
  <c r="Q57" i="8"/>
  <c r="Q118" i="8"/>
  <c r="Q166" i="8"/>
  <c r="Q235" i="8"/>
  <c r="Q306" i="8"/>
  <c r="Q374" i="8"/>
  <c r="Q406" i="8"/>
  <c r="Q413" i="8"/>
  <c r="Q459" i="8"/>
  <c r="Q535" i="8"/>
  <c r="Q646" i="8"/>
  <c r="Q679" i="8"/>
  <c r="Q62" i="8"/>
  <c r="Q391" i="8"/>
  <c r="Q398" i="8"/>
  <c r="R344" i="8"/>
  <c r="Q387" i="8"/>
  <c r="R486" i="8"/>
  <c r="Q40" i="8"/>
  <c r="Q113" i="8"/>
  <c r="Q182" i="8"/>
  <c r="Q205" i="8"/>
  <c r="Q332" i="8"/>
  <c r="Q478" i="8"/>
  <c r="R509" i="8"/>
  <c r="R594" i="8"/>
  <c r="Q600" i="8"/>
  <c r="Q642" i="8"/>
  <c r="Q710" i="8"/>
  <c r="R89" i="8"/>
  <c r="Q694" i="8"/>
  <c r="N179" i="8"/>
  <c r="R179" i="8" s="1"/>
  <c r="F316" i="8"/>
  <c r="F320" i="8"/>
  <c r="F445" i="7"/>
  <c r="F169" i="8"/>
  <c r="R253" i="8"/>
  <c r="Q253" i="8"/>
  <c r="N30" i="8"/>
  <c r="R30" i="8" s="1"/>
  <c r="N117" i="8"/>
  <c r="F194" i="7"/>
  <c r="F430" i="7"/>
  <c r="Q112" i="8"/>
  <c r="N295" i="8"/>
  <c r="R295" i="8" s="1"/>
  <c r="N616" i="8"/>
  <c r="N121" i="8"/>
  <c r="N159" i="8"/>
  <c r="R159" i="8" s="1"/>
  <c r="N66" i="8"/>
  <c r="R66" i="8" s="1"/>
  <c r="N155" i="8"/>
  <c r="R155" i="8" s="1"/>
  <c r="F124" i="6"/>
  <c r="E11" i="10"/>
  <c r="E30" i="9"/>
  <c r="E29" i="9"/>
  <c r="F177" i="8"/>
  <c r="F178" i="8"/>
  <c r="E31" i="9"/>
  <c r="F181" i="8"/>
  <c r="F165" i="8"/>
  <c r="F179" i="8"/>
  <c r="F172" i="8"/>
  <c r="F180" i="8"/>
  <c r="F164" i="8"/>
  <c r="F170" i="8"/>
  <c r="F138" i="6"/>
  <c r="F122" i="6"/>
  <c r="F175" i="8"/>
  <c r="F145" i="6"/>
  <c r="F129" i="6"/>
  <c r="F136" i="6"/>
  <c r="F171" i="8"/>
  <c r="F143" i="6"/>
  <c r="F127" i="6"/>
  <c r="F166" i="8"/>
  <c r="F167" i="8"/>
  <c r="F174" i="8"/>
  <c r="F173" i="8"/>
  <c r="F147" i="6"/>
  <c r="F125" i="6"/>
  <c r="F134" i="6"/>
  <c r="F123" i="6"/>
  <c r="F132" i="6"/>
  <c r="F150" i="6"/>
  <c r="F130" i="6"/>
  <c r="F141" i="6"/>
  <c r="F128" i="6"/>
  <c r="F168" i="8"/>
  <c r="F148" i="6"/>
  <c r="F137" i="6"/>
  <c r="F126" i="6"/>
  <c r="F139" i="6"/>
  <c r="F176" i="8"/>
  <c r="Q428" i="8"/>
  <c r="N395" i="8"/>
  <c r="N164" i="8"/>
  <c r="R164" i="8" s="1"/>
  <c r="E6" i="9"/>
  <c r="E3" i="10"/>
  <c r="E5" i="9"/>
  <c r="E7" i="9"/>
  <c r="F33" i="8"/>
  <c r="F34" i="8"/>
  <c r="F37" i="8"/>
  <c r="F21" i="8"/>
  <c r="F30" i="8"/>
  <c r="F23" i="8"/>
  <c r="F24" i="8"/>
  <c r="F36" i="8"/>
  <c r="F25" i="8"/>
  <c r="F31" i="8"/>
  <c r="F55" i="5"/>
  <c r="F39" i="5"/>
  <c r="F46" i="5"/>
  <c r="F26" i="8"/>
  <c r="F32" i="8"/>
  <c r="F53" i="5"/>
  <c r="F37" i="5"/>
  <c r="F27" i="8"/>
  <c r="F35" i="8"/>
  <c r="F50" i="5"/>
  <c r="F41" i="5"/>
  <c r="F59" i="5"/>
  <c r="F57" i="5"/>
  <c r="F48" i="5"/>
  <c r="F28" i="8"/>
  <c r="F35" i="5"/>
  <c r="F33" i="5"/>
  <c r="F60" i="5"/>
  <c r="F20" i="8"/>
  <c r="F44" i="5"/>
  <c r="F42" i="5"/>
  <c r="F51" i="5"/>
  <c r="F151" i="6"/>
  <c r="N111" i="8"/>
  <c r="R111" i="8" s="1"/>
  <c r="N100" i="8"/>
  <c r="R100" i="8" s="1"/>
  <c r="N137" i="8"/>
  <c r="N261" i="8"/>
  <c r="F183" i="7"/>
  <c r="R220" i="8"/>
  <c r="Q220" i="8"/>
  <c r="N412" i="8"/>
  <c r="R412" i="8" s="1"/>
  <c r="E102" i="9"/>
  <c r="F608" i="8"/>
  <c r="F609" i="8"/>
  <c r="F612" i="8"/>
  <c r="F596" i="8"/>
  <c r="F613" i="8"/>
  <c r="F597" i="8"/>
  <c r="F599" i="8"/>
  <c r="F607" i="8"/>
  <c r="F600" i="8"/>
  <c r="E101" i="9"/>
  <c r="F601" i="8"/>
  <c r="F602" i="8"/>
  <c r="E35" i="10"/>
  <c r="E103" i="9"/>
  <c r="F610" i="8"/>
  <c r="F606" i="8"/>
  <c r="F449" i="7"/>
  <c r="F433" i="7"/>
  <c r="F598" i="8"/>
  <c r="F603" i="8"/>
  <c r="F604" i="8"/>
  <c r="F611" i="8"/>
  <c r="F424" i="7"/>
  <c r="F438" i="7"/>
  <c r="F429" i="7"/>
  <c r="F605" i="8"/>
  <c r="F444" i="7"/>
  <c r="F435" i="7"/>
  <c r="F451" i="7"/>
  <c r="F442" i="7"/>
  <c r="F422" i="7"/>
  <c r="F431" i="7"/>
  <c r="F440" i="7"/>
  <c r="F447" i="7"/>
  <c r="F448" i="7"/>
  <c r="F446" i="7"/>
  <c r="F427" i="7"/>
  <c r="F425" i="7"/>
  <c r="F432" i="7"/>
  <c r="F436" i="7"/>
  <c r="F423" i="7"/>
  <c r="F434" i="7"/>
  <c r="F443" i="7"/>
  <c r="F428" i="7"/>
  <c r="F437" i="7"/>
  <c r="F140" i="6"/>
  <c r="F52" i="5"/>
  <c r="N11" i="8"/>
  <c r="R11" i="8" s="1"/>
  <c r="E54" i="9"/>
  <c r="E53" i="9"/>
  <c r="E19" i="10"/>
  <c r="F321" i="8"/>
  <c r="F318" i="8"/>
  <c r="F324" i="8"/>
  <c r="F314" i="8"/>
  <c r="F325" i="8"/>
  <c r="F315" i="8"/>
  <c r="F308" i="8"/>
  <c r="F319" i="8"/>
  <c r="F313" i="8"/>
  <c r="F323" i="8"/>
  <c r="F309" i="8"/>
  <c r="E55" i="9"/>
  <c r="F378" i="6"/>
  <c r="F362" i="6"/>
  <c r="F385" i="6"/>
  <c r="F369" i="6"/>
  <c r="F376" i="6"/>
  <c r="F383" i="6"/>
  <c r="F367" i="6"/>
  <c r="F310" i="8"/>
  <c r="F317" i="8"/>
  <c r="F372" i="6"/>
  <c r="F381" i="6"/>
  <c r="F368" i="6"/>
  <c r="F390" i="6"/>
  <c r="F370" i="6"/>
  <c r="F379" i="6"/>
  <c r="F311" i="8"/>
  <c r="F322" i="8"/>
  <c r="F388" i="6"/>
  <c r="F377" i="6"/>
  <c r="F366" i="6"/>
  <c r="F382" i="6"/>
  <c r="F375" i="6"/>
  <c r="F386" i="6"/>
  <c r="F364" i="6"/>
  <c r="F312" i="8"/>
  <c r="F384" i="6"/>
  <c r="F373" i="6"/>
  <c r="F380" i="6"/>
  <c r="F387" i="6"/>
  <c r="F365" i="6"/>
  <c r="F61" i="5"/>
  <c r="F142" i="6"/>
  <c r="F54" i="5"/>
  <c r="F144" i="6"/>
  <c r="F374" i="6"/>
  <c r="N18" i="8"/>
  <c r="R18" i="8" s="1"/>
  <c r="N399" i="8"/>
  <c r="R399" i="8" s="1"/>
  <c r="E27" i="10"/>
  <c r="E78" i="9"/>
  <c r="F463" i="8"/>
  <c r="E77" i="9"/>
  <c r="F462" i="8"/>
  <c r="F452" i="8"/>
  <c r="F464" i="8"/>
  <c r="F453" i="8"/>
  <c r="F460" i="8"/>
  <c r="F454" i="8"/>
  <c r="F456" i="8"/>
  <c r="E79" i="9"/>
  <c r="F466" i="8"/>
  <c r="F459" i="8"/>
  <c r="F455" i="8"/>
  <c r="F467" i="8"/>
  <c r="F468" i="8"/>
  <c r="F208" i="7"/>
  <c r="F192" i="7"/>
  <c r="F469" i="8"/>
  <c r="F465" i="8"/>
  <c r="F458" i="8"/>
  <c r="F195" i="7"/>
  <c r="F186" i="7"/>
  <c r="F211" i="7"/>
  <c r="F202" i="7"/>
  <c r="F193" i="7"/>
  <c r="F184" i="7"/>
  <c r="F209" i="7"/>
  <c r="F200" i="7"/>
  <c r="F191" i="7"/>
  <c r="F198" i="7"/>
  <c r="F207" i="7"/>
  <c r="F182" i="7"/>
  <c r="F189" i="7"/>
  <c r="F205" i="7"/>
  <c r="F190" i="7"/>
  <c r="F188" i="7"/>
  <c r="F203" i="7"/>
  <c r="F199" i="7"/>
  <c r="F457" i="8"/>
  <c r="F201" i="7"/>
  <c r="F461" i="8"/>
  <c r="F197" i="7"/>
  <c r="F204" i="7"/>
  <c r="F210" i="7"/>
  <c r="F206" i="7"/>
  <c r="F185" i="7"/>
  <c r="F196" i="7"/>
  <c r="F56" i="5"/>
  <c r="F146" i="6"/>
  <c r="F439" i="7"/>
  <c r="N56" i="8"/>
  <c r="R56" i="8" s="1"/>
  <c r="N480" i="8"/>
  <c r="R480" i="8" s="1"/>
  <c r="F407" i="6"/>
  <c r="F420" i="6"/>
  <c r="F222" i="7"/>
  <c r="F330" i="7"/>
  <c r="F452" i="7"/>
  <c r="F548" i="7"/>
  <c r="F563" i="7"/>
  <c r="F38" i="8"/>
  <c r="N52" i="8"/>
  <c r="R52" i="8" s="1"/>
  <c r="Q71" i="8"/>
  <c r="F99" i="8"/>
  <c r="N177" i="8"/>
  <c r="R177" i="8" s="1"/>
  <c r="N189" i="8"/>
  <c r="Q307" i="8"/>
  <c r="Q425" i="8"/>
  <c r="F230" i="7"/>
  <c r="F475" i="7"/>
  <c r="Q23" i="8"/>
  <c r="F43" i="8"/>
  <c r="F93" i="8"/>
  <c r="N202" i="8"/>
  <c r="R202" i="8" s="1"/>
  <c r="Q257" i="8"/>
  <c r="F259" i="8"/>
  <c r="N321" i="8"/>
  <c r="R321" i="8" s="1"/>
  <c r="F380" i="8"/>
  <c r="Q385" i="8"/>
  <c r="N421" i="8"/>
  <c r="R421" i="8" s="1"/>
  <c r="N424" i="8"/>
  <c r="R424" i="8" s="1"/>
  <c r="R532" i="8"/>
  <c r="Q532" i="8"/>
  <c r="N606" i="8"/>
  <c r="R606" i="8" s="1"/>
  <c r="F91" i="5"/>
  <c r="F267" i="6"/>
  <c r="F314" i="7"/>
  <c r="F464" i="7"/>
  <c r="F42" i="8"/>
  <c r="Q47" i="8"/>
  <c r="N60" i="8"/>
  <c r="R60" i="8" s="1"/>
  <c r="R65" i="8"/>
  <c r="Q65" i="8"/>
  <c r="Q90" i="8"/>
  <c r="F182" i="8"/>
  <c r="Q231" i="8"/>
  <c r="Q343" i="8"/>
  <c r="F376" i="8"/>
  <c r="F526" i="8"/>
  <c r="N590" i="8"/>
  <c r="R590" i="8" s="1"/>
  <c r="E20" i="10"/>
  <c r="E58" i="9"/>
  <c r="E56" i="9"/>
  <c r="E57" i="9"/>
  <c r="F337" i="8"/>
  <c r="F331" i="8"/>
  <c r="F340" i="8"/>
  <c r="F332" i="8"/>
  <c r="F341" i="8"/>
  <c r="F333" i="8"/>
  <c r="F326" i="8"/>
  <c r="F328" i="8"/>
  <c r="F339" i="8"/>
  <c r="F419" i="6"/>
  <c r="F329" i="8"/>
  <c r="F410" i="6"/>
  <c r="F394" i="6"/>
  <c r="F417" i="6"/>
  <c r="F401" i="6"/>
  <c r="F343" i="8"/>
  <c r="F408" i="6"/>
  <c r="F392" i="6"/>
  <c r="F334" i="8"/>
  <c r="F415" i="6"/>
  <c r="F399" i="6"/>
  <c r="F335" i="8"/>
  <c r="F338" i="8"/>
  <c r="F342" i="8"/>
  <c r="N34" i="8"/>
  <c r="R34" i="8" s="1"/>
  <c r="Q94" i="8"/>
  <c r="F199" i="8"/>
  <c r="R597" i="8"/>
  <c r="F10" i="6"/>
  <c r="F181" i="6"/>
  <c r="F256" i="6"/>
  <c r="F395" i="6"/>
  <c r="F78" i="7"/>
  <c r="F219" i="7"/>
  <c r="E29" i="10"/>
  <c r="E84" i="9"/>
  <c r="E83" i="9"/>
  <c r="E85" i="9"/>
  <c r="F494" i="8"/>
  <c r="F495" i="8"/>
  <c r="F492" i="8"/>
  <c r="F504" i="8"/>
  <c r="F497" i="8"/>
  <c r="F489" i="8"/>
  <c r="F499" i="8"/>
  <c r="F496" i="8"/>
  <c r="F491" i="8"/>
  <c r="F503" i="8"/>
  <c r="F498" i="8"/>
  <c r="F488" i="8"/>
  <c r="F505" i="8"/>
  <c r="F267" i="7"/>
  <c r="F256" i="7"/>
  <c r="F502" i="8"/>
  <c r="F493" i="8"/>
  <c r="F263" i="7"/>
  <c r="F254" i="7"/>
  <c r="F245" i="7"/>
  <c r="F270" i="7"/>
  <c r="F261" i="7"/>
  <c r="F252" i="7"/>
  <c r="F243" i="7"/>
  <c r="F500" i="8"/>
  <c r="F268" i="7"/>
  <c r="F259" i="7"/>
  <c r="F250" i="7"/>
  <c r="F266" i="7"/>
  <c r="F501" i="8"/>
  <c r="F490" i="8"/>
  <c r="F73" i="5"/>
  <c r="F30" i="6"/>
  <c r="F67" i="7"/>
  <c r="F80" i="7"/>
  <c r="F249" i="7"/>
  <c r="F264" i="7"/>
  <c r="F303" i="7"/>
  <c r="F316" i="7"/>
  <c r="F329" i="7"/>
  <c r="F466" i="7"/>
  <c r="F517" i="7"/>
  <c r="F532" i="7"/>
  <c r="F562" i="7"/>
  <c r="F573" i="7"/>
  <c r="N4" i="8"/>
  <c r="R4" i="8" s="1"/>
  <c r="R74" i="8"/>
  <c r="F122" i="8"/>
  <c r="N127" i="8"/>
  <c r="R127" i="8" s="1"/>
  <c r="N131" i="8"/>
  <c r="N145" i="8"/>
  <c r="R145" i="8" s="1"/>
  <c r="Q149" i="8"/>
  <c r="N169" i="8"/>
  <c r="N216" i="8"/>
  <c r="R216" i="8" s="1"/>
  <c r="N476" i="8"/>
  <c r="R476" i="8" s="1"/>
  <c r="N527" i="8"/>
  <c r="R527" i="8" s="1"/>
  <c r="F697" i="8"/>
  <c r="E82" i="9"/>
  <c r="E80" i="9"/>
  <c r="F478" i="8"/>
  <c r="F479" i="8"/>
  <c r="E28" i="10"/>
  <c r="E81" i="9"/>
  <c r="F484" i="8"/>
  <c r="F473" i="8"/>
  <c r="F486" i="8"/>
  <c r="F474" i="8"/>
  <c r="F482" i="8"/>
  <c r="F477" i="8"/>
  <c r="F471" i="8"/>
  <c r="F476" i="8"/>
  <c r="F487" i="8"/>
  <c r="F481" i="8"/>
  <c r="F472" i="8"/>
  <c r="F480" i="8"/>
  <c r="F240" i="7"/>
  <c r="F224" i="7"/>
  <c r="F485" i="8"/>
  <c r="F229" i="7"/>
  <c r="F220" i="7"/>
  <c r="F483" i="8"/>
  <c r="F236" i="7"/>
  <c r="F227" i="7"/>
  <c r="F218" i="7"/>
  <c r="F470" i="8"/>
  <c r="F234" i="7"/>
  <c r="F232" i="7"/>
  <c r="F225" i="7"/>
  <c r="F216" i="7"/>
  <c r="F241" i="7"/>
  <c r="F223" i="7"/>
  <c r="F330" i="8"/>
  <c r="F475" i="8"/>
  <c r="F245" i="6"/>
  <c r="F89" i="7"/>
  <c r="E13" i="10"/>
  <c r="E36" i="9"/>
  <c r="E35" i="9"/>
  <c r="F209" i="8"/>
  <c r="E37" i="9"/>
  <c r="F205" i="8"/>
  <c r="F206" i="8"/>
  <c r="F213" i="8"/>
  <c r="F204" i="8"/>
  <c r="F214" i="8"/>
  <c r="F216" i="8"/>
  <c r="F202" i="6"/>
  <c r="F186" i="6"/>
  <c r="F212" i="8"/>
  <c r="F208" i="8"/>
  <c r="F209" i="6"/>
  <c r="F193" i="6"/>
  <c r="F203" i="8"/>
  <c r="F200" i="6"/>
  <c r="F184" i="6"/>
  <c r="F207" i="6"/>
  <c r="F191" i="6"/>
  <c r="F217" i="8"/>
  <c r="F211" i="8"/>
  <c r="F202" i="8"/>
  <c r="F207" i="8"/>
  <c r="E108" i="9"/>
  <c r="E37" i="10"/>
  <c r="F640" i="8"/>
  <c r="F641" i="8"/>
  <c r="F644" i="8"/>
  <c r="E107" i="9"/>
  <c r="F645" i="8"/>
  <c r="F642" i="8"/>
  <c r="F636" i="8"/>
  <c r="F635" i="8"/>
  <c r="F648" i="8"/>
  <c r="F646" i="8"/>
  <c r="E109" i="9"/>
  <c r="F632" i="8"/>
  <c r="F647" i="8"/>
  <c r="F637" i="8"/>
  <c r="F497" i="7"/>
  <c r="F633" i="8"/>
  <c r="F634" i="8"/>
  <c r="F638" i="8"/>
  <c r="F643" i="8"/>
  <c r="F501" i="7"/>
  <c r="F492" i="7"/>
  <c r="F639" i="8"/>
  <c r="F506" i="7"/>
  <c r="F511" i="7"/>
  <c r="F502" i="7"/>
  <c r="F491" i="7"/>
  <c r="F500" i="7"/>
  <c r="F482" i="7"/>
  <c r="F509" i="7"/>
  <c r="F489" i="7"/>
  <c r="F498" i="7"/>
  <c r="F507" i="7"/>
  <c r="F496" i="7"/>
  <c r="F487" i="7"/>
  <c r="F649" i="8"/>
  <c r="F505" i="7"/>
  <c r="F82" i="5"/>
  <c r="F102" i="5"/>
  <c r="F21" i="6"/>
  <c r="F194" i="6"/>
  <c r="F21" i="7"/>
  <c r="F104" i="5"/>
  <c r="F3" i="6"/>
  <c r="F12" i="6"/>
  <c r="F183" i="6"/>
  <c r="F205" i="6"/>
  <c r="F269" i="6"/>
  <c r="F291" i="6"/>
  <c r="F397" i="6"/>
  <c r="F10" i="7"/>
  <c r="F34" i="7"/>
  <c r="F69" i="7"/>
  <c r="F119" i="7"/>
  <c r="F238" i="7"/>
  <c r="F251" i="7"/>
  <c r="F305" i="7"/>
  <c r="F318" i="7"/>
  <c r="F346" i="7"/>
  <c r="F468" i="7"/>
  <c r="F575" i="7"/>
  <c r="F592" i="7"/>
  <c r="R21" i="8"/>
  <c r="Q21" i="8"/>
  <c r="F92" i="8"/>
  <c r="N93" i="8"/>
  <c r="F109" i="8"/>
  <c r="N110" i="8"/>
  <c r="R110" i="8" s="1"/>
  <c r="F215" i="8"/>
  <c r="F218" i="8"/>
  <c r="N252" i="8"/>
  <c r="R252" i="8" s="1"/>
  <c r="N313" i="8"/>
  <c r="N408" i="8"/>
  <c r="R408" i="8" s="1"/>
  <c r="F80" i="5"/>
  <c r="F393" i="6"/>
  <c r="F404" i="6"/>
  <c r="F217" i="7"/>
  <c r="F477" i="7"/>
  <c r="Q78" i="8"/>
  <c r="F479" i="7"/>
  <c r="E12" i="9"/>
  <c r="E5" i="10"/>
  <c r="E11" i="9"/>
  <c r="E13" i="9"/>
  <c r="F65" i="8"/>
  <c r="F66" i="8"/>
  <c r="F69" i="8"/>
  <c r="F71" i="8"/>
  <c r="F73" i="8"/>
  <c r="F63" i="8"/>
  <c r="F57" i="8"/>
  <c r="F67" i="8"/>
  <c r="F119" i="5"/>
  <c r="F103" i="5"/>
  <c r="F61" i="8"/>
  <c r="F110" i="5"/>
  <c r="F94" i="5"/>
  <c r="F56" i="8"/>
  <c r="F117" i="5"/>
  <c r="F101" i="5"/>
  <c r="F68" i="8"/>
  <c r="F62" i="8"/>
  <c r="F60" i="8"/>
  <c r="E60" i="9"/>
  <c r="E21" i="10"/>
  <c r="E61" i="9"/>
  <c r="E59" i="9"/>
  <c r="F353" i="8"/>
  <c r="F355" i="8"/>
  <c r="F344" i="8"/>
  <c r="F356" i="8"/>
  <c r="F358" i="8"/>
  <c r="F354" i="8"/>
  <c r="F349" i="8"/>
  <c r="F350" i="8"/>
  <c r="F359" i="8"/>
  <c r="F348" i="8"/>
  <c r="F360" i="8"/>
  <c r="F345" i="8"/>
  <c r="F361" i="8"/>
  <c r="F31" i="7"/>
  <c r="F15" i="7"/>
  <c r="F22" i="7"/>
  <c r="F6" i="7"/>
  <c r="F29" i="7"/>
  <c r="F13" i="7"/>
  <c r="F20" i="7"/>
  <c r="F4" i="7"/>
  <c r="F351" i="8"/>
  <c r="F347" i="8"/>
  <c r="F27" i="7"/>
  <c r="F11" i="7"/>
  <c r="F346" i="8"/>
  <c r="F172" i="6"/>
  <c r="F258" i="6"/>
  <c r="F406" i="6"/>
  <c r="F64" i="5"/>
  <c r="F93" i="5"/>
  <c r="F113" i="5"/>
  <c r="F163" i="6"/>
  <c r="F247" i="6"/>
  <c r="E6" i="10"/>
  <c r="E16" i="9"/>
  <c r="E14" i="9"/>
  <c r="F81" i="8"/>
  <c r="F82" i="8"/>
  <c r="F85" i="8"/>
  <c r="F88" i="8"/>
  <c r="F78" i="8"/>
  <c r="E15" i="9"/>
  <c r="F90" i="8"/>
  <c r="F80" i="8"/>
  <c r="F89" i="8"/>
  <c r="F84" i="8"/>
  <c r="F151" i="5"/>
  <c r="F135" i="5"/>
  <c r="F142" i="5"/>
  <c r="F126" i="5"/>
  <c r="F79" i="8"/>
  <c r="F74" i="8"/>
  <c r="F149" i="5"/>
  <c r="F133" i="5"/>
  <c r="F91" i="8"/>
  <c r="F77" i="8"/>
  <c r="E40" i="9"/>
  <c r="E38" i="9"/>
  <c r="E14" i="10"/>
  <c r="F225" i="8"/>
  <c r="E39" i="9"/>
  <c r="F231" i="8"/>
  <c r="F232" i="8"/>
  <c r="F219" i="8"/>
  <c r="F234" i="8"/>
  <c r="F226" i="8"/>
  <c r="F233" i="8"/>
  <c r="F227" i="8"/>
  <c r="F220" i="8"/>
  <c r="F221" i="8"/>
  <c r="F234" i="6"/>
  <c r="F218" i="6"/>
  <c r="F222" i="8"/>
  <c r="F241" i="6"/>
  <c r="F225" i="6"/>
  <c r="F232" i="6"/>
  <c r="F216" i="6"/>
  <c r="F223" i="8"/>
  <c r="F239" i="6"/>
  <c r="F223" i="6"/>
  <c r="F224" i="8"/>
  <c r="F235" i="8"/>
  <c r="F230" i="8"/>
  <c r="E22" i="10"/>
  <c r="E64" i="9"/>
  <c r="E62" i="9"/>
  <c r="F369" i="8"/>
  <c r="F371" i="8"/>
  <c r="F377" i="8"/>
  <c r="F378" i="8"/>
  <c r="F366" i="8"/>
  <c r="E63" i="9"/>
  <c r="F367" i="8"/>
  <c r="F374" i="8"/>
  <c r="F368" i="8"/>
  <c r="F363" i="8"/>
  <c r="F375" i="8"/>
  <c r="F370" i="8"/>
  <c r="F373" i="8"/>
  <c r="F364" i="8"/>
  <c r="F47" i="7"/>
  <c r="F54" i="7"/>
  <c r="F38" i="7"/>
  <c r="F61" i="7"/>
  <c r="F45" i="7"/>
  <c r="F52" i="7"/>
  <c r="F36" i="7"/>
  <c r="F59" i="7"/>
  <c r="F43" i="7"/>
  <c r="F372" i="8"/>
  <c r="E88" i="9"/>
  <c r="E86" i="9"/>
  <c r="E30" i="10"/>
  <c r="E87" i="9"/>
  <c r="F510" i="8"/>
  <c r="F511" i="8"/>
  <c r="F513" i="8"/>
  <c r="F520" i="8"/>
  <c r="F509" i="8"/>
  <c r="F518" i="8"/>
  <c r="F523" i="8"/>
  <c r="F507" i="8"/>
  <c r="F519" i="8"/>
  <c r="F514" i="8"/>
  <c r="F515" i="8"/>
  <c r="F508" i="8"/>
  <c r="F299" i="7"/>
  <c r="F283" i="7"/>
  <c r="F521" i="8"/>
  <c r="F288" i="7"/>
  <c r="F272" i="7"/>
  <c r="F506" i="8"/>
  <c r="F281" i="7"/>
  <c r="F290" i="7"/>
  <c r="F297" i="7"/>
  <c r="F279" i="7"/>
  <c r="F295" i="7"/>
  <c r="F286" i="7"/>
  <c r="F277" i="7"/>
  <c r="F522" i="8"/>
  <c r="E38" i="10"/>
  <c r="E112" i="9"/>
  <c r="E110" i="9"/>
  <c r="F656" i="8"/>
  <c r="F657" i="8"/>
  <c r="F660" i="8"/>
  <c r="F661" i="8"/>
  <c r="F665" i="8"/>
  <c r="F651" i="8"/>
  <c r="F666" i="8"/>
  <c r="F663" i="8"/>
  <c r="F652" i="8"/>
  <c r="F664" i="8"/>
  <c r="F658" i="8"/>
  <c r="F653" i="8"/>
  <c r="F659" i="8"/>
  <c r="F654" i="8"/>
  <c r="F529" i="7"/>
  <c r="F513" i="7"/>
  <c r="E111" i="9"/>
  <c r="F650" i="8"/>
  <c r="F662" i="8"/>
  <c r="F667" i="8"/>
  <c r="F535" i="7"/>
  <c r="F526" i="7"/>
  <c r="F540" i="7"/>
  <c r="F515" i="7"/>
  <c r="F531" i="7"/>
  <c r="F520" i="7"/>
  <c r="F538" i="7"/>
  <c r="F655" i="8"/>
  <c r="F527" i="7"/>
  <c r="F518" i="7"/>
  <c r="F536" i="7"/>
  <c r="F525" i="7"/>
  <c r="F534" i="7"/>
  <c r="F516" i="7"/>
  <c r="F75" i="5"/>
  <c r="F84" i="5"/>
  <c r="F95" i="5"/>
  <c r="F124" i="5"/>
  <c r="F144" i="5"/>
  <c r="F34" i="6"/>
  <c r="F43" i="6"/>
  <c r="F174" i="6"/>
  <c r="F185" i="6"/>
  <c r="F196" i="6"/>
  <c r="F238" i="6"/>
  <c r="F249" i="6"/>
  <c r="F421" i="6"/>
  <c r="F12" i="7"/>
  <c r="F58" i="7"/>
  <c r="F71" i="7"/>
  <c r="F106" i="7"/>
  <c r="F212" i="7"/>
  <c r="F253" i="7"/>
  <c r="F294" i="7"/>
  <c r="F348" i="7"/>
  <c r="F470" i="7"/>
  <c r="F485" i="7"/>
  <c r="F521" i="7"/>
  <c r="N46" i="8"/>
  <c r="R46" i="8" s="1"/>
  <c r="N77" i="8"/>
  <c r="F83" i="8"/>
  <c r="Q107" i="8"/>
  <c r="Q139" i="8"/>
  <c r="N194" i="8"/>
  <c r="R194" i="8" s="1"/>
  <c r="N226" i="8"/>
  <c r="R226" i="8" s="1"/>
  <c r="N243" i="8"/>
  <c r="R243" i="8" s="1"/>
  <c r="F362" i="8"/>
  <c r="N363" i="8"/>
  <c r="R363" i="8" s="1"/>
  <c r="Q377" i="8"/>
  <c r="N404" i="8"/>
  <c r="N690" i="8"/>
  <c r="R690" i="8" s="1"/>
  <c r="E4" i="10"/>
  <c r="E10" i="9"/>
  <c r="E8" i="9"/>
  <c r="F49" i="8"/>
  <c r="F50" i="8"/>
  <c r="F53" i="8"/>
  <c r="F54" i="8"/>
  <c r="F45" i="8"/>
  <c r="F40" i="8"/>
  <c r="F47" i="8"/>
  <c r="E9" i="9"/>
  <c r="F48" i="8"/>
  <c r="F87" i="5"/>
  <c r="F71" i="5"/>
  <c r="F78" i="5"/>
  <c r="F55" i="8"/>
  <c r="F44" i="8"/>
  <c r="F62" i="5"/>
  <c r="F85" i="5"/>
  <c r="F69" i="5"/>
  <c r="F86" i="5"/>
  <c r="F455" i="7"/>
  <c r="N17" i="8"/>
  <c r="N72" i="8"/>
  <c r="R72" i="8" s="1"/>
  <c r="N84" i="8"/>
  <c r="N178" i="8"/>
  <c r="R178" i="8" s="1"/>
  <c r="F210" i="8"/>
  <c r="N233" i="8"/>
  <c r="F365" i="8"/>
  <c r="R496" i="8"/>
  <c r="Q496" i="8"/>
  <c r="F516" i="8"/>
  <c r="E36" i="10"/>
  <c r="E106" i="9"/>
  <c r="E104" i="9"/>
  <c r="F624" i="8"/>
  <c r="F625" i="8"/>
  <c r="E105" i="9"/>
  <c r="F628" i="8"/>
  <c r="F629" i="8"/>
  <c r="F621" i="8"/>
  <c r="F615" i="8"/>
  <c r="F630" i="8"/>
  <c r="F618" i="8"/>
  <c r="F623" i="8"/>
  <c r="F631" i="8"/>
  <c r="F614" i="8"/>
  <c r="F622" i="8"/>
  <c r="F481" i="7"/>
  <c r="F465" i="7"/>
  <c r="F617" i="8"/>
  <c r="F467" i="7"/>
  <c r="F458" i="7"/>
  <c r="F472" i="7"/>
  <c r="F463" i="7"/>
  <c r="F462" i="7"/>
  <c r="F453" i="7"/>
  <c r="F626" i="8"/>
  <c r="F473" i="7"/>
  <c r="F616" i="8"/>
  <c r="F480" i="7"/>
  <c r="F471" i="7"/>
  <c r="F460" i="7"/>
  <c r="F620" i="8"/>
  <c r="F478" i="7"/>
  <c r="F469" i="7"/>
  <c r="F627" i="8"/>
  <c r="F456" i="7"/>
  <c r="F619" i="8"/>
  <c r="E18" i="9"/>
  <c r="E7" i="10"/>
  <c r="E19" i="9"/>
  <c r="E17" i="9"/>
  <c r="F97" i="8"/>
  <c r="F98" i="8"/>
  <c r="F101" i="8"/>
  <c r="F106" i="8"/>
  <c r="F96" i="8"/>
  <c r="F107" i="8"/>
  <c r="F94" i="8"/>
  <c r="F95" i="8"/>
  <c r="F17" i="6"/>
  <c r="F8" i="6"/>
  <c r="F108" i="8"/>
  <c r="F102" i="8"/>
  <c r="F24" i="6"/>
  <c r="F31" i="6"/>
  <c r="F15" i="6"/>
  <c r="E42" i="9"/>
  <c r="E15" i="10"/>
  <c r="E43" i="9"/>
  <c r="F241" i="8"/>
  <c r="E41" i="9"/>
  <c r="F242" i="8"/>
  <c r="F243" i="8"/>
  <c r="F244" i="8"/>
  <c r="F246" i="8"/>
  <c r="F252" i="8"/>
  <c r="F245" i="8"/>
  <c r="F239" i="8"/>
  <c r="F253" i="8"/>
  <c r="F247" i="8"/>
  <c r="F236" i="8"/>
  <c r="F266" i="6"/>
  <c r="F250" i="6"/>
  <c r="F250" i="8"/>
  <c r="F257" i="6"/>
  <c r="F240" i="8"/>
  <c r="F264" i="6"/>
  <c r="F248" i="6"/>
  <c r="F271" i="6"/>
  <c r="F255" i="6"/>
  <c r="F251" i="8"/>
  <c r="F237" i="8"/>
  <c r="F249" i="8"/>
  <c r="E66" i="9"/>
  <c r="E23" i="10"/>
  <c r="E65" i="9"/>
  <c r="F385" i="8"/>
  <c r="F387" i="8"/>
  <c r="F396" i="8"/>
  <c r="F386" i="8"/>
  <c r="F397" i="8"/>
  <c r="E67" i="9"/>
  <c r="F395" i="8"/>
  <c r="F388" i="8"/>
  <c r="F381" i="8"/>
  <c r="F389" i="8"/>
  <c r="F390" i="8"/>
  <c r="F391" i="8"/>
  <c r="F392" i="8"/>
  <c r="F393" i="8"/>
  <c r="F382" i="8"/>
  <c r="F79" i="7"/>
  <c r="F63" i="7"/>
  <c r="F86" i="7"/>
  <c r="F70" i="7"/>
  <c r="F77" i="7"/>
  <c r="F84" i="7"/>
  <c r="F68" i="7"/>
  <c r="F91" i="7"/>
  <c r="F75" i="7"/>
  <c r="F383" i="8"/>
  <c r="E90" i="9"/>
  <c r="E31" i="10"/>
  <c r="F532" i="8"/>
  <c r="F537" i="8"/>
  <c r="F525" i="8"/>
  <c r="F538" i="8"/>
  <c r="F533" i="8"/>
  <c r="F534" i="8"/>
  <c r="F527" i="8"/>
  <c r="E89" i="9"/>
  <c r="F529" i="8"/>
  <c r="F528" i="8"/>
  <c r="F524" i="8"/>
  <c r="F331" i="7"/>
  <c r="F315" i="7"/>
  <c r="F541" i="8"/>
  <c r="F320" i="7"/>
  <c r="F304" i="7"/>
  <c r="F530" i="8"/>
  <c r="F535" i="8"/>
  <c r="F326" i="7"/>
  <c r="F317" i="7"/>
  <c r="F308" i="7"/>
  <c r="F540" i="8"/>
  <c r="F536" i="8"/>
  <c r="F324" i="7"/>
  <c r="F306" i="7"/>
  <c r="F313" i="7"/>
  <c r="F322" i="7"/>
  <c r="E91" i="9"/>
  <c r="F539" i="8"/>
  <c r="F531" i="8"/>
  <c r="E114" i="9"/>
  <c r="E39" i="10"/>
  <c r="F672" i="8"/>
  <c r="E115" i="9"/>
  <c r="F673" i="8"/>
  <c r="F676" i="8"/>
  <c r="F677" i="8"/>
  <c r="F685" i="8"/>
  <c r="F679" i="8"/>
  <c r="F671" i="8"/>
  <c r="F680" i="8"/>
  <c r="F668" i="8"/>
  <c r="E113" i="9"/>
  <c r="F683" i="8"/>
  <c r="F684" i="8"/>
  <c r="F561" i="7"/>
  <c r="F545" i="7"/>
  <c r="F669" i="8"/>
  <c r="F681" i="8"/>
  <c r="F670" i="8"/>
  <c r="F569" i="7"/>
  <c r="F560" i="7"/>
  <c r="F674" i="8"/>
  <c r="F678" i="8"/>
  <c r="F549" i="7"/>
  <c r="F682" i="8"/>
  <c r="F675" i="8"/>
  <c r="F551" i="7"/>
  <c r="F558" i="7"/>
  <c r="F567" i="7"/>
  <c r="F556" i="7"/>
  <c r="F547" i="7"/>
  <c r="F565" i="7"/>
  <c r="F554" i="7"/>
  <c r="F77" i="5"/>
  <c r="F88" i="5"/>
  <c r="F16" i="6"/>
  <c r="F156" i="6"/>
  <c r="F178" i="6"/>
  <c r="F242" i="6"/>
  <c r="F262" i="6"/>
  <c r="F412" i="6"/>
  <c r="F3" i="7"/>
  <c r="F16" i="7"/>
  <c r="F62" i="7"/>
  <c r="F73" i="7"/>
  <c r="F214" i="7"/>
  <c r="F244" i="7"/>
  <c r="F257" i="7"/>
  <c r="F285" i="7"/>
  <c r="F298" i="7"/>
  <c r="F457" i="7"/>
  <c r="F508" i="7"/>
  <c r="F523" i="7"/>
  <c r="F553" i="7"/>
  <c r="F568" i="7"/>
  <c r="R29" i="8"/>
  <c r="Q43" i="8"/>
  <c r="F52" i="8"/>
  <c r="N67" i="8"/>
  <c r="N88" i="8"/>
  <c r="R88" i="8" s="1"/>
  <c r="Q123" i="8"/>
  <c r="N126" i="8"/>
  <c r="R126" i="8" s="1"/>
  <c r="R130" i="8"/>
  <c r="Q130" i="8"/>
  <c r="N153" i="8"/>
  <c r="N211" i="8"/>
  <c r="F228" i="8"/>
  <c r="Q290" i="8"/>
  <c r="N345" i="8"/>
  <c r="N373" i="8"/>
  <c r="Q400" i="8"/>
  <c r="R455" i="8"/>
  <c r="F512" i="8"/>
  <c r="N513" i="8"/>
  <c r="R513" i="8" s="1"/>
  <c r="F75" i="8"/>
  <c r="F105" i="8"/>
  <c r="N338" i="8"/>
  <c r="R338" i="8" s="1"/>
  <c r="F357" i="8"/>
  <c r="E34" i="9"/>
  <c r="E32" i="9"/>
  <c r="E33" i="9"/>
  <c r="F193" i="8"/>
  <c r="E12" i="10"/>
  <c r="F194" i="8"/>
  <c r="F197" i="8"/>
  <c r="F187" i="8"/>
  <c r="F195" i="8"/>
  <c r="F188" i="8"/>
  <c r="F196" i="8"/>
  <c r="F190" i="8"/>
  <c r="F186" i="8"/>
  <c r="F170" i="6"/>
  <c r="F154" i="6"/>
  <c r="F177" i="6"/>
  <c r="F161" i="6"/>
  <c r="F191" i="8"/>
  <c r="F168" i="6"/>
  <c r="F152" i="6"/>
  <c r="F175" i="6"/>
  <c r="F159" i="6"/>
  <c r="F198" i="8"/>
  <c r="F183" i="8"/>
  <c r="F66" i="5"/>
  <c r="F165" i="6"/>
  <c r="F176" i="6"/>
  <c r="F68" i="5"/>
  <c r="F79" i="5"/>
  <c r="F167" i="6"/>
  <c r="F253" i="6"/>
  <c r="F403" i="6"/>
  <c r="F64" i="7"/>
  <c r="F231" i="7"/>
  <c r="F311" i="7"/>
  <c r="F459" i="7"/>
  <c r="F476" i="7"/>
  <c r="F510" i="7"/>
  <c r="F542" i="7"/>
  <c r="F555" i="7"/>
  <c r="F570" i="7"/>
  <c r="N12" i="8"/>
  <c r="N24" i="8"/>
  <c r="N36" i="8"/>
  <c r="N53" i="8"/>
  <c r="F70" i="8"/>
  <c r="E22" i="9"/>
  <c r="E20" i="9"/>
  <c r="E21" i="9"/>
  <c r="E8" i="10"/>
  <c r="F113" i="8"/>
  <c r="F114" i="8"/>
  <c r="F117" i="8"/>
  <c r="F121" i="8"/>
  <c r="F111" i="8"/>
  <c r="F123" i="8"/>
  <c r="F127" i="8"/>
  <c r="F118" i="8"/>
  <c r="F49" i="6"/>
  <c r="F33" i="6"/>
  <c r="F119" i="8"/>
  <c r="F112" i="8"/>
  <c r="F56" i="6"/>
  <c r="F40" i="6"/>
  <c r="F47" i="6"/>
  <c r="F124" i="8"/>
  <c r="E46" i="9"/>
  <c r="E44" i="9"/>
  <c r="E16" i="10"/>
  <c r="F257" i="8"/>
  <c r="F267" i="8"/>
  <c r="F254" i="8"/>
  <c r="F255" i="8"/>
  <c r="F268" i="8"/>
  <c r="F256" i="8"/>
  <c r="F269" i="8"/>
  <c r="E45" i="9"/>
  <c r="F258" i="8"/>
  <c r="F266" i="8"/>
  <c r="F260" i="8"/>
  <c r="F261" i="8"/>
  <c r="F262" i="8"/>
  <c r="F298" i="6"/>
  <c r="F282" i="6"/>
  <c r="F271" i="8"/>
  <c r="F263" i="8"/>
  <c r="F289" i="6"/>
  <c r="F273" i="6"/>
  <c r="F296" i="6"/>
  <c r="F280" i="6"/>
  <c r="F287" i="6"/>
  <c r="F264" i="8"/>
  <c r="F270" i="8"/>
  <c r="E70" i="9"/>
  <c r="E68" i="9"/>
  <c r="F415" i="8"/>
  <c r="F413" i="8"/>
  <c r="F401" i="8"/>
  <c r="F403" i="8"/>
  <c r="F414" i="8"/>
  <c r="F406" i="8"/>
  <c r="E69" i="9"/>
  <c r="F412" i="8"/>
  <c r="F407" i="8"/>
  <c r="F408" i="8"/>
  <c r="F410" i="8"/>
  <c r="F405" i="8"/>
  <c r="F404" i="8"/>
  <c r="F400" i="8"/>
  <c r="F111" i="7"/>
  <c r="F95" i="7"/>
  <c r="F118" i="7"/>
  <c r="F102" i="7"/>
  <c r="F109" i="7"/>
  <c r="F93" i="7"/>
  <c r="F116" i="7"/>
  <c r="F100" i="7"/>
  <c r="F114" i="7"/>
  <c r="F107" i="7"/>
  <c r="F98" i="7"/>
  <c r="F409" i="8"/>
  <c r="F402" i="8"/>
  <c r="F398" i="8"/>
  <c r="E24" i="10"/>
  <c r="E94" i="9"/>
  <c r="E92" i="9"/>
  <c r="E32" i="10"/>
  <c r="E93" i="9"/>
  <c r="F548" i="8"/>
  <c r="F558" i="8"/>
  <c r="F549" i="8"/>
  <c r="F551" i="8"/>
  <c r="F556" i="8"/>
  <c r="F544" i="8"/>
  <c r="F559" i="8"/>
  <c r="F550" i="8"/>
  <c r="F545" i="8"/>
  <c r="F353" i="7"/>
  <c r="F555" i="8"/>
  <c r="F542" i="8"/>
  <c r="F546" i="8"/>
  <c r="F543" i="8"/>
  <c r="F552" i="8"/>
  <c r="F547" i="8"/>
  <c r="F356" i="7"/>
  <c r="F347" i="7"/>
  <c r="F361" i="7"/>
  <c r="F352" i="7"/>
  <c r="F336" i="7"/>
  <c r="F553" i="8"/>
  <c r="F357" i="7"/>
  <c r="F337" i="7"/>
  <c r="F355" i="7"/>
  <c r="F344" i="7"/>
  <c r="F335" i="7"/>
  <c r="F351" i="7"/>
  <c r="F342" i="7"/>
  <c r="F333" i="7"/>
  <c r="F340" i="7"/>
  <c r="F360" i="7"/>
  <c r="F349" i="7"/>
  <c r="F557" i="8"/>
  <c r="F554" i="8"/>
  <c r="F703" i="8"/>
  <c r="E118" i="9"/>
  <c r="E116" i="9"/>
  <c r="E40" i="10"/>
  <c r="F700" i="8"/>
  <c r="F688" i="8"/>
  <c r="F689" i="8"/>
  <c r="E117" i="9"/>
  <c r="F692" i="8"/>
  <c r="F693" i="8"/>
  <c r="F699" i="8"/>
  <c r="F686" i="8"/>
  <c r="F694" i="8"/>
  <c r="F702" i="8"/>
  <c r="F691" i="8"/>
  <c r="F687" i="8"/>
  <c r="F698" i="8"/>
  <c r="F695" i="8"/>
  <c r="F690" i="8"/>
  <c r="F696" i="8"/>
  <c r="F593" i="7"/>
  <c r="F577" i="7"/>
  <c r="F701" i="8"/>
  <c r="F578" i="7"/>
  <c r="F583" i="7"/>
  <c r="F574" i="7"/>
  <c r="F598" i="7"/>
  <c r="F589" i="7"/>
  <c r="F580" i="7"/>
  <c r="F596" i="7"/>
  <c r="F587" i="7"/>
  <c r="F576" i="7"/>
  <c r="F594" i="7"/>
  <c r="F585" i="7"/>
  <c r="F584" i="7"/>
  <c r="F70" i="5"/>
  <c r="F90" i="5"/>
  <c r="F99" i="5"/>
  <c r="F139" i="5"/>
  <c r="F148" i="5"/>
  <c r="F9" i="6"/>
  <c r="F38" i="6"/>
  <c r="F58" i="6"/>
  <c r="F158" i="6"/>
  <c r="F169" i="6"/>
  <c r="F180" i="6"/>
  <c r="F222" i="6"/>
  <c r="F233" i="6"/>
  <c r="F244" i="6"/>
  <c r="F286" i="6"/>
  <c r="F297" i="6"/>
  <c r="F414" i="6"/>
  <c r="F7" i="7"/>
  <c r="F18" i="7"/>
  <c r="F53" i="7"/>
  <c r="F88" i="7"/>
  <c r="F101" i="7"/>
  <c r="F233" i="7"/>
  <c r="F289" i="7"/>
  <c r="F341" i="7"/>
  <c r="F461" i="7"/>
  <c r="F493" i="7"/>
  <c r="F512" i="7"/>
  <c r="F557" i="7"/>
  <c r="F100" i="8"/>
  <c r="Q190" i="8"/>
  <c r="R207" i="8"/>
  <c r="Q207" i="8"/>
  <c r="F238" i="8"/>
  <c r="N403" i="8"/>
  <c r="R403" i="8" s="1"/>
  <c r="N454" i="8"/>
  <c r="R454" i="8" s="1"/>
  <c r="F405" i="6"/>
  <c r="F416" i="6"/>
  <c r="F42" i="7"/>
  <c r="F55" i="7"/>
  <c r="F66" i="7"/>
  <c r="F103" i="7"/>
  <c r="F235" i="7"/>
  <c r="F248" i="7"/>
  <c r="F276" i="7"/>
  <c r="F291" i="7"/>
  <c r="F302" i="7"/>
  <c r="F328" i="7"/>
  <c r="F343" i="7"/>
  <c r="F514" i="7"/>
  <c r="F544" i="7"/>
  <c r="F559" i="7"/>
  <c r="F572" i="7"/>
  <c r="N32" i="8"/>
  <c r="F86" i="8"/>
  <c r="N162" i="8"/>
  <c r="R162" i="8" s="1"/>
  <c r="F192" i="8"/>
  <c r="N239" i="8"/>
  <c r="N242" i="8"/>
  <c r="R242" i="8" s="1"/>
  <c r="N279" i="8"/>
  <c r="R279" i="8" s="1"/>
  <c r="N300" i="8"/>
  <c r="N341" i="8"/>
  <c r="R341" i="8" s="1"/>
  <c r="Q354" i="8"/>
  <c r="F275" i="8"/>
  <c r="N276" i="8"/>
  <c r="N432" i="8"/>
  <c r="R432" i="8" s="1"/>
  <c r="N491" i="8"/>
  <c r="R491" i="8" s="1"/>
  <c r="N620" i="8"/>
  <c r="F613" i="7"/>
  <c r="F622" i="7"/>
  <c r="Q14" i="8"/>
  <c r="N44" i="8"/>
  <c r="R44" i="8" s="1"/>
  <c r="F142" i="8"/>
  <c r="R217" i="8"/>
  <c r="Q217" i="8"/>
  <c r="F283" i="8"/>
  <c r="F287" i="8"/>
  <c r="N288" i="8"/>
  <c r="Q390" i="8"/>
  <c r="R562" i="8"/>
  <c r="Q562" i="8"/>
  <c r="Q381" i="8"/>
  <c r="Q396" i="8"/>
  <c r="N444" i="8"/>
  <c r="R444" i="8" s="1"/>
  <c r="N447" i="8"/>
  <c r="R447" i="8" s="1"/>
  <c r="R185" i="8"/>
  <c r="Q185" i="8"/>
  <c r="N312" i="8"/>
  <c r="R312" i="8" s="1"/>
  <c r="R407" i="8"/>
  <c r="Q407" i="8"/>
  <c r="R427" i="8"/>
  <c r="Q427" i="8"/>
  <c r="F437" i="8"/>
  <c r="F442" i="8"/>
  <c r="F446" i="8"/>
  <c r="N450" i="8"/>
  <c r="R450" i="8" s="1"/>
  <c r="N502" i="8"/>
  <c r="N523" i="8"/>
  <c r="R523" i="8" s="1"/>
  <c r="N542" i="8"/>
  <c r="N548" i="8"/>
  <c r="R548" i="8" s="1"/>
  <c r="N555" i="8"/>
  <c r="R555" i="8" s="1"/>
  <c r="N76" i="8"/>
  <c r="F150" i="8"/>
  <c r="N161" i="8"/>
  <c r="N193" i="8"/>
  <c r="N219" i="8"/>
  <c r="Q225" i="8"/>
  <c r="Q234" i="8"/>
  <c r="N238" i="8"/>
  <c r="R238" i="8" s="1"/>
  <c r="N256" i="8"/>
  <c r="R256" i="8" s="1"/>
  <c r="N274" i="8"/>
  <c r="R274" i="8" s="1"/>
  <c r="N331" i="8"/>
  <c r="Q434" i="8"/>
  <c r="Q465" i="8"/>
  <c r="Q475" i="8"/>
  <c r="E24" i="9"/>
  <c r="E9" i="10"/>
  <c r="E23" i="9"/>
  <c r="F145" i="8"/>
  <c r="F129" i="8"/>
  <c r="F130" i="8"/>
  <c r="F133" i="8"/>
  <c r="F144" i="8"/>
  <c r="F139" i="8"/>
  <c r="E25" i="9"/>
  <c r="F140" i="8"/>
  <c r="E48" i="9"/>
  <c r="E17" i="10"/>
  <c r="F289" i="8"/>
  <c r="F273" i="8"/>
  <c r="E47" i="9"/>
  <c r="E49" i="9"/>
  <c r="F280" i="8"/>
  <c r="F281" i="8"/>
  <c r="F285" i="8"/>
  <c r="F278" i="8"/>
  <c r="F286" i="8"/>
  <c r="F279" i="8"/>
  <c r="F274" i="8"/>
  <c r="E72" i="9"/>
  <c r="E25" i="10"/>
  <c r="F431" i="8"/>
  <c r="E73" i="9"/>
  <c r="E71" i="9"/>
  <c r="F423" i="8"/>
  <c r="F433" i="8"/>
  <c r="F416" i="8"/>
  <c r="F427" i="8"/>
  <c r="F428" i="8"/>
  <c r="F422" i="8"/>
  <c r="F424" i="8"/>
  <c r="F429" i="8"/>
  <c r="F420" i="8"/>
  <c r="F421" i="8"/>
  <c r="F144" i="7"/>
  <c r="F430" i="8"/>
  <c r="F425" i="8"/>
  <c r="E96" i="9"/>
  <c r="E33" i="10"/>
  <c r="F577" i="8"/>
  <c r="F561" i="8"/>
  <c r="F564" i="8"/>
  <c r="F565" i="8"/>
  <c r="F574" i="8"/>
  <c r="F566" i="8"/>
  <c r="E95" i="9"/>
  <c r="F575" i="8"/>
  <c r="F568" i="8"/>
  <c r="F572" i="8"/>
  <c r="F560" i="8"/>
  <c r="E97" i="9"/>
  <c r="F567" i="8"/>
  <c r="F563" i="8"/>
  <c r="F569" i="8"/>
  <c r="F570" i="8"/>
  <c r="F573" i="8"/>
  <c r="F385" i="7"/>
  <c r="F369" i="7"/>
  <c r="F562" i="8"/>
  <c r="F571" i="8"/>
  <c r="F390" i="7"/>
  <c r="F381" i="7"/>
  <c r="F576" i="8"/>
  <c r="F370" i="7"/>
  <c r="F719" i="8"/>
  <c r="F721" i="8"/>
  <c r="E120" i="9"/>
  <c r="E41" i="10"/>
  <c r="F709" i="8"/>
  <c r="F711" i="8"/>
  <c r="F717" i="8"/>
  <c r="F707" i="8"/>
  <c r="F718" i="8"/>
  <c r="F708" i="8"/>
  <c r="F715" i="8"/>
  <c r="F710" i="8"/>
  <c r="F714" i="8"/>
  <c r="F705" i="8"/>
  <c r="F706" i="8"/>
  <c r="E119" i="9"/>
  <c r="F713" i="8"/>
  <c r="F720" i="8"/>
  <c r="F625" i="7"/>
  <c r="F609" i="7"/>
  <c r="F712" i="8"/>
  <c r="E121" i="9"/>
  <c r="F612" i="7"/>
  <c r="F603" i="7"/>
  <c r="F626" i="7"/>
  <c r="F617" i="7"/>
  <c r="F608" i="7"/>
  <c r="F5" i="5"/>
  <c r="F21" i="5"/>
  <c r="F63" i="6"/>
  <c r="F79" i="6"/>
  <c r="F95" i="6"/>
  <c r="F111" i="6"/>
  <c r="F303" i="6"/>
  <c r="F319" i="6"/>
  <c r="F335" i="6"/>
  <c r="F351" i="6"/>
  <c r="F123" i="7"/>
  <c r="F139" i="7"/>
  <c r="F148" i="7"/>
  <c r="F173" i="7"/>
  <c r="F362" i="7"/>
  <c r="F380" i="7"/>
  <c r="F391" i="7"/>
  <c r="F400" i="7"/>
  <c r="F420" i="7"/>
  <c r="F8" i="8"/>
  <c r="F19" i="8"/>
  <c r="N28" i="8"/>
  <c r="F135" i="8"/>
  <c r="F155" i="8"/>
  <c r="N188" i="8"/>
  <c r="F276" i="8"/>
  <c r="N337" i="8"/>
  <c r="R337" i="8" s="1"/>
  <c r="N348" i="8"/>
  <c r="N352" i="8"/>
  <c r="R352" i="8" s="1"/>
  <c r="F432" i="8"/>
  <c r="F441" i="8"/>
  <c r="N471" i="8"/>
  <c r="Q512" i="8"/>
  <c r="Q618" i="8"/>
  <c r="N656" i="8"/>
  <c r="F104" i="6"/>
  <c r="F312" i="6"/>
  <c r="F328" i="6"/>
  <c r="F344" i="6"/>
  <c r="F360" i="6"/>
  <c r="F132" i="7"/>
  <c r="F157" i="7"/>
  <c r="F166" i="7"/>
  <c r="F373" i="7"/>
  <c r="F382" i="7"/>
  <c r="F402" i="7"/>
  <c r="F605" i="7"/>
  <c r="F616" i="7"/>
  <c r="F627" i="7"/>
  <c r="N3" i="8"/>
  <c r="Q87" i="8"/>
  <c r="N109" i="8"/>
  <c r="N172" i="8"/>
  <c r="R172" i="8" s="1"/>
  <c r="Q173" i="8"/>
  <c r="Q247" i="8"/>
  <c r="N265" i="8"/>
  <c r="Q286" i="8"/>
  <c r="F288" i="8"/>
  <c r="N323" i="8"/>
  <c r="N361" i="8"/>
  <c r="Q414" i="8"/>
  <c r="F417" i="8"/>
  <c r="N433" i="8"/>
  <c r="N621" i="8"/>
  <c r="R621" i="8" s="1"/>
  <c r="E2" i="10"/>
  <c r="E4" i="9"/>
  <c r="E2" i="9"/>
  <c r="F17" i="8"/>
  <c r="F18" i="8"/>
  <c r="F2" i="8"/>
  <c r="E3" i="9"/>
  <c r="F5" i="8"/>
  <c r="F4" i="8"/>
  <c r="F6" i="8"/>
  <c r="F14" i="8"/>
  <c r="F7" i="8"/>
  <c r="E28" i="9"/>
  <c r="E26" i="9"/>
  <c r="E10" i="10"/>
  <c r="E27" i="9"/>
  <c r="F161" i="8"/>
  <c r="F162" i="8"/>
  <c r="F146" i="8"/>
  <c r="F149" i="8"/>
  <c r="F154" i="8"/>
  <c r="F163" i="8"/>
  <c r="F156" i="8"/>
  <c r="F147" i="8"/>
  <c r="E18" i="10"/>
  <c r="E52" i="9"/>
  <c r="E50" i="9"/>
  <c r="E51" i="9"/>
  <c r="F305" i="8"/>
  <c r="F306" i="8"/>
  <c r="F302" i="8"/>
  <c r="F291" i="8"/>
  <c r="F292" i="8"/>
  <c r="F303" i="8"/>
  <c r="F293" i="8"/>
  <c r="F304" i="8"/>
  <c r="F294" i="8"/>
  <c r="F295" i="8"/>
  <c r="F307" i="8"/>
  <c r="F297" i="8"/>
  <c r="F298" i="8"/>
  <c r="F290" i="8"/>
  <c r="E76" i="9"/>
  <c r="E74" i="9"/>
  <c r="E26" i="10"/>
  <c r="E75" i="9"/>
  <c r="F447" i="8"/>
  <c r="F450" i="8"/>
  <c r="F440" i="8"/>
  <c r="F439" i="8"/>
  <c r="F434" i="8"/>
  <c r="F449" i="8"/>
  <c r="F438" i="8"/>
  <c r="F445" i="8"/>
  <c r="F451" i="8"/>
  <c r="F443" i="8"/>
  <c r="F444" i="8"/>
  <c r="F176" i="7"/>
  <c r="F160" i="7"/>
  <c r="F448" i="8"/>
  <c r="E34" i="10"/>
  <c r="E100" i="9"/>
  <c r="E98" i="9"/>
  <c r="F593" i="8"/>
  <c r="F580" i="8"/>
  <c r="F581" i="8"/>
  <c r="F582" i="8"/>
  <c r="F583" i="8"/>
  <c r="F590" i="8"/>
  <c r="F584" i="8"/>
  <c r="F578" i="8"/>
  <c r="F591" i="8"/>
  <c r="F585" i="8"/>
  <c r="F592" i="8"/>
  <c r="F588" i="8"/>
  <c r="E99" i="9"/>
  <c r="F417" i="7"/>
  <c r="F401" i="7"/>
  <c r="F586" i="8"/>
  <c r="F594" i="8"/>
  <c r="F587" i="8"/>
  <c r="F595" i="8"/>
  <c r="F415" i="7"/>
  <c r="F404" i="7"/>
  <c r="F395" i="7"/>
  <c r="F7" i="5"/>
  <c r="F23" i="5"/>
  <c r="F65" i="6"/>
  <c r="F81" i="6"/>
  <c r="F97" i="6"/>
  <c r="F113" i="6"/>
  <c r="F305" i="6"/>
  <c r="F321" i="6"/>
  <c r="F337" i="6"/>
  <c r="F353" i="6"/>
  <c r="F125" i="7"/>
  <c r="F141" i="7"/>
  <c r="F150" i="7"/>
  <c r="F175" i="7"/>
  <c r="F364" i="7"/>
  <c r="F393" i="7"/>
  <c r="F618" i="7"/>
  <c r="N45" i="8"/>
  <c r="Q105" i="8"/>
  <c r="F134" i="8"/>
  <c r="F143" i="8"/>
  <c r="F159" i="8"/>
  <c r="N224" i="8"/>
  <c r="N277" i="8"/>
  <c r="R277" i="8" s="1"/>
  <c r="F284" i="8"/>
  <c r="N289" i="8"/>
  <c r="R289" i="8" s="1"/>
  <c r="R464" i="8"/>
  <c r="Q464" i="8"/>
  <c r="N628" i="8"/>
  <c r="R628" i="8" s="1"/>
  <c r="F106" i="6"/>
  <c r="F314" i="6"/>
  <c r="F330" i="6"/>
  <c r="F346" i="6"/>
  <c r="F134" i="7"/>
  <c r="F159" i="7"/>
  <c r="F168" i="7"/>
  <c r="F177" i="7"/>
  <c r="F375" i="7"/>
  <c r="F384" i="7"/>
  <c r="F413" i="7"/>
  <c r="F607" i="7"/>
  <c r="F629" i="7"/>
  <c r="Q16" i="8"/>
  <c r="N50" i="8"/>
  <c r="N120" i="8"/>
  <c r="R120" i="8" s="1"/>
  <c r="N136" i="8"/>
  <c r="R136" i="8" s="1"/>
  <c r="N140" i="8"/>
  <c r="R140" i="8" s="1"/>
  <c r="N192" i="8"/>
  <c r="R192" i="8" s="1"/>
  <c r="Q218" i="8"/>
  <c r="F300" i="8"/>
  <c r="N501" i="8"/>
  <c r="R501" i="8" s="1"/>
  <c r="F704" i="8"/>
  <c r="N705" i="8"/>
  <c r="F143" i="7"/>
  <c r="F152" i="7"/>
  <c r="F161" i="7"/>
  <c r="F366" i="7"/>
  <c r="F386" i="7"/>
  <c r="F406" i="7"/>
  <c r="F620" i="7"/>
  <c r="R2" i="8"/>
  <c r="R58" i="8"/>
  <c r="N80" i="8"/>
  <c r="R80" i="8" s="1"/>
  <c r="N124" i="8"/>
  <c r="N144" i="8"/>
  <c r="R144" i="8" s="1"/>
  <c r="F148" i="8"/>
  <c r="Q152" i="8"/>
  <c r="N160" i="8"/>
  <c r="R160" i="8" s="1"/>
  <c r="Q214" i="8"/>
  <c r="N227" i="8"/>
  <c r="N237" i="8"/>
  <c r="R237" i="8" s="1"/>
  <c r="N251" i="8"/>
  <c r="R251" i="8" s="1"/>
  <c r="Q327" i="8"/>
  <c r="Q364" i="8"/>
  <c r="N375" i="8"/>
  <c r="R375" i="8" s="1"/>
  <c r="F435" i="8"/>
  <c r="N437" i="8"/>
  <c r="R437" i="8" s="1"/>
  <c r="N467" i="8"/>
  <c r="Q492" i="8"/>
  <c r="F579" i="8"/>
  <c r="N610" i="8"/>
  <c r="Q624" i="8"/>
  <c r="R624" i="8"/>
  <c r="N264" i="8"/>
  <c r="Q366" i="8"/>
  <c r="Q380" i="8"/>
  <c r="N384" i="8"/>
  <c r="R384" i="8" s="1"/>
  <c r="N458" i="8"/>
  <c r="R458" i="8" s="1"/>
  <c r="R593" i="8"/>
  <c r="Q593" i="8"/>
  <c r="N612" i="8"/>
  <c r="R612" i="8" s="1"/>
  <c r="R311" i="8"/>
  <c r="Q311" i="8"/>
  <c r="Q326" i="8"/>
  <c r="Q371" i="8"/>
  <c r="N474" i="8"/>
  <c r="R474" i="8" s="1"/>
  <c r="N494" i="8"/>
  <c r="R494" i="8" s="1"/>
  <c r="Q649" i="8"/>
  <c r="R649" i="8"/>
  <c r="N680" i="8"/>
  <c r="N92" i="8"/>
  <c r="R92" i="8" s="1"/>
  <c r="N125" i="8"/>
  <c r="Q142" i="8"/>
  <c r="N208" i="8"/>
  <c r="N236" i="8"/>
  <c r="N241" i="8"/>
  <c r="N255" i="8"/>
  <c r="N330" i="8"/>
  <c r="R330" i="8" s="1"/>
  <c r="Q347" i="8"/>
  <c r="N388" i="8"/>
  <c r="N490" i="8"/>
  <c r="R490" i="8" s="1"/>
  <c r="N511" i="8"/>
  <c r="R511" i="8" s="1"/>
  <c r="N526" i="8"/>
  <c r="N581" i="8"/>
  <c r="R581" i="8" s="1"/>
  <c r="N108" i="8"/>
  <c r="R108" i="8" s="1"/>
  <c r="N141" i="8"/>
  <c r="Q158" i="8"/>
  <c r="N174" i="8"/>
  <c r="R174" i="8" s="1"/>
  <c r="N215" i="8"/>
  <c r="R215" i="8" s="1"/>
  <c r="N229" i="8"/>
  <c r="N287" i="8"/>
  <c r="R287" i="8" s="1"/>
  <c r="N299" i="8"/>
  <c r="R299" i="8" s="1"/>
  <c r="N315" i="8"/>
  <c r="N365" i="8"/>
  <c r="R365" i="8" s="1"/>
  <c r="N379" i="8"/>
  <c r="N422" i="8"/>
  <c r="R422" i="8" s="1"/>
  <c r="N453" i="8"/>
  <c r="R453" i="8" s="1"/>
  <c r="N507" i="8"/>
  <c r="R507" i="8" s="1"/>
  <c r="N549" i="8"/>
  <c r="R549" i="8" s="1"/>
  <c r="Q574" i="8"/>
  <c r="N683" i="8"/>
  <c r="R683" i="8" s="1"/>
  <c r="N686" i="8"/>
  <c r="R686" i="8" s="1"/>
  <c r="N275" i="8"/>
  <c r="R275" i="8" s="1"/>
  <c r="N320" i="8"/>
  <c r="R320" i="8" s="1"/>
  <c r="N346" i="8"/>
  <c r="R346" i="8" s="1"/>
  <c r="Q431" i="8"/>
  <c r="N445" i="8"/>
  <c r="N470" i="8"/>
  <c r="N640" i="8"/>
  <c r="R640" i="8" s="1"/>
  <c r="Q449" i="8"/>
  <c r="Q462" i="8"/>
  <c r="N668" i="8"/>
  <c r="N671" i="8"/>
  <c r="R671" i="8" s="1"/>
  <c r="Q26" i="8"/>
  <c r="Q59" i="8"/>
  <c r="N156" i="8"/>
  <c r="R156" i="8" s="1"/>
  <c r="N240" i="8"/>
  <c r="R240" i="8" s="1"/>
  <c r="N329" i="8"/>
  <c r="Q350" i="8"/>
  <c r="N378" i="8"/>
  <c r="R378" i="8" s="1"/>
  <c r="N393" i="8"/>
  <c r="Q411" i="8"/>
  <c r="R503" i="8"/>
  <c r="N510" i="8"/>
  <c r="R510" i="8" s="1"/>
  <c r="N545" i="8"/>
  <c r="R545" i="8" s="1"/>
  <c r="N577" i="8"/>
  <c r="N580" i="8"/>
  <c r="N664" i="8"/>
  <c r="N718" i="8"/>
  <c r="R718" i="8" s="1"/>
  <c r="N554" i="8"/>
  <c r="R554" i="8" s="1"/>
  <c r="N572" i="8"/>
  <c r="N663" i="8"/>
  <c r="R663" i="8" s="1"/>
  <c r="N713" i="8"/>
  <c r="N489" i="8"/>
  <c r="N525" i="8"/>
  <c r="R525" i="8" s="1"/>
  <c r="Q589" i="8"/>
  <c r="Q601" i="8"/>
  <c r="N605" i="8"/>
  <c r="R605" i="8" s="1"/>
  <c r="N644" i="8"/>
  <c r="N703" i="8"/>
  <c r="N328" i="8"/>
  <c r="R328" i="8" s="1"/>
  <c r="N479" i="8"/>
  <c r="R479" i="8" s="1"/>
  <c r="N517" i="8"/>
  <c r="R517" i="8" s="1"/>
  <c r="N539" i="8"/>
  <c r="R539" i="8" s="1"/>
  <c r="Q540" i="8"/>
  <c r="N596" i="8"/>
  <c r="R596" i="8" s="1"/>
  <c r="N521" i="8"/>
  <c r="N588" i="8"/>
  <c r="N635" i="8"/>
  <c r="R635" i="8" s="1"/>
  <c r="N639" i="8"/>
  <c r="Q658" i="8"/>
  <c r="N524" i="8"/>
  <c r="N547" i="8"/>
  <c r="Q567" i="8"/>
  <c r="N351" i="8"/>
  <c r="N430" i="8"/>
  <c r="Q505" i="8"/>
  <c r="N563" i="8"/>
  <c r="R563" i="8" s="1"/>
  <c r="N651" i="8"/>
  <c r="R651" i="8" s="1"/>
  <c r="Q678" i="8"/>
  <c r="Q706" i="8"/>
  <c r="N284" i="8"/>
  <c r="R284" i="8" s="1"/>
  <c r="Q423" i="8"/>
  <c r="Q441" i="8"/>
  <c r="N446" i="8"/>
  <c r="R446" i="8" s="1"/>
  <c r="N451" i="8"/>
  <c r="Q469" i="8"/>
  <c r="N595" i="8"/>
  <c r="R595" i="8" s="1"/>
  <c r="Q622" i="8"/>
  <c r="R707" i="8"/>
  <c r="Q707" i="8"/>
  <c r="R662" i="8"/>
  <c r="Q662" i="8"/>
  <c r="Q698" i="8"/>
  <c r="N531" i="8"/>
  <c r="N648" i="8"/>
  <c r="Q682" i="8"/>
  <c r="N685" i="8"/>
  <c r="R685" i="8" s="1"/>
  <c r="Q557" i="8"/>
  <c r="Q561" i="8"/>
  <c r="N473" i="8"/>
  <c r="R487" i="8"/>
  <c r="N615" i="8"/>
  <c r="R615" i="8" s="1"/>
  <c r="N619" i="8"/>
  <c r="R619" i="8" s="1"/>
  <c r="N697" i="8"/>
  <c r="Q541" i="8"/>
  <c r="N556" i="8"/>
  <c r="N560" i="8"/>
  <c r="R560" i="8" s="1"/>
  <c r="N607" i="8"/>
  <c r="Q643" i="8"/>
  <c r="N655" i="8"/>
  <c r="R655" i="8" s="1"/>
  <c r="Q669" i="8"/>
  <c r="Q681" i="8"/>
  <c r="R681" i="8"/>
  <c r="Q721" i="8"/>
  <c r="N625" i="8"/>
  <c r="R625" i="8" s="1"/>
  <c r="N670" i="8"/>
  <c r="R670" i="8" s="1"/>
  <c r="Q675" i="8"/>
  <c r="N689" i="8"/>
  <c r="R689" i="8" s="1"/>
  <c r="Q558" i="8"/>
  <c r="N604" i="8"/>
  <c r="Q609" i="8"/>
  <c r="N654" i="8"/>
  <c r="R654" i="8" s="1"/>
  <c r="N684" i="8"/>
  <c r="Q650" i="8"/>
  <c r="N699" i="8"/>
  <c r="N712" i="8"/>
  <c r="R712" i="8" s="1"/>
  <c r="N522" i="8"/>
  <c r="R522" i="8" s="1"/>
  <c r="N544" i="8"/>
  <c r="N579" i="8"/>
  <c r="Q587" i="8"/>
  <c r="N636" i="8"/>
  <c r="Q637" i="8"/>
  <c r="N688" i="8"/>
  <c r="Q702" i="8"/>
  <c r="Q571" i="8"/>
  <c r="N652" i="8"/>
  <c r="Q653" i="8"/>
  <c r="N667" i="8"/>
  <c r="R667" i="8" s="1"/>
  <c r="Q719" i="8"/>
  <c r="Q704" i="8"/>
  <c r="Q720" i="8"/>
  <c r="N716" i="8"/>
  <c r="Q565" i="8" l="1"/>
  <c r="Q546" i="8"/>
  <c r="Q584" i="8"/>
  <c r="Q613" i="8"/>
  <c r="Q10" i="8"/>
  <c r="Q266" i="8"/>
  <c r="Q132" i="8"/>
  <c r="Q197" i="8"/>
  <c r="Q538" i="8"/>
  <c r="Q303" i="8"/>
  <c r="Q19" i="8"/>
  <c r="Q415" i="8"/>
  <c r="H70" i="9" s="1"/>
  <c r="Q263" i="8"/>
  <c r="Q687" i="8"/>
  <c r="Q85" i="8"/>
  <c r="Q35" i="8"/>
  <c r="Q419" i="8"/>
  <c r="Q611" i="8"/>
  <c r="Q392" i="8"/>
  <c r="Q296" i="8"/>
  <c r="Q578" i="8"/>
  <c r="Q82" i="8"/>
  <c r="Q6" i="8"/>
  <c r="Q99" i="8"/>
  <c r="Q397" i="8"/>
  <c r="Q298" i="8"/>
  <c r="Q559" i="8"/>
  <c r="Q514" i="8"/>
  <c r="Q133" i="8"/>
  <c r="Q319" i="8"/>
  <c r="Q456" i="8"/>
  <c r="Q154" i="8"/>
  <c r="Q68" i="8"/>
  <c r="Q349" i="8"/>
  <c r="Q102" i="8"/>
  <c r="Q134" i="8"/>
  <c r="Q250" i="8"/>
  <c r="Q659" i="8"/>
  <c r="R633" i="8"/>
  <c r="Q101" i="8"/>
  <c r="Q282" i="8"/>
  <c r="Q146" i="8"/>
  <c r="Q520" i="8"/>
  <c r="Q122" i="8"/>
  <c r="Q148" i="8"/>
  <c r="H26" i="9" s="1"/>
  <c r="I26" i="9" s="1"/>
  <c r="Q269" i="8"/>
  <c r="H46" i="9" s="1"/>
  <c r="I46" i="9" s="1"/>
  <c r="Q426" i="8"/>
  <c r="Q294" i="8"/>
  <c r="Q13" i="8"/>
  <c r="Q711" i="8"/>
  <c r="Q570" i="8"/>
  <c r="Q213" i="8"/>
  <c r="Q410" i="8"/>
  <c r="R291" i="8"/>
  <c r="Q79" i="8"/>
  <c r="Q54" i="8"/>
  <c r="R358" i="8"/>
  <c r="Q448" i="8"/>
  <c r="Q630" i="8"/>
  <c r="Q418" i="8"/>
  <c r="R416" i="8"/>
  <c r="Q626" i="8"/>
  <c r="Q466" i="8"/>
  <c r="Q632" i="8"/>
  <c r="R582" i="8"/>
  <c r="Q51" i="8"/>
  <c r="Q463" i="8"/>
  <c r="Q564" i="8"/>
  <c r="Q96" i="8"/>
  <c r="Q259" i="8"/>
  <c r="Q402" i="8"/>
  <c r="Q717" i="8"/>
  <c r="R543" i="8"/>
  <c r="Q15" i="8"/>
  <c r="Q61" i="8"/>
  <c r="Q442" i="8"/>
  <c r="Q195" i="8"/>
  <c r="Q497" i="8"/>
  <c r="Q674" i="8"/>
  <c r="H114" i="9" s="1"/>
  <c r="Q701" i="8"/>
  <c r="Q536" i="8"/>
  <c r="Q22" i="8"/>
  <c r="R262" i="8"/>
  <c r="Q573" i="8"/>
  <c r="Q317" i="8"/>
  <c r="Q709" i="8"/>
  <c r="R519" i="8"/>
  <c r="Q645" i="8"/>
  <c r="Q163" i="8"/>
  <c r="Q516" i="8"/>
  <c r="Q70" i="8"/>
  <c r="Q339" i="8"/>
  <c r="Q322" i="8"/>
  <c r="Q472" i="8"/>
  <c r="Q272" i="8"/>
  <c r="Q221" i="8"/>
  <c r="Q468" i="8"/>
  <c r="Q191" i="8"/>
  <c r="Q196" i="8"/>
  <c r="Q386" i="8"/>
  <c r="Q566" i="8"/>
  <c r="Q176" i="8"/>
  <c r="Q696" i="8"/>
  <c r="Q440" i="8"/>
  <c r="Q367" i="8"/>
  <c r="R244" i="8"/>
  <c r="Q372" i="8"/>
  <c r="Q360" i="8"/>
  <c r="Q116" i="8"/>
  <c r="Q576" i="8"/>
  <c r="Q186" i="8"/>
  <c r="H32" i="9" s="1"/>
  <c r="I32" i="9" s="1"/>
  <c r="R212" i="8"/>
  <c r="Q660" i="8"/>
  <c r="Q324" i="8"/>
  <c r="Q181" i="8"/>
  <c r="Q325" i="8"/>
  <c r="Q308" i="8"/>
  <c r="R575" i="8"/>
  <c r="Q95" i="8"/>
  <c r="Q602" i="8"/>
  <c r="Q106" i="8"/>
  <c r="Q362" i="8"/>
  <c r="Q383" i="8"/>
  <c r="Q368" i="8"/>
  <c r="Q356" i="8"/>
  <c r="Q170" i="8"/>
  <c r="Q389" i="8"/>
  <c r="Q63" i="8"/>
  <c r="R165" i="8"/>
  <c r="Q138" i="8"/>
  <c r="Q292" i="8"/>
  <c r="Q180" i="8"/>
  <c r="Q495" i="8"/>
  <c r="Q591" i="8"/>
  <c r="Q623" i="8"/>
  <c r="R336" i="8"/>
  <c r="Q436" i="8"/>
  <c r="Q661" i="8"/>
  <c r="Q672" i="8"/>
  <c r="Q128" i="8"/>
  <c r="Q484" i="8"/>
  <c r="H82" i="9" s="1"/>
  <c r="Q692" i="8"/>
  <c r="Q394" i="8"/>
  <c r="Q691" i="8"/>
  <c r="Q533" i="8"/>
  <c r="R485" i="8"/>
  <c r="Q271" i="8"/>
  <c r="R304" i="8"/>
  <c r="Q69" i="8"/>
  <c r="Q500" i="8"/>
  <c r="Q260" i="8"/>
  <c r="Q708" i="8"/>
  <c r="Q314" i="8"/>
  <c r="Q666" i="8"/>
  <c r="R223" i="8"/>
  <c r="Q506" i="8"/>
  <c r="Q693" i="8"/>
  <c r="Q228" i="8"/>
  <c r="Q677" i="8"/>
  <c r="Q175" i="8"/>
  <c r="Q586" i="8"/>
  <c r="Q143" i="8"/>
  <c r="Q2" i="8"/>
  <c r="Q437" i="8"/>
  <c r="Q511" i="8"/>
  <c r="Q422" i="8"/>
  <c r="Q490" i="8"/>
  <c r="H8" i="9"/>
  <c r="F4" i="10" s="1"/>
  <c r="H52" i="9"/>
  <c r="I52" i="9" s="1"/>
  <c r="Q628" i="8"/>
  <c r="H106" i="9" s="1"/>
  <c r="H36" i="10" s="1"/>
  <c r="H34" i="9"/>
  <c r="I34" i="9" s="1"/>
  <c r="Q256" i="8"/>
  <c r="Q555" i="8"/>
  <c r="Q30" i="8"/>
  <c r="Q683" i="8"/>
  <c r="Q321" i="8"/>
  <c r="Q421" i="8"/>
  <c r="Q590" i="8"/>
  <c r="Q685" i="8"/>
  <c r="Q192" i="8"/>
  <c r="Q238" i="8"/>
  <c r="Q670" i="8"/>
  <c r="Q289" i="8"/>
  <c r="Q424" i="8"/>
  <c r="Q378" i="8"/>
  <c r="Q454" i="8"/>
  <c r="Q140" i="8"/>
  <c r="Q408" i="8"/>
  <c r="Q88" i="8"/>
  <c r="H16" i="9" s="1"/>
  <c r="H6" i="10" s="1"/>
  <c r="Q663" i="8"/>
  <c r="Q252" i="8"/>
  <c r="Q432" i="8"/>
  <c r="Q237" i="8"/>
  <c r="Q527" i="8"/>
  <c r="Q226" i="8"/>
  <c r="Q172" i="8"/>
  <c r="Q60" i="8"/>
  <c r="Q330" i="8"/>
  <c r="Q179" i="8"/>
  <c r="Q605" i="8"/>
  <c r="Q341" i="8"/>
  <c r="H58" i="9" s="1"/>
  <c r="I58" i="9" s="1"/>
  <c r="Q243" i="8"/>
  <c r="Q44" i="8"/>
  <c r="Q494" i="8"/>
  <c r="Q671" i="8"/>
  <c r="Q279" i="8"/>
  <c r="Q320" i="8"/>
  <c r="Q554" i="8"/>
  <c r="Q403" i="8"/>
  <c r="Q251" i="8"/>
  <c r="Q686" i="8"/>
  <c r="Q240" i="8"/>
  <c r="Q92" i="8"/>
  <c r="Q491" i="8"/>
  <c r="Q612" i="8"/>
  <c r="Q581" i="8"/>
  <c r="Q384" i="8"/>
  <c r="H65" i="9" s="1"/>
  <c r="Q399" i="8"/>
  <c r="Q328" i="8"/>
  <c r="Q178" i="8"/>
  <c r="Q111" i="8"/>
  <c r="Q159" i="8"/>
  <c r="Q284" i="8"/>
  <c r="Q446" i="8"/>
  <c r="Q202" i="8"/>
  <c r="H35" i="9" s="1"/>
  <c r="F13" i="10" s="1"/>
  <c r="Q412" i="8"/>
  <c r="Q525" i="8"/>
  <c r="Q615" i="8"/>
  <c r="Q18" i="8"/>
  <c r="Q480" i="8"/>
  <c r="Q127" i="8"/>
  <c r="Q164" i="8"/>
  <c r="Q513" i="8"/>
  <c r="Q690" i="8"/>
  <c r="Q108" i="8"/>
  <c r="Q563" i="8"/>
  <c r="Q52" i="8"/>
  <c r="Q174" i="8"/>
  <c r="Q375" i="8"/>
  <c r="Q144" i="8"/>
  <c r="R53" i="8"/>
  <c r="Q53" i="8"/>
  <c r="Q476" i="8"/>
  <c r="R703" i="8"/>
  <c r="Q703" i="8"/>
  <c r="R639" i="8"/>
  <c r="Q639" i="8"/>
  <c r="R329" i="8"/>
  <c r="Q329" i="8"/>
  <c r="R547" i="8"/>
  <c r="Q547" i="8"/>
  <c r="Q265" i="8"/>
  <c r="R265" i="8"/>
  <c r="R524" i="8"/>
  <c r="Q524" i="8"/>
  <c r="Q596" i="8"/>
  <c r="H101" i="9" s="1"/>
  <c r="R3" i="8"/>
  <c r="Q3" i="8"/>
  <c r="Q688" i="8"/>
  <c r="R688" i="8"/>
  <c r="R668" i="8"/>
  <c r="Q668" i="8"/>
  <c r="R28" i="8"/>
  <c r="Q28" i="8"/>
  <c r="R76" i="8"/>
  <c r="Q76" i="8"/>
  <c r="R620" i="8"/>
  <c r="Q620" i="8"/>
  <c r="Q160" i="8"/>
  <c r="R169" i="8"/>
  <c r="Q169" i="8"/>
  <c r="Q56" i="8"/>
  <c r="Q227" i="8"/>
  <c r="R227" i="8"/>
  <c r="R276" i="8"/>
  <c r="Q276" i="8"/>
  <c r="Q110" i="8"/>
  <c r="R697" i="8"/>
  <c r="Q697" i="8"/>
  <c r="R224" i="8"/>
  <c r="Q224" i="8"/>
  <c r="R404" i="8"/>
  <c r="Q404" i="8"/>
  <c r="R193" i="8"/>
  <c r="Q193" i="8"/>
  <c r="R141" i="8"/>
  <c r="Q141" i="8"/>
  <c r="R84" i="8"/>
  <c r="Q84" i="8"/>
  <c r="R644" i="8"/>
  <c r="Q644" i="8"/>
  <c r="R161" i="8"/>
  <c r="Q161" i="8"/>
  <c r="R656" i="8"/>
  <c r="Q656" i="8"/>
  <c r="H111" i="9" s="1"/>
  <c r="R24" i="8"/>
  <c r="Q24" i="8"/>
  <c r="Q635" i="8"/>
  <c r="Q549" i="8"/>
  <c r="Q502" i="8"/>
  <c r="R502" i="8"/>
  <c r="R17" i="8"/>
  <c r="Q17" i="8"/>
  <c r="Q517" i="8"/>
  <c r="Q640" i="8"/>
  <c r="Q654" i="8"/>
  <c r="R521" i="8"/>
  <c r="Q521" i="8"/>
  <c r="Q479" i="8"/>
  <c r="R470" i="8"/>
  <c r="Q470" i="8"/>
  <c r="Q606" i="8"/>
  <c r="Q523" i="8"/>
  <c r="Q126" i="8"/>
  <c r="Q651" i="8"/>
  <c r="Q287" i="8"/>
  <c r="R313" i="8"/>
  <c r="Q313" i="8"/>
  <c r="Q444" i="8"/>
  <c r="R117" i="8"/>
  <c r="Q117" i="8"/>
  <c r="R636" i="8"/>
  <c r="Q636" i="8"/>
  <c r="Q545" i="8"/>
  <c r="Q474" i="8"/>
  <c r="Q458" i="8"/>
  <c r="H78" i="9" s="1"/>
  <c r="Q577" i="8"/>
  <c r="R577" i="8"/>
  <c r="Q453" i="8"/>
  <c r="Q208" i="8"/>
  <c r="R208" i="8"/>
  <c r="Q548" i="8"/>
  <c r="Q242" i="8"/>
  <c r="R300" i="8"/>
  <c r="Q300" i="8"/>
  <c r="Q510" i="8"/>
  <c r="Q136" i="8"/>
  <c r="R713" i="8"/>
  <c r="Q713" i="8"/>
  <c r="Q655" i="8"/>
  <c r="R373" i="8"/>
  <c r="Q373" i="8"/>
  <c r="R680" i="8"/>
  <c r="Q680" i="8"/>
  <c r="Q50" i="8"/>
  <c r="R50" i="8"/>
  <c r="R351" i="8"/>
  <c r="Q351" i="8"/>
  <c r="Q34" i="8"/>
  <c r="Q299" i="8"/>
  <c r="Q72" i="8"/>
  <c r="R580" i="8"/>
  <c r="Q580" i="8"/>
  <c r="Q11" i="8"/>
  <c r="R393" i="8"/>
  <c r="Q393" i="8"/>
  <c r="Q312" i="8"/>
  <c r="Q67" i="8"/>
  <c r="R67" i="8"/>
  <c r="Q621" i="8"/>
  <c r="Q595" i="8"/>
  <c r="H100" i="9" s="1"/>
  <c r="Q337" i="8"/>
  <c r="Q338" i="8"/>
  <c r="R229" i="8"/>
  <c r="Q229" i="8"/>
  <c r="R124" i="8"/>
  <c r="Q124" i="8"/>
  <c r="Q274" i="8"/>
  <c r="R233" i="8"/>
  <c r="Q233" i="8"/>
  <c r="H40" i="9" s="1"/>
  <c r="Q4" i="8"/>
  <c r="R189" i="8"/>
  <c r="Q189" i="8"/>
  <c r="Q100" i="8"/>
  <c r="H18" i="9" s="1"/>
  <c r="Q156" i="8"/>
  <c r="R315" i="8"/>
  <c r="Q315" i="8"/>
  <c r="R348" i="8"/>
  <c r="Q348" i="8"/>
  <c r="R451" i="8"/>
  <c r="Q451" i="8"/>
  <c r="R467" i="8"/>
  <c r="Q467" i="8"/>
  <c r="Q46" i="8"/>
  <c r="R588" i="8"/>
  <c r="Q588" i="8"/>
  <c r="Q241" i="8"/>
  <c r="R241" i="8"/>
  <c r="R236" i="8"/>
  <c r="Q236" i="8"/>
  <c r="Q277" i="8"/>
  <c r="R264" i="8"/>
  <c r="Q264" i="8"/>
  <c r="R445" i="8"/>
  <c r="Q445" i="8"/>
  <c r="Q471" i="8"/>
  <c r="R471" i="8"/>
  <c r="Q215" i="8"/>
  <c r="R211" i="8"/>
  <c r="Q211" i="8"/>
  <c r="Q145" i="8"/>
  <c r="R131" i="8"/>
  <c r="Q131" i="8"/>
  <c r="Q365" i="8"/>
  <c r="R77" i="8"/>
  <c r="Q77" i="8"/>
  <c r="Q80" i="8"/>
  <c r="R93" i="8"/>
  <c r="Q93" i="8"/>
  <c r="Q447" i="8"/>
  <c r="R12" i="8"/>
  <c r="Q12" i="8"/>
  <c r="Q718" i="8"/>
  <c r="R345" i="8"/>
  <c r="Q345" i="8"/>
  <c r="R652" i="8"/>
  <c r="Q652" i="8"/>
  <c r="Q155" i="8"/>
  <c r="R556" i="8"/>
  <c r="Q556" i="8"/>
  <c r="Q560" i="8"/>
  <c r="Q539" i="8"/>
  <c r="H91" i="9" s="1"/>
  <c r="R526" i="8"/>
  <c r="Q526" i="8"/>
  <c r="R648" i="8"/>
  <c r="Q648" i="8"/>
  <c r="H109" i="9" s="1"/>
  <c r="R125" i="8"/>
  <c r="Q125" i="8"/>
  <c r="Q45" i="8"/>
  <c r="R45" i="8"/>
  <c r="R188" i="8"/>
  <c r="Q188" i="8"/>
  <c r="Q295" i="8"/>
  <c r="R261" i="8"/>
  <c r="Q261" i="8"/>
  <c r="R121" i="8"/>
  <c r="Q121" i="8"/>
  <c r="Q20" i="8"/>
  <c r="R607" i="8"/>
  <c r="Q607" i="8"/>
  <c r="Q255" i="8"/>
  <c r="R255" i="8"/>
  <c r="R433" i="8"/>
  <c r="Q433" i="8"/>
  <c r="Q712" i="8"/>
  <c r="Q689" i="8"/>
  <c r="R489" i="8"/>
  <c r="Q489" i="8"/>
  <c r="R579" i="8"/>
  <c r="Q579" i="8"/>
  <c r="R684" i="8"/>
  <c r="Q684" i="8"/>
  <c r="Q501" i="8"/>
  <c r="Q667" i="8"/>
  <c r="Q352" i="8"/>
  <c r="Q507" i="8"/>
  <c r="Q450" i="8"/>
  <c r="R705" i="8"/>
  <c r="Q705" i="8"/>
  <c r="R361" i="8"/>
  <c r="Q361" i="8"/>
  <c r="Q194" i="8"/>
  <c r="Q120" i="8"/>
  <c r="R395" i="8"/>
  <c r="Q395" i="8"/>
  <c r="R430" i="8"/>
  <c r="Q430" i="8"/>
  <c r="Q388" i="8"/>
  <c r="R388" i="8"/>
  <c r="R36" i="8"/>
  <c r="Q36" i="8"/>
  <c r="Q531" i="8"/>
  <c r="H90" i="9" s="1"/>
  <c r="R531" i="8"/>
  <c r="R288" i="8"/>
  <c r="Q288" i="8"/>
  <c r="Q625" i="8"/>
  <c r="R331" i="8"/>
  <c r="Q331" i="8"/>
  <c r="Q363" i="8"/>
  <c r="R604" i="8"/>
  <c r="Q604" i="8"/>
  <c r="R664" i="8"/>
  <c r="Q664" i="8"/>
  <c r="Q275" i="8"/>
  <c r="Q216" i="8"/>
  <c r="R32" i="8"/>
  <c r="Q32" i="8"/>
  <c r="R716" i="8"/>
  <c r="Q716" i="8"/>
  <c r="R699" i="8"/>
  <c r="Q699" i="8"/>
  <c r="Q572" i="8"/>
  <c r="R572" i="8"/>
  <c r="R544" i="8"/>
  <c r="Q544" i="8"/>
  <c r="R473" i="8"/>
  <c r="Q473" i="8"/>
  <c r="Q619" i="8"/>
  <c r="Q346" i="8"/>
  <c r="Q522" i="8"/>
  <c r="R379" i="8"/>
  <c r="Q379" i="8"/>
  <c r="Q610" i="8"/>
  <c r="R610" i="8"/>
  <c r="R323" i="8"/>
  <c r="Q323" i="8"/>
  <c r="Q109" i="8"/>
  <c r="R109" i="8"/>
  <c r="R219" i="8"/>
  <c r="Q219" i="8"/>
  <c r="R542" i="8"/>
  <c r="Q542" i="8"/>
  <c r="R239" i="8"/>
  <c r="Q239" i="8"/>
  <c r="R153" i="8"/>
  <c r="Q153" i="8"/>
  <c r="Q162" i="8"/>
  <c r="Q177" i="8"/>
  <c r="R137" i="8"/>
  <c r="Q137" i="8"/>
  <c r="Q616" i="8"/>
  <c r="R616" i="8"/>
  <c r="Q66" i="8"/>
  <c r="H50" i="9" l="1"/>
  <c r="H97" i="9"/>
  <c r="H66" i="9"/>
  <c r="H72" i="9"/>
  <c r="H121" i="9"/>
  <c r="H38" i="9"/>
  <c r="H79" i="9"/>
  <c r="I79" i="9" s="1"/>
  <c r="H71" i="9"/>
  <c r="F25" i="10" s="1"/>
  <c r="H117" i="9"/>
  <c r="H61" i="9"/>
  <c r="H96" i="9"/>
  <c r="G33" i="10" s="1"/>
  <c r="H28" i="10"/>
  <c r="I82" i="9"/>
  <c r="H63" i="9"/>
  <c r="I63" i="9" s="1"/>
  <c r="H23" i="9"/>
  <c r="F9" i="10" s="1"/>
  <c r="H74" i="9"/>
  <c r="I74" i="9" s="1"/>
  <c r="H13" i="9"/>
  <c r="H5" i="10" s="1"/>
  <c r="H84" i="9"/>
  <c r="I84" i="9" s="1"/>
  <c r="H119" i="9"/>
  <c r="H99" i="9"/>
  <c r="G34" i="10" s="1"/>
  <c r="F10" i="10"/>
  <c r="F12" i="10"/>
  <c r="H6" i="9"/>
  <c r="G3" i="10" s="1"/>
  <c r="H4" i="9"/>
  <c r="H2" i="10" s="1"/>
  <c r="H3" i="9"/>
  <c r="G2" i="10" s="1"/>
  <c r="H18" i="10"/>
  <c r="H51" i="9"/>
  <c r="I51" i="9" s="1"/>
  <c r="H42" i="9"/>
  <c r="G15" i="10" s="1"/>
  <c r="H104" i="9"/>
  <c r="F36" i="10" s="1"/>
  <c r="H77" i="9"/>
  <c r="F27" i="10" s="1"/>
  <c r="I8" i="9"/>
  <c r="H113" i="9"/>
  <c r="F39" i="10" s="1"/>
  <c r="H7" i="9"/>
  <c r="I7" i="9" s="1"/>
  <c r="H19" i="9"/>
  <c r="H7" i="10" s="1"/>
  <c r="H98" i="9"/>
  <c r="I98" i="9" s="1"/>
  <c r="H60" i="9"/>
  <c r="G21" i="10" s="1"/>
  <c r="H120" i="9"/>
  <c r="I120" i="9" s="1"/>
  <c r="H12" i="10"/>
  <c r="H64" i="9"/>
  <c r="H22" i="10" s="1"/>
  <c r="H43" i="9"/>
  <c r="I43" i="9" s="1"/>
  <c r="H55" i="9"/>
  <c r="H19" i="10" s="1"/>
  <c r="H20" i="9"/>
  <c r="I20" i="9" s="1"/>
  <c r="H75" i="9"/>
  <c r="I75" i="9" s="1"/>
  <c r="I106" i="9"/>
  <c r="I16" i="9"/>
  <c r="H87" i="9"/>
  <c r="G30" i="10" s="1"/>
  <c r="H118" i="9"/>
  <c r="I118" i="9" s="1"/>
  <c r="H10" i="9"/>
  <c r="I10" i="9" s="1"/>
  <c r="H69" i="9"/>
  <c r="I69" i="9" s="1"/>
  <c r="H44" i="9"/>
  <c r="F16" i="10" s="1"/>
  <c r="H53" i="9"/>
  <c r="F19" i="10" s="1"/>
  <c r="H30" i="9"/>
  <c r="I30" i="9" s="1"/>
  <c r="H54" i="9"/>
  <c r="I54" i="9" s="1"/>
  <c r="H56" i="9"/>
  <c r="I56" i="9" s="1"/>
  <c r="H49" i="9"/>
  <c r="I49" i="9" s="1"/>
  <c r="H86" i="9"/>
  <c r="I86" i="9" s="1"/>
  <c r="H41" i="9"/>
  <c r="F15" i="10" s="1"/>
  <c r="H31" i="9"/>
  <c r="H11" i="10" s="1"/>
  <c r="H22" i="9"/>
  <c r="I22" i="9" s="1"/>
  <c r="H81" i="9"/>
  <c r="G28" i="10" s="1"/>
  <c r="H2" i="9"/>
  <c r="F2" i="10" s="1"/>
  <c r="H112" i="9"/>
  <c r="H38" i="10" s="1"/>
  <c r="H89" i="9"/>
  <c r="I89" i="9" s="1"/>
  <c r="H37" i="9"/>
  <c r="I37" i="9" s="1"/>
  <c r="H102" i="9"/>
  <c r="I102" i="9" s="1"/>
  <c r="H16" i="10"/>
  <c r="H83" i="9"/>
  <c r="F29" i="10" s="1"/>
  <c r="H45" i="9"/>
  <c r="I45" i="9" s="1"/>
  <c r="H94" i="9"/>
  <c r="H32" i="10" s="1"/>
  <c r="H47" i="9"/>
  <c r="I47" i="9" s="1"/>
  <c r="H103" i="9"/>
  <c r="H35" i="10" s="1"/>
  <c r="H27" i="9"/>
  <c r="I27" i="9" s="1"/>
  <c r="H11" i="9"/>
  <c r="I11" i="9" s="1"/>
  <c r="H85" i="9"/>
  <c r="I85" i="9" s="1"/>
  <c r="H48" i="9"/>
  <c r="I48" i="9" s="1"/>
  <c r="H115" i="9"/>
  <c r="I115" i="9" s="1"/>
  <c r="H39" i="9"/>
  <c r="G14" i="10" s="1"/>
  <c r="H15" i="9"/>
  <c r="G6" i="10" s="1"/>
  <c r="H28" i="9"/>
  <c r="I28" i="9" s="1"/>
  <c r="H9" i="9"/>
  <c r="G4" i="10" s="1"/>
  <c r="H95" i="9"/>
  <c r="I95" i="9" s="1"/>
  <c r="H88" i="9"/>
  <c r="I88" i="9" s="1"/>
  <c r="H68" i="9"/>
  <c r="F24" i="10" s="1"/>
  <c r="H62" i="9"/>
  <c r="F22" i="10" s="1"/>
  <c r="H110" i="9"/>
  <c r="F38" i="10" s="1"/>
  <c r="H116" i="9"/>
  <c r="I116" i="9" s="1"/>
  <c r="I35" i="9"/>
  <c r="H20" i="10"/>
  <c r="H29" i="9"/>
  <c r="I29" i="9" s="1"/>
  <c r="H17" i="9"/>
  <c r="I17" i="9" s="1"/>
  <c r="H37" i="10"/>
  <c r="I109" i="9"/>
  <c r="I50" i="9"/>
  <c r="F18" i="10"/>
  <c r="I13" i="9"/>
  <c r="F41" i="10"/>
  <c r="I119" i="9"/>
  <c r="H41" i="10"/>
  <c r="I121" i="9"/>
  <c r="H57" i="9"/>
  <c r="H21" i="9"/>
  <c r="I18" i="9"/>
  <c r="G7" i="10"/>
  <c r="H14" i="9"/>
  <c r="H92" i="9"/>
  <c r="H59" i="9"/>
  <c r="I117" i="9"/>
  <c r="G40" i="10"/>
  <c r="I70" i="9"/>
  <c r="H24" i="10"/>
  <c r="I111" i="9"/>
  <c r="G38" i="10"/>
  <c r="I90" i="9"/>
  <c r="G31" i="10"/>
  <c r="H67" i="9"/>
  <c r="I40" i="9"/>
  <c r="H14" i="10"/>
  <c r="H33" i="9"/>
  <c r="G22" i="10"/>
  <c r="H93" i="9"/>
  <c r="I66" i="9"/>
  <c r="G23" i="10"/>
  <c r="H36" i="9"/>
  <c r="H25" i="9"/>
  <c r="H108" i="9"/>
  <c r="I91" i="9"/>
  <c r="H31" i="10"/>
  <c r="H21" i="10"/>
  <c r="I61" i="9"/>
  <c r="H24" i="9"/>
  <c r="I72" i="9"/>
  <c r="G25" i="10"/>
  <c r="F23" i="10"/>
  <c r="I65" i="9"/>
  <c r="H12" i="9"/>
  <c r="I101" i="9"/>
  <c r="F35" i="10"/>
  <c r="H34" i="10"/>
  <c r="I100" i="9"/>
  <c r="H105" i="9"/>
  <c r="H76" i="9"/>
  <c r="G27" i="10"/>
  <c r="I78" i="9"/>
  <c r="I97" i="9"/>
  <c r="H33" i="10"/>
  <c r="I114" i="9"/>
  <c r="G39" i="10"/>
  <c r="H73" i="9"/>
  <c r="I38" i="9"/>
  <c r="F14" i="10"/>
  <c r="H5" i="9"/>
  <c r="H80" i="9"/>
  <c r="H107" i="9"/>
  <c r="G26" i="10" l="1"/>
  <c r="I71" i="9"/>
  <c r="H27" i="10"/>
  <c r="I96" i="9"/>
  <c r="I23" i="9"/>
  <c r="I99" i="9"/>
  <c r="G29" i="10"/>
  <c r="I6" i="9"/>
  <c r="F26" i="10"/>
  <c r="I4" i="9"/>
  <c r="I41" i="9"/>
  <c r="I42" i="9"/>
  <c r="I104" i="9"/>
  <c r="F8" i="10"/>
  <c r="F5" i="10"/>
  <c r="I3" i="9"/>
  <c r="I81" i="9"/>
  <c r="I87" i="9"/>
  <c r="I77" i="9"/>
  <c r="I31" i="9"/>
  <c r="G18" i="10"/>
  <c r="I19" i="9"/>
  <c r="H3" i="10"/>
  <c r="G24" i="10"/>
  <c r="I2" i="9"/>
  <c r="H4" i="10"/>
  <c r="I15" i="9"/>
  <c r="I39" i="9"/>
  <c r="H29" i="10"/>
  <c r="I44" i="9"/>
  <c r="I60" i="9"/>
  <c r="F34" i="10"/>
  <c r="I113" i="9"/>
  <c r="I64" i="9"/>
  <c r="H13" i="10"/>
  <c r="I110" i="9"/>
  <c r="G41" i="10"/>
  <c r="H15" i="10"/>
  <c r="I55" i="9"/>
  <c r="F20" i="10"/>
  <c r="I103" i="9"/>
  <c r="G10" i="10"/>
  <c r="H17" i="10"/>
  <c r="I53" i="9"/>
  <c r="H40" i="10"/>
  <c r="G19" i="10"/>
  <c r="F30" i="10"/>
  <c r="I9" i="9"/>
  <c r="H10" i="10"/>
  <c r="G11" i="10"/>
  <c r="G16" i="10"/>
  <c r="I62" i="9"/>
  <c r="I83" i="9"/>
  <c r="F40" i="10"/>
  <c r="H8" i="10"/>
  <c r="F17" i="10"/>
  <c r="I68" i="9"/>
  <c r="F31" i="10"/>
  <c r="G35" i="10"/>
  <c r="I94" i="9"/>
  <c r="H30" i="10"/>
  <c r="I112" i="9"/>
  <c r="H39" i="10"/>
  <c r="G17" i="10"/>
  <c r="F33" i="10"/>
  <c r="F11" i="10"/>
  <c r="F7" i="10"/>
  <c r="I5" i="9"/>
  <c r="F3" i="10"/>
  <c r="F21" i="10"/>
  <c r="I59" i="9"/>
  <c r="G36" i="10"/>
  <c r="I105" i="9"/>
  <c r="H25" i="10"/>
  <c r="I73" i="9"/>
  <c r="G32" i="10"/>
  <c r="I93" i="9"/>
  <c r="I14" i="9"/>
  <c r="F6" i="10"/>
  <c r="G20" i="10"/>
  <c r="I57" i="9"/>
  <c r="I108" i="9"/>
  <c r="G37" i="10"/>
  <c r="H9" i="10"/>
  <c r="I25" i="9"/>
  <c r="I76" i="9"/>
  <c r="H26" i="10"/>
  <c r="I92" i="9"/>
  <c r="F32" i="10"/>
  <c r="I21" i="9"/>
  <c r="G8" i="10"/>
  <c r="F37" i="10"/>
  <c r="I107" i="9"/>
  <c r="I80" i="9"/>
  <c r="F28" i="10"/>
  <c r="H23" i="10"/>
  <c r="I67" i="9"/>
  <c r="I36" i="9"/>
  <c r="G13" i="10"/>
  <c r="I12" i="9"/>
  <c r="G5" i="10"/>
  <c r="G12" i="10"/>
  <c r="I33" i="9"/>
  <c r="I24" i="9"/>
  <c r="G9" i="10"/>
</calcChain>
</file>

<file path=xl/sharedStrings.xml><?xml version="1.0" encoding="utf-8"?>
<sst xmlns="http://schemas.openxmlformats.org/spreadsheetml/2006/main" count="10221" uniqueCount="2172">
  <si>
    <t>دليل الاستخدام — قياس نضج النموذج التشغيلي للوحدات التنظيمية</t>
  </si>
  <si>
    <t>١) منطق القياس (من الأسفل إلى الأعلى)</t>
  </si>
  <si>
    <t>نقطة التحقق ← العنصر ← المرحلة ← الوحدة التنظيمية</t>
  </si>
  <si>
    <t>• تُقاس كل نقطة تحقق على حدة لكل وحدة تنظيمية بنسبة من ٠ إلى ١٠٠، وتُصنَّف تلقائيًا: مستوفاة بشكل أولي ≤ ٣٠، جزئي ٣١–٧٠، متقدم &gt; ٧٠ (نفس حدود التصنيف في «المرجع»).</t>
  </si>
  <si>
    <t>• نسبة اكتمال العنصر = متوسط نسب نقاط التحقق التابعة له (النقطة غير المقيّمة تُحتسب صفرًا).</t>
  </si>
  <si>
    <t>• الوزن المكتسب للعنصر = وزن العنصر في المرحلة × نسبة اكتماله ÷ ١٠٠.</t>
  </si>
  <si>
    <t>• درجة المرحلة = مجموع الأوزان المكتسبة لعناصرها (مجموع أوزان كل مرحلة = ١٠٠).</t>
  </si>
  <si>
    <t>• التصنيف: أولي ≤ ٣٠، جزئي ٣١–٧٠، متقدم &gt; ٧٠.</t>
  </si>
  <si>
    <t>٢) بنية الملف</t>
  </si>
  <si>
    <t>• «المرجع»: المراحل الثلاث (التصميم / البناء المؤسسي / التشغيل) والعناصر وأوزانها وعدد نقاط التحقق وحدود التصنيف.</t>
  </si>
  <si>
    <t>• «نقاط التحقق»: نص كل نقطة تحقق وكودها والجهة المزودة للمعلومة (٣٠ نقطة).</t>
  </si>
  <si>
    <t>• «قائمة الوحدات»: سجل الوحدات المقاسة بأكوادها — نقطة التعريف الوحيدة لأي وحدة.</t>
  </si>
  <si>
    <t>• ثلاث أوراق إدخال بمستوى نقطة التحقق: «المرتبطة بالمسؤول الأول» و«الشؤون التنفيذية» و«الجهاز العسكري».</t>
  </si>
  <si>
    <t>• «تقييم العناصر»: نسبة اكتمال كل عنصر محسوبة من نقاطه + عمود ملاحظات لتفسير النقص.</t>
  </si>
  <si>
    <t>• «النتائج»: درجة كل وحدة في كل مرحلة. «ملخص الوحدات»: المراحل الثلاث في صف واحد لكل وحدة.</t>
  </si>
  <si>
    <t>٣) ما الذي تعبّئه أنت (الخلايا الصفراء بخط أزرق فقط)</t>
  </si>
  <si>
    <t>• في أوراق الإدخال الثلاث: «نسبة إنجاز النقطة %» (٠–١٠٠) + «ملاحظات النقطة» + «الشواهد / الرابط» + «دورة القياس».</t>
  </si>
  <si>
    <t>• في «تقييم العناصر»: عمود «ملاحظات العنصر» بعد نسبة الاكتمال مباشرة — تكتب فيه سبب النقص (مثال: نضج الدور ٥٧٪ ← الدور معتمد ولم يُعمّم على أصحاب المصلحة).</t>
  </si>
  <si>
    <t>• كل ما عدا ذلك معادلات محسوبة تلقائيًا — لا تكتب فوقها.</t>
  </si>
  <si>
    <t>٤) لإضافة وحدة تنظيمية جديدة</t>
  </si>
  <si>
    <t>• أضف صفًا في «قائمة الوحدات» بكود جديد، ثم انسخ ٣٠ صفًا كاملة في ورقة مجموعتها وغيّر «كود الوحدة» فقط.</t>
  </si>
  <si>
    <t>• أضف ١٨ صفًا في «تقييم العناصر» و٣ صفوف في «النتائج» وصفًا واحدًا في «ملخص الوحدات».</t>
  </si>
  <si>
    <t>٥) ملاحظات وافتراضات — تحتاج مراجعتك</t>
  </si>
  <si>
    <t>• أسماء وحدات «المرتبطة بالمسؤول الأول» (وحدة مرتبطة ١–٦) أسماء مؤقتة؛ استبدلها بالقائمة الفعلية.</t>
  </si>
  <si>
    <t>• جميع نسب نقاط التحقق في الملف قيم وهمية للتجربة، موزّعة من القيم الوهمية في ملفك الأصلي.</t>
  </si>
  <si>
    <t>• نقاط التحقق داخل العنصر الواحد متساوية الوزن؛ أخبرني إن كان لديك ترجيح مختلف بينها.</t>
  </si>
  <si>
    <t>• «النضج الإجمالي» في ورقة الملخص متوسط حسابي بسيط للمراحل الثلاث — افتراض قابل للتغيير.</t>
  </si>
  <si>
    <t>• «الجهة المزودة للمعلومة» في ورقة نقاط التحقق متروكة فارغة لتعبئتها حسب أيقونات الإطار المعتمد.</t>
  </si>
  <si>
    <t>٦) للربط مع أداة HTML</t>
  </si>
  <si>
    <t>• لكل صف مفتاح نصي فريد في «معرف الصف»: كود الوحدة + كود النقطة (في الإدخال)، وكود الوحدة + المرحلة + العنصر (في تقييم العناصر).</t>
  </si>
  <si>
    <t>• استخدم الأكواد الإنجليزية (المجموعة / الوحدة / المرحلة / العنصر / النقطة) للربط والفرز، لا الأسماء العربية.</t>
  </si>
  <si>
    <t>• أوراق الإدخال الثلاث متطابقة الأعمدة تمامًا فيمكن دمجها في مصفوفة واحدة بعد القراءة.</t>
  </si>
  <si>
    <t>المرحلة</t>
  </si>
  <si>
    <t>كود المرحلة</t>
  </si>
  <si>
    <t>ترتيب المرحلة</t>
  </si>
  <si>
    <t>العنصر</t>
  </si>
  <si>
    <t>كود العنصر</t>
  </si>
  <si>
    <t>ترتيب العنصر</t>
  </si>
  <si>
    <t>الوزن في المرحلة %</t>
  </si>
  <si>
    <t>عدد نقاط التحقق</t>
  </si>
  <si>
    <t>حدود التصنيف</t>
  </si>
  <si>
    <t>القيمة</t>
  </si>
  <si>
    <t>التصميم</t>
  </si>
  <si>
    <t>DESIGN</t>
  </si>
  <si>
    <t>الدور</t>
  </si>
  <si>
    <t>ROLE</t>
  </si>
  <si>
    <t>أولي: أقل من أو يساوي</t>
  </si>
  <si>
    <t>الأهداف ومؤشرات الأداء</t>
  </si>
  <si>
    <t>KPI</t>
  </si>
  <si>
    <t>متقدم: أعلى من</t>
  </si>
  <si>
    <t>الحوكمة</t>
  </si>
  <si>
    <t>GOV</t>
  </si>
  <si>
    <t>جزئي: ما بينهما</t>
  </si>
  <si>
    <t>التنظيم</t>
  </si>
  <si>
    <t>ORG</t>
  </si>
  <si>
    <t>الموارد</t>
  </si>
  <si>
    <t>RES</t>
  </si>
  <si>
    <t>ملاحظة: عدد نقاط التحقق مأخوذ من إطار نقاط التحقق المعتمد (ورقة «نقاط التحقق»).</t>
  </si>
  <si>
    <t>الإجراءات</t>
  </si>
  <si>
    <t>PROC</t>
  </si>
  <si>
    <t>البناء المؤسسي</t>
  </si>
  <si>
    <t>BUILD</t>
  </si>
  <si>
    <t>إنتاج المخرج الأول</t>
  </si>
  <si>
    <t>OUT1</t>
  </si>
  <si>
    <t>التشغيل</t>
  </si>
  <si>
    <t>OPERATE</t>
  </si>
  <si>
    <t>اكتمال المخرجات المستهدفة</t>
  </si>
  <si>
    <t>OUTF</t>
  </si>
  <si>
    <t>كود النقطة</t>
  </si>
  <si>
    <t>رقم النقطة</t>
  </si>
  <si>
    <t>نص نقطة التحقق</t>
  </si>
  <si>
    <t>الجهة المزودة للمعلومة</t>
  </si>
  <si>
    <t>DESIGN-ROLE-1</t>
  </si>
  <si>
    <t>دور مفصل للوحدة التنظيمية</t>
  </si>
  <si>
    <t>DESIGN-KPI-1</t>
  </si>
  <si>
    <t>أهداف محددة للوحدة التنظيمية وربطها بمؤشرات أداء لقياسها</t>
  </si>
  <si>
    <t>DESIGN-KPI-2</t>
  </si>
  <si>
    <t>مؤشرات أداء الوحدة التنظيمية</t>
  </si>
  <si>
    <t>DESIGN-GOV-1</t>
  </si>
  <si>
    <t>تفصيل القرارات ومصفوفة الصلاحيات واللجان ذات العلاقة لاعتماد مخرجات الوحدة التنظيمية</t>
  </si>
  <si>
    <t>DESIGN-ORG-1</t>
  </si>
  <si>
    <t>تطوير الأدوار والمسؤوليات للوحدة التنظيمية وتفصيل الهيكل التنظيمي</t>
  </si>
  <si>
    <t>DESIGN-RES-1</t>
  </si>
  <si>
    <t>تفصيل احتياج الموارد البشرية للوحدة التنظيمية</t>
  </si>
  <si>
    <t>DESIGN-PROC-1</t>
  </si>
  <si>
    <t>تفصيل المخرجات إلى إجراءات عالية المستوى</t>
  </si>
  <si>
    <t>BUILD-ROLE-1</t>
  </si>
  <si>
    <t>دور معتمد للوحدة التنظيمية</t>
  </si>
  <si>
    <t>BUILD-KPI-1</t>
  </si>
  <si>
    <t>أهداف تشغيلية معتمدة من صاحب الصلاحية</t>
  </si>
  <si>
    <t>BUILD-KPI-2</t>
  </si>
  <si>
    <t>نشر الأهداف التشغيلية على موظفي الوحدة التنظيمية</t>
  </si>
  <si>
    <t>BUILD-GOV-1</t>
  </si>
  <si>
    <t>مصفوفة صلاحيات معتمدة ومعممة على أصحاب المصلحة</t>
  </si>
  <si>
    <t>BUILD-GOV-2</t>
  </si>
  <si>
    <t>سياسات معتمدة للتي تملكها الوحدة التنظيمية</t>
  </si>
  <si>
    <t>BUILD-GOV-3</t>
  </si>
  <si>
    <t>قرار تشكيل معتمد للجان ذات العلاقة</t>
  </si>
  <si>
    <t>BUILD-ORG-1</t>
  </si>
  <si>
    <t>هيكل تنظيمي معتمد من صاحب الصلاحية</t>
  </si>
  <si>
    <t>BUILD-ORG-2</t>
  </si>
  <si>
    <t>هيكل تنظيمي منشأ على نظام القوى العاملة</t>
  </si>
  <si>
    <t>BUILD-ORG-3</t>
  </si>
  <si>
    <t>الموظفون المحددون مسكّنون على الهيكل التنظيمي المستهدف</t>
  </si>
  <si>
    <t>BUILD-RES-1</t>
  </si>
  <si>
    <t>مدير الوحدة التنظيمية والموظفون الرئيسيون معينون/ملحقون</t>
  </si>
  <si>
    <t>BUILD-RES-2</t>
  </si>
  <si>
    <t>خطة توظيف وتدريب مستكملة</t>
  </si>
  <si>
    <t>BUILD-RES-3</t>
  </si>
  <si>
    <t>وجود مساحات مكتبية كافية</t>
  </si>
  <si>
    <t>BUILD-RES-4</t>
  </si>
  <si>
    <t>وجود الاحتياجات التقنية الأساسية</t>
  </si>
  <si>
    <t>BUILD-PROC-1</t>
  </si>
  <si>
    <t>إجراءات معتمدة للوحدة التنظيمية</t>
  </si>
  <si>
    <t>BUILD-OUT1-1</t>
  </si>
  <si>
    <t>إنتاج المخرج الأول من قبل الوحدة التنظيمية</t>
  </si>
  <si>
    <t>OPERATE-KPI-1</t>
  </si>
  <si>
    <t>تحرك مؤشرات الأداء التشغيلي للوحدة التنظيمية بشكل إيجابي</t>
  </si>
  <si>
    <t>OPERATE-KPI-2</t>
  </si>
  <si>
    <t>خطة سنوية معتمدة للوحدة التنظيمية</t>
  </si>
  <si>
    <t>OPERATE-GOV-1</t>
  </si>
  <si>
    <t>محاضر لجان موثقة</t>
  </si>
  <si>
    <t>OPERATE-GOV-2</t>
  </si>
  <si>
    <t>نشر السياسات التي تملكها الوحدة التنظيمية</t>
  </si>
  <si>
    <t>OPERATE-GOV-3</t>
  </si>
  <si>
    <t>اتخاذ القرارات في نطاق الصلاحيات (وجود شواهد)</t>
  </si>
  <si>
    <t>OPERATE-RES-1</t>
  </si>
  <si>
    <t>موارد مستكملة للحد الأدنى الذي يغطي كافة محاور سلسلة القيمة</t>
  </si>
  <si>
    <t>OPERATE-PROC-1</t>
  </si>
  <si>
    <t>تحقيق تقييم "مطبق بشكل كامل" من منهجية تقييم فعالية الإجراءات</t>
  </si>
  <si>
    <t>OPERATE-OUTF-1</t>
  </si>
  <si>
    <t>اكتمال مخرجات النموذج التشغيلي المستهدف للوحدة التنظيمية</t>
  </si>
  <si>
    <t>كود الوحدة</t>
  </si>
  <si>
    <t>كود المجموعة</t>
  </si>
  <si>
    <t>المجموعة</t>
  </si>
  <si>
    <t>الوحدة التنظيمية الرئيسية</t>
  </si>
  <si>
    <t>الوحدة التنظيمية الفرعية</t>
  </si>
  <si>
    <t>الوحدة المقاسة</t>
  </si>
  <si>
    <t>مستوى الوحدة</t>
  </si>
  <si>
    <t>ورقة الإدخال</t>
  </si>
  <si>
    <t>عدد نقاط التحقق المقاسة</t>
  </si>
  <si>
    <t>TOP-01</t>
  </si>
  <si>
    <t>TOP</t>
  </si>
  <si>
    <t>المكتب التنفيذي</t>
  </si>
  <si>
    <t>—</t>
  </si>
  <si>
    <t>إدارة</t>
  </si>
  <si>
    <t>TOP-02</t>
  </si>
  <si>
    <t>إدارة المتابعة والتقارير</t>
  </si>
  <si>
    <t>TOP-03</t>
  </si>
  <si>
    <t>إدارة الحوكمة والمخاطر</t>
  </si>
  <si>
    <t>TOP-04</t>
  </si>
  <si>
    <t>إدارة الشؤون القانونية</t>
  </si>
  <si>
    <t>TOP-05</t>
  </si>
  <si>
    <t>إدارة التميز المؤسسي</t>
  </si>
  <si>
    <t>EXE-01</t>
  </si>
  <si>
    <t>EXE</t>
  </si>
  <si>
    <t>الشؤون التنفيذية</t>
  </si>
  <si>
    <t>وكالة الشؤون الفنية</t>
  </si>
  <si>
    <t>الإدارة العامة للتخطيط والدراسات</t>
  </si>
  <si>
    <t>إدارة عامة</t>
  </si>
  <si>
    <t>EXE-02</t>
  </si>
  <si>
    <t>الإدارة العامة للجودة والتطوير</t>
  </si>
  <si>
    <t>EXE-03</t>
  </si>
  <si>
    <t>الإدارة العامة للمشاريع</t>
  </si>
  <si>
    <t>EXE-04</t>
  </si>
  <si>
    <t>الإدارة العامة للتشغيل والصيانة</t>
  </si>
  <si>
    <t>EXE-05</t>
  </si>
  <si>
    <t>الإدارة العامة للسلامة والبيئة</t>
  </si>
  <si>
    <t>EXE-06</t>
  </si>
  <si>
    <t>الإدارة العامة للأصول والمرافق</t>
  </si>
  <si>
    <t>EXE-07</t>
  </si>
  <si>
    <t>الإدارة العامة للأمن والحماية</t>
  </si>
  <si>
    <t>EXE-08</t>
  </si>
  <si>
    <t>وكالة الخدمات المساندة</t>
  </si>
  <si>
    <t>الإدارة العامة للموارد البشرية</t>
  </si>
  <si>
    <t>EXE-09</t>
  </si>
  <si>
    <t>الإدارة العامة للشؤون المالية</t>
  </si>
  <si>
    <t>EXE-10</t>
  </si>
  <si>
    <t>الإدارة العامة لتقنية المعلومات</t>
  </si>
  <si>
    <t>EXE-11</t>
  </si>
  <si>
    <t>وكالة الشؤون الاستراتيجية</t>
  </si>
  <si>
    <t>وكالة</t>
  </si>
  <si>
    <t>EXE-12</t>
  </si>
  <si>
    <t>وكالة التحول الرقمي</t>
  </si>
  <si>
    <t>EXE-13</t>
  </si>
  <si>
    <t>وكالة الاتصال المؤسسي</t>
  </si>
  <si>
    <t>EXE-14</t>
  </si>
  <si>
    <t>وكالة الرقابة والالتزام</t>
  </si>
  <si>
    <t>MIL-01</t>
  </si>
  <si>
    <t>MIL</t>
  </si>
  <si>
    <t>الجهاز العسكري</t>
  </si>
  <si>
    <t>هيئة الأركان</t>
  </si>
  <si>
    <t>MIL-02</t>
  </si>
  <si>
    <t>قيادة القوات البرية</t>
  </si>
  <si>
    <t>MIL-03</t>
  </si>
  <si>
    <t>قيادة القوات الجوية</t>
  </si>
  <si>
    <t>MIL-04</t>
  </si>
  <si>
    <t>قيادة القوات البحرية</t>
  </si>
  <si>
    <t>MIL-05</t>
  </si>
  <si>
    <t>قيادة قوات الدفاع الجوي</t>
  </si>
  <si>
    <t>MIL-06</t>
  </si>
  <si>
    <t>قيادة القوات الاستراتيجية</t>
  </si>
  <si>
    <t>MIL-07</t>
  </si>
  <si>
    <t>الإدارة العامة للاستخبارات العسكرية</t>
  </si>
  <si>
    <t>MIL-08</t>
  </si>
  <si>
    <t>الإدارة العامة للعمليات المشتركة</t>
  </si>
  <si>
    <t>MIL-09</t>
  </si>
  <si>
    <t>الإدارة العامة للتخطيط والتنظيم العسكري</t>
  </si>
  <si>
    <t>MIL-10</t>
  </si>
  <si>
    <t>الإدارة العامة للإمداد والتموين</t>
  </si>
  <si>
    <t>MIL-11</t>
  </si>
  <si>
    <t>الإدارة العامة للاتصالات وتقنية المعلومات العسكرية</t>
  </si>
  <si>
    <t>MIL-12</t>
  </si>
  <si>
    <t>الإدارة العامة للشؤون الهندسية العسكرية</t>
  </si>
  <si>
    <t>MIL-13</t>
  </si>
  <si>
    <t>الإدارة العامة للخدمات الطبية العسكرية</t>
  </si>
  <si>
    <t>MIL-14</t>
  </si>
  <si>
    <t>الإدارة العامة للقوى البشرية العسكرية</t>
  </si>
  <si>
    <t>MIL-15</t>
  </si>
  <si>
    <t>الإدارة العامة للتدريب والتأهيل العسكري</t>
  </si>
  <si>
    <t>MIL-16</t>
  </si>
  <si>
    <t>الإدارة العامة للتسليح والعتاد</t>
  </si>
  <si>
    <t>MIL-17</t>
  </si>
  <si>
    <t>الإدارة العامة للقضاء العسكري</t>
  </si>
  <si>
    <t>MIL-18</t>
  </si>
  <si>
    <t>الإدارة العامة للأمن العسكري</t>
  </si>
  <si>
    <t>MIL-19</t>
  </si>
  <si>
    <t>الإدارة العامة للمالية والميزانية العسكرية</t>
  </si>
  <si>
    <t>MIL-20</t>
  </si>
  <si>
    <t>الإدارة العامة للعلاقات العامة والإعلام العسكري</t>
  </si>
  <si>
    <t>MIL-21</t>
  </si>
  <si>
    <t>الإدارة العامة للمراسم والتشريفات العسكرية</t>
  </si>
  <si>
    <t>معرف الصف</t>
  </si>
  <si>
    <t>نسبة إنجاز النقطة %</t>
  </si>
  <si>
    <t>حالة النقطة</t>
  </si>
  <si>
    <t>ملاحظات النقطة</t>
  </si>
  <si>
    <t>TOP-01-DESIGN-ROLE-1</t>
  </si>
  <si>
    <t>TOP-01-DESIGN-KPI-1</t>
  </si>
  <si>
    <t>TOP-01-DESIGN-KPI-2</t>
  </si>
  <si>
    <t>TOP-01-DESIGN-GOV-1</t>
  </si>
  <si>
    <t>TOP-01-DESIGN-ORG-1</t>
  </si>
  <si>
    <t>TOP-01-DESIGN-RES-1</t>
  </si>
  <si>
    <t>TOP-01-DESIGN-PROC-1</t>
  </si>
  <si>
    <t>TOP-01-BUILD-ROLE-1</t>
  </si>
  <si>
    <t>TOP-01-BUILD-KPI-1</t>
  </si>
  <si>
    <t>TOP-01-BUILD-KPI-2</t>
  </si>
  <si>
    <t>TOP-01-BUILD-GOV-1</t>
  </si>
  <si>
    <t>TOP-01-BUILD-GOV-2</t>
  </si>
  <si>
    <t>TOP-01-BUILD-GOV-3</t>
  </si>
  <si>
    <t>TOP-01-BUILD-ORG-1</t>
  </si>
  <si>
    <t>TOP-01-BUILD-ORG-2</t>
  </si>
  <si>
    <t>TOP-01-BUILD-ORG-3</t>
  </si>
  <si>
    <t>TOP-01-BUILD-RES-1</t>
  </si>
  <si>
    <t>TOP-01-BUILD-RES-2</t>
  </si>
  <si>
    <t>TOP-01-BUILD-RES-3</t>
  </si>
  <si>
    <t>TOP-01-BUILD-RES-4</t>
  </si>
  <si>
    <t>TOP-01-BUILD-PROC-1</t>
  </si>
  <si>
    <t>TOP-01-BUILD-OUT1-1</t>
  </si>
  <si>
    <t>TOP-01-OPERATE-KPI-1</t>
  </si>
  <si>
    <t>TOP-01-OPERATE-KPI-2</t>
  </si>
  <si>
    <t>TOP-01-OPERATE-GOV-1</t>
  </si>
  <si>
    <t>TOP-01-OPERATE-GOV-2</t>
  </si>
  <si>
    <t>TOP-01-OPERATE-GOV-3</t>
  </si>
  <si>
    <t>TOP-01-OPERATE-RES-1</t>
  </si>
  <si>
    <t>TOP-01-OPERATE-PROC-1</t>
  </si>
  <si>
    <t>TOP-01-OPERATE-OUTF-1</t>
  </si>
  <si>
    <t>TOP-02-DESIGN-ROLE-1</t>
  </si>
  <si>
    <t>TOP-02-DESIGN-KPI-1</t>
  </si>
  <si>
    <t>TOP-02-DESIGN-KPI-2</t>
  </si>
  <si>
    <t>TOP-02-DESIGN-GOV-1</t>
  </si>
  <si>
    <t>TOP-02-DESIGN-ORG-1</t>
  </si>
  <si>
    <t>TOP-02-DESIGN-RES-1</t>
  </si>
  <si>
    <t>TOP-02-DESIGN-PROC-1</t>
  </si>
  <si>
    <t>TOP-02-BUILD-ROLE-1</t>
  </si>
  <si>
    <t>TOP-02-BUILD-KPI-1</t>
  </si>
  <si>
    <t>TOP-02-BUILD-KPI-2</t>
  </si>
  <si>
    <t>TOP-02-BUILD-GOV-1</t>
  </si>
  <si>
    <t>TOP-02-BUILD-GOV-2</t>
  </si>
  <si>
    <t>TOP-02-BUILD-GOV-3</t>
  </si>
  <si>
    <t>TOP-02-BUILD-ORG-1</t>
  </si>
  <si>
    <t>TOP-02-BUILD-ORG-2</t>
  </si>
  <si>
    <t>TOP-02-BUILD-ORG-3</t>
  </si>
  <si>
    <t>TOP-02-BUILD-RES-1</t>
  </si>
  <si>
    <t>TOP-02-BUILD-RES-2</t>
  </si>
  <si>
    <t>TOP-02-BUILD-RES-3</t>
  </si>
  <si>
    <t>TOP-02-BUILD-RES-4</t>
  </si>
  <si>
    <t>TOP-02-BUILD-PROC-1</t>
  </si>
  <si>
    <t>TOP-02-BUILD-OUT1-1</t>
  </si>
  <si>
    <t>TOP-02-OPERATE-KPI-1</t>
  </si>
  <si>
    <t>TOP-02-OPERATE-KPI-2</t>
  </si>
  <si>
    <t>TOP-02-OPERATE-GOV-1</t>
  </si>
  <si>
    <t>TOP-02-OPERATE-GOV-2</t>
  </si>
  <si>
    <t>TOP-02-OPERATE-GOV-3</t>
  </si>
  <si>
    <t>TOP-02-OPERATE-RES-1</t>
  </si>
  <si>
    <t>TOP-02-OPERATE-PROC-1</t>
  </si>
  <si>
    <t>TOP-02-OPERATE-OUTF-1</t>
  </si>
  <si>
    <t>TOP-03-DESIGN-ROLE-1</t>
  </si>
  <si>
    <t>TOP-03-DESIGN-KPI-1</t>
  </si>
  <si>
    <t>TOP-03-DESIGN-KPI-2</t>
  </si>
  <si>
    <t>TOP-03-DESIGN-GOV-1</t>
  </si>
  <si>
    <t>TOP-03-DESIGN-ORG-1</t>
  </si>
  <si>
    <t>TOP-03-DESIGN-RES-1</t>
  </si>
  <si>
    <t>TOP-03-DESIGN-PROC-1</t>
  </si>
  <si>
    <t>TOP-03-BUILD-ROLE-1</t>
  </si>
  <si>
    <t>TOP-03-BUILD-KPI-1</t>
  </si>
  <si>
    <t>TOP-03-BUILD-KPI-2</t>
  </si>
  <si>
    <t>TOP-03-BUILD-GOV-1</t>
  </si>
  <si>
    <t>TOP-03-BUILD-GOV-2</t>
  </si>
  <si>
    <t>TOP-03-BUILD-GOV-3</t>
  </si>
  <si>
    <t>TOP-03-BUILD-ORG-1</t>
  </si>
  <si>
    <t>TOP-03-BUILD-ORG-2</t>
  </si>
  <si>
    <t>TOP-03-BUILD-ORG-3</t>
  </si>
  <si>
    <t>TOP-03-BUILD-RES-1</t>
  </si>
  <si>
    <t>TOP-03-BUILD-RES-2</t>
  </si>
  <si>
    <t>TOP-03-BUILD-RES-3</t>
  </si>
  <si>
    <t>TOP-03-BUILD-RES-4</t>
  </si>
  <si>
    <t>TOP-03-BUILD-PROC-1</t>
  </si>
  <si>
    <t>TOP-03-BUILD-OUT1-1</t>
  </si>
  <si>
    <t>TOP-03-OPERATE-KPI-1</t>
  </si>
  <si>
    <t>TOP-03-OPERATE-KPI-2</t>
  </si>
  <si>
    <t>TOP-03-OPERATE-GOV-1</t>
  </si>
  <si>
    <t>TOP-03-OPERATE-GOV-2</t>
  </si>
  <si>
    <t>TOP-03-OPERATE-GOV-3</t>
  </si>
  <si>
    <t>TOP-03-OPERATE-RES-1</t>
  </si>
  <si>
    <t>TOP-03-OPERATE-PROC-1</t>
  </si>
  <si>
    <t>TOP-03-OPERATE-OUTF-1</t>
  </si>
  <si>
    <t>TOP-04-DESIGN-ROLE-1</t>
  </si>
  <si>
    <t>TOP-04-DESIGN-KPI-1</t>
  </si>
  <si>
    <t>TOP-04-DESIGN-KPI-2</t>
  </si>
  <si>
    <t>TOP-04-DESIGN-GOV-1</t>
  </si>
  <si>
    <t>TOP-04-DESIGN-ORG-1</t>
  </si>
  <si>
    <t>TOP-04-DESIGN-RES-1</t>
  </si>
  <si>
    <t>TOP-04-DESIGN-PROC-1</t>
  </si>
  <si>
    <t>TOP-04-BUILD-ROLE-1</t>
  </si>
  <si>
    <t>TOP-04-BUILD-KPI-1</t>
  </si>
  <si>
    <t>TOP-04-BUILD-KPI-2</t>
  </si>
  <si>
    <t>TOP-04-BUILD-GOV-1</t>
  </si>
  <si>
    <t>TOP-04-BUILD-GOV-2</t>
  </si>
  <si>
    <t>TOP-04-BUILD-GOV-3</t>
  </si>
  <si>
    <t>TOP-04-BUILD-ORG-1</t>
  </si>
  <si>
    <t>TOP-04-BUILD-ORG-2</t>
  </si>
  <si>
    <t>TOP-04-BUILD-ORG-3</t>
  </si>
  <si>
    <t>TOP-04-BUILD-RES-1</t>
  </si>
  <si>
    <t>TOP-04-BUILD-RES-2</t>
  </si>
  <si>
    <t>TOP-04-BUILD-RES-3</t>
  </si>
  <si>
    <t>TOP-04-BUILD-RES-4</t>
  </si>
  <si>
    <t>TOP-04-BUILD-PROC-1</t>
  </si>
  <si>
    <t>TOP-04-BUILD-OUT1-1</t>
  </si>
  <si>
    <t>TOP-04-OPERATE-KPI-1</t>
  </si>
  <si>
    <t>TOP-04-OPERATE-KPI-2</t>
  </si>
  <si>
    <t>TOP-04-OPERATE-GOV-1</t>
  </si>
  <si>
    <t>TOP-04-OPERATE-GOV-2</t>
  </si>
  <si>
    <t>TOP-04-OPERATE-GOV-3</t>
  </si>
  <si>
    <t>TOP-04-OPERATE-RES-1</t>
  </si>
  <si>
    <t>TOP-04-OPERATE-PROC-1</t>
  </si>
  <si>
    <t>TOP-04-OPERATE-OUTF-1</t>
  </si>
  <si>
    <t>TOP-05-DESIGN-ROLE-1</t>
  </si>
  <si>
    <t>TOP-05-DESIGN-KPI-1</t>
  </si>
  <si>
    <t>TOP-05-DESIGN-KPI-2</t>
  </si>
  <si>
    <t>TOP-05-DESIGN-GOV-1</t>
  </si>
  <si>
    <t>TOP-05-DESIGN-ORG-1</t>
  </si>
  <si>
    <t>TOP-05-DESIGN-RES-1</t>
  </si>
  <si>
    <t>TOP-05-DESIGN-PROC-1</t>
  </si>
  <si>
    <t>TOP-05-BUILD-ROLE-1</t>
  </si>
  <si>
    <t>TOP-05-BUILD-KPI-1</t>
  </si>
  <si>
    <t>TOP-05-BUILD-KPI-2</t>
  </si>
  <si>
    <t>TOP-05-BUILD-GOV-1</t>
  </si>
  <si>
    <t>TOP-05-BUILD-GOV-2</t>
  </si>
  <si>
    <t>TOP-05-BUILD-GOV-3</t>
  </si>
  <si>
    <t>TOP-05-BUILD-ORG-1</t>
  </si>
  <si>
    <t>TOP-05-BUILD-ORG-2</t>
  </si>
  <si>
    <t>TOP-05-BUILD-ORG-3</t>
  </si>
  <si>
    <t>TOP-05-BUILD-RES-1</t>
  </si>
  <si>
    <t>TOP-05-BUILD-RES-2</t>
  </si>
  <si>
    <t>TOP-05-BUILD-RES-3</t>
  </si>
  <si>
    <t>TOP-05-BUILD-RES-4</t>
  </si>
  <si>
    <t>TOP-05-BUILD-PROC-1</t>
  </si>
  <si>
    <t>TOP-05-BUILD-OUT1-1</t>
  </si>
  <si>
    <t>TOP-05-OPERATE-KPI-1</t>
  </si>
  <si>
    <t>TOP-05-OPERATE-KPI-2</t>
  </si>
  <si>
    <t>TOP-05-OPERATE-GOV-1</t>
  </si>
  <si>
    <t>TOP-05-OPERATE-GOV-2</t>
  </si>
  <si>
    <t>TOP-05-OPERATE-GOV-3</t>
  </si>
  <si>
    <t>TOP-05-OPERATE-RES-1</t>
  </si>
  <si>
    <t>TOP-05-OPERATE-PROC-1</t>
  </si>
  <si>
    <t>TOP-05-OPERATE-OUTF-1</t>
  </si>
  <si>
    <t>EXE-01-DESIGN-ROLE-1</t>
  </si>
  <si>
    <t>EXE-01-DESIGN-KPI-1</t>
  </si>
  <si>
    <t>EXE-01-DESIGN-KPI-2</t>
  </si>
  <si>
    <t>EXE-01-DESIGN-GOV-1</t>
  </si>
  <si>
    <t>EXE-01-DESIGN-ORG-1</t>
  </si>
  <si>
    <t>EXE-01-DESIGN-RES-1</t>
  </si>
  <si>
    <t>EXE-01-DESIGN-PROC-1</t>
  </si>
  <si>
    <t>EXE-01-BUILD-ROLE-1</t>
  </si>
  <si>
    <t>EXE-01-BUILD-KPI-1</t>
  </si>
  <si>
    <t>EXE-01-BUILD-KPI-2</t>
  </si>
  <si>
    <t>EXE-01-BUILD-GOV-1</t>
  </si>
  <si>
    <t>EXE-01-BUILD-GOV-2</t>
  </si>
  <si>
    <t>EXE-01-BUILD-GOV-3</t>
  </si>
  <si>
    <t>EXE-01-BUILD-ORG-1</t>
  </si>
  <si>
    <t>EXE-01-BUILD-ORG-2</t>
  </si>
  <si>
    <t>EXE-01-BUILD-ORG-3</t>
  </si>
  <si>
    <t>EXE-01-BUILD-RES-1</t>
  </si>
  <si>
    <t>EXE-01-BUILD-RES-2</t>
  </si>
  <si>
    <t>EXE-01-BUILD-RES-3</t>
  </si>
  <si>
    <t>EXE-01-BUILD-RES-4</t>
  </si>
  <si>
    <t>EXE-01-BUILD-PROC-1</t>
  </si>
  <si>
    <t>EXE-01-BUILD-OUT1-1</t>
  </si>
  <si>
    <t>EXE-01-OPERATE-KPI-1</t>
  </si>
  <si>
    <t>EXE-01-OPERATE-KPI-2</t>
  </si>
  <si>
    <t>EXE-01-OPERATE-GOV-1</t>
  </si>
  <si>
    <t>EXE-01-OPERATE-GOV-2</t>
  </si>
  <si>
    <t>EXE-01-OPERATE-GOV-3</t>
  </si>
  <si>
    <t>EXE-01-OPERATE-RES-1</t>
  </si>
  <si>
    <t>EXE-01-OPERATE-PROC-1</t>
  </si>
  <si>
    <t>EXE-01-OPERATE-OUTF-1</t>
  </si>
  <si>
    <t>EXE-02-DESIGN-ROLE-1</t>
  </si>
  <si>
    <t>EXE-02-DESIGN-KPI-1</t>
  </si>
  <si>
    <t>EXE-02-DESIGN-KPI-2</t>
  </si>
  <si>
    <t>EXE-02-DESIGN-GOV-1</t>
  </si>
  <si>
    <t>EXE-02-DESIGN-ORG-1</t>
  </si>
  <si>
    <t>EXE-02-DESIGN-RES-1</t>
  </si>
  <si>
    <t>EXE-02-DESIGN-PROC-1</t>
  </si>
  <si>
    <t>EXE-02-BUILD-ROLE-1</t>
  </si>
  <si>
    <t>EXE-02-BUILD-KPI-1</t>
  </si>
  <si>
    <t>EXE-02-BUILD-KPI-2</t>
  </si>
  <si>
    <t>EXE-02-BUILD-GOV-1</t>
  </si>
  <si>
    <t>EXE-02-BUILD-GOV-2</t>
  </si>
  <si>
    <t>EXE-02-BUILD-GOV-3</t>
  </si>
  <si>
    <t>EXE-02-BUILD-ORG-1</t>
  </si>
  <si>
    <t>EXE-02-BUILD-ORG-2</t>
  </si>
  <si>
    <t>EXE-02-BUILD-ORG-3</t>
  </si>
  <si>
    <t>EXE-02-BUILD-RES-1</t>
  </si>
  <si>
    <t>EXE-02-BUILD-RES-2</t>
  </si>
  <si>
    <t>EXE-02-BUILD-RES-3</t>
  </si>
  <si>
    <t>EXE-02-BUILD-RES-4</t>
  </si>
  <si>
    <t>EXE-02-BUILD-PROC-1</t>
  </si>
  <si>
    <t>EXE-02-BUILD-OUT1-1</t>
  </si>
  <si>
    <t>EXE-02-OPERATE-KPI-1</t>
  </si>
  <si>
    <t>EXE-02-OPERATE-KPI-2</t>
  </si>
  <si>
    <t>EXE-02-OPERATE-GOV-1</t>
  </si>
  <si>
    <t>EXE-02-OPERATE-GOV-2</t>
  </si>
  <si>
    <t>EXE-02-OPERATE-GOV-3</t>
  </si>
  <si>
    <t>EXE-02-OPERATE-RES-1</t>
  </si>
  <si>
    <t>EXE-02-OPERATE-PROC-1</t>
  </si>
  <si>
    <t>EXE-02-OPERATE-OUTF-1</t>
  </si>
  <si>
    <t>EXE-03-DESIGN-ROLE-1</t>
  </si>
  <si>
    <t>EXE-03-DESIGN-KPI-1</t>
  </si>
  <si>
    <t>EXE-03-DESIGN-KPI-2</t>
  </si>
  <si>
    <t>EXE-03-DESIGN-GOV-1</t>
  </si>
  <si>
    <t>EXE-03-DESIGN-ORG-1</t>
  </si>
  <si>
    <t>EXE-03-DESIGN-RES-1</t>
  </si>
  <si>
    <t>EXE-03-DESIGN-PROC-1</t>
  </si>
  <si>
    <t>EXE-03-BUILD-ROLE-1</t>
  </si>
  <si>
    <t>EXE-03-BUILD-KPI-1</t>
  </si>
  <si>
    <t>EXE-03-BUILD-KPI-2</t>
  </si>
  <si>
    <t>EXE-03-BUILD-GOV-1</t>
  </si>
  <si>
    <t>EXE-03-BUILD-GOV-2</t>
  </si>
  <si>
    <t>EXE-03-BUILD-GOV-3</t>
  </si>
  <si>
    <t>EXE-03-BUILD-ORG-1</t>
  </si>
  <si>
    <t>EXE-03-BUILD-ORG-2</t>
  </si>
  <si>
    <t>EXE-03-BUILD-ORG-3</t>
  </si>
  <si>
    <t>EXE-03-BUILD-RES-1</t>
  </si>
  <si>
    <t>EXE-03-BUILD-RES-2</t>
  </si>
  <si>
    <t>EXE-03-BUILD-RES-3</t>
  </si>
  <si>
    <t>EXE-03-BUILD-RES-4</t>
  </si>
  <si>
    <t>EXE-03-BUILD-PROC-1</t>
  </si>
  <si>
    <t>EXE-03-BUILD-OUT1-1</t>
  </si>
  <si>
    <t>EXE-03-OPERATE-KPI-1</t>
  </si>
  <si>
    <t>EXE-03-OPERATE-KPI-2</t>
  </si>
  <si>
    <t>EXE-03-OPERATE-GOV-1</t>
  </si>
  <si>
    <t>EXE-03-OPERATE-GOV-2</t>
  </si>
  <si>
    <t>EXE-03-OPERATE-GOV-3</t>
  </si>
  <si>
    <t>EXE-03-OPERATE-RES-1</t>
  </si>
  <si>
    <t>EXE-03-OPERATE-PROC-1</t>
  </si>
  <si>
    <t>EXE-03-OPERATE-OUTF-1</t>
  </si>
  <si>
    <t>EXE-04-DESIGN-ROLE-1</t>
  </si>
  <si>
    <t>EXE-04-DESIGN-KPI-1</t>
  </si>
  <si>
    <t>EXE-04-DESIGN-KPI-2</t>
  </si>
  <si>
    <t>EXE-04-DESIGN-GOV-1</t>
  </si>
  <si>
    <t>EXE-04-DESIGN-ORG-1</t>
  </si>
  <si>
    <t>EXE-04-DESIGN-RES-1</t>
  </si>
  <si>
    <t>EXE-04-DESIGN-PROC-1</t>
  </si>
  <si>
    <t>EXE-04-BUILD-ROLE-1</t>
  </si>
  <si>
    <t>EXE-04-BUILD-KPI-1</t>
  </si>
  <si>
    <t>EXE-04-BUILD-KPI-2</t>
  </si>
  <si>
    <t>EXE-04-BUILD-GOV-1</t>
  </si>
  <si>
    <t>EXE-04-BUILD-GOV-2</t>
  </si>
  <si>
    <t>EXE-04-BUILD-GOV-3</t>
  </si>
  <si>
    <t>EXE-04-BUILD-ORG-1</t>
  </si>
  <si>
    <t>EXE-04-BUILD-ORG-2</t>
  </si>
  <si>
    <t>EXE-04-BUILD-ORG-3</t>
  </si>
  <si>
    <t>EXE-04-BUILD-RES-1</t>
  </si>
  <si>
    <t>EXE-04-BUILD-RES-2</t>
  </si>
  <si>
    <t>EXE-04-BUILD-RES-3</t>
  </si>
  <si>
    <t>EXE-04-BUILD-RES-4</t>
  </si>
  <si>
    <t>EXE-04-BUILD-PROC-1</t>
  </si>
  <si>
    <t>EXE-04-BUILD-OUT1-1</t>
  </si>
  <si>
    <t>EXE-04-OPERATE-KPI-1</t>
  </si>
  <si>
    <t>EXE-04-OPERATE-KPI-2</t>
  </si>
  <si>
    <t>EXE-04-OPERATE-GOV-1</t>
  </si>
  <si>
    <t>EXE-04-OPERATE-GOV-2</t>
  </si>
  <si>
    <t>EXE-04-OPERATE-GOV-3</t>
  </si>
  <si>
    <t>EXE-04-OPERATE-RES-1</t>
  </si>
  <si>
    <t>EXE-04-OPERATE-PROC-1</t>
  </si>
  <si>
    <t>EXE-04-OPERATE-OUTF-1</t>
  </si>
  <si>
    <t>EXE-05-DESIGN-ROLE-1</t>
  </si>
  <si>
    <t>EXE-05-DESIGN-KPI-1</t>
  </si>
  <si>
    <t>EXE-05-DESIGN-KPI-2</t>
  </si>
  <si>
    <t>EXE-05-DESIGN-GOV-1</t>
  </si>
  <si>
    <t>EXE-05-DESIGN-ORG-1</t>
  </si>
  <si>
    <t>EXE-05-DESIGN-RES-1</t>
  </si>
  <si>
    <t>EXE-05-DESIGN-PROC-1</t>
  </si>
  <si>
    <t>EXE-05-BUILD-ROLE-1</t>
  </si>
  <si>
    <t>EXE-05-BUILD-KPI-1</t>
  </si>
  <si>
    <t>EXE-05-BUILD-KPI-2</t>
  </si>
  <si>
    <t>EXE-05-BUILD-GOV-1</t>
  </si>
  <si>
    <t>EXE-05-BUILD-GOV-2</t>
  </si>
  <si>
    <t>EXE-05-BUILD-GOV-3</t>
  </si>
  <si>
    <t>EXE-05-BUILD-ORG-1</t>
  </si>
  <si>
    <t>EXE-05-BUILD-ORG-2</t>
  </si>
  <si>
    <t>EXE-05-BUILD-ORG-3</t>
  </si>
  <si>
    <t>EXE-05-BUILD-RES-1</t>
  </si>
  <si>
    <t>EXE-05-BUILD-RES-2</t>
  </si>
  <si>
    <t>EXE-05-BUILD-RES-3</t>
  </si>
  <si>
    <t>EXE-05-BUILD-RES-4</t>
  </si>
  <si>
    <t>EXE-05-BUILD-PROC-1</t>
  </si>
  <si>
    <t>EXE-05-BUILD-OUT1-1</t>
  </si>
  <si>
    <t>EXE-05-OPERATE-KPI-1</t>
  </si>
  <si>
    <t>EXE-05-OPERATE-KPI-2</t>
  </si>
  <si>
    <t>EXE-05-OPERATE-GOV-1</t>
  </si>
  <si>
    <t>EXE-05-OPERATE-GOV-2</t>
  </si>
  <si>
    <t>EXE-05-OPERATE-GOV-3</t>
  </si>
  <si>
    <t>EXE-05-OPERATE-RES-1</t>
  </si>
  <si>
    <t>EXE-05-OPERATE-PROC-1</t>
  </si>
  <si>
    <t>EXE-05-OPERATE-OUTF-1</t>
  </si>
  <si>
    <t>EXE-06-DESIGN-ROLE-1</t>
  </si>
  <si>
    <t>EXE-06-DESIGN-KPI-1</t>
  </si>
  <si>
    <t>EXE-06-DESIGN-KPI-2</t>
  </si>
  <si>
    <t>EXE-06-DESIGN-GOV-1</t>
  </si>
  <si>
    <t>EXE-06-DESIGN-ORG-1</t>
  </si>
  <si>
    <t>EXE-06-DESIGN-RES-1</t>
  </si>
  <si>
    <t>EXE-06-DESIGN-PROC-1</t>
  </si>
  <si>
    <t>EXE-06-BUILD-ROLE-1</t>
  </si>
  <si>
    <t>EXE-06-BUILD-KPI-1</t>
  </si>
  <si>
    <t>EXE-06-BUILD-KPI-2</t>
  </si>
  <si>
    <t>EXE-06-BUILD-GOV-1</t>
  </si>
  <si>
    <t>EXE-06-BUILD-GOV-2</t>
  </si>
  <si>
    <t>EXE-06-BUILD-GOV-3</t>
  </si>
  <si>
    <t>EXE-06-BUILD-ORG-1</t>
  </si>
  <si>
    <t>EXE-06-BUILD-ORG-2</t>
  </si>
  <si>
    <t>EXE-06-BUILD-ORG-3</t>
  </si>
  <si>
    <t>EXE-06-BUILD-RES-1</t>
  </si>
  <si>
    <t>EXE-06-BUILD-RES-2</t>
  </si>
  <si>
    <t>EXE-06-BUILD-RES-3</t>
  </si>
  <si>
    <t>EXE-06-BUILD-RES-4</t>
  </si>
  <si>
    <t>EXE-06-BUILD-PROC-1</t>
  </si>
  <si>
    <t>EXE-06-BUILD-OUT1-1</t>
  </si>
  <si>
    <t>EXE-06-OPERATE-KPI-1</t>
  </si>
  <si>
    <t>EXE-06-OPERATE-KPI-2</t>
  </si>
  <si>
    <t>EXE-06-OPERATE-GOV-1</t>
  </si>
  <si>
    <t>EXE-06-OPERATE-GOV-2</t>
  </si>
  <si>
    <t>EXE-06-OPERATE-GOV-3</t>
  </si>
  <si>
    <t>EXE-06-OPERATE-RES-1</t>
  </si>
  <si>
    <t>EXE-06-OPERATE-PROC-1</t>
  </si>
  <si>
    <t>EXE-06-OPERATE-OUTF-1</t>
  </si>
  <si>
    <t>EXE-07-DESIGN-ROLE-1</t>
  </si>
  <si>
    <t>EXE-07-DESIGN-KPI-1</t>
  </si>
  <si>
    <t>EXE-07-DESIGN-KPI-2</t>
  </si>
  <si>
    <t>EXE-07-DESIGN-GOV-1</t>
  </si>
  <si>
    <t>EXE-07-DESIGN-ORG-1</t>
  </si>
  <si>
    <t>EXE-07-DESIGN-RES-1</t>
  </si>
  <si>
    <t>EXE-07-DESIGN-PROC-1</t>
  </si>
  <si>
    <t>EXE-07-BUILD-ROLE-1</t>
  </si>
  <si>
    <t>EXE-07-BUILD-KPI-1</t>
  </si>
  <si>
    <t>EXE-07-BUILD-KPI-2</t>
  </si>
  <si>
    <t>EXE-07-BUILD-GOV-1</t>
  </si>
  <si>
    <t>EXE-07-BUILD-GOV-2</t>
  </si>
  <si>
    <t>EXE-07-BUILD-GOV-3</t>
  </si>
  <si>
    <t>EXE-07-BUILD-ORG-1</t>
  </si>
  <si>
    <t>EXE-07-BUILD-ORG-2</t>
  </si>
  <si>
    <t>EXE-07-BUILD-ORG-3</t>
  </si>
  <si>
    <t>EXE-07-BUILD-RES-1</t>
  </si>
  <si>
    <t>EXE-07-BUILD-RES-2</t>
  </si>
  <si>
    <t>EXE-07-BUILD-RES-3</t>
  </si>
  <si>
    <t>EXE-07-BUILD-RES-4</t>
  </si>
  <si>
    <t>EXE-07-BUILD-PROC-1</t>
  </si>
  <si>
    <t>EXE-07-BUILD-OUT1-1</t>
  </si>
  <si>
    <t>EXE-07-OPERATE-KPI-1</t>
  </si>
  <si>
    <t>EXE-07-OPERATE-KPI-2</t>
  </si>
  <si>
    <t>EXE-07-OPERATE-GOV-1</t>
  </si>
  <si>
    <t>EXE-07-OPERATE-GOV-2</t>
  </si>
  <si>
    <t>EXE-07-OPERATE-GOV-3</t>
  </si>
  <si>
    <t>EXE-07-OPERATE-RES-1</t>
  </si>
  <si>
    <t>EXE-07-OPERATE-PROC-1</t>
  </si>
  <si>
    <t>EXE-07-OPERATE-OUTF-1</t>
  </si>
  <si>
    <t>EXE-08-DESIGN-ROLE-1</t>
  </si>
  <si>
    <t>EXE-08-DESIGN-KPI-1</t>
  </si>
  <si>
    <t>EXE-08-DESIGN-KPI-2</t>
  </si>
  <si>
    <t>EXE-08-DESIGN-GOV-1</t>
  </si>
  <si>
    <t>EXE-08-DESIGN-ORG-1</t>
  </si>
  <si>
    <t>EXE-08-DESIGN-RES-1</t>
  </si>
  <si>
    <t>EXE-08-DESIGN-PROC-1</t>
  </si>
  <si>
    <t>EXE-08-BUILD-ROLE-1</t>
  </si>
  <si>
    <t>EXE-08-BUILD-KPI-1</t>
  </si>
  <si>
    <t>EXE-08-BUILD-KPI-2</t>
  </si>
  <si>
    <t>EXE-08-BUILD-GOV-1</t>
  </si>
  <si>
    <t>EXE-08-BUILD-GOV-2</t>
  </si>
  <si>
    <t>EXE-08-BUILD-GOV-3</t>
  </si>
  <si>
    <t>EXE-08-BUILD-ORG-1</t>
  </si>
  <si>
    <t>EXE-08-BUILD-ORG-2</t>
  </si>
  <si>
    <t>EXE-08-BUILD-ORG-3</t>
  </si>
  <si>
    <t>EXE-08-BUILD-RES-1</t>
  </si>
  <si>
    <t>EXE-08-BUILD-RES-2</t>
  </si>
  <si>
    <t>EXE-08-BUILD-RES-3</t>
  </si>
  <si>
    <t>EXE-08-BUILD-RES-4</t>
  </si>
  <si>
    <t>EXE-08-BUILD-PROC-1</t>
  </si>
  <si>
    <t>EXE-08-BUILD-OUT1-1</t>
  </si>
  <si>
    <t>EXE-08-OPERATE-KPI-1</t>
  </si>
  <si>
    <t>EXE-08-OPERATE-KPI-2</t>
  </si>
  <si>
    <t>EXE-08-OPERATE-GOV-1</t>
  </si>
  <si>
    <t>EXE-08-OPERATE-GOV-2</t>
  </si>
  <si>
    <t>EXE-08-OPERATE-GOV-3</t>
  </si>
  <si>
    <t>EXE-08-OPERATE-RES-1</t>
  </si>
  <si>
    <t>EXE-08-OPERATE-PROC-1</t>
  </si>
  <si>
    <t>EXE-08-OPERATE-OUTF-1</t>
  </si>
  <si>
    <t>EXE-09-DESIGN-ROLE-1</t>
  </si>
  <si>
    <t>EXE-09-DESIGN-KPI-1</t>
  </si>
  <si>
    <t>EXE-09-DESIGN-KPI-2</t>
  </si>
  <si>
    <t>EXE-09-DESIGN-GOV-1</t>
  </si>
  <si>
    <t>EXE-09-DESIGN-ORG-1</t>
  </si>
  <si>
    <t>EXE-09-DESIGN-RES-1</t>
  </si>
  <si>
    <t>EXE-09-DESIGN-PROC-1</t>
  </si>
  <si>
    <t>EXE-09-BUILD-ROLE-1</t>
  </si>
  <si>
    <t>EXE-09-BUILD-KPI-1</t>
  </si>
  <si>
    <t>EXE-09-BUILD-KPI-2</t>
  </si>
  <si>
    <t>EXE-09-BUILD-GOV-1</t>
  </si>
  <si>
    <t>EXE-09-BUILD-GOV-2</t>
  </si>
  <si>
    <t>EXE-09-BUILD-GOV-3</t>
  </si>
  <si>
    <t>EXE-09-BUILD-ORG-1</t>
  </si>
  <si>
    <t>EXE-09-BUILD-ORG-2</t>
  </si>
  <si>
    <t>EXE-09-BUILD-ORG-3</t>
  </si>
  <si>
    <t>EXE-09-BUILD-RES-1</t>
  </si>
  <si>
    <t>EXE-09-BUILD-RES-2</t>
  </si>
  <si>
    <t>EXE-09-BUILD-RES-3</t>
  </si>
  <si>
    <t>EXE-09-BUILD-RES-4</t>
  </si>
  <si>
    <t>EXE-09-BUILD-PROC-1</t>
  </si>
  <si>
    <t>EXE-09-BUILD-OUT1-1</t>
  </si>
  <si>
    <t>EXE-09-OPERATE-KPI-1</t>
  </si>
  <si>
    <t>EXE-09-OPERATE-KPI-2</t>
  </si>
  <si>
    <t>EXE-09-OPERATE-GOV-1</t>
  </si>
  <si>
    <t>EXE-09-OPERATE-GOV-2</t>
  </si>
  <si>
    <t>EXE-09-OPERATE-GOV-3</t>
  </si>
  <si>
    <t>EXE-09-OPERATE-RES-1</t>
  </si>
  <si>
    <t>EXE-09-OPERATE-PROC-1</t>
  </si>
  <si>
    <t>EXE-09-OPERATE-OUTF-1</t>
  </si>
  <si>
    <t>EXE-10-DESIGN-ROLE-1</t>
  </si>
  <si>
    <t>EXE-10-DESIGN-KPI-1</t>
  </si>
  <si>
    <t>EXE-10-DESIGN-KPI-2</t>
  </si>
  <si>
    <t>EXE-10-DESIGN-GOV-1</t>
  </si>
  <si>
    <t>EXE-10-DESIGN-ORG-1</t>
  </si>
  <si>
    <t>EXE-10-DESIGN-RES-1</t>
  </si>
  <si>
    <t>EXE-10-DESIGN-PROC-1</t>
  </si>
  <si>
    <t>EXE-10-BUILD-ROLE-1</t>
  </si>
  <si>
    <t>EXE-10-BUILD-KPI-1</t>
  </si>
  <si>
    <t>EXE-10-BUILD-KPI-2</t>
  </si>
  <si>
    <t>EXE-10-BUILD-GOV-1</t>
  </si>
  <si>
    <t>EXE-10-BUILD-GOV-2</t>
  </si>
  <si>
    <t>EXE-10-BUILD-GOV-3</t>
  </si>
  <si>
    <t>EXE-10-BUILD-ORG-1</t>
  </si>
  <si>
    <t>EXE-10-BUILD-ORG-2</t>
  </si>
  <si>
    <t>EXE-10-BUILD-ORG-3</t>
  </si>
  <si>
    <t>EXE-10-BUILD-RES-1</t>
  </si>
  <si>
    <t>EXE-10-BUILD-RES-2</t>
  </si>
  <si>
    <t>EXE-10-BUILD-RES-3</t>
  </si>
  <si>
    <t>EXE-10-BUILD-RES-4</t>
  </si>
  <si>
    <t>EXE-10-BUILD-PROC-1</t>
  </si>
  <si>
    <t>EXE-10-BUILD-OUT1-1</t>
  </si>
  <si>
    <t>EXE-10-OPERATE-KPI-1</t>
  </si>
  <si>
    <t>EXE-10-OPERATE-KPI-2</t>
  </si>
  <si>
    <t>EXE-10-OPERATE-GOV-1</t>
  </si>
  <si>
    <t>EXE-10-OPERATE-GOV-2</t>
  </si>
  <si>
    <t>EXE-10-OPERATE-GOV-3</t>
  </si>
  <si>
    <t>EXE-10-OPERATE-RES-1</t>
  </si>
  <si>
    <t>EXE-10-OPERATE-PROC-1</t>
  </si>
  <si>
    <t>EXE-10-OPERATE-OUTF-1</t>
  </si>
  <si>
    <t>EXE-11-DESIGN-ROLE-1</t>
  </si>
  <si>
    <t>EXE-11-DESIGN-KPI-1</t>
  </si>
  <si>
    <t>EXE-11-DESIGN-KPI-2</t>
  </si>
  <si>
    <t>EXE-11-DESIGN-GOV-1</t>
  </si>
  <si>
    <t>EXE-11-DESIGN-ORG-1</t>
  </si>
  <si>
    <t>EXE-11-DESIGN-RES-1</t>
  </si>
  <si>
    <t>EXE-11-DESIGN-PROC-1</t>
  </si>
  <si>
    <t>EXE-11-BUILD-ROLE-1</t>
  </si>
  <si>
    <t>EXE-11-BUILD-KPI-1</t>
  </si>
  <si>
    <t>EXE-11-BUILD-KPI-2</t>
  </si>
  <si>
    <t>EXE-11-BUILD-GOV-1</t>
  </si>
  <si>
    <t>EXE-11-BUILD-GOV-2</t>
  </si>
  <si>
    <t>EXE-11-BUILD-GOV-3</t>
  </si>
  <si>
    <t>EXE-11-BUILD-ORG-1</t>
  </si>
  <si>
    <t>EXE-11-BUILD-ORG-2</t>
  </si>
  <si>
    <t>EXE-11-BUILD-ORG-3</t>
  </si>
  <si>
    <t>EXE-11-BUILD-RES-1</t>
  </si>
  <si>
    <t>EXE-11-BUILD-RES-2</t>
  </si>
  <si>
    <t>EXE-11-BUILD-RES-3</t>
  </si>
  <si>
    <t>EXE-11-BUILD-RES-4</t>
  </si>
  <si>
    <t>EXE-11-BUILD-PROC-1</t>
  </si>
  <si>
    <t>EXE-11-BUILD-OUT1-1</t>
  </si>
  <si>
    <t>EXE-11-OPERATE-KPI-1</t>
  </si>
  <si>
    <t>EXE-11-OPERATE-KPI-2</t>
  </si>
  <si>
    <t>EXE-11-OPERATE-GOV-1</t>
  </si>
  <si>
    <t>EXE-11-OPERATE-GOV-2</t>
  </si>
  <si>
    <t>EXE-11-OPERATE-GOV-3</t>
  </si>
  <si>
    <t>EXE-11-OPERATE-RES-1</t>
  </si>
  <si>
    <t>EXE-11-OPERATE-PROC-1</t>
  </si>
  <si>
    <t>EXE-11-OPERATE-OUTF-1</t>
  </si>
  <si>
    <t>EXE-12-DESIGN-ROLE-1</t>
  </si>
  <si>
    <t>EXE-12-DESIGN-KPI-1</t>
  </si>
  <si>
    <t>EXE-12-DESIGN-KPI-2</t>
  </si>
  <si>
    <t>EXE-12-DESIGN-GOV-1</t>
  </si>
  <si>
    <t>EXE-12-DESIGN-ORG-1</t>
  </si>
  <si>
    <t>EXE-12-DESIGN-RES-1</t>
  </si>
  <si>
    <t>EXE-12-DESIGN-PROC-1</t>
  </si>
  <si>
    <t>EXE-12-BUILD-ROLE-1</t>
  </si>
  <si>
    <t>EXE-12-BUILD-KPI-1</t>
  </si>
  <si>
    <t>EXE-12-BUILD-KPI-2</t>
  </si>
  <si>
    <t>EXE-12-BUILD-GOV-1</t>
  </si>
  <si>
    <t>EXE-12-BUILD-GOV-2</t>
  </si>
  <si>
    <t>EXE-12-BUILD-GOV-3</t>
  </si>
  <si>
    <t>EXE-12-BUILD-ORG-1</t>
  </si>
  <si>
    <t>EXE-12-BUILD-ORG-2</t>
  </si>
  <si>
    <t>EXE-12-BUILD-ORG-3</t>
  </si>
  <si>
    <t>EXE-12-BUILD-RES-1</t>
  </si>
  <si>
    <t>EXE-12-BUILD-RES-2</t>
  </si>
  <si>
    <t>EXE-12-BUILD-RES-3</t>
  </si>
  <si>
    <t>EXE-12-BUILD-RES-4</t>
  </si>
  <si>
    <t>EXE-12-BUILD-PROC-1</t>
  </si>
  <si>
    <t>EXE-12-BUILD-OUT1-1</t>
  </si>
  <si>
    <t>EXE-12-OPERATE-KPI-1</t>
  </si>
  <si>
    <t>EXE-12-OPERATE-KPI-2</t>
  </si>
  <si>
    <t>EXE-12-OPERATE-GOV-1</t>
  </si>
  <si>
    <t>EXE-12-OPERATE-GOV-2</t>
  </si>
  <si>
    <t>EXE-12-OPERATE-GOV-3</t>
  </si>
  <si>
    <t>EXE-12-OPERATE-RES-1</t>
  </si>
  <si>
    <t>EXE-12-OPERATE-PROC-1</t>
  </si>
  <si>
    <t>EXE-12-OPERATE-OUTF-1</t>
  </si>
  <si>
    <t>EXE-13-DESIGN-ROLE-1</t>
  </si>
  <si>
    <t>EXE-13-DESIGN-KPI-1</t>
  </si>
  <si>
    <t>EXE-13-DESIGN-KPI-2</t>
  </si>
  <si>
    <t>EXE-13-DESIGN-GOV-1</t>
  </si>
  <si>
    <t>EXE-13-DESIGN-ORG-1</t>
  </si>
  <si>
    <t>EXE-13-DESIGN-RES-1</t>
  </si>
  <si>
    <t>EXE-13-DESIGN-PROC-1</t>
  </si>
  <si>
    <t>EXE-13-BUILD-ROLE-1</t>
  </si>
  <si>
    <t>EXE-13-BUILD-KPI-1</t>
  </si>
  <si>
    <t>EXE-13-BUILD-KPI-2</t>
  </si>
  <si>
    <t>EXE-13-BUILD-GOV-1</t>
  </si>
  <si>
    <t>EXE-13-BUILD-GOV-2</t>
  </si>
  <si>
    <t>EXE-13-BUILD-GOV-3</t>
  </si>
  <si>
    <t>EXE-13-BUILD-ORG-1</t>
  </si>
  <si>
    <t>EXE-13-BUILD-ORG-2</t>
  </si>
  <si>
    <t>EXE-13-BUILD-ORG-3</t>
  </si>
  <si>
    <t>EXE-13-BUILD-RES-1</t>
  </si>
  <si>
    <t>EXE-13-BUILD-RES-2</t>
  </si>
  <si>
    <t>EXE-13-BUILD-RES-3</t>
  </si>
  <si>
    <t>EXE-13-BUILD-RES-4</t>
  </si>
  <si>
    <t>EXE-13-BUILD-PROC-1</t>
  </si>
  <si>
    <t>EXE-13-BUILD-OUT1-1</t>
  </si>
  <si>
    <t>EXE-13-OPERATE-KPI-1</t>
  </si>
  <si>
    <t>EXE-13-OPERATE-KPI-2</t>
  </si>
  <si>
    <t>EXE-13-OPERATE-GOV-1</t>
  </si>
  <si>
    <t>EXE-13-OPERATE-GOV-2</t>
  </si>
  <si>
    <t>EXE-13-OPERATE-GOV-3</t>
  </si>
  <si>
    <t>EXE-13-OPERATE-RES-1</t>
  </si>
  <si>
    <t>EXE-13-OPERATE-PROC-1</t>
  </si>
  <si>
    <t>EXE-13-OPERATE-OUTF-1</t>
  </si>
  <si>
    <t>EXE-14-DESIGN-ROLE-1</t>
  </si>
  <si>
    <t>EXE-14-DESIGN-KPI-1</t>
  </si>
  <si>
    <t>EXE-14-DESIGN-KPI-2</t>
  </si>
  <si>
    <t>EXE-14-DESIGN-GOV-1</t>
  </si>
  <si>
    <t>EXE-14-DESIGN-ORG-1</t>
  </si>
  <si>
    <t>EXE-14-DESIGN-RES-1</t>
  </si>
  <si>
    <t>EXE-14-DESIGN-PROC-1</t>
  </si>
  <si>
    <t>EXE-14-BUILD-ROLE-1</t>
  </si>
  <si>
    <t>EXE-14-BUILD-KPI-1</t>
  </si>
  <si>
    <t>EXE-14-BUILD-KPI-2</t>
  </si>
  <si>
    <t>EXE-14-BUILD-GOV-1</t>
  </si>
  <si>
    <t>EXE-14-BUILD-GOV-2</t>
  </si>
  <si>
    <t>EXE-14-BUILD-GOV-3</t>
  </si>
  <si>
    <t>EXE-14-BUILD-ORG-1</t>
  </si>
  <si>
    <t>EXE-14-BUILD-ORG-2</t>
  </si>
  <si>
    <t>EXE-14-BUILD-ORG-3</t>
  </si>
  <si>
    <t>EXE-14-BUILD-RES-1</t>
  </si>
  <si>
    <t>EXE-14-BUILD-RES-2</t>
  </si>
  <si>
    <t>EXE-14-BUILD-RES-3</t>
  </si>
  <si>
    <t>EXE-14-BUILD-RES-4</t>
  </si>
  <si>
    <t>EXE-14-BUILD-PROC-1</t>
  </si>
  <si>
    <t>EXE-14-BUILD-OUT1-1</t>
  </si>
  <si>
    <t>EXE-14-OPERATE-KPI-1</t>
  </si>
  <si>
    <t>EXE-14-OPERATE-KPI-2</t>
  </si>
  <si>
    <t>EXE-14-OPERATE-GOV-1</t>
  </si>
  <si>
    <t>EXE-14-OPERATE-GOV-2</t>
  </si>
  <si>
    <t>EXE-14-OPERATE-GOV-3</t>
  </si>
  <si>
    <t>EXE-14-OPERATE-RES-1</t>
  </si>
  <si>
    <t>EXE-14-OPERATE-PROC-1</t>
  </si>
  <si>
    <t>EXE-14-OPERATE-OUTF-1</t>
  </si>
  <si>
    <t>MIL-01-DESIGN-ROLE-1</t>
  </si>
  <si>
    <t>MIL-01-DESIGN-KPI-1</t>
  </si>
  <si>
    <t>MIL-01-DESIGN-KPI-2</t>
  </si>
  <si>
    <t>MIL-01-DESIGN-GOV-1</t>
  </si>
  <si>
    <t>MIL-01-DESIGN-ORG-1</t>
  </si>
  <si>
    <t>MIL-01-DESIGN-RES-1</t>
  </si>
  <si>
    <t>MIL-01-DESIGN-PROC-1</t>
  </si>
  <si>
    <t>MIL-01-BUILD-ROLE-1</t>
  </si>
  <si>
    <t>MIL-01-BUILD-KPI-1</t>
  </si>
  <si>
    <t>MIL-01-BUILD-KPI-2</t>
  </si>
  <si>
    <t>MIL-01-BUILD-GOV-1</t>
  </si>
  <si>
    <t>MIL-01-BUILD-GOV-2</t>
  </si>
  <si>
    <t>MIL-01-BUILD-GOV-3</t>
  </si>
  <si>
    <t>MIL-01-BUILD-ORG-1</t>
  </si>
  <si>
    <t>MIL-01-BUILD-ORG-2</t>
  </si>
  <si>
    <t>MIL-01-BUILD-ORG-3</t>
  </si>
  <si>
    <t>MIL-01-BUILD-RES-1</t>
  </si>
  <si>
    <t>MIL-01-BUILD-RES-2</t>
  </si>
  <si>
    <t>MIL-01-BUILD-RES-3</t>
  </si>
  <si>
    <t>MIL-01-BUILD-RES-4</t>
  </si>
  <si>
    <t>MIL-01-BUILD-PROC-1</t>
  </si>
  <si>
    <t>MIL-01-BUILD-OUT1-1</t>
  </si>
  <si>
    <t>MIL-01-OPERATE-KPI-1</t>
  </si>
  <si>
    <t>MIL-01-OPERATE-KPI-2</t>
  </si>
  <si>
    <t>MIL-01-OPERATE-GOV-1</t>
  </si>
  <si>
    <t>MIL-01-OPERATE-GOV-2</t>
  </si>
  <si>
    <t>MIL-01-OPERATE-GOV-3</t>
  </si>
  <si>
    <t>MIL-01-OPERATE-RES-1</t>
  </si>
  <si>
    <t>MIL-01-OPERATE-PROC-1</t>
  </si>
  <si>
    <t>MIL-01-OPERATE-OUTF-1</t>
  </si>
  <si>
    <t>MIL-02-DESIGN-ROLE-1</t>
  </si>
  <si>
    <t>MIL-02-DESIGN-KPI-1</t>
  </si>
  <si>
    <t>MIL-02-DESIGN-KPI-2</t>
  </si>
  <si>
    <t>MIL-02-DESIGN-GOV-1</t>
  </si>
  <si>
    <t>MIL-02-DESIGN-ORG-1</t>
  </si>
  <si>
    <t>MIL-02-DESIGN-RES-1</t>
  </si>
  <si>
    <t>MIL-02-DESIGN-PROC-1</t>
  </si>
  <si>
    <t>MIL-02-BUILD-ROLE-1</t>
  </si>
  <si>
    <t>MIL-02-BUILD-KPI-1</t>
  </si>
  <si>
    <t>MIL-02-BUILD-KPI-2</t>
  </si>
  <si>
    <t>MIL-02-BUILD-GOV-1</t>
  </si>
  <si>
    <t>MIL-02-BUILD-GOV-2</t>
  </si>
  <si>
    <t>MIL-02-BUILD-GOV-3</t>
  </si>
  <si>
    <t>MIL-02-BUILD-ORG-1</t>
  </si>
  <si>
    <t>MIL-02-BUILD-ORG-2</t>
  </si>
  <si>
    <t>MIL-02-BUILD-ORG-3</t>
  </si>
  <si>
    <t>MIL-02-BUILD-RES-1</t>
  </si>
  <si>
    <t>MIL-02-BUILD-RES-2</t>
  </si>
  <si>
    <t>MIL-02-BUILD-RES-3</t>
  </si>
  <si>
    <t>MIL-02-BUILD-RES-4</t>
  </si>
  <si>
    <t>MIL-02-BUILD-PROC-1</t>
  </si>
  <si>
    <t>MIL-02-BUILD-OUT1-1</t>
  </si>
  <si>
    <t>MIL-02-OPERATE-KPI-1</t>
  </si>
  <si>
    <t>MIL-02-OPERATE-KPI-2</t>
  </si>
  <si>
    <t>MIL-02-OPERATE-GOV-1</t>
  </si>
  <si>
    <t>MIL-02-OPERATE-GOV-2</t>
  </si>
  <si>
    <t>MIL-02-OPERATE-GOV-3</t>
  </si>
  <si>
    <t>MIL-02-OPERATE-RES-1</t>
  </si>
  <si>
    <t>MIL-02-OPERATE-PROC-1</t>
  </si>
  <si>
    <t>MIL-02-OPERATE-OUTF-1</t>
  </si>
  <si>
    <t>MIL-03-DESIGN-ROLE-1</t>
  </si>
  <si>
    <t>MIL-03-DESIGN-KPI-1</t>
  </si>
  <si>
    <t>MIL-03-DESIGN-KPI-2</t>
  </si>
  <si>
    <t>MIL-03-DESIGN-GOV-1</t>
  </si>
  <si>
    <t>MIL-03-DESIGN-ORG-1</t>
  </si>
  <si>
    <t>MIL-03-DESIGN-RES-1</t>
  </si>
  <si>
    <t>MIL-03-DESIGN-PROC-1</t>
  </si>
  <si>
    <t>MIL-03-BUILD-ROLE-1</t>
  </si>
  <si>
    <t>MIL-03-BUILD-KPI-1</t>
  </si>
  <si>
    <t>MIL-03-BUILD-KPI-2</t>
  </si>
  <si>
    <t>MIL-03-BUILD-GOV-1</t>
  </si>
  <si>
    <t>MIL-03-BUILD-GOV-2</t>
  </si>
  <si>
    <t>MIL-03-BUILD-GOV-3</t>
  </si>
  <si>
    <t>MIL-03-BUILD-ORG-1</t>
  </si>
  <si>
    <t>MIL-03-BUILD-ORG-2</t>
  </si>
  <si>
    <t>MIL-03-BUILD-ORG-3</t>
  </si>
  <si>
    <t>MIL-03-BUILD-RES-1</t>
  </si>
  <si>
    <t>MIL-03-BUILD-RES-2</t>
  </si>
  <si>
    <t>MIL-03-BUILD-RES-3</t>
  </si>
  <si>
    <t>MIL-03-BUILD-RES-4</t>
  </si>
  <si>
    <t>MIL-03-BUILD-PROC-1</t>
  </si>
  <si>
    <t>MIL-03-BUILD-OUT1-1</t>
  </si>
  <si>
    <t>MIL-03-OPERATE-KPI-1</t>
  </si>
  <si>
    <t>MIL-03-OPERATE-KPI-2</t>
  </si>
  <si>
    <t>MIL-03-OPERATE-GOV-1</t>
  </si>
  <si>
    <t>MIL-03-OPERATE-GOV-2</t>
  </si>
  <si>
    <t>MIL-03-OPERATE-GOV-3</t>
  </si>
  <si>
    <t>MIL-03-OPERATE-RES-1</t>
  </si>
  <si>
    <t>MIL-03-OPERATE-PROC-1</t>
  </si>
  <si>
    <t>MIL-03-OPERATE-OUTF-1</t>
  </si>
  <si>
    <t>MIL-04-DESIGN-ROLE-1</t>
  </si>
  <si>
    <t>MIL-04-DESIGN-KPI-1</t>
  </si>
  <si>
    <t>MIL-04-DESIGN-KPI-2</t>
  </si>
  <si>
    <t>MIL-04-DESIGN-GOV-1</t>
  </si>
  <si>
    <t>MIL-04-DESIGN-ORG-1</t>
  </si>
  <si>
    <t>MIL-04-DESIGN-RES-1</t>
  </si>
  <si>
    <t>MIL-04-DESIGN-PROC-1</t>
  </si>
  <si>
    <t>MIL-04-BUILD-ROLE-1</t>
  </si>
  <si>
    <t>MIL-04-BUILD-KPI-1</t>
  </si>
  <si>
    <t>MIL-04-BUILD-KPI-2</t>
  </si>
  <si>
    <t>MIL-04-BUILD-GOV-1</t>
  </si>
  <si>
    <t>MIL-04-BUILD-GOV-2</t>
  </si>
  <si>
    <t>MIL-04-BUILD-GOV-3</t>
  </si>
  <si>
    <t>MIL-04-BUILD-ORG-1</t>
  </si>
  <si>
    <t>MIL-04-BUILD-ORG-2</t>
  </si>
  <si>
    <t>MIL-04-BUILD-ORG-3</t>
  </si>
  <si>
    <t>MIL-04-BUILD-RES-1</t>
  </si>
  <si>
    <t>MIL-04-BUILD-RES-2</t>
  </si>
  <si>
    <t>MIL-04-BUILD-RES-3</t>
  </si>
  <si>
    <t>MIL-04-BUILD-RES-4</t>
  </si>
  <si>
    <t>MIL-04-BUILD-PROC-1</t>
  </si>
  <si>
    <t>MIL-04-BUILD-OUT1-1</t>
  </si>
  <si>
    <t>MIL-04-OPERATE-KPI-1</t>
  </si>
  <si>
    <t>MIL-04-OPERATE-KPI-2</t>
  </si>
  <si>
    <t>MIL-04-OPERATE-GOV-1</t>
  </si>
  <si>
    <t>MIL-04-OPERATE-GOV-2</t>
  </si>
  <si>
    <t>MIL-04-OPERATE-GOV-3</t>
  </si>
  <si>
    <t>MIL-04-OPERATE-RES-1</t>
  </si>
  <si>
    <t>MIL-04-OPERATE-PROC-1</t>
  </si>
  <si>
    <t>MIL-04-OPERATE-OUTF-1</t>
  </si>
  <si>
    <t>MIL-05-DESIGN-ROLE-1</t>
  </si>
  <si>
    <t>MIL-05-DESIGN-KPI-1</t>
  </si>
  <si>
    <t>MIL-05-DESIGN-KPI-2</t>
  </si>
  <si>
    <t>MIL-05-DESIGN-GOV-1</t>
  </si>
  <si>
    <t>MIL-05-DESIGN-ORG-1</t>
  </si>
  <si>
    <t>MIL-05-DESIGN-RES-1</t>
  </si>
  <si>
    <t>MIL-05-DESIGN-PROC-1</t>
  </si>
  <si>
    <t>MIL-05-BUILD-ROLE-1</t>
  </si>
  <si>
    <t>MIL-05-BUILD-KPI-1</t>
  </si>
  <si>
    <t>MIL-05-BUILD-KPI-2</t>
  </si>
  <si>
    <t>MIL-05-BUILD-GOV-1</t>
  </si>
  <si>
    <t>MIL-05-BUILD-GOV-2</t>
  </si>
  <si>
    <t>MIL-05-BUILD-GOV-3</t>
  </si>
  <si>
    <t>MIL-05-BUILD-ORG-1</t>
  </si>
  <si>
    <t>MIL-05-BUILD-ORG-2</t>
  </si>
  <si>
    <t>MIL-05-BUILD-ORG-3</t>
  </si>
  <si>
    <t>MIL-05-BUILD-RES-1</t>
  </si>
  <si>
    <t>MIL-05-BUILD-RES-2</t>
  </si>
  <si>
    <t>MIL-05-BUILD-RES-3</t>
  </si>
  <si>
    <t>MIL-05-BUILD-RES-4</t>
  </si>
  <si>
    <t>MIL-05-BUILD-PROC-1</t>
  </si>
  <si>
    <t>MIL-05-BUILD-OUT1-1</t>
  </si>
  <si>
    <t>MIL-05-OPERATE-KPI-1</t>
  </si>
  <si>
    <t>MIL-05-OPERATE-KPI-2</t>
  </si>
  <si>
    <t>MIL-05-OPERATE-GOV-1</t>
  </si>
  <si>
    <t>MIL-05-OPERATE-GOV-2</t>
  </si>
  <si>
    <t>MIL-05-OPERATE-GOV-3</t>
  </si>
  <si>
    <t>MIL-05-OPERATE-RES-1</t>
  </si>
  <si>
    <t>MIL-05-OPERATE-PROC-1</t>
  </si>
  <si>
    <t>MIL-05-OPERATE-OUTF-1</t>
  </si>
  <si>
    <t>MIL-06-DESIGN-ROLE-1</t>
  </si>
  <si>
    <t>MIL-06-DESIGN-KPI-1</t>
  </si>
  <si>
    <t>MIL-06-DESIGN-KPI-2</t>
  </si>
  <si>
    <t>MIL-06-DESIGN-GOV-1</t>
  </si>
  <si>
    <t>MIL-06-DESIGN-ORG-1</t>
  </si>
  <si>
    <t>MIL-06-DESIGN-RES-1</t>
  </si>
  <si>
    <t>MIL-06-DESIGN-PROC-1</t>
  </si>
  <si>
    <t>MIL-06-BUILD-ROLE-1</t>
  </si>
  <si>
    <t>MIL-06-BUILD-KPI-1</t>
  </si>
  <si>
    <t>MIL-06-BUILD-KPI-2</t>
  </si>
  <si>
    <t>MIL-06-BUILD-GOV-1</t>
  </si>
  <si>
    <t>MIL-06-BUILD-GOV-2</t>
  </si>
  <si>
    <t>MIL-06-BUILD-GOV-3</t>
  </si>
  <si>
    <t>MIL-06-BUILD-ORG-1</t>
  </si>
  <si>
    <t>MIL-06-BUILD-ORG-2</t>
  </si>
  <si>
    <t>MIL-06-BUILD-ORG-3</t>
  </si>
  <si>
    <t>MIL-06-BUILD-RES-1</t>
  </si>
  <si>
    <t>MIL-06-BUILD-RES-2</t>
  </si>
  <si>
    <t>MIL-06-BUILD-RES-3</t>
  </si>
  <si>
    <t>MIL-06-BUILD-RES-4</t>
  </si>
  <si>
    <t>MIL-06-BUILD-PROC-1</t>
  </si>
  <si>
    <t>MIL-06-BUILD-OUT1-1</t>
  </si>
  <si>
    <t>MIL-06-OPERATE-KPI-1</t>
  </si>
  <si>
    <t>MIL-06-OPERATE-KPI-2</t>
  </si>
  <si>
    <t>MIL-06-OPERATE-GOV-1</t>
  </si>
  <si>
    <t>MIL-06-OPERATE-GOV-2</t>
  </si>
  <si>
    <t>MIL-06-OPERATE-GOV-3</t>
  </si>
  <si>
    <t>MIL-06-OPERATE-RES-1</t>
  </si>
  <si>
    <t>MIL-06-OPERATE-PROC-1</t>
  </si>
  <si>
    <t>MIL-06-OPERATE-OUTF-1</t>
  </si>
  <si>
    <t>MIL-07-DESIGN-ROLE-1</t>
  </si>
  <si>
    <t>MIL-07-DESIGN-KPI-1</t>
  </si>
  <si>
    <t>MIL-07-DESIGN-KPI-2</t>
  </si>
  <si>
    <t>MIL-07-DESIGN-GOV-1</t>
  </si>
  <si>
    <t>MIL-07-DESIGN-ORG-1</t>
  </si>
  <si>
    <t>MIL-07-DESIGN-RES-1</t>
  </si>
  <si>
    <t>MIL-07-DESIGN-PROC-1</t>
  </si>
  <si>
    <t>MIL-07-BUILD-ROLE-1</t>
  </si>
  <si>
    <t>MIL-07-BUILD-KPI-1</t>
  </si>
  <si>
    <t>MIL-07-BUILD-KPI-2</t>
  </si>
  <si>
    <t>MIL-07-BUILD-GOV-1</t>
  </si>
  <si>
    <t>MIL-07-BUILD-GOV-2</t>
  </si>
  <si>
    <t>MIL-07-BUILD-GOV-3</t>
  </si>
  <si>
    <t>MIL-07-BUILD-ORG-1</t>
  </si>
  <si>
    <t>MIL-07-BUILD-ORG-2</t>
  </si>
  <si>
    <t>MIL-07-BUILD-ORG-3</t>
  </si>
  <si>
    <t>MIL-07-BUILD-RES-1</t>
  </si>
  <si>
    <t>MIL-07-BUILD-RES-2</t>
  </si>
  <si>
    <t>MIL-07-BUILD-RES-3</t>
  </si>
  <si>
    <t>MIL-07-BUILD-RES-4</t>
  </si>
  <si>
    <t>MIL-07-BUILD-PROC-1</t>
  </si>
  <si>
    <t>MIL-07-BUILD-OUT1-1</t>
  </si>
  <si>
    <t>MIL-07-OPERATE-KPI-1</t>
  </si>
  <si>
    <t>MIL-07-OPERATE-KPI-2</t>
  </si>
  <si>
    <t>MIL-07-OPERATE-GOV-1</t>
  </si>
  <si>
    <t>MIL-07-OPERATE-GOV-2</t>
  </si>
  <si>
    <t>MIL-07-OPERATE-GOV-3</t>
  </si>
  <si>
    <t>MIL-07-OPERATE-RES-1</t>
  </si>
  <si>
    <t>MIL-07-OPERATE-PROC-1</t>
  </si>
  <si>
    <t>MIL-07-OPERATE-OUTF-1</t>
  </si>
  <si>
    <t>MIL-08-DESIGN-ROLE-1</t>
  </si>
  <si>
    <t>MIL-08-DESIGN-KPI-1</t>
  </si>
  <si>
    <t>MIL-08-DESIGN-KPI-2</t>
  </si>
  <si>
    <t>MIL-08-DESIGN-GOV-1</t>
  </si>
  <si>
    <t>MIL-08-DESIGN-ORG-1</t>
  </si>
  <si>
    <t>MIL-08-DESIGN-RES-1</t>
  </si>
  <si>
    <t>MIL-08-DESIGN-PROC-1</t>
  </si>
  <si>
    <t>MIL-08-BUILD-ROLE-1</t>
  </si>
  <si>
    <t>MIL-08-BUILD-KPI-1</t>
  </si>
  <si>
    <t>MIL-08-BUILD-KPI-2</t>
  </si>
  <si>
    <t>MIL-08-BUILD-GOV-1</t>
  </si>
  <si>
    <t>MIL-08-BUILD-GOV-2</t>
  </si>
  <si>
    <t>MIL-08-BUILD-GOV-3</t>
  </si>
  <si>
    <t>MIL-08-BUILD-ORG-1</t>
  </si>
  <si>
    <t>MIL-08-BUILD-ORG-2</t>
  </si>
  <si>
    <t>MIL-08-BUILD-ORG-3</t>
  </si>
  <si>
    <t>MIL-08-BUILD-RES-1</t>
  </si>
  <si>
    <t>MIL-08-BUILD-RES-2</t>
  </si>
  <si>
    <t>MIL-08-BUILD-RES-3</t>
  </si>
  <si>
    <t>MIL-08-BUILD-RES-4</t>
  </si>
  <si>
    <t>MIL-08-BUILD-PROC-1</t>
  </si>
  <si>
    <t>MIL-08-BUILD-OUT1-1</t>
  </si>
  <si>
    <t>MIL-08-OPERATE-KPI-1</t>
  </si>
  <si>
    <t>MIL-08-OPERATE-KPI-2</t>
  </si>
  <si>
    <t>MIL-08-OPERATE-GOV-1</t>
  </si>
  <si>
    <t>MIL-08-OPERATE-GOV-2</t>
  </si>
  <si>
    <t>MIL-08-OPERATE-GOV-3</t>
  </si>
  <si>
    <t>MIL-08-OPERATE-RES-1</t>
  </si>
  <si>
    <t>MIL-08-OPERATE-PROC-1</t>
  </si>
  <si>
    <t>MIL-08-OPERATE-OUTF-1</t>
  </si>
  <si>
    <t>MIL-09-DESIGN-ROLE-1</t>
  </si>
  <si>
    <t>MIL-09-DESIGN-KPI-1</t>
  </si>
  <si>
    <t>MIL-09-DESIGN-KPI-2</t>
  </si>
  <si>
    <t>MIL-09-DESIGN-GOV-1</t>
  </si>
  <si>
    <t>MIL-09-DESIGN-ORG-1</t>
  </si>
  <si>
    <t>MIL-09-DESIGN-RES-1</t>
  </si>
  <si>
    <t>MIL-09-DESIGN-PROC-1</t>
  </si>
  <si>
    <t>MIL-09-BUILD-ROLE-1</t>
  </si>
  <si>
    <t>MIL-09-BUILD-KPI-1</t>
  </si>
  <si>
    <t>MIL-09-BUILD-KPI-2</t>
  </si>
  <si>
    <t>MIL-09-BUILD-GOV-1</t>
  </si>
  <si>
    <t>MIL-09-BUILD-GOV-2</t>
  </si>
  <si>
    <t>MIL-09-BUILD-GOV-3</t>
  </si>
  <si>
    <t>MIL-09-BUILD-ORG-1</t>
  </si>
  <si>
    <t>MIL-09-BUILD-ORG-2</t>
  </si>
  <si>
    <t>MIL-09-BUILD-ORG-3</t>
  </si>
  <si>
    <t>MIL-09-BUILD-RES-1</t>
  </si>
  <si>
    <t>MIL-09-BUILD-RES-2</t>
  </si>
  <si>
    <t>MIL-09-BUILD-RES-3</t>
  </si>
  <si>
    <t>MIL-09-BUILD-RES-4</t>
  </si>
  <si>
    <t>MIL-09-BUILD-PROC-1</t>
  </si>
  <si>
    <t>MIL-09-BUILD-OUT1-1</t>
  </si>
  <si>
    <t>MIL-09-OPERATE-KPI-1</t>
  </si>
  <si>
    <t>MIL-09-OPERATE-KPI-2</t>
  </si>
  <si>
    <t>MIL-09-OPERATE-GOV-1</t>
  </si>
  <si>
    <t>MIL-09-OPERATE-GOV-2</t>
  </si>
  <si>
    <t>MIL-09-OPERATE-GOV-3</t>
  </si>
  <si>
    <t>MIL-09-OPERATE-RES-1</t>
  </si>
  <si>
    <t>MIL-09-OPERATE-PROC-1</t>
  </si>
  <si>
    <t>MIL-09-OPERATE-OUTF-1</t>
  </si>
  <si>
    <t>MIL-10-DESIGN-ROLE-1</t>
  </si>
  <si>
    <t>MIL-10-DESIGN-KPI-1</t>
  </si>
  <si>
    <t>MIL-10-DESIGN-KPI-2</t>
  </si>
  <si>
    <t>MIL-10-DESIGN-GOV-1</t>
  </si>
  <si>
    <t>MIL-10-DESIGN-ORG-1</t>
  </si>
  <si>
    <t>MIL-10-DESIGN-RES-1</t>
  </si>
  <si>
    <t>MIL-10-DESIGN-PROC-1</t>
  </si>
  <si>
    <t>MIL-10-BUILD-ROLE-1</t>
  </si>
  <si>
    <t>MIL-10-BUILD-KPI-1</t>
  </si>
  <si>
    <t>MIL-10-BUILD-KPI-2</t>
  </si>
  <si>
    <t>MIL-10-BUILD-GOV-1</t>
  </si>
  <si>
    <t>MIL-10-BUILD-GOV-2</t>
  </si>
  <si>
    <t>MIL-10-BUILD-GOV-3</t>
  </si>
  <si>
    <t>MIL-10-BUILD-ORG-1</t>
  </si>
  <si>
    <t>MIL-10-BUILD-ORG-2</t>
  </si>
  <si>
    <t>MIL-10-BUILD-ORG-3</t>
  </si>
  <si>
    <t>MIL-10-BUILD-RES-1</t>
  </si>
  <si>
    <t>MIL-10-BUILD-RES-2</t>
  </si>
  <si>
    <t>MIL-10-BUILD-RES-3</t>
  </si>
  <si>
    <t>MIL-10-BUILD-RES-4</t>
  </si>
  <si>
    <t>MIL-10-BUILD-PROC-1</t>
  </si>
  <si>
    <t>MIL-10-BUILD-OUT1-1</t>
  </si>
  <si>
    <t>MIL-10-OPERATE-KPI-1</t>
  </si>
  <si>
    <t>MIL-10-OPERATE-KPI-2</t>
  </si>
  <si>
    <t>MIL-10-OPERATE-GOV-1</t>
  </si>
  <si>
    <t>MIL-10-OPERATE-GOV-2</t>
  </si>
  <si>
    <t>MIL-10-OPERATE-GOV-3</t>
  </si>
  <si>
    <t>MIL-10-OPERATE-RES-1</t>
  </si>
  <si>
    <t>MIL-10-OPERATE-PROC-1</t>
  </si>
  <si>
    <t>MIL-10-OPERATE-OUTF-1</t>
  </si>
  <si>
    <t>MIL-11-DESIGN-ROLE-1</t>
  </si>
  <si>
    <t>MIL-11-DESIGN-KPI-1</t>
  </si>
  <si>
    <t>MIL-11-DESIGN-KPI-2</t>
  </si>
  <si>
    <t>MIL-11-DESIGN-GOV-1</t>
  </si>
  <si>
    <t>MIL-11-DESIGN-ORG-1</t>
  </si>
  <si>
    <t>MIL-11-DESIGN-RES-1</t>
  </si>
  <si>
    <t>MIL-11-DESIGN-PROC-1</t>
  </si>
  <si>
    <t>MIL-11-BUILD-ROLE-1</t>
  </si>
  <si>
    <t>MIL-11-BUILD-KPI-1</t>
  </si>
  <si>
    <t>MIL-11-BUILD-KPI-2</t>
  </si>
  <si>
    <t>MIL-11-BUILD-GOV-1</t>
  </si>
  <si>
    <t>MIL-11-BUILD-GOV-2</t>
  </si>
  <si>
    <t>MIL-11-BUILD-GOV-3</t>
  </si>
  <si>
    <t>MIL-11-BUILD-ORG-1</t>
  </si>
  <si>
    <t>MIL-11-BUILD-ORG-2</t>
  </si>
  <si>
    <t>MIL-11-BUILD-ORG-3</t>
  </si>
  <si>
    <t>MIL-11-BUILD-RES-1</t>
  </si>
  <si>
    <t>MIL-11-BUILD-RES-2</t>
  </si>
  <si>
    <t>MIL-11-BUILD-RES-3</t>
  </si>
  <si>
    <t>MIL-11-BUILD-RES-4</t>
  </si>
  <si>
    <t>MIL-11-BUILD-PROC-1</t>
  </si>
  <si>
    <t>MIL-11-BUILD-OUT1-1</t>
  </si>
  <si>
    <t>MIL-11-OPERATE-KPI-1</t>
  </si>
  <si>
    <t>MIL-11-OPERATE-KPI-2</t>
  </si>
  <si>
    <t>MIL-11-OPERATE-GOV-1</t>
  </si>
  <si>
    <t>MIL-11-OPERATE-GOV-2</t>
  </si>
  <si>
    <t>MIL-11-OPERATE-GOV-3</t>
  </si>
  <si>
    <t>MIL-11-OPERATE-RES-1</t>
  </si>
  <si>
    <t>MIL-11-OPERATE-PROC-1</t>
  </si>
  <si>
    <t>MIL-11-OPERATE-OUTF-1</t>
  </si>
  <si>
    <t>MIL-12-DESIGN-ROLE-1</t>
  </si>
  <si>
    <t>MIL-12-DESIGN-KPI-1</t>
  </si>
  <si>
    <t>MIL-12-DESIGN-KPI-2</t>
  </si>
  <si>
    <t>MIL-12-DESIGN-GOV-1</t>
  </si>
  <si>
    <t>MIL-12-DESIGN-ORG-1</t>
  </si>
  <si>
    <t>MIL-12-DESIGN-RES-1</t>
  </si>
  <si>
    <t>MIL-12-DESIGN-PROC-1</t>
  </si>
  <si>
    <t>MIL-12-BUILD-ROLE-1</t>
  </si>
  <si>
    <t>MIL-12-BUILD-KPI-1</t>
  </si>
  <si>
    <t>MIL-12-BUILD-KPI-2</t>
  </si>
  <si>
    <t>MIL-12-BUILD-GOV-1</t>
  </si>
  <si>
    <t>MIL-12-BUILD-GOV-2</t>
  </si>
  <si>
    <t>MIL-12-BUILD-GOV-3</t>
  </si>
  <si>
    <t>MIL-12-BUILD-ORG-1</t>
  </si>
  <si>
    <t>MIL-12-BUILD-ORG-2</t>
  </si>
  <si>
    <t>MIL-12-BUILD-ORG-3</t>
  </si>
  <si>
    <t>MIL-12-BUILD-RES-1</t>
  </si>
  <si>
    <t>MIL-12-BUILD-RES-2</t>
  </si>
  <si>
    <t>MIL-12-BUILD-RES-3</t>
  </si>
  <si>
    <t>MIL-12-BUILD-RES-4</t>
  </si>
  <si>
    <t>MIL-12-BUILD-PROC-1</t>
  </si>
  <si>
    <t>MIL-12-BUILD-OUT1-1</t>
  </si>
  <si>
    <t>MIL-12-OPERATE-KPI-1</t>
  </si>
  <si>
    <t>MIL-12-OPERATE-KPI-2</t>
  </si>
  <si>
    <t>MIL-12-OPERATE-GOV-1</t>
  </si>
  <si>
    <t>MIL-12-OPERATE-GOV-2</t>
  </si>
  <si>
    <t>MIL-12-OPERATE-GOV-3</t>
  </si>
  <si>
    <t>MIL-12-OPERATE-RES-1</t>
  </si>
  <si>
    <t>MIL-12-OPERATE-PROC-1</t>
  </si>
  <si>
    <t>MIL-12-OPERATE-OUTF-1</t>
  </si>
  <si>
    <t>MIL-13-DESIGN-ROLE-1</t>
  </si>
  <si>
    <t>MIL-13-DESIGN-KPI-1</t>
  </si>
  <si>
    <t>MIL-13-DESIGN-KPI-2</t>
  </si>
  <si>
    <t>MIL-13-DESIGN-GOV-1</t>
  </si>
  <si>
    <t>MIL-13-DESIGN-ORG-1</t>
  </si>
  <si>
    <t>MIL-13-DESIGN-RES-1</t>
  </si>
  <si>
    <t>MIL-13-DESIGN-PROC-1</t>
  </si>
  <si>
    <t>MIL-13-BUILD-ROLE-1</t>
  </si>
  <si>
    <t>MIL-13-BUILD-KPI-1</t>
  </si>
  <si>
    <t>MIL-13-BUILD-KPI-2</t>
  </si>
  <si>
    <t>MIL-13-BUILD-GOV-1</t>
  </si>
  <si>
    <t>MIL-13-BUILD-GOV-2</t>
  </si>
  <si>
    <t>MIL-13-BUILD-GOV-3</t>
  </si>
  <si>
    <t>MIL-13-BUILD-ORG-1</t>
  </si>
  <si>
    <t>MIL-13-BUILD-ORG-2</t>
  </si>
  <si>
    <t>MIL-13-BUILD-ORG-3</t>
  </si>
  <si>
    <t>MIL-13-BUILD-RES-1</t>
  </si>
  <si>
    <t>MIL-13-BUILD-RES-2</t>
  </si>
  <si>
    <t>MIL-13-BUILD-RES-3</t>
  </si>
  <si>
    <t>MIL-13-BUILD-RES-4</t>
  </si>
  <si>
    <t>MIL-13-BUILD-PROC-1</t>
  </si>
  <si>
    <t>MIL-13-BUILD-OUT1-1</t>
  </si>
  <si>
    <t>MIL-13-OPERATE-KPI-1</t>
  </si>
  <si>
    <t>MIL-13-OPERATE-KPI-2</t>
  </si>
  <si>
    <t>MIL-13-OPERATE-GOV-1</t>
  </si>
  <si>
    <t>MIL-13-OPERATE-GOV-2</t>
  </si>
  <si>
    <t>MIL-13-OPERATE-GOV-3</t>
  </si>
  <si>
    <t>MIL-13-OPERATE-RES-1</t>
  </si>
  <si>
    <t>MIL-13-OPERATE-PROC-1</t>
  </si>
  <si>
    <t>MIL-13-OPERATE-OUTF-1</t>
  </si>
  <si>
    <t>MIL-14-DESIGN-ROLE-1</t>
  </si>
  <si>
    <t>MIL-14-DESIGN-KPI-1</t>
  </si>
  <si>
    <t>MIL-14-DESIGN-KPI-2</t>
  </si>
  <si>
    <t>MIL-14-DESIGN-GOV-1</t>
  </si>
  <si>
    <t>MIL-14-DESIGN-ORG-1</t>
  </si>
  <si>
    <t>MIL-14-DESIGN-RES-1</t>
  </si>
  <si>
    <t>MIL-14-DESIGN-PROC-1</t>
  </si>
  <si>
    <t>MIL-14-BUILD-ROLE-1</t>
  </si>
  <si>
    <t>MIL-14-BUILD-KPI-1</t>
  </si>
  <si>
    <t>MIL-14-BUILD-KPI-2</t>
  </si>
  <si>
    <t>MIL-14-BUILD-GOV-1</t>
  </si>
  <si>
    <t>MIL-14-BUILD-GOV-2</t>
  </si>
  <si>
    <t>MIL-14-BUILD-GOV-3</t>
  </si>
  <si>
    <t>MIL-14-BUILD-ORG-1</t>
  </si>
  <si>
    <t>MIL-14-BUILD-ORG-2</t>
  </si>
  <si>
    <t>MIL-14-BUILD-ORG-3</t>
  </si>
  <si>
    <t>MIL-14-BUILD-RES-1</t>
  </si>
  <si>
    <t>MIL-14-BUILD-RES-2</t>
  </si>
  <si>
    <t>MIL-14-BUILD-RES-3</t>
  </si>
  <si>
    <t>MIL-14-BUILD-RES-4</t>
  </si>
  <si>
    <t>MIL-14-BUILD-PROC-1</t>
  </si>
  <si>
    <t>MIL-14-BUILD-OUT1-1</t>
  </si>
  <si>
    <t>MIL-14-OPERATE-KPI-1</t>
  </si>
  <si>
    <t>MIL-14-OPERATE-KPI-2</t>
  </si>
  <si>
    <t>MIL-14-OPERATE-GOV-1</t>
  </si>
  <si>
    <t>MIL-14-OPERATE-GOV-2</t>
  </si>
  <si>
    <t>MIL-14-OPERATE-GOV-3</t>
  </si>
  <si>
    <t>MIL-14-OPERATE-RES-1</t>
  </si>
  <si>
    <t>MIL-14-OPERATE-PROC-1</t>
  </si>
  <si>
    <t>MIL-14-OPERATE-OUTF-1</t>
  </si>
  <si>
    <t>MIL-15-DESIGN-ROLE-1</t>
  </si>
  <si>
    <t>MIL-15-DESIGN-KPI-1</t>
  </si>
  <si>
    <t>MIL-15-DESIGN-KPI-2</t>
  </si>
  <si>
    <t>MIL-15-DESIGN-GOV-1</t>
  </si>
  <si>
    <t>MIL-15-DESIGN-ORG-1</t>
  </si>
  <si>
    <t>MIL-15-DESIGN-RES-1</t>
  </si>
  <si>
    <t>MIL-15-DESIGN-PROC-1</t>
  </si>
  <si>
    <t>MIL-15-BUILD-ROLE-1</t>
  </si>
  <si>
    <t>MIL-15-BUILD-KPI-1</t>
  </si>
  <si>
    <t>MIL-15-BUILD-KPI-2</t>
  </si>
  <si>
    <t>MIL-15-BUILD-GOV-1</t>
  </si>
  <si>
    <t>MIL-15-BUILD-GOV-2</t>
  </si>
  <si>
    <t>MIL-15-BUILD-GOV-3</t>
  </si>
  <si>
    <t>MIL-15-BUILD-ORG-1</t>
  </si>
  <si>
    <t>MIL-15-BUILD-ORG-2</t>
  </si>
  <si>
    <t>MIL-15-BUILD-ORG-3</t>
  </si>
  <si>
    <t>MIL-15-BUILD-RES-1</t>
  </si>
  <si>
    <t>MIL-15-BUILD-RES-2</t>
  </si>
  <si>
    <t>MIL-15-BUILD-RES-3</t>
  </si>
  <si>
    <t>MIL-15-BUILD-RES-4</t>
  </si>
  <si>
    <t>MIL-15-BUILD-PROC-1</t>
  </si>
  <si>
    <t>MIL-15-BUILD-OUT1-1</t>
  </si>
  <si>
    <t>MIL-15-OPERATE-KPI-1</t>
  </si>
  <si>
    <t>MIL-15-OPERATE-KPI-2</t>
  </si>
  <si>
    <t>MIL-15-OPERATE-GOV-1</t>
  </si>
  <si>
    <t>MIL-15-OPERATE-GOV-2</t>
  </si>
  <si>
    <t>MIL-15-OPERATE-GOV-3</t>
  </si>
  <si>
    <t>MIL-15-OPERATE-RES-1</t>
  </si>
  <si>
    <t>MIL-15-OPERATE-PROC-1</t>
  </si>
  <si>
    <t>MIL-15-OPERATE-OUTF-1</t>
  </si>
  <si>
    <t>MIL-16-DESIGN-ROLE-1</t>
  </si>
  <si>
    <t>MIL-16-DESIGN-KPI-1</t>
  </si>
  <si>
    <t>MIL-16-DESIGN-KPI-2</t>
  </si>
  <si>
    <t>MIL-16-DESIGN-GOV-1</t>
  </si>
  <si>
    <t>MIL-16-DESIGN-ORG-1</t>
  </si>
  <si>
    <t>MIL-16-DESIGN-RES-1</t>
  </si>
  <si>
    <t>MIL-16-DESIGN-PROC-1</t>
  </si>
  <si>
    <t>MIL-16-BUILD-ROLE-1</t>
  </si>
  <si>
    <t>MIL-16-BUILD-KPI-1</t>
  </si>
  <si>
    <t>MIL-16-BUILD-KPI-2</t>
  </si>
  <si>
    <t>MIL-16-BUILD-GOV-1</t>
  </si>
  <si>
    <t>MIL-16-BUILD-GOV-2</t>
  </si>
  <si>
    <t>MIL-16-BUILD-GOV-3</t>
  </si>
  <si>
    <t>MIL-16-BUILD-ORG-1</t>
  </si>
  <si>
    <t>MIL-16-BUILD-ORG-2</t>
  </si>
  <si>
    <t>MIL-16-BUILD-ORG-3</t>
  </si>
  <si>
    <t>MIL-16-BUILD-RES-1</t>
  </si>
  <si>
    <t>MIL-16-BUILD-RES-2</t>
  </si>
  <si>
    <t>MIL-16-BUILD-RES-3</t>
  </si>
  <si>
    <t>MIL-16-BUILD-RES-4</t>
  </si>
  <si>
    <t>MIL-16-BUILD-PROC-1</t>
  </si>
  <si>
    <t>MIL-16-BUILD-OUT1-1</t>
  </si>
  <si>
    <t>MIL-16-OPERATE-KPI-1</t>
  </si>
  <si>
    <t>MIL-16-OPERATE-KPI-2</t>
  </si>
  <si>
    <t>MIL-16-OPERATE-GOV-1</t>
  </si>
  <si>
    <t>MIL-16-OPERATE-GOV-2</t>
  </si>
  <si>
    <t>MIL-16-OPERATE-GOV-3</t>
  </si>
  <si>
    <t>MIL-16-OPERATE-RES-1</t>
  </si>
  <si>
    <t>MIL-16-OPERATE-PROC-1</t>
  </si>
  <si>
    <t>MIL-16-OPERATE-OUTF-1</t>
  </si>
  <si>
    <t>MIL-17-DESIGN-ROLE-1</t>
  </si>
  <si>
    <t>MIL-17-DESIGN-KPI-1</t>
  </si>
  <si>
    <t>MIL-17-DESIGN-KPI-2</t>
  </si>
  <si>
    <t>MIL-17-DESIGN-GOV-1</t>
  </si>
  <si>
    <t>MIL-17-DESIGN-ORG-1</t>
  </si>
  <si>
    <t>MIL-17-DESIGN-RES-1</t>
  </si>
  <si>
    <t>MIL-17-DESIGN-PROC-1</t>
  </si>
  <si>
    <t>MIL-17-BUILD-ROLE-1</t>
  </si>
  <si>
    <t>MIL-17-BUILD-KPI-1</t>
  </si>
  <si>
    <t>MIL-17-BUILD-KPI-2</t>
  </si>
  <si>
    <t>MIL-17-BUILD-GOV-1</t>
  </si>
  <si>
    <t>MIL-17-BUILD-GOV-2</t>
  </si>
  <si>
    <t>MIL-17-BUILD-GOV-3</t>
  </si>
  <si>
    <t>MIL-17-BUILD-ORG-1</t>
  </si>
  <si>
    <t>MIL-17-BUILD-ORG-2</t>
  </si>
  <si>
    <t>MIL-17-BUILD-ORG-3</t>
  </si>
  <si>
    <t>MIL-17-BUILD-RES-1</t>
  </si>
  <si>
    <t>MIL-17-BUILD-RES-2</t>
  </si>
  <si>
    <t>MIL-17-BUILD-RES-3</t>
  </si>
  <si>
    <t>MIL-17-BUILD-RES-4</t>
  </si>
  <si>
    <t>MIL-17-BUILD-PROC-1</t>
  </si>
  <si>
    <t>MIL-17-BUILD-OUT1-1</t>
  </si>
  <si>
    <t>MIL-17-OPERATE-KPI-1</t>
  </si>
  <si>
    <t>MIL-17-OPERATE-KPI-2</t>
  </si>
  <si>
    <t>MIL-17-OPERATE-GOV-1</t>
  </si>
  <si>
    <t>MIL-17-OPERATE-GOV-2</t>
  </si>
  <si>
    <t>MIL-17-OPERATE-GOV-3</t>
  </si>
  <si>
    <t>MIL-17-OPERATE-RES-1</t>
  </si>
  <si>
    <t>MIL-17-OPERATE-PROC-1</t>
  </si>
  <si>
    <t>MIL-17-OPERATE-OUTF-1</t>
  </si>
  <si>
    <t>MIL-18-DESIGN-ROLE-1</t>
  </si>
  <si>
    <t>MIL-18-DESIGN-KPI-1</t>
  </si>
  <si>
    <t>MIL-18-DESIGN-KPI-2</t>
  </si>
  <si>
    <t>MIL-18-DESIGN-GOV-1</t>
  </si>
  <si>
    <t>MIL-18-DESIGN-ORG-1</t>
  </si>
  <si>
    <t>MIL-18-DESIGN-RES-1</t>
  </si>
  <si>
    <t>MIL-18-DESIGN-PROC-1</t>
  </si>
  <si>
    <t>MIL-18-BUILD-ROLE-1</t>
  </si>
  <si>
    <t>MIL-18-BUILD-KPI-1</t>
  </si>
  <si>
    <t>MIL-18-BUILD-KPI-2</t>
  </si>
  <si>
    <t>MIL-18-BUILD-GOV-1</t>
  </si>
  <si>
    <t>MIL-18-BUILD-GOV-2</t>
  </si>
  <si>
    <t>MIL-18-BUILD-GOV-3</t>
  </si>
  <si>
    <t>MIL-18-BUILD-ORG-1</t>
  </si>
  <si>
    <t>MIL-18-BUILD-ORG-2</t>
  </si>
  <si>
    <t>MIL-18-BUILD-ORG-3</t>
  </si>
  <si>
    <t>MIL-18-BUILD-RES-1</t>
  </si>
  <si>
    <t>MIL-18-BUILD-RES-2</t>
  </si>
  <si>
    <t>MIL-18-BUILD-RES-3</t>
  </si>
  <si>
    <t>MIL-18-BUILD-RES-4</t>
  </si>
  <si>
    <t>MIL-18-BUILD-PROC-1</t>
  </si>
  <si>
    <t>MIL-18-BUILD-OUT1-1</t>
  </si>
  <si>
    <t>MIL-18-OPERATE-KPI-1</t>
  </si>
  <si>
    <t>MIL-18-OPERATE-KPI-2</t>
  </si>
  <si>
    <t>MIL-18-OPERATE-GOV-1</t>
  </si>
  <si>
    <t>MIL-18-OPERATE-GOV-2</t>
  </si>
  <si>
    <t>MIL-18-OPERATE-GOV-3</t>
  </si>
  <si>
    <t>MIL-18-OPERATE-RES-1</t>
  </si>
  <si>
    <t>MIL-18-OPERATE-PROC-1</t>
  </si>
  <si>
    <t>MIL-18-OPERATE-OUTF-1</t>
  </si>
  <si>
    <t>MIL-19-DESIGN-ROLE-1</t>
  </si>
  <si>
    <t>MIL-19-DESIGN-KPI-1</t>
  </si>
  <si>
    <t>MIL-19-DESIGN-KPI-2</t>
  </si>
  <si>
    <t>MIL-19-DESIGN-GOV-1</t>
  </si>
  <si>
    <t>MIL-19-DESIGN-ORG-1</t>
  </si>
  <si>
    <t>MIL-19-DESIGN-RES-1</t>
  </si>
  <si>
    <t>MIL-19-DESIGN-PROC-1</t>
  </si>
  <si>
    <t>MIL-19-BUILD-ROLE-1</t>
  </si>
  <si>
    <t>MIL-19-BUILD-KPI-1</t>
  </si>
  <si>
    <t>MIL-19-BUILD-KPI-2</t>
  </si>
  <si>
    <t>MIL-19-BUILD-GOV-1</t>
  </si>
  <si>
    <t>MIL-19-BUILD-GOV-2</t>
  </si>
  <si>
    <t>MIL-19-BUILD-GOV-3</t>
  </si>
  <si>
    <t>MIL-19-BUILD-ORG-1</t>
  </si>
  <si>
    <t>MIL-19-BUILD-ORG-2</t>
  </si>
  <si>
    <t>MIL-19-BUILD-ORG-3</t>
  </si>
  <si>
    <t>MIL-19-BUILD-RES-1</t>
  </si>
  <si>
    <t>MIL-19-BUILD-RES-2</t>
  </si>
  <si>
    <t>MIL-19-BUILD-RES-3</t>
  </si>
  <si>
    <t>MIL-19-BUILD-RES-4</t>
  </si>
  <si>
    <t>MIL-19-BUILD-PROC-1</t>
  </si>
  <si>
    <t>MIL-19-BUILD-OUT1-1</t>
  </si>
  <si>
    <t>MIL-19-OPERATE-KPI-1</t>
  </si>
  <si>
    <t>MIL-19-OPERATE-KPI-2</t>
  </si>
  <si>
    <t>MIL-19-OPERATE-GOV-1</t>
  </si>
  <si>
    <t>MIL-19-OPERATE-GOV-2</t>
  </si>
  <si>
    <t>MIL-19-OPERATE-GOV-3</t>
  </si>
  <si>
    <t>MIL-19-OPERATE-RES-1</t>
  </si>
  <si>
    <t>MIL-19-OPERATE-PROC-1</t>
  </si>
  <si>
    <t>MIL-19-OPERATE-OUTF-1</t>
  </si>
  <si>
    <t>MIL-20-DESIGN-ROLE-1</t>
  </si>
  <si>
    <t>MIL-20-DESIGN-KPI-1</t>
  </si>
  <si>
    <t>MIL-20-DESIGN-KPI-2</t>
  </si>
  <si>
    <t>MIL-20-DESIGN-GOV-1</t>
  </si>
  <si>
    <t>MIL-20-DESIGN-ORG-1</t>
  </si>
  <si>
    <t>MIL-20-DESIGN-RES-1</t>
  </si>
  <si>
    <t>MIL-20-DESIGN-PROC-1</t>
  </si>
  <si>
    <t>MIL-20-BUILD-ROLE-1</t>
  </si>
  <si>
    <t>MIL-20-BUILD-KPI-1</t>
  </si>
  <si>
    <t>MIL-20-BUILD-KPI-2</t>
  </si>
  <si>
    <t>MIL-20-BUILD-GOV-1</t>
  </si>
  <si>
    <t>MIL-20-BUILD-GOV-2</t>
  </si>
  <si>
    <t>MIL-20-BUILD-GOV-3</t>
  </si>
  <si>
    <t>MIL-20-BUILD-ORG-1</t>
  </si>
  <si>
    <t>MIL-20-BUILD-ORG-2</t>
  </si>
  <si>
    <t>MIL-20-BUILD-ORG-3</t>
  </si>
  <si>
    <t>MIL-20-BUILD-RES-1</t>
  </si>
  <si>
    <t>MIL-20-BUILD-RES-2</t>
  </si>
  <si>
    <t>MIL-20-BUILD-RES-3</t>
  </si>
  <si>
    <t>MIL-20-BUILD-RES-4</t>
  </si>
  <si>
    <t>MIL-20-BUILD-PROC-1</t>
  </si>
  <si>
    <t>MIL-20-BUILD-OUT1-1</t>
  </si>
  <si>
    <t>MIL-20-OPERATE-KPI-1</t>
  </si>
  <si>
    <t>MIL-20-OPERATE-KPI-2</t>
  </si>
  <si>
    <t>MIL-20-OPERATE-GOV-1</t>
  </si>
  <si>
    <t>MIL-20-OPERATE-GOV-2</t>
  </si>
  <si>
    <t>MIL-20-OPERATE-GOV-3</t>
  </si>
  <si>
    <t>MIL-20-OPERATE-RES-1</t>
  </si>
  <si>
    <t>MIL-20-OPERATE-PROC-1</t>
  </si>
  <si>
    <t>MIL-20-OPERATE-OUTF-1</t>
  </si>
  <si>
    <t>MIL-21-DESIGN-ROLE-1</t>
  </si>
  <si>
    <t>MIL-21-DESIGN-KPI-1</t>
  </si>
  <si>
    <t>MIL-21-DESIGN-KPI-2</t>
  </si>
  <si>
    <t>MIL-21-DESIGN-GOV-1</t>
  </si>
  <si>
    <t>MIL-21-DESIGN-ORG-1</t>
  </si>
  <si>
    <t>MIL-21-DESIGN-RES-1</t>
  </si>
  <si>
    <t>MIL-21-DESIGN-PROC-1</t>
  </si>
  <si>
    <t>MIL-21-BUILD-ROLE-1</t>
  </si>
  <si>
    <t>MIL-21-BUILD-KPI-1</t>
  </si>
  <si>
    <t>MIL-21-BUILD-KPI-2</t>
  </si>
  <si>
    <t>MIL-21-BUILD-GOV-1</t>
  </si>
  <si>
    <t>MIL-21-BUILD-GOV-2</t>
  </si>
  <si>
    <t>MIL-21-BUILD-GOV-3</t>
  </si>
  <si>
    <t>MIL-21-BUILD-ORG-1</t>
  </si>
  <si>
    <t>MIL-21-BUILD-ORG-2</t>
  </si>
  <si>
    <t>MIL-21-BUILD-ORG-3</t>
  </si>
  <si>
    <t>MIL-21-BUILD-RES-1</t>
  </si>
  <si>
    <t>MIL-21-BUILD-RES-2</t>
  </si>
  <si>
    <t>MIL-21-BUILD-RES-3</t>
  </si>
  <si>
    <t>MIL-21-BUILD-RES-4</t>
  </si>
  <si>
    <t>MIL-21-BUILD-PROC-1</t>
  </si>
  <si>
    <t>MIL-21-BUILD-OUT1-1</t>
  </si>
  <si>
    <t>MIL-21-OPERATE-KPI-1</t>
  </si>
  <si>
    <t>MIL-21-OPERATE-KPI-2</t>
  </si>
  <si>
    <t>MIL-21-OPERATE-GOV-1</t>
  </si>
  <si>
    <t>MIL-21-OPERATE-GOV-2</t>
  </si>
  <si>
    <t>MIL-21-OPERATE-GOV-3</t>
  </si>
  <si>
    <t>MIL-21-OPERATE-RES-1</t>
  </si>
  <si>
    <t>MIL-21-OPERATE-PROC-1</t>
  </si>
  <si>
    <t>MIL-21-OPERATE-OUTF-1</t>
  </si>
  <si>
    <t>إجمالي نقاط التحقق</t>
  </si>
  <si>
    <t>النقاط المقيّمة</t>
  </si>
  <si>
    <t>نسبة اكتمال العنصر %</t>
  </si>
  <si>
    <t>ملاحظات العنصر (سبب النقص)</t>
  </si>
  <si>
    <t>الوزن المكتسب</t>
  </si>
  <si>
    <t>تصنيف العنصر</t>
  </si>
  <si>
    <t>TOP-01-DESIGN-ROLE</t>
  </si>
  <si>
    <t>TOP-01-DESIGN-KPI</t>
  </si>
  <si>
    <t>TOP-01-DESIGN-GOV</t>
  </si>
  <si>
    <t>TOP-01-DESIGN-ORG</t>
  </si>
  <si>
    <t>TOP-01-DESIGN-RES</t>
  </si>
  <si>
    <t>TOP-01-DESIGN-PROC</t>
  </si>
  <si>
    <t>TOP-01-BUILD-ROLE</t>
  </si>
  <si>
    <t>TOP-01-BUILD-KPI</t>
  </si>
  <si>
    <t>TOP-01-BUILD-GOV</t>
  </si>
  <si>
    <t>TOP-01-BUILD-ORG</t>
  </si>
  <si>
    <t>TOP-01-BUILD-RES</t>
  </si>
  <si>
    <t>TOP-01-BUILD-PROC</t>
  </si>
  <si>
    <t>TOP-01-BUILD-OUT1</t>
  </si>
  <si>
    <t>TOP-01-OPERATE-KPI</t>
  </si>
  <si>
    <t>TOP-01-OPERATE-GOV</t>
  </si>
  <si>
    <t>TOP-01-OPERATE-RES</t>
  </si>
  <si>
    <t>TOP-01-OPERATE-PROC</t>
  </si>
  <si>
    <t>TOP-01-OPERATE-OUTF</t>
  </si>
  <si>
    <t>TOP-02-DESIGN-ROLE</t>
  </si>
  <si>
    <t>TOP-02-DESIGN-KPI</t>
  </si>
  <si>
    <t>TOP-02-DESIGN-GOV</t>
  </si>
  <si>
    <t>TOP-02-DESIGN-ORG</t>
  </si>
  <si>
    <t>TOP-02-DESIGN-RES</t>
  </si>
  <si>
    <t>TOP-02-DESIGN-PROC</t>
  </si>
  <si>
    <t>TOP-02-BUILD-ROLE</t>
  </si>
  <si>
    <t>TOP-02-BUILD-KPI</t>
  </si>
  <si>
    <t>TOP-02-BUILD-GOV</t>
  </si>
  <si>
    <t>TOP-02-BUILD-ORG</t>
  </si>
  <si>
    <t>TOP-02-BUILD-RES</t>
  </si>
  <si>
    <t>TOP-02-BUILD-PROC</t>
  </si>
  <si>
    <t>TOP-02-BUILD-OUT1</t>
  </si>
  <si>
    <t>TOP-02-OPERATE-KPI</t>
  </si>
  <si>
    <t>TOP-02-OPERATE-GOV</t>
  </si>
  <si>
    <t>TOP-02-OPERATE-RES</t>
  </si>
  <si>
    <t>TOP-02-OPERATE-PROC</t>
  </si>
  <si>
    <t>TOP-02-OPERATE-OUTF</t>
  </si>
  <si>
    <t>TOP-03-DESIGN-ROLE</t>
  </si>
  <si>
    <t>TOP-03-DESIGN-KPI</t>
  </si>
  <si>
    <t>TOP-03-DESIGN-GOV</t>
  </si>
  <si>
    <t>TOP-03-DESIGN-ORG</t>
  </si>
  <si>
    <t>TOP-03-DESIGN-RES</t>
  </si>
  <si>
    <t>TOP-03-DESIGN-PROC</t>
  </si>
  <si>
    <t>TOP-03-BUILD-ROLE</t>
  </si>
  <si>
    <t>TOP-03-BUILD-KPI</t>
  </si>
  <si>
    <t>TOP-03-BUILD-GOV</t>
  </si>
  <si>
    <t>TOP-03-BUILD-ORG</t>
  </si>
  <si>
    <t>TOP-03-BUILD-RES</t>
  </si>
  <si>
    <t>TOP-03-BUILD-PROC</t>
  </si>
  <si>
    <t>TOP-03-BUILD-OUT1</t>
  </si>
  <si>
    <t>TOP-03-OPERATE-KPI</t>
  </si>
  <si>
    <t>TOP-03-OPERATE-GOV</t>
  </si>
  <si>
    <t>TOP-03-OPERATE-RES</t>
  </si>
  <si>
    <t>TOP-03-OPERATE-PROC</t>
  </si>
  <si>
    <t>TOP-03-OPERATE-OUTF</t>
  </si>
  <si>
    <t>TOP-04-DESIGN-ROLE</t>
  </si>
  <si>
    <t>TOP-04-DESIGN-KPI</t>
  </si>
  <si>
    <t>TOP-04-DESIGN-GOV</t>
  </si>
  <si>
    <t>TOP-04-DESIGN-ORG</t>
  </si>
  <si>
    <t>TOP-04-DESIGN-RES</t>
  </si>
  <si>
    <t>TOP-04-DESIGN-PROC</t>
  </si>
  <si>
    <t>TOP-04-BUILD-ROLE</t>
  </si>
  <si>
    <t>TOP-04-BUILD-KPI</t>
  </si>
  <si>
    <t>TOP-04-BUILD-GOV</t>
  </si>
  <si>
    <t>TOP-04-BUILD-ORG</t>
  </si>
  <si>
    <t>TOP-04-BUILD-RES</t>
  </si>
  <si>
    <t>TOP-04-BUILD-PROC</t>
  </si>
  <si>
    <t>TOP-04-BUILD-OUT1</t>
  </si>
  <si>
    <t>TOP-04-OPERATE-KPI</t>
  </si>
  <si>
    <t>TOP-04-OPERATE-GOV</t>
  </si>
  <si>
    <t>TOP-04-OPERATE-RES</t>
  </si>
  <si>
    <t>TOP-04-OPERATE-PROC</t>
  </si>
  <si>
    <t>TOP-04-OPERATE-OUTF</t>
  </si>
  <si>
    <t>TOP-05-DESIGN-ROLE</t>
  </si>
  <si>
    <t>TOP-05-DESIGN-KPI</t>
  </si>
  <si>
    <t>TOP-05-DESIGN-GOV</t>
  </si>
  <si>
    <t>TOP-05-DESIGN-ORG</t>
  </si>
  <si>
    <t>TOP-05-DESIGN-RES</t>
  </si>
  <si>
    <t>TOP-05-DESIGN-PROC</t>
  </si>
  <si>
    <t>TOP-05-BUILD-ROLE</t>
  </si>
  <si>
    <t>TOP-05-BUILD-KPI</t>
  </si>
  <si>
    <t>TOP-05-BUILD-GOV</t>
  </si>
  <si>
    <t>TOP-05-BUILD-ORG</t>
  </si>
  <si>
    <t>TOP-05-BUILD-RES</t>
  </si>
  <si>
    <t>TOP-05-BUILD-PROC</t>
  </si>
  <si>
    <t>TOP-05-BUILD-OUT1</t>
  </si>
  <si>
    <t>TOP-05-OPERATE-KPI</t>
  </si>
  <si>
    <t>TOP-05-OPERATE-GOV</t>
  </si>
  <si>
    <t>TOP-05-OPERATE-RES</t>
  </si>
  <si>
    <t>TOP-05-OPERATE-PROC</t>
  </si>
  <si>
    <t>TOP-05-OPERATE-OUTF</t>
  </si>
  <si>
    <t>EXE-01-DESIGN-ROLE</t>
  </si>
  <si>
    <t>EXE-01-DESIGN-KPI</t>
  </si>
  <si>
    <t>EXE-01-DESIGN-GOV</t>
  </si>
  <si>
    <t>EXE-01-DESIGN-ORG</t>
  </si>
  <si>
    <t>EXE-01-DESIGN-RES</t>
  </si>
  <si>
    <t>EXE-01-DESIGN-PROC</t>
  </si>
  <si>
    <t>EXE-01-BUILD-ROLE</t>
  </si>
  <si>
    <t>EXE-01-BUILD-KPI</t>
  </si>
  <si>
    <t>EXE-01-BUILD-GOV</t>
  </si>
  <si>
    <t>EXE-01-BUILD-ORG</t>
  </si>
  <si>
    <t>EXE-01-BUILD-RES</t>
  </si>
  <si>
    <t>EXE-01-BUILD-PROC</t>
  </si>
  <si>
    <t>EXE-01-BUILD-OUT1</t>
  </si>
  <si>
    <t>EXE-01-OPERATE-KPI</t>
  </si>
  <si>
    <t>EXE-01-OPERATE-GOV</t>
  </si>
  <si>
    <t>EXE-01-OPERATE-RES</t>
  </si>
  <si>
    <t>EXE-01-OPERATE-PROC</t>
  </si>
  <si>
    <t>EXE-01-OPERATE-OUTF</t>
  </si>
  <si>
    <t>EXE-02-DESIGN-ROLE</t>
  </si>
  <si>
    <t>EXE-02-DESIGN-KPI</t>
  </si>
  <si>
    <t>EXE-02-DESIGN-GOV</t>
  </si>
  <si>
    <t>EXE-02-DESIGN-ORG</t>
  </si>
  <si>
    <t>EXE-02-DESIGN-RES</t>
  </si>
  <si>
    <t>EXE-02-DESIGN-PROC</t>
  </si>
  <si>
    <t>EXE-02-BUILD-ROLE</t>
  </si>
  <si>
    <t>EXE-02-BUILD-KPI</t>
  </si>
  <si>
    <t>EXE-02-BUILD-GOV</t>
  </si>
  <si>
    <t>EXE-02-BUILD-ORG</t>
  </si>
  <si>
    <t>EXE-02-BUILD-RES</t>
  </si>
  <si>
    <t>EXE-02-BUILD-PROC</t>
  </si>
  <si>
    <t>EXE-02-BUILD-OUT1</t>
  </si>
  <si>
    <t>EXE-02-OPERATE-KPI</t>
  </si>
  <si>
    <t>EXE-02-OPERATE-GOV</t>
  </si>
  <si>
    <t>EXE-02-OPERATE-RES</t>
  </si>
  <si>
    <t>EXE-02-OPERATE-PROC</t>
  </si>
  <si>
    <t>EXE-02-OPERATE-OUTF</t>
  </si>
  <si>
    <t>EXE-03-DESIGN-ROLE</t>
  </si>
  <si>
    <t>EXE-03-DESIGN-KPI</t>
  </si>
  <si>
    <t>EXE-03-DESIGN-GOV</t>
  </si>
  <si>
    <t>EXE-03-DESIGN-ORG</t>
  </si>
  <si>
    <t>EXE-03-DESIGN-RES</t>
  </si>
  <si>
    <t>EXE-03-DESIGN-PROC</t>
  </si>
  <si>
    <t>EXE-03-BUILD-ROLE</t>
  </si>
  <si>
    <t>EXE-03-BUILD-KPI</t>
  </si>
  <si>
    <t>EXE-03-BUILD-GOV</t>
  </si>
  <si>
    <t>EXE-03-BUILD-ORG</t>
  </si>
  <si>
    <t>EXE-03-BUILD-RES</t>
  </si>
  <si>
    <t>EXE-03-BUILD-PROC</t>
  </si>
  <si>
    <t>EXE-03-BUILD-OUT1</t>
  </si>
  <si>
    <t>EXE-03-OPERATE-KPI</t>
  </si>
  <si>
    <t>EXE-03-OPERATE-GOV</t>
  </si>
  <si>
    <t>EXE-03-OPERATE-RES</t>
  </si>
  <si>
    <t>EXE-03-OPERATE-PROC</t>
  </si>
  <si>
    <t>EXE-03-OPERATE-OUTF</t>
  </si>
  <si>
    <t>EXE-04-DESIGN-ROLE</t>
  </si>
  <si>
    <t>EXE-04-DESIGN-KPI</t>
  </si>
  <si>
    <t>EXE-04-DESIGN-GOV</t>
  </si>
  <si>
    <t>EXE-04-DESIGN-ORG</t>
  </si>
  <si>
    <t>EXE-04-DESIGN-RES</t>
  </si>
  <si>
    <t>EXE-04-DESIGN-PROC</t>
  </si>
  <si>
    <t>EXE-04-BUILD-ROLE</t>
  </si>
  <si>
    <t>EXE-04-BUILD-KPI</t>
  </si>
  <si>
    <t>EXE-04-BUILD-GOV</t>
  </si>
  <si>
    <t>EXE-04-BUILD-ORG</t>
  </si>
  <si>
    <t>EXE-04-BUILD-RES</t>
  </si>
  <si>
    <t>EXE-04-BUILD-PROC</t>
  </si>
  <si>
    <t>EXE-04-BUILD-OUT1</t>
  </si>
  <si>
    <t>EXE-04-OPERATE-KPI</t>
  </si>
  <si>
    <t>EXE-04-OPERATE-GOV</t>
  </si>
  <si>
    <t>EXE-04-OPERATE-RES</t>
  </si>
  <si>
    <t>EXE-04-OPERATE-PROC</t>
  </si>
  <si>
    <t>EXE-04-OPERATE-OUTF</t>
  </si>
  <si>
    <t>EXE-05-DESIGN-ROLE</t>
  </si>
  <si>
    <t>EXE-05-DESIGN-KPI</t>
  </si>
  <si>
    <t>EXE-05-DESIGN-GOV</t>
  </si>
  <si>
    <t>EXE-05-DESIGN-ORG</t>
  </si>
  <si>
    <t>EXE-05-DESIGN-RES</t>
  </si>
  <si>
    <t>EXE-05-DESIGN-PROC</t>
  </si>
  <si>
    <t>EXE-05-BUILD-ROLE</t>
  </si>
  <si>
    <t>EXE-05-BUILD-KPI</t>
  </si>
  <si>
    <t>EXE-05-BUILD-GOV</t>
  </si>
  <si>
    <t>EXE-05-BUILD-ORG</t>
  </si>
  <si>
    <t>EXE-05-BUILD-RES</t>
  </si>
  <si>
    <t>EXE-05-BUILD-PROC</t>
  </si>
  <si>
    <t>EXE-05-BUILD-OUT1</t>
  </si>
  <si>
    <t>EXE-05-OPERATE-KPI</t>
  </si>
  <si>
    <t>EXE-05-OPERATE-GOV</t>
  </si>
  <si>
    <t>EXE-05-OPERATE-RES</t>
  </si>
  <si>
    <t>EXE-05-OPERATE-PROC</t>
  </si>
  <si>
    <t>EXE-05-OPERATE-OUTF</t>
  </si>
  <si>
    <t>EXE-06-DESIGN-ROLE</t>
  </si>
  <si>
    <t>EXE-06-DESIGN-KPI</t>
  </si>
  <si>
    <t>EXE-06-DESIGN-GOV</t>
  </si>
  <si>
    <t>EXE-06-DESIGN-ORG</t>
  </si>
  <si>
    <t>EXE-06-DESIGN-RES</t>
  </si>
  <si>
    <t>EXE-06-DESIGN-PROC</t>
  </si>
  <si>
    <t>EXE-06-BUILD-ROLE</t>
  </si>
  <si>
    <t>EXE-06-BUILD-KPI</t>
  </si>
  <si>
    <t>EXE-06-BUILD-GOV</t>
  </si>
  <si>
    <t>EXE-06-BUILD-ORG</t>
  </si>
  <si>
    <t>EXE-06-BUILD-RES</t>
  </si>
  <si>
    <t>EXE-06-BUILD-PROC</t>
  </si>
  <si>
    <t>EXE-06-BUILD-OUT1</t>
  </si>
  <si>
    <t>EXE-06-OPERATE-KPI</t>
  </si>
  <si>
    <t>EXE-06-OPERATE-GOV</t>
  </si>
  <si>
    <t>EXE-06-OPERATE-RES</t>
  </si>
  <si>
    <t>EXE-06-OPERATE-PROC</t>
  </si>
  <si>
    <t>EXE-06-OPERATE-OUTF</t>
  </si>
  <si>
    <t>EXE-07-DESIGN-ROLE</t>
  </si>
  <si>
    <t>EXE-07-DESIGN-KPI</t>
  </si>
  <si>
    <t>EXE-07-DESIGN-GOV</t>
  </si>
  <si>
    <t>EXE-07-DESIGN-ORG</t>
  </si>
  <si>
    <t>EXE-07-DESIGN-RES</t>
  </si>
  <si>
    <t>EXE-07-DESIGN-PROC</t>
  </si>
  <si>
    <t>EXE-07-BUILD-ROLE</t>
  </si>
  <si>
    <t>EXE-07-BUILD-KPI</t>
  </si>
  <si>
    <t>EXE-07-BUILD-GOV</t>
  </si>
  <si>
    <t>EXE-07-BUILD-ORG</t>
  </si>
  <si>
    <t>EXE-07-BUILD-RES</t>
  </si>
  <si>
    <t>EXE-07-BUILD-PROC</t>
  </si>
  <si>
    <t>EXE-07-BUILD-OUT1</t>
  </si>
  <si>
    <t>EXE-07-OPERATE-KPI</t>
  </si>
  <si>
    <t>EXE-07-OPERATE-GOV</t>
  </si>
  <si>
    <t>EXE-07-OPERATE-RES</t>
  </si>
  <si>
    <t>EXE-07-OPERATE-PROC</t>
  </si>
  <si>
    <t>EXE-07-OPERATE-OUTF</t>
  </si>
  <si>
    <t>EXE-08-DESIGN-ROLE</t>
  </si>
  <si>
    <t>EXE-08-DESIGN-KPI</t>
  </si>
  <si>
    <t>EXE-08-DESIGN-GOV</t>
  </si>
  <si>
    <t>EXE-08-DESIGN-ORG</t>
  </si>
  <si>
    <t>EXE-08-DESIGN-RES</t>
  </si>
  <si>
    <t>EXE-08-DESIGN-PROC</t>
  </si>
  <si>
    <t>EXE-08-BUILD-ROLE</t>
  </si>
  <si>
    <t>EXE-08-BUILD-KPI</t>
  </si>
  <si>
    <t>EXE-08-BUILD-GOV</t>
  </si>
  <si>
    <t>EXE-08-BUILD-ORG</t>
  </si>
  <si>
    <t>EXE-08-BUILD-RES</t>
  </si>
  <si>
    <t>EXE-08-BUILD-PROC</t>
  </si>
  <si>
    <t>EXE-08-BUILD-OUT1</t>
  </si>
  <si>
    <t>EXE-08-OPERATE-KPI</t>
  </si>
  <si>
    <t>EXE-08-OPERATE-GOV</t>
  </si>
  <si>
    <t>EXE-08-OPERATE-RES</t>
  </si>
  <si>
    <t>EXE-08-OPERATE-PROC</t>
  </si>
  <si>
    <t>EXE-08-OPERATE-OUTF</t>
  </si>
  <si>
    <t>EXE-09-DESIGN-ROLE</t>
  </si>
  <si>
    <t>EXE-09-DESIGN-KPI</t>
  </si>
  <si>
    <t>EXE-09-DESIGN-GOV</t>
  </si>
  <si>
    <t>EXE-09-DESIGN-ORG</t>
  </si>
  <si>
    <t>EXE-09-DESIGN-RES</t>
  </si>
  <si>
    <t>EXE-09-DESIGN-PROC</t>
  </si>
  <si>
    <t>EXE-09-BUILD-ROLE</t>
  </si>
  <si>
    <t>EXE-09-BUILD-KPI</t>
  </si>
  <si>
    <t>EXE-09-BUILD-GOV</t>
  </si>
  <si>
    <t>EXE-09-BUILD-ORG</t>
  </si>
  <si>
    <t>EXE-09-BUILD-RES</t>
  </si>
  <si>
    <t>EXE-09-BUILD-PROC</t>
  </si>
  <si>
    <t>EXE-09-BUILD-OUT1</t>
  </si>
  <si>
    <t>EXE-09-OPERATE-KPI</t>
  </si>
  <si>
    <t>EXE-09-OPERATE-GOV</t>
  </si>
  <si>
    <t>EXE-09-OPERATE-RES</t>
  </si>
  <si>
    <t>EXE-09-OPERATE-PROC</t>
  </si>
  <si>
    <t>EXE-09-OPERATE-OUTF</t>
  </si>
  <si>
    <t>EXE-10-DESIGN-ROLE</t>
  </si>
  <si>
    <t>EXE-10-DESIGN-KPI</t>
  </si>
  <si>
    <t>EXE-10-DESIGN-GOV</t>
  </si>
  <si>
    <t>EXE-10-DESIGN-ORG</t>
  </si>
  <si>
    <t>EXE-10-DESIGN-RES</t>
  </si>
  <si>
    <t>EXE-10-DESIGN-PROC</t>
  </si>
  <si>
    <t>EXE-10-BUILD-ROLE</t>
  </si>
  <si>
    <t>EXE-10-BUILD-KPI</t>
  </si>
  <si>
    <t>EXE-10-BUILD-GOV</t>
  </si>
  <si>
    <t>EXE-10-BUILD-ORG</t>
  </si>
  <si>
    <t>EXE-10-BUILD-RES</t>
  </si>
  <si>
    <t>EXE-10-BUILD-PROC</t>
  </si>
  <si>
    <t>EXE-10-BUILD-OUT1</t>
  </si>
  <si>
    <t>EXE-10-OPERATE-KPI</t>
  </si>
  <si>
    <t>EXE-10-OPERATE-GOV</t>
  </si>
  <si>
    <t>EXE-10-OPERATE-RES</t>
  </si>
  <si>
    <t>EXE-10-OPERATE-PROC</t>
  </si>
  <si>
    <t>EXE-10-OPERATE-OUTF</t>
  </si>
  <si>
    <t>EXE-11-DESIGN-ROLE</t>
  </si>
  <si>
    <t>EXE-11-DESIGN-KPI</t>
  </si>
  <si>
    <t>EXE-11-DESIGN-GOV</t>
  </si>
  <si>
    <t>EXE-11-DESIGN-ORG</t>
  </si>
  <si>
    <t>EXE-11-DESIGN-RES</t>
  </si>
  <si>
    <t>EXE-11-DESIGN-PROC</t>
  </si>
  <si>
    <t>EXE-11-BUILD-ROLE</t>
  </si>
  <si>
    <t>EXE-11-BUILD-KPI</t>
  </si>
  <si>
    <t>EXE-11-BUILD-GOV</t>
  </si>
  <si>
    <t>EXE-11-BUILD-ORG</t>
  </si>
  <si>
    <t>EXE-11-BUILD-RES</t>
  </si>
  <si>
    <t>EXE-11-BUILD-PROC</t>
  </si>
  <si>
    <t>EXE-11-BUILD-OUT1</t>
  </si>
  <si>
    <t>EXE-11-OPERATE-KPI</t>
  </si>
  <si>
    <t>EXE-11-OPERATE-GOV</t>
  </si>
  <si>
    <t>EXE-11-OPERATE-RES</t>
  </si>
  <si>
    <t>EXE-11-OPERATE-PROC</t>
  </si>
  <si>
    <t>EXE-11-OPERATE-OUTF</t>
  </si>
  <si>
    <t>EXE-12-DESIGN-ROLE</t>
  </si>
  <si>
    <t>EXE-12-DESIGN-KPI</t>
  </si>
  <si>
    <t>EXE-12-DESIGN-GOV</t>
  </si>
  <si>
    <t>EXE-12-DESIGN-ORG</t>
  </si>
  <si>
    <t>EXE-12-DESIGN-RES</t>
  </si>
  <si>
    <t>EXE-12-DESIGN-PROC</t>
  </si>
  <si>
    <t>EXE-12-BUILD-ROLE</t>
  </si>
  <si>
    <t>EXE-12-BUILD-KPI</t>
  </si>
  <si>
    <t>EXE-12-BUILD-GOV</t>
  </si>
  <si>
    <t>EXE-12-BUILD-ORG</t>
  </si>
  <si>
    <t>EXE-12-BUILD-RES</t>
  </si>
  <si>
    <t>EXE-12-BUILD-PROC</t>
  </si>
  <si>
    <t>EXE-12-BUILD-OUT1</t>
  </si>
  <si>
    <t>EXE-12-OPERATE-KPI</t>
  </si>
  <si>
    <t>EXE-12-OPERATE-GOV</t>
  </si>
  <si>
    <t>EXE-12-OPERATE-RES</t>
  </si>
  <si>
    <t>EXE-12-OPERATE-PROC</t>
  </si>
  <si>
    <t>EXE-12-OPERATE-OUTF</t>
  </si>
  <si>
    <t>EXE-13-DESIGN-ROLE</t>
  </si>
  <si>
    <t>EXE-13-DESIGN-KPI</t>
  </si>
  <si>
    <t>EXE-13-DESIGN-GOV</t>
  </si>
  <si>
    <t>EXE-13-DESIGN-ORG</t>
  </si>
  <si>
    <t>EXE-13-DESIGN-RES</t>
  </si>
  <si>
    <t>EXE-13-DESIGN-PROC</t>
  </si>
  <si>
    <t>EXE-13-BUILD-ROLE</t>
  </si>
  <si>
    <t>EXE-13-BUILD-KPI</t>
  </si>
  <si>
    <t>EXE-13-BUILD-GOV</t>
  </si>
  <si>
    <t>EXE-13-BUILD-ORG</t>
  </si>
  <si>
    <t>EXE-13-BUILD-RES</t>
  </si>
  <si>
    <t>EXE-13-BUILD-PROC</t>
  </si>
  <si>
    <t>EXE-13-BUILD-OUT1</t>
  </si>
  <si>
    <t>EXE-13-OPERATE-KPI</t>
  </si>
  <si>
    <t>EXE-13-OPERATE-GOV</t>
  </si>
  <si>
    <t>EXE-13-OPERATE-RES</t>
  </si>
  <si>
    <t>EXE-13-OPERATE-PROC</t>
  </si>
  <si>
    <t>EXE-13-OPERATE-OUTF</t>
  </si>
  <si>
    <t>EXE-14-DESIGN-ROLE</t>
  </si>
  <si>
    <t>EXE-14-DESIGN-KPI</t>
  </si>
  <si>
    <t>EXE-14-DESIGN-GOV</t>
  </si>
  <si>
    <t>EXE-14-DESIGN-ORG</t>
  </si>
  <si>
    <t>EXE-14-DESIGN-RES</t>
  </si>
  <si>
    <t>EXE-14-DESIGN-PROC</t>
  </si>
  <si>
    <t>EXE-14-BUILD-ROLE</t>
  </si>
  <si>
    <t>EXE-14-BUILD-KPI</t>
  </si>
  <si>
    <t>EXE-14-BUILD-GOV</t>
  </si>
  <si>
    <t>EXE-14-BUILD-ORG</t>
  </si>
  <si>
    <t>EXE-14-BUILD-RES</t>
  </si>
  <si>
    <t>EXE-14-BUILD-PROC</t>
  </si>
  <si>
    <t>EXE-14-BUILD-OUT1</t>
  </si>
  <si>
    <t>EXE-14-OPERATE-KPI</t>
  </si>
  <si>
    <t>EXE-14-OPERATE-GOV</t>
  </si>
  <si>
    <t>EXE-14-OPERATE-RES</t>
  </si>
  <si>
    <t>EXE-14-OPERATE-PROC</t>
  </si>
  <si>
    <t>EXE-14-OPERATE-OUTF</t>
  </si>
  <si>
    <t>MIL-01-DESIGN-ROLE</t>
  </si>
  <si>
    <t>MIL-01-DESIGN-KPI</t>
  </si>
  <si>
    <t>MIL-01-DESIGN-GOV</t>
  </si>
  <si>
    <t>MIL-01-DESIGN-ORG</t>
  </si>
  <si>
    <t>MIL-01-DESIGN-RES</t>
  </si>
  <si>
    <t>MIL-01-DESIGN-PROC</t>
  </si>
  <si>
    <t>MIL-01-BUILD-ROLE</t>
  </si>
  <si>
    <t>MIL-01-BUILD-KPI</t>
  </si>
  <si>
    <t>MIL-01-BUILD-GOV</t>
  </si>
  <si>
    <t>MIL-01-BUILD-ORG</t>
  </si>
  <si>
    <t>MIL-01-BUILD-RES</t>
  </si>
  <si>
    <t>MIL-01-BUILD-PROC</t>
  </si>
  <si>
    <t>MIL-01-BUILD-OUT1</t>
  </si>
  <si>
    <t>MIL-01-OPERATE-KPI</t>
  </si>
  <si>
    <t>MIL-01-OPERATE-GOV</t>
  </si>
  <si>
    <t>MIL-01-OPERATE-RES</t>
  </si>
  <si>
    <t>MIL-01-OPERATE-PROC</t>
  </si>
  <si>
    <t>MIL-01-OPERATE-OUTF</t>
  </si>
  <si>
    <t>MIL-02-DESIGN-ROLE</t>
  </si>
  <si>
    <t>MIL-02-DESIGN-KPI</t>
  </si>
  <si>
    <t>MIL-02-DESIGN-GOV</t>
  </si>
  <si>
    <t>MIL-02-DESIGN-ORG</t>
  </si>
  <si>
    <t>MIL-02-DESIGN-RES</t>
  </si>
  <si>
    <t>MIL-02-DESIGN-PROC</t>
  </si>
  <si>
    <t>MIL-02-BUILD-ROLE</t>
  </si>
  <si>
    <t>MIL-02-BUILD-KPI</t>
  </si>
  <si>
    <t>MIL-02-BUILD-GOV</t>
  </si>
  <si>
    <t>MIL-02-BUILD-ORG</t>
  </si>
  <si>
    <t>MIL-02-BUILD-RES</t>
  </si>
  <si>
    <t>MIL-02-BUILD-PROC</t>
  </si>
  <si>
    <t>MIL-02-BUILD-OUT1</t>
  </si>
  <si>
    <t>MIL-02-OPERATE-KPI</t>
  </si>
  <si>
    <t>MIL-02-OPERATE-GOV</t>
  </si>
  <si>
    <t>MIL-02-OPERATE-RES</t>
  </si>
  <si>
    <t>MIL-02-OPERATE-PROC</t>
  </si>
  <si>
    <t>MIL-02-OPERATE-OUTF</t>
  </si>
  <si>
    <t>MIL-03-DESIGN-ROLE</t>
  </si>
  <si>
    <t>MIL-03-DESIGN-KPI</t>
  </si>
  <si>
    <t>MIL-03-DESIGN-GOV</t>
  </si>
  <si>
    <t>MIL-03-DESIGN-ORG</t>
  </si>
  <si>
    <t>MIL-03-DESIGN-RES</t>
  </si>
  <si>
    <t>MIL-03-DESIGN-PROC</t>
  </si>
  <si>
    <t>MIL-03-BUILD-ROLE</t>
  </si>
  <si>
    <t>MIL-03-BUILD-KPI</t>
  </si>
  <si>
    <t>MIL-03-BUILD-GOV</t>
  </si>
  <si>
    <t>MIL-03-BUILD-ORG</t>
  </si>
  <si>
    <t>MIL-03-BUILD-RES</t>
  </si>
  <si>
    <t>MIL-03-BUILD-PROC</t>
  </si>
  <si>
    <t>MIL-03-BUILD-OUT1</t>
  </si>
  <si>
    <t>MIL-03-OPERATE-KPI</t>
  </si>
  <si>
    <t>MIL-03-OPERATE-GOV</t>
  </si>
  <si>
    <t>MIL-03-OPERATE-RES</t>
  </si>
  <si>
    <t>MIL-03-OPERATE-PROC</t>
  </si>
  <si>
    <t>MIL-03-OPERATE-OUTF</t>
  </si>
  <si>
    <t>MIL-04-DESIGN-ROLE</t>
  </si>
  <si>
    <t>MIL-04-DESIGN-KPI</t>
  </si>
  <si>
    <t>MIL-04-DESIGN-GOV</t>
  </si>
  <si>
    <t>MIL-04-DESIGN-ORG</t>
  </si>
  <si>
    <t>MIL-04-DESIGN-RES</t>
  </si>
  <si>
    <t>MIL-04-DESIGN-PROC</t>
  </si>
  <si>
    <t>MIL-04-BUILD-ROLE</t>
  </si>
  <si>
    <t>MIL-04-BUILD-KPI</t>
  </si>
  <si>
    <t>MIL-04-BUILD-GOV</t>
  </si>
  <si>
    <t>MIL-04-BUILD-ORG</t>
  </si>
  <si>
    <t>MIL-04-BUILD-RES</t>
  </si>
  <si>
    <t>MIL-04-BUILD-PROC</t>
  </si>
  <si>
    <t>MIL-04-BUILD-OUT1</t>
  </si>
  <si>
    <t>MIL-04-OPERATE-KPI</t>
  </si>
  <si>
    <t>MIL-04-OPERATE-GOV</t>
  </si>
  <si>
    <t>MIL-04-OPERATE-RES</t>
  </si>
  <si>
    <t>MIL-04-OPERATE-PROC</t>
  </si>
  <si>
    <t>MIL-04-OPERATE-OUTF</t>
  </si>
  <si>
    <t>MIL-05-DESIGN-ROLE</t>
  </si>
  <si>
    <t>MIL-05-DESIGN-KPI</t>
  </si>
  <si>
    <t>MIL-05-DESIGN-GOV</t>
  </si>
  <si>
    <t>MIL-05-DESIGN-ORG</t>
  </si>
  <si>
    <t>MIL-05-DESIGN-RES</t>
  </si>
  <si>
    <t>MIL-05-DESIGN-PROC</t>
  </si>
  <si>
    <t>MIL-05-BUILD-ROLE</t>
  </si>
  <si>
    <t>MIL-05-BUILD-KPI</t>
  </si>
  <si>
    <t>MIL-05-BUILD-GOV</t>
  </si>
  <si>
    <t>MIL-05-BUILD-ORG</t>
  </si>
  <si>
    <t>MIL-05-BUILD-RES</t>
  </si>
  <si>
    <t>MIL-05-BUILD-PROC</t>
  </si>
  <si>
    <t>MIL-05-BUILD-OUT1</t>
  </si>
  <si>
    <t>MIL-05-OPERATE-KPI</t>
  </si>
  <si>
    <t>MIL-05-OPERATE-GOV</t>
  </si>
  <si>
    <t>MIL-05-OPERATE-RES</t>
  </si>
  <si>
    <t>MIL-05-OPERATE-PROC</t>
  </si>
  <si>
    <t>MIL-05-OPERATE-OUTF</t>
  </si>
  <si>
    <t>MIL-06-DESIGN-ROLE</t>
  </si>
  <si>
    <t>MIL-06-DESIGN-KPI</t>
  </si>
  <si>
    <t>MIL-06-DESIGN-GOV</t>
  </si>
  <si>
    <t>MIL-06-DESIGN-ORG</t>
  </si>
  <si>
    <t>MIL-06-DESIGN-RES</t>
  </si>
  <si>
    <t>MIL-06-DESIGN-PROC</t>
  </si>
  <si>
    <t>MIL-06-BUILD-ROLE</t>
  </si>
  <si>
    <t>MIL-06-BUILD-KPI</t>
  </si>
  <si>
    <t>MIL-06-BUILD-GOV</t>
  </si>
  <si>
    <t>MIL-06-BUILD-ORG</t>
  </si>
  <si>
    <t>MIL-06-BUILD-RES</t>
  </si>
  <si>
    <t>MIL-06-BUILD-PROC</t>
  </si>
  <si>
    <t>MIL-06-BUILD-OUT1</t>
  </si>
  <si>
    <t>MIL-06-OPERATE-KPI</t>
  </si>
  <si>
    <t>MIL-06-OPERATE-GOV</t>
  </si>
  <si>
    <t>MIL-06-OPERATE-RES</t>
  </si>
  <si>
    <t>MIL-06-OPERATE-PROC</t>
  </si>
  <si>
    <t>MIL-06-OPERATE-OUTF</t>
  </si>
  <si>
    <t>MIL-07-DESIGN-ROLE</t>
  </si>
  <si>
    <t>MIL-07-DESIGN-KPI</t>
  </si>
  <si>
    <t>MIL-07-DESIGN-GOV</t>
  </si>
  <si>
    <t>MIL-07-DESIGN-ORG</t>
  </si>
  <si>
    <t>MIL-07-DESIGN-RES</t>
  </si>
  <si>
    <t>MIL-07-DESIGN-PROC</t>
  </si>
  <si>
    <t>MIL-07-BUILD-ROLE</t>
  </si>
  <si>
    <t>MIL-07-BUILD-KPI</t>
  </si>
  <si>
    <t>MIL-07-BUILD-GOV</t>
  </si>
  <si>
    <t>MIL-07-BUILD-ORG</t>
  </si>
  <si>
    <t>MIL-07-BUILD-RES</t>
  </si>
  <si>
    <t>MIL-07-BUILD-PROC</t>
  </si>
  <si>
    <t>MIL-07-BUILD-OUT1</t>
  </si>
  <si>
    <t>MIL-07-OPERATE-KPI</t>
  </si>
  <si>
    <t>MIL-07-OPERATE-GOV</t>
  </si>
  <si>
    <t>MIL-07-OPERATE-RES</t>
  </si>
  <si>
    <t>MIL-07-OPERATE-PROC</t>
  </si>
  <si>
    <t>MIL-07-OPERATE-OUTF</t>
  </si>
  <si>
    <t>MIL-08-DESIGN-ROLE</t>
  </si>
  <si>
    <t>MIL-08-DESIGN-KPI</t>
  </si>
  <si>
    <t>MIL-08-DESIGN-GOV</t>
  </si>
  <si>
    <t>MIL-08-DESIGN-ORG</t>
  </si>
  <si>
    <t>MIL-08-DESIGN-RES</t>
  </si>
  <si>
    <t>MIL-08-DESIGN-PROC</t>
  </si>
  <si>
    <t>MIL-08-BUILD-ROLE</t>
  </si>
  <si>
    <t>MIL-08-BUILD-KPI</t>
  </si>
  <si>
    <t>MIL-08-BUILD-GOV</t>
  </si>
  <si>
    <t>MIL-08-BUILD-ORG</t>
  </si>
  <si>
    <t>MIL-08-BUILD-RES</t>
  </si>
  <si>
    <t>MIL-08-BUILD-PROC</t>
  </si>
  <si>
    <t>MIL-08-BUILD-OUT1</t>
  </si>
  <si>
    <t>MIL-08-OPERATE-KPI</t>
  </si>
  <si>
    <t>MIL-08-OPERATE-GOV</t>
  </si>
  <si>
    <t>MIL-08-OPERATE-RES</t>
  </si>
  <si>
    <t>MIL-08-OPERATE-PROC</t>
  </si>
  <si>
    <t>MIL-08-OPERATE-OUTF</t>
  </si>
  <si>
    <t>MIL-09-DESIGN-ROLE</t>
  </si>
  <si>
    <t>MIL-09-DESIGN-KPI</t>
  </si>
  <si>
    <t>MIL-09-DESIGN-GOV</t>
  </si>
  <si>
    <t>MIL-09-DESIGN-ORG</t>
  </si>
  <si>
    <t>MIL-09-DESIGN-RES</t>
  </si>
  <si>
    <t>MIL-09-DESIGN-PROC</t>
  </si>
  <si>
    <t>MIL-09-BUILD-ROLE</t>
  </si>
  <si>
    <t>MIL-09-BUILD-KPI</t>
  </si>
  <si>
    <t>MIL-09-BUILD-GOV</t>
  </si>
  <si>
    <t>MIL-09-BUILD-ORG</t>
  </si>
  <si>
    <t>MIL-09-BUILD-RES</t>
  </si>
  <si>
    <t>MIL-09-BUILD-PROC</t>
  </si>
  <si>
    <t>MIL-09-BUILD-OUT1</t>
  </si>
  <si>
    <t>MIL-09-OPERATE-KPI</t>
  </si>
  <si>
    <t>MIL-09-OPERATE-GOV</t>
  </si>
  <si>
    <t>MIL-09-OPERATE-RES</t>
  </si>
  <si>
    <t>MIL-09-OPERATE-PROC</t>
  </si>
  <si>
    <t>MIL-09-OPERATE-OUTF</t>
  </si>
  <si>
    <t>MIL-10-DESIGN-ROLE</t>
  </si>
  <si>
    <t>MIL-10-DESIGN-KPI</t>
  </si>
  <si>
    <t>MIL-10-DESIGN-GOV</t>
  </si>
  <si>
    <t>MIL-10-DESIGN-ORG</t>
  </si>
  <si>
    <t>MIL-10-DESIGN-RES</t>
  </si>
  <si>
    <t>MIL-10-DESIGN-PROC</t>
  </si>
  <si>
    <t>MIL-10-BUILD-ROLE</t>
  </si>
  <si>
    <t>MIL-10-BUILD-KPI</t>
  </si>
  <si>
    <t>MIL-10-BUILD-GOV</t>
  </si>
  <si>
    <t>MIL-10-BUILD-ORG</t>
  </si>
  <si>
    <t>MIL-10-BUILD-RES</t>
  </si>
  <si>
    <t>MIL-10-BUILD-PROC</t>
  </si>
  <si>
    <t>MIL-10-BUILD-OUT1</t>
  </si>
  <si>
    <t>MIL-10-OPERATE-KPI</t>
  </si>
  <si>
    <t>MIL-10-OPERATE-GOV</t>
  </si>
  <si>
    <t>MIL-10-OPERATE-RES</t>
  </si>
  <si>
    <t>MIL-10-OPERATE-PROC</t>
  </si>
  <si>
    <t>MIL-10-OPERATE-OUTF</t>
  </si>
  <si>
    <t>MIL-11-DESIGN-ROLE</t>
  </si>
  <si>
    <t>MIL-11-DESIGN-KPI</t>
  </si>
  <si>
    <t>MIL-11-DESIGN-GOV</t>
  </si>
  <si>
    <t>MIL-11-DESIGN-ORG</t>
  </si>
  <si>
    <t>MIL-11-DESIGN-RES</t>
  </si>
  <si>
    <t>MIL-11-DESIGN-PROC</t>
  </si>
  <si>
    <t>MIL-11-BUILD-ROLE</t>
  </si>
  <si>
    <t>MIL-11-BUILD-KPI</t>
  </si>
  <si>
    <t>MIL-11-BUILD-GOV</t>
  </si>
  <si>
    <t>MIL-11-BUILD-ORG</t>
  </si>
  <si>
    <t>MIL-11-BUILD-RES</t>
  </si>
  <si>
    <t>MIL-11-BUILD-PROC</t>
  </si>
  <si>
    <t>MIL-11-BUILD-OUT1</t>
  </si>
  <si>
    <t>MIL-11-OPERATE-KPI</t>
  </si>
  <si>
    <t>MIL-11-OPERATE-GOV</t>
  </si>
  <si>
    <t>MIL-11-OPERATE-RES</t>
  </si>
  <si>
    <t>MIL-11-OPERATE-PROC</t>
  </si>
  <si>
    <t>MIL-11-OPERATE-OUTF</t>
  </si>
  <si>
    <t>MIL-12-DESIGN-ROLE</t>
  </si>
  <si>
    <t>MIL-12-DESIGN-KPI</t>
  </si>
  <si>
    <t>MIL-12-DESIGN-GOV</t>
  </si>
  <si>
    <t>MIL-12-DESIGN-ORG</t>
  </si>
  <si>
    <t>MIL-12-DESIGN-RES</t>
  </si>
  <si>
    <t>MIL-12-DESIGN-PROC</t>
  </si>
  <si>
    <t>MIL-12-BUILD-ROLE</t>
  </si>
  <si>
    <t>MIL-12-BUILD-KPI</t>
  </si>
  <si>
    <t>MIL-12-BUILD-GOV</t>
  </si>
  <si>
    <t>MIL-12-BUILD-ORG</t>
  </si>
  <si>
    <t>MIL-12-BUILD-RES</t>
  </si>
  <si>
    <t>MIL-12-BUILD-PROC</t>
  </si>
  <si>
    <t>MIL-12-BUILD-OUT1</t>
  </si>
  <si>
    <t>MIL-12-OPERATE-KPI</t>
  </si>
  <si>
    <t>MIL-12-OPERATE-GOV</t>
  </si>
  <si>
    <t>MIL-12-OPERATE-RES</t>
  </si>
  <si>
    <t>MIL-12-OPERATE-PROC</t>
  </si>
  <si>
    <t>MIL-12-OPERATE-OUTF</t>
  </si>
  <si>
    <t>MIL-13-DESIGN-ROLE</t>
  </si>
  <si>
    <t>MIL-13-DESIGN-KPI</t>
  </si>
  <si>
    <t>MIL-13-DESIGN-GOV</t>
  </si>
  <si>
    <t>MIL-13-DESIGN-ORG</t>
  </si>
  <si>
    <t>MIL-13-DESIGN-RES</t>
  </si>
  <si>
    <t>MIL-13-DESIGN-PROC</t>
  </si>
  <si>
    <t>MIL-13-BUILD-ROLE</t>
  </si>
  <si>
    <t>MIL-13-BUILD-KPI</t>
  </si>
  <si>
    <t>MIL-13-BUILD-GOV</t>
  </si>
  <si>
    <t>MIL-13-BUILD-ORG</t>
  </si>
  <si>
    <t>MIL-13-BUILD-RES</t>
  </si>
  <si>
    <t>MIL-13-BUILD-PROC</t>
  </si>
  <si>
    <t>MIL-13-BUILD-OUT1</t>
  </si>
  <si>
    <t>MIL-13-OPERATE-KPI</t>
  </si>
  <si>
    <t>MIL-13-OPERATE-GOV</t>
  </si>
  <si>
    <t>MIL-13-OPERATE-RES</t>
  </si>
  <si>
    <t>MIL-13-OPERATE-PROC</t>
  </si>
  <si>
    <t>MIL-13-OPERATE-OUTF</t>
  </si>
  <si>
    <t>MIL-14-DESIGN-ROLE</t>
  </si>
  <si>
    <t>MIL-14-DESIGN-KPI</t>
  </si>
  <si>
    <t>MIL-14-DESIGN-GOV</t>
  </si>
  <si>
    <t>MIL-14-DESIGN-ORG</t>
  </si>
  <si>
    <t>MIL-14-DESIGN-RES</t>
  </si>
  <si>
    <t>MIL-14-DESIGN-PROC</t>
  </si>
  <si>
    <t>MIL-14-BUILD-ROLE</t>
  </si>
  <si>
    <t>MIL-14-BUILD-KPI</t>
  </si>
  <si>
    <t>MIL-14-BUILD-GOV</t>
  </si>
  <si>
    <t>MIL-14-BUILD-ORG</t>
  </si>
  <si>
    <t>MIL-14-BUILD-RES</t>
  </si>
  <si>
    <t>MIL-14-BUILD-PROC</t>
  </si>
  <si>
    <t>MIL-14-BUILD-OUT1</t>
  </si>
  <si>
    <t>MIL-14-OPERATE-KPI</t>
  </si>
  <si>
    <t>MIL-14-OPERATE-GOV</t>
  </si>
  <si>
    <t>MIL-14-OPERATE-RES</t>
  </si>
  <si>
    <t>MIL-14-OPERATE-PROC</t>
  </si>
  <si>
    <t>MIL-14-OPERATE-OUTF</t>
  </si>
  <si>
    <t>MIL-15-DESIGN-ROLE</t>
  </si>
  <si>
    <t>MIL-15-DESIGN-KPI</t>
  </si>
  <si>
    <t>MIL-15-DESIGN-GOV</t>
  </si>
  <si>
    <t>MIL-15-DESIGN-ORG</t>
  </si>
  <si>
    <t>MIL-15-DESIGN-RES</t>
  </si>
  <si>
    <t>MIL-15-DESIGN-PROC</t>
  </si>
  <si>
    <t>MIL-15-BUILD-ROLE</t>
  </si>
  <si>
    <t>MIL-15-BUILD-KPI</t>
  </si>
  <si>
    <t>MIL-15-BUILD-GOV</t>
  </si>
  <si>
    <t>MIL-15-BUILD-ORG</t>
  </si>
  <si>
    <t>MIL-15-BUILD-RES</t>
  </si>
  <si>
    <t>MIL-15-BUILD-PROC</t>
  </si>
  <si>
    <t>MIL-15-BUILD-OUT1</t>
  </si>
  <si>
    <t>MIL-15-OPERATE-KPI</t>
  </si>
  <si>
    <t>MIL-15-OPERATE-GOV</t>
  </si>
  <si>
    <t>MIL-15-OPERATE-RES</t>
  </si>
  <si>
    <t>MIL-15-OPERATE-PROC</t>
  </si>
  <si>
    <t>MIL-15-OPERATE-OUTF</t>
  </si>
  <si>
    <t>MIL-16-DESIGN-ROLE</t>
  </si>
  <si>
    <t>MIL-16-DESIGN-KPI</t>
  </si>
  <si>
    <t>MIL-16-DESIGN-GOV</t>
  </si>
  <si>
    <t>MIL-16-DESIGN-ORG</t>
  </si>
  <si>
    <t>MIL-16-DESIGN-RES</t>
  </si>
  <si>
    <t>MIL-16-DESIGN-PROC</t>
  </si>
  <si>
    <t>MIL-16-BUILD-ROLE</t>
  </si>
  <si>
    <t>MIL-16-BUILD-KPI</t>
  </si>
  <si>
    <t>MIL-16-BUILD-GOV</t>
  </si>
  <si>
    <t>MIL-16-BUILD-ORG</t>
  </si>
  <si>
    <t>MIL-16-BUILD-RES</t>
  </si>
  <si>
    <t>MIL-16-BUILD-PROC</t>
  </si>
  <si>
    <t>MIL-16-BUILD-OUT1</t>
  </si>
  <si>
    <t>MIL-16-OPERATE-KPI</t>
  </si>
  <si>
    <t>MIL-16-OPERATE-GOV</t>
  </si>
  <si>
    <t>MIL-16-OPERATE-RES</t>
  </si>
  <si>
    <t>MIL-16-OPERATE-PROC</t>
  </si>
  <si>
    <t>MIL-16-OPERATE-OUTF</t>
  </si>
  <si>
    <t>MIL-17-DESIGN-ROLE</t>
  </si>
  <si>
    <t>MIL-17-DESIGN-KPI</t>
  </si>
  <si>
    <t>MIL-17-DESIGN-GOV</t>
  </si>
  <si>
    <t>MIL-17-DESIGN-ORG</t>
  </si>
  <si>
    <t>MIL-17-DESIGN-RES</t>
  </si>
  <si>
    <t>MIL-17-DESIGN-PROC</t>
  </si>
  <si>
    <t>MIL-17-BUILD-ROLE</t>
  </si>
  <si>
    <t>MIL-17-BUILD-KPI</t>
  </si>
  <si>
    <t>MIL-17-BUILD-GOV</t>
  </si>
  <si>
    <t>MIL-17-BUILD-ORG</t>
  </si>
  <si>
    <t>MIL-17-BUILD-RES</t>
  </si>
  <si>
    <t>MIL-17-BUILD-PROC</t>
  </si>
  <si>
    <t>MIL-17-BUILD-OUT1</t>
  </si>
  <si>
    <t>MIL-17-OPERATE-KPI</t>
  </si>
  <si>
    <t>MIL-17-OPERATE-GOV</t>
  </si>
  <si>
    <t>MIL-17-OPERATE-RES</t>
  </si>
  <si>
    <t>MIL-17-OPERATE-PROC</t>
  </si>
  <si>
    <t>MIL-17-OPERATE-OUTF</t>
  </si>
  <si>
    <t>MIL-18-DESIGN-ROLE</t>
  </si>
  <si>
    <t>MIL-18-DESIGN-KPI</t>
  </si>
  <si>
    <t>MIL-18-DESIGN-GOV</t>
  </si>
  <si>
    <t>MIL-18-DESIGN-ORG</t>
  </si>
  <si>
    <t>MIL-18-DESIGN-RES</t>
  </si>
  <si>
    <t>MIL-18-DESIGN-PROC</t>
  </si>
  <si>
    <t>MIL-18-BUILD-ROLE</t>
  </si>
  <si>
    <t>MIL-18-BUILD-KPI</t>
  </si>
  <si>
    <t>MIL-18-BUILD-GOV</t>
  </si>
  <si>
    <t>MIL-18-BUILD-ORG</t>
  </si>
  <si>
    <t>MIL-18-BUILD-RES</t>
  </si>
  <si>
    <t>MIL-18-BUILD-PROC</t>
  </si>
  <si>
    <t>MIL-18-BUILD-OUT1</t>
  </si>
  <si>
    <t>MIL-18-OPERATE-KPI</t>
  </si>
  <si>
    <t>MIL-18-OPERATE-GOV</t>
  </si>
  <si>
    <t>MIL-18-OPERATE-RES</t>
  </si>
  <si>
    <t>MIL-18-OPERATE-PROC</t>
  </si>
  <si>
    <t>MIL-18-OPERATE-OUTF</t>
  </si>
  <si>
    <t>MIL-19-DESIGN-ROLE</t>
  </si>
  <si>
    <t>MIL-19-DESIGN-KPI</t>
  </si>
  <si>
    <t>MIL-19-DESIGN-GOV</t>
  </si>
  <si>
    <t>MIL-19-DESIGN-ORG</t>
  </si>
  <si>
    <t>MIL-19-DESIGN-RES</t>
  </si>
  <si>
    <t>MIL-19-DESIGN-PROC</t>
  </si>
  <si>
    <t>MIL-19-BUILD-ROLE</t>
  </si>
  <si>
    <t>MIL-19-BUILD-KPI</t>
  </si>
  <si>
    <t>MIL-19-BUILD-GOV</t>
  </si>
  <si>
    <t>MIL-19-BUILD-ORG</t>
  </si>
  <si>
    <t>MIL-19-BUILD-RES</t>
  </si>
  <si>
    <t>MIL-19-BUILD-PROC</t>
  </si>
  <si>
    <t>MIL-19-BUILD-OUT1</t>
  </si>
  <si>
    <t>MIL-19-OPERATE-KPI</t>
  </si>
  <si>
    <t>MIL-19-OPERATE-GOV</t>
  </si>
  <si>
    <t>MIL-19-OPERATE-RES</t>
  </si>
  <si>
    <t>MIL-19-OPERATE-PROC</t>
  </si>
  <si>
    <t>MIL-19-OPERATE-OUTF</t>
  </si>
  <si>
    <t>MIL-20-DESIGN-ROLE</t>
  </si>
  <si>
    <t>MIL-20-DESIGN-KPI</t>
  </si>
  <si>
    <t>MIL-20-DESIGN-GOV</t>
  </si>
  <si>
    <t>MIL-20-DESIGN-ORG</t>
  </si>
  <si>
    <t>MIL-20-DESIGN-RES</t>
  </si>
  <si>
    <t>MIL-20-DESIGN-PROC</t>
  </si>
  <si>
    <t>MIL-20-BUILD-ROLE</t>
  </si>
  <si>
    <t>MIL-20-BUILD-KPI</t>
  </si>
  <si>
    <t>MIL-20-BUILD-GOV</t>
  </si>
  <si>
    <t>MIL-20-BUILD-ORG</t>
  </si>
  <si>
    <t>MIL-20-BUILD-RES</t>
  </si>
  <si>
    <t>MIL-20-BUILD-PROC</t>
  </si>
  <si>
    <t>MIL-20-BUILD-OUT1</t>
  </si>
  <si>
    <t>MIL-20-OPERATE-KPI</t>
  </si>
  <si>
    <t>MIL-20-OPERATE-GOV</t>
  </si>
  <si>
    <t>MIL-20-OPERATE-RES</t>
  </si>
  <si>
    <t>MIL-20-OPERATE-PROC</t>
  </si>
  <si>
    <t>MIL-20-OPERATE-OUTF</t>
  </si>
  <si>
    <t>MIL-21-DESIGN-ROLE</t>
  </si>
  <si>
    <t>MIL-21-DESIGN-KPI</t>
  </si>
  <si>
    <t>MIL-21-DESIGN-GOV</t>
  </si>
  <si>
    <t>MIL-21-DESIGN-ORG</t>
  </si>
  <si>
    <t>MIL-21-DESIGN-RES</t>
  </si>
  <si>
    <t>MIL-21-DESIGN-PROC</t>
  </si>
  <si>
    <t>MIL-21-BUILD-ROLE</t>
  </si>
  <si>
    <t>MIL-21-BUILD-KPI</t>
  </si>
  <si>
    <t>MIL-21-BUILD-GOV</t>
  </si>
  <si>
    <t>MIL-21-BUILD-ORG</t>
  </si>
  <si>
    <t>MIL-21-BUILD-RES</t>
  </si>
  <si>
    <t>MIL-21-BUILD-PROC</t>
  </si>
  <si>
    <t>MIL-21-BUILD-OUT1</t>
  </si>
  <si>
    <t>MIL-21-OPERATE-KPI</t>
  </si>
  <si>
    <t>MIL-21-OPERATE-GOV</t>
  </si>
  <si>
    <t>MIL-21-OPERATE-RES</t>
  </si>
  <si>
    <t>MIL-21-OPERATE-PROC</t>
  </si>
  <si>
    <t>MIL-21-OPERATE-OUTF</t>
  </si>
  <si>
    <t>درجة المرحلة</t>
  </si>
  <si>
    <t>التصنيف</t>
  </si>
  <si>
    <t>درجة التصميم</t>
  </si>
  <si>
    <t>درجة البناء المؤسسي</t>
  </si>
  <si>
    <t>درجة التشغيل</t>
  </si>
  <si>
    <t>افتراض: «النضج الإجمالي» متوسط حسابي بسيط لدرجات المراحل الثلاث؛ عدّل المعادلة إن كان لديك ترجيح معتمد للمراحل.</t>
  </si>
  <si>
    <t>القطاع</t>
  </si>
  <si>
    <t>المرتبطة بسمو الوزير</t>
  </si>
  <si>
    <t>الملاحظات فييذا</t>
  </si>
  <si>
    <t>الملاحظات فيذا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</si>
</sst>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  <charset val="1"/>
    </font>
    <font>
      <b/>
      <sz val="14"/>
      <color rgb="FF00552C"/>
      <name val="Cairo"/>
      <charset val="1"/>
    </font>
    <font>
      <sz val="10"/>
      <name val="Cairo"/>
      <charset val="1"/>
    </font>
    <font>
      <b/>
      <sz val="11"/>
      <color rgb="FFAA9464"/>
      <name val="Cairo"/>
      <charset val="1"/>
    </font>
    <font>
      <b/>
      <sz val="10"/>
      <color rgb="FFFFFFFF"/>
      <name val="Cairo"/>
      <charset val="1"/>
    </font>
    <font>
      <sz val="10"/>
      <color rgb="FF0000FF"/>
      <name val="Cairo"/>
      <charset val="1"/>
    </font>
    <font>
      <i/>
      <sz val="9"/>
      <color rgb="FF808080"/>
      <name val="Cairo"/>
      <charset val="1"/>
    </font>
    <font>
      <b/>
      <sz val="10"/>
      <name val="Cairo"/>
      <charset val="1"/>
    </font>
  </fonts>
  <fills count="8">
    <fill>
      <patternFill patternType="none"/>
    </fill>
    <fill>
      <patternFill patternType="gray125"/>
    </fill>
    <fill>
      <patternFill patternType="solid">
        <fgColor rgb="FF00552C"/>
        <bgColor rgb="FF003366"/>
      </patternFill>
    </fill>
    <fill>
      <patternFill patternType="solid">
        <fgColor rgb="FFAA9464"/>
        <bgColor rgb="FF80808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CE9E1"/>
        <bgColor rgb="FFF2F2F2"/>
      </patternFill>
    </fill>
    <fill>
      <patternFill patternType="solid">
        <fgColor rgb="FFFFFFFF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5" fillId="4" borderId="1" xfId="0" applyFont="1" applyFill="1" applyBorder="1" applyAlignment="1">
      <alignment horizontal="center"/>
    </xf>
    <xf numFmtId="0" fontId="6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5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center" vertical="center"/>
    </xf>
    <xf numFmtId="2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4" fontId="2" fillId="7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5"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9E1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AA9464"/>
      <rgbColor rgb="FF003366"/>
      <rgbColor rgb="FF339966"/>
      <rgbColor rgb="FF00552C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8"/>
  <sheetViews>
    <sheetView showGridLines="0" rightToLeft="1" zoomScaleNormal="100" workbookViewId="0">
      <selection activeCell="A35" sqref="A35"/>
    </sheetView>
  </sheetViews>
  <sheetFormatPr defaultColWidth="8.73046875" defaultRowHeight="14.25"/>
  <cols>
    <col min="1" max="1" width="140" customWidth="1"/>
  </cols>
  <sheetData>
    <row r="1" spans="1:1" ht="17.649999999999999">
      <c r="A1" s="1" t="s">
        <v>0</v>
      </c>
    </row>
    <row r="2" spans="1:1">
      <c r="A2" s="2"/>
    </row>
    <row r="3" spans="1:1">
      <c r="A3" s="3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0" spans="1:1">
      <c r="A10" s="2"/>
    </row>
    <row r="11" spans="1:1">
      <c r="A11" s="3" t="s">
        <v>8</v>
      </c>
    </row>
    <row r="12" spans="1:1">
      <c r="A12" s="2" t="s">
        <v>9</v>
      </c>
    </row>
    <row r="13" spans="1:1">
      <c r="A13" s="2" t="s">
        <v>10</v>
      </c>
    </row>
    <row r="14" spans="1:1">
      <c r="A14" s="2" t="s">
        <v>11</v>
      </c>
    </row>
    <row r="15" spans="1:1">
      <c r="A15" s="2" t="s">
        <v>12</v>
      </c>
    </row>
    <row r="16" spans="1:1">
      <c r="A16" s="2" t="s">
        <v>13</v>
      </c>
    </row>
    <row r="17" spans="1:1">
      <c r="A17" s="2" t="s">
        <v>14</v>
      </c>
    </row>
    <row r="18" spans="1:1">
      <c r="A18" s="2"/>
    </row>
    <row r="19" spans="1:1">
      <c r="A19" s="3" t="s">
        <v>15</v>
      </c>
    </row>
    <row r="20" spans="1:1">
      <c r="A20" s="2" t="s">
        <v>16</v>
      </c>
    </row>
    <row r="21" spans="1:1">
      <c r="A21" s="2" t="s">
        <v>17</v>
      </c>
    </row>
    <row r="22" spans="1:1">
      <c r="A22" s="2" t="s">
        <v>18</v>
      </c>
    </row>
    <row r="23" spans="1:1">
      <c r="A23" s="2"/>
    </row>
    <row r="24" spans="1:1">
      <c r="A24" s="3" t="s">
        <v>19</v>
      </c>
    </row>
    <row r="25" spans="1:1">
      <c r="A25" s="2" t="s">
        <v>20</v>
      </c>
    </row>
    <row r="26" spans="1:1">
      <c r="A26" s="2" t="s">
        <v>21</v>
      </c>
    </row>
    <row r="27" spans="1:1">
      <c r="A27" s="2"/>
    </row>
    <row r="28" spans="1:1">
      <c r="A28" s="3" t="s">
        <v>22</v>
      </c>
    </row>
    <row r="29" spans="1:1">
      <c r="A29" s="2" t="s">
        <v>23</v>
      </c>
    </row>
    <row r="30" spans="1:1">
      <c r="A30" s="2" t="s">
        <v>24</v>
      </c>
    </row>
    <row r="31" spans="1:1">
      <c r="A31" s="2" t="s">
        <v>25</v>
      </c>
    </row>
    <row r="32" spans="1:1">
      <c r="A32" s="2" t="s">
        <v>26</v>
      </c>
    </row>
    <row r="33" spans="1:1">
      <c r="A33" s="2" t="s">
        <v>27</v>
      </c>
    </row>
    <row r="34" spans="1:1">
      <c r="A34" s="2"/>
    </row>
    <row r="35" spans="1:1">
      <c r="A35" s="3" t="s">
        <v>28</v>
      </c>
    </row>
    <row r="36" spans="1:1">
      <c r="A36" s="2" t="s">
        <v>29</v>
      </c>
    </row>
    <row r="37" spans="1:1">
      <c r="A37" s="2" t="s">
        <v>30</v>
      </c>
    </row>
    <row r="38" spans="1:1">
      <c r="A38" s="2" t="s">
        <v>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rightToLeft="1" zoomScaleNormal="100" workbookViewId="0">
      <pane ySplit="1" topLeftCell="A2" activePane="bottomLeft" state="frozen"/>
      <selection pane="bottomLeft" activeCell="J14" sqref="J14"/>
    </sheetView>
  </sheetViews>
  <sheetFormatPr defaultColWidth="8.73046875" defaultRowHeight="14.25"/>
  <cols>
    <col min="1" max="1" width="24" customWidth="1"/>
    <col min="2" max="3" width="13" customWidth="1"/>
    <col min="4" max="4" width="30" customWidth="1"/>
    <col min="5" max="5" width="12" customWidth="1"/>
    <col min="6" max="6" width="13" customWidth="1"/>
    <col min="7" max="7" width="16" customWidth="1"/>
    <col min="8" max="8" width="15" customWidth="1"/>
    <col min="9" max="9" width="3" customWidth="1"/>
    <col min="10" max="10" width="34" customWidth="1"/>
    <col min="11" max="11" width="10" customWidth="1"/>
  </cols>
  <sheetData>
    <row r="1" spans="1:11" ht="36" customHeight="1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J1" s="5" t="s">
        <v>40</v>
      </c>
      <c r="K1" s="5" t="s">
        <v>41</v>
      </c>
    </row>
    <row r="2" spans="1:11">
      <c r="A2" s="6" t="s">
        <v>42</v>
      </c>
      <c r="B2" s="7" t="s">
        <v>43</v>
      </c>
      <c r="C2" s="7">
        <v>1</v>
      </c>
      <c r="D2" s="6" t="s">
        <v>44</v>
      </c>
      <c r="E2" s="7" t="s">
        <v>45</v>
      </c>
      <c r="F2" s="7">
        <v>1</v>
      </c>
      <c r="G2" s="7">
        <v>25</v>
      </c>
      <c r="H2" s="7">
        <v>1</v>
      </c>
      <c r="J2" s="8" t="s">
        <v>46</v>
      </c>
      <c r="K2" s="9">
        <v>30</v>
      </c>
    </row>
    <row r="3" spans="1:11">
      <c r="A3" s="6" t="s">
        <v>42</v>
      </c>
      <c r="B3" s="7" t="s">
        <v>43</v>
      </c>
      <c r="C3" s="7">
        <v>1</v>
      </c>
      <c r="D3" s="6" t="s">
        <v>47</v>
      </c>
      <c r="E3" s="7" t="s">
        <v>48</v>
      </c>
      <c r="F3" s="7">
        <v>2</v>
      </c>
      <c r="G3" s="7">
        <v>15</v>
      </c>
      <c r="H3" s="7">
        <v>2</v>
      </c>
      <c r="J3" s="8" t="s">
        <v>49</v>
      </c>
      <c r="K3" s="9">
        <v>70</v>
      </c>
    </row>
    <row r="4" spans="1:11">
      <c r="A4" s="6" t="s">
        <v>42</v>
      </c>
      <c r="B4" s="7" t="s">
        <v>43</v>
      </c>
      <c r="C4" s="7">
        <v>1</v>
      </c>
      <c r="D4" s="6" t="s">
        <v>50</v>
      </c>
      <c r="E4" s="7" t="s">
        <v>51</v>
      </c>
      <c r="F4" s="7">
        <v>3</v>
      </c>
      <c r="G4" s="7">
        <v>15</v>
      </c>
      <c r="H4" s="7">
        <v>1</v>
      </c>
      <c r="J4" s="8" t="s">
        <v>52</v>
      </c>
    </row>
    <row r="5" spans="1:11">
      <c r="A5" s="6" t="s">
        <v>42</v>
      </c>
      <c r="B5" s="7" t="s">
        <v>43</v>
      </c>
      <c r="C5" s="7">
        <v>1</v>
      </c>
      <c r="D5" s="6" t="s">
        <v>53</v>
      </c>
      <c r="E5" s="7" t="s">
        <v>54</v>
      </c>
      <c r="F5" s="7">
        <v>4</v>
      </c>
      <c r="G5" s="7">
        <v>20</v>
      </c>
      <c r="H5" s="7">
        <v>1</v>
      </c>
    </row>
    <row r="6" spans="1:11">
      <c r="A6" s="6" t="s">
        <v>42</v>
      </c>
      <c r="B6" s="7" t="s">
        <v>43</v>
      </c>
      <c r="C6" s="7">
        <v>1</v>
      </c>
      <c r="D6" s="6" t="s">
        <v>55</v>
      </c>
      <c r="E6" s="7" t="s">
        <v>56</v>
      </c>
      <c r="F6" s="7">
        <v>5</v>
      </c>
      <c r="G6" s="7">
        <v>20</v>
      </c>
      <c r="H6" s="7">
        <v>1</v>
      </c>
      <c r="J6" s="10" t="s">
        <v>57</v>
      </c>
    </row>
    <row r="7" spans="1:11">
      <c r="A7" s="6" t="s">
        <v>42</v>
      </c>
      <c r="B7" s="7" t="s">
        <v>43</v>
      </c>
      <c r="C7" s="7">
        <v>1</v>
      </c>
      <c r="D7" s="6" t="s">
        <v>58</v>
      </c>
      <c r="E7" s="7" t="s">
        <v>59</v>
      </c>
      <c r="F7" s="7">
        <v>6</v>
      </c>
      <c r="G7" s="7">
        <v>5</v>
      </c>
      <c r="H7" s="7">
        <v>1</v>
      </c>
    </row>
    <row r="8" spans="1:11">
      <c r="A8" s="6" t="s">
        <v>60</v>
      </c>
      <c r="B8" s="7" t="s">
        <v>61</v>
      </c>
      <c r="C8" s="7">
        <v>2</v>
      </c>
      <c r="D8" s="6" t="s">
        <v>44</v>
      </c>
      <c r="E8" s="7" t="s">
        <v>45</v>
      </c>
      <c r="F8" s="7">
        <v>1</v>
      </c>
      <c r="G8" s="7">
        <v>15</v>
      </c>
      <c r="H8" s="7">
        <v>1</v>
      </c>
    </row>
    <row r="9" spans="1:11">
      <c r="A9" s="6" t="s">
        <v>60</v>
      </c>
      <c r="B9" s="7" t="s">
        <v>61</v>
      </c>
      <c r="C9" s="7">
        <v>2</v>
      </c>
      <c r="D9" s="6" t="s">
        <v>47</v>
      </c>
      <c r="E9" s="7" t="s">
        <v>48</v>
      </c>
      <c r="F9" s="7">
        <v>2</v>
      </c>
      <c r="G9" s="7">
        <v>15</v>
      </c>
      <c r="H9" s="7">
        <v>2</v>
      </c>
    </row>
    <row r="10" spans="1:11">
      <c r="A10" s="6" t="s">
        <v>60</v>
      </c>
      <c r="B10" s="7" t="s">
        <v>61</v>
      </c>
      <c r="C10" s="7">
        <v>2</v>
      </c>
      <c r="D10" s="6" t="s">
        <v>50</v>
      </c>
      <c r="E10" s="7" t="s">
        <v>51</v>
      </c>
      <c r="F10" s="7">
        <v>3</v>
      </c>
      <c r="G10" s="7">
        <v>15</v>
      </c>
      <c r="H10" s="7">
        <v>3</v>
      </c>
    </row>
    <row r="11" spans="1:11">
      <c r="A11" s="6" t="s">
        <v>60</v>
      </c>
      <c r="B11" s="7" t="s">
        <v>61</v>
      </c>
      <c r="C11" s="7">
        <v>2</v>
      </c>
      <c r="D11" s="6" t="s">
        <v>53</v>
      </c>
      <c r="E11" s="7" t="s">
        <v>54</v>
      </c>
      <c r="F11" s="7">
        <v>4</v>
      </c>
      <c r="G11" s="7">
        <v>20</v>
      </c>
      <c r="H11" s="7">
        <v>3</v>
      </c>
    </row>
    <row r="12" spans="1:11">
      <c r="A12" s="6" t="s">
        <v>60</v>
      </c>
      <c r="B12" s="7" t="s">
        <v>61</v>
      </c>
      <c r="C12" s="7">
        <v>2</v>
      </c>
      <c r="D12" s="6" t="s">
        <v>55</v>
      </c>
      <c r="E12" s="7" t="s">
        <v>56</v>
      </c>
      <c r="F12" s="7">
        <v>5</v>
      </c>
      <c r="G12" s="7">
        <v>25</v>
      </c>
      <c r="H12" s="7">
        <v>4</v>
      </c>
    </row>
    <row r="13" spans="1:11">
      <c r="A13" s="6" t="s">
        <v>60</v>
      </c>
      <c r="B13" s="7" t="s">
        <v>61</v>
      </c>
      <c r="C13" s="7">
        <v>2</v>
      </c>
      <c r="D13" s="6" t="s">
        <v>58</v>
      </c>
      <c r="E13" s="7" t="s">
        <v>59</v>
      </c>
      <c r="F13" s="7">
        <v>6</v>
      </c>
      <c r="G13" s="7">
        <v>5</v>
      </c>
      <c r="H13" s="7">
        <v>1</v>
      </c>
    </row>
    <row r="14" spans="1:11">
      <c r="A14" s="6" t="s">
        <v>60</v>
      </c>
      <c r="B14" s="7" t="s">
        <v>61</v>
      </c>
      <c r="C14" s="7">
        <v>2</v>
      </c>
      <c r="D14" s="6" t="s">
        <v>62</v>
      </c>
      <c r="E14" s="7" t="s">
        <v>63</v>
      </c>
      <c r="F14" s="7">
        <v>7</v>
      </c>
      <c r="G14" s="7">
        <v>5</v>
      </c>
      <c r="H14" s="7">
        <v>1</v>
      </c>
    </row>
    <row r="15" spans="1:11">
      <c r="A15" s="6" t="s">
        <v>64</v>
      </c>
      <c r="B15" s="7" t="s">
        <v>65</v>
      </c>
      <c r="C15" s="7">
        <v>3</v>
      </c>
      <c r="D15" s="6" t="s">
        <v>47</v>
      </c>
      <c r="E15" s="7" t="s">
        <v>48</v>
      </c>
      <c r="F15" s="7">
        <v>2</v>
      </c>
      <c r="G15" s="7">
        <v>25</v>
      </c>
      <c r="H15" s="7">
        <v>2</v>
      </c>
    </row>
    <row r="16" spans="1:11">
      <c r="A16" s="6" t="s">
        <v>64</v>
      </c>
      <c r="B16" s="7" t="s">
        <v>65</v>
      </c>
      <c r="C16" s="7">
        <v>3</v>
      </c>
      <c r="D16" s="6" t="s">
        <v>50</v>
      </c>
      <c r="E16" s="7" t="s">
        <v>51</v>
      </c>
      <c r="F16" s="7">
        <v>3</v>
      </c>
      <c r="G16" s="7">
        <v>15</v>
      </c>
      <c r="H16" s="7">
        <v>3</v>
      </c>
    </row>
    <row r="17" spans="1:8">
      <c r="A17" s="6" t="s">
        <v>64</v>
      </c>
      <c r="B17" s="7" t="s">
        <v>65</v>
      </c>
      <c r="C17" s="7">
        <v>3</v>
      </c>
      <c r="D17" s="6" t="s">
        <v>55</v>
      </c>
      <c r="E17" s="7" t="s">
        <v>56</v>
      </c>
      <c r="F17" s="7">
        <v>5</v>
      </c>
      <c r="G17" s="7">
        <v>15</v>
      </c>
      <c r="H17" s="7">
        <v>1</v>
      </c>
    </row>
    <row r="18" spans="1:8">
      <c r="A18" s="6" t="s">
        <v>64</v>
      </c>
      <c r="B18" s="7" t="s">
        <v>65</v>
      </c>
      <c r="C18" s="7">
        <v>3</v>
      </c>
      <c r="D18" s="6" t="s">
        <v>58</v>
      </c>
      <c r="E18" s="7" t="s">
        <v>59</v>
      </c>
      <c r="F18" s="7">
        <v>6</v>
      </c>
      <c r="G18" s="7">
        <v>15</v>
      </c>
      <c r="H18" s="7">
        <v>1</v>
      </c>
    </row>
    <row r="19" spans="1:8">
      <c r="A19" s="6" t="s">
        <v>64</v>
      </c>
      <c r="B19" s="7" t="s">
        <v>65</v>
      </c>
      <c r="C19" s="7">
        <v>3</v>
      </c>
      <c r="D19" s="6" t="s">
        <v>66</v>
      </c>
      <c r="E19" s="7" t="s">
        <v>67</v>
      </c>
      <c r="F19" s="7">
        <v>8</v>
      </c>
      <c r="G19" s="7">
        <v>30</v>
      </c>
      <c r="H19" s="7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rightToLeft="1" zoomScaleNormal="100" workbookViewId="0">
      <pane ySplit="1" topLeftCell="A2" activePane="bottomLeft" state="frozen"/>
      <selection pane="bottomLeft"/>
    </sheetView>
  </sheetViews>
  <sheetFormatPr defaultColWidth="8.73046875" defaultRowHeight="14.25"/>
  <cols>
    <col min="1" max="1" width="18" customWidth="1"/>
    <col min="2" max="2" width="16" customWidth="1"/>
    <col min="3" max="3" width="13" customWidth="1"/>
    <col min="4" max="4" width="26" customWidth="1"/>
    <col min="5" max="5" width="12" customWidth="1"/>
    <col min="6" max="6" width="11" customWidth="1"/>
    <col min="7" max="7" width="80" customWidth="1"/>
    <col min="8" max="8" width="30" customWidth="1"/>
  </cols>
  <sheetData>
    <row r="1" spans="1:8" ht="36" customHeight="1">
      <c r="A1" s="4" t="s">
        <v>68</v>
      </c>
      <c r="B1" s="4" t="s">
        <v>32</v>
      </c>
      <c r="C1" s="4" t="s">
        <v>33</v>
      </c>
      <c r="D1" s="4" t="s">
        <v>35</v>
      </c>
      <c r="E1" s="4" t="s">
        <v>36</v>
      </c>
      <c r="F1" s="4" t="s">
        <v>69</v>
      </c>
      <c r="G1" s="4" t="s">
        <v>70</v>
      </c>
      <c r="H1" s="11" t="s">
        <v>71</v>
      </c>
    </row>
    <row r="2" spans="1:8">
      <c r="A2" s="7" t="s">
        <v>72</v>
      </c>
      <c r="B2" s="6" t="s">
        <v>42</v>
      </c>
      <c r="C2" s="7" t="s">
        <v>43</v>
      </c>
      <c r="D2" s="6" t="s">
        <v>44</v>
      </c>
      <c r="E2" s="7" t="s">
        <v>45</v>
      </c>
      <c r="F2" s="7">
        <v>1</v>
      </c>
      <c r="G2" s="12" t="s">
        <v>73</v>
      </c>
      <c r="H2" s="13"/>
    </row>
    <row r="3" spans="1:8">
      <c r="A3" s="7" t="s">
        <v>74</v>
      </c>
      <c r="B3" s="6" t="s">
        <v>42</v>
      </c>
      <c r="C3" s="7" t="s">
        <v>43</v>
      </c>
      <c r="D3" s="6" t="s">
        <v>47</v>
      </c>
      <c r="E3" s="7" t="s">
        <v>48</v>
      </c>
      <c r="F3" s="7">
        <v>1</v>
      </c>
      <c r="G3" s="12" t="s">
        <v>75</v>
      </c>
      <c r="H3" s="13"/>
    </row>
    <row r="4" spans="1:8">
      <c r="A4" s="7" t="s">
        <v>76</v>
      </c>
      <c r="B4" s="6" t="s">
        <v>42</v>
      </c>
      <c r="C4" s="7" t="s">
        <v>43</v>
      </c>
      <c r="D4" s="6" t="s">
        <v>47</v>
      </c>
      <c r="E4" s="7" t="s">
        <v>48</v>
      </c>
      <c r="F4" s="7">
        <v>2</v>
      </c>
      <c r="G4" s="12" t="s">
        <v>77</v>
      </c>
      <c r="H4" s="13"/>
    </row>
    <row r="5" spans="1:8">
      <c r="A5" s="7" t="s">
        <v>78</v>
      </c>
      <c r="B5" s="6" t="s">
        <v>42</v>
      </c>
      <c r="C5" s="7" t="s">
        <v>43</v>
      </c>
      <c r="D5" s="6" t="s">
        <v>50</v>
      </c>
      <c r="E5" s="7" t="s">
        <v>51</v>
      </c>
      <c r="F5" s="7">
        <v>1</v>
      </c>
      <c r="G5" s="12" t="s">
        <v>79</v>
      </c>
      <c r="H5" s="13"/>
    </row>
    <row r="6" spans="1:8">
      <c r="A6" s="7" t="s">
        <v>80</v>
      </c>
      <c r="B6" s="6" t="s">
        <v>42</v>
      </c>
      <c r="C6" s="7" t="s">
        <v>43</v>
      </c>
      <c r="D6" s="6" t="s">
        <v>53</v>
      </c>
      <c r="E6" s="7" t="s">
        <v>54</v>
      </c>
      <c r="F6" s="7">
        <v>1</v>
      </c>
      <c r="G6" s="12" t="s">
        <v>81</v>
      </c>
      <c r="H6" s="13"/>
    </row>
    <row r="7" spans="1:8">
      <c r="A7" s="7" t="s">
        <v>82</v>
      </c>
      <c r="B7" s="6" t="s">
        <v>42</v>
      </c>
      <c r="C7" s="7" t="s">
        <v>43</v>
      </c>
      <c r="D7" s="6" t="s">
        <v>55</v>
      </c>
      <c r="E7" s="7" t="s">
        <v>56</v>
      </c>
      <c r="F7" s="7">
        <v>1</v>
      </c>
      <c r="G7" s="12" t="s">
        <v>83</v>
      </c>
      <c r="H7" s="13"/>
    </row>
    <row r="8" spans="1:8">
      <c r="A8" s="7" t="s">
        <v>84</v>
      </c>
      <c r="B8" s="6" t="s">
        <v>42</v>
      </c>
      <c r="C8" s="7" t="s">
        <v>43</v>
      </c>
      <c r="D8" s="6" t="s">
        <v>58</v>
      </c>
      <c r="E8" s="7" t="s">
        <v>59</v>
      </c>
      <c r="F8" s="7">
        <v>1</v>
      </c>
      <c r="G8" s="12" t="s">
        <v>85</v>
      </c>
      <c r="H8" s="13"/>
    </row>
    <row r="9" spans="1:8">
      <c r="A9" s="7" t="s">
        <v>86</v>
      </c>
      <c r="B9" s="6" t="s">
        <v>60</v>
      </c>
      <c r="C9" s="7" t="s">
        <v>61</v>
      </c>
      <c r="D9" s="6" t="s">
        <v>44</v>
      </c>
      <c r="E9" s="7" t="s">
        <v>45</v>
      </c>
      <c r="F9" s="7">
        <v>1</v>
      </c>
      <c r="G9" s="12" t="s">
        <v>87</v>
      </c>
      <c r="H9" s="13"/>
    </row>
    <row r="10" spans="1:8">
      <c r="A10" s="7" t="s">
        <v>88</v>
      </c>
      <c r="B10" s="6" t="s">
        <v>60</v>
      </c>
      <c r="C10" s="7" t="s">
        <v>61</v>
      </c>
      <c r="D10" s="6" t="s">
        <v>47</v>
      </c>
      <c r="E10" s="7" t="s">
        <v>48</v>
      </c>
      <c r="F10" s="7">
        <v>1</v>
      </c>
      <c r="G10" s="12" t="s">
        <v>89</v>
      </c>
      <c r="H10" s="13"/>
    </row>
    <row r="11" spans="1:8">
      <c r="A11" s="7" t="s">
        <v>90</v>
      </c>
      <c r="B11" s="6" t="s">
        <v>60</v>
      </c>
      <c r="C11" s="7" t="s">
        <v>61</v>
      </c>
      <c r="D11" s="6" t="s">
        <v>47</v>
      </c>
      <c r="E11" s="7" t="s">
        <v>48</v>
      </c>
      <c r="F11" s="7">
        <v>2</v>
      </c>
      <c r="G11" s="12" t="s">
        <v>91</v>
      </c>
      <c r="H11" s="13"/>
    </row>
    <row r="12" spans="1:8">
      <c r="A12" s="7" t="s">
        <v>92</v>
      </c>
      <c r="B12" s="6" t="s">
        <v>60</v>
      </c>
      <c r="C12" s="7" t="s">
        <v>61</v>
      </c>
      <c r="D12" s="6" t="s">
        <v>50</v>
      </c>
      <c r="E12" s="7" t="s">
        <v>51</v>
      </c>
      <c r="F12" s="7">
        <v>1</v>
      </c>
      <c r="G12" s="12" t="s">
        <v>93</v>
      </c>
      <c r="H12" s="13"/>
    </row>
    <row r="13" spans="1:8">
      <c r="A13" s="7" t="s">
        <v>94</v>
      </c>
      <c r="B13" s="6" t="s">
        <v>60</v>
      </c>
      <c r="C13" s="7" t="s">
        <v>61</v>
      </c>
      <c r="D13" s="6" t="s">
        <v>50</v>
      </c>
      <c r="E13" s="7" t="s">
        <v>51</v>
      </c>
      <c r="F13" s="7">
        <v>2</v>
      </c>
      <c r="G13" s="12" t="s">
        <v>95</v>
      </c>
      <c r="H13" s="13"/>
    </row>
    <row r="14" spans="1:8">
      <c r="A14" s="7" t="s">
        <v>96</v>
      </c>
      <c r="B14" s="6" t="s">
        <v>60</v>
      </c>
      <c r="C14" s="7" t="s">
        <v>61</v>
      </c>
      <c r="D14" s="6" t="s">
        <v>50</v>
      </c>
      <c r="E14" s="7" t="s">
        <v>51</v>
      </c>
      <c r="F14" s="7">
        <v>3</v>
      </c>
      <c r="G14" s="12" t="s">
        <v>97</v>
      </c>
      <c r="H14" s="13"/>
    </row>
    <row r="15" spans="1:8">
      <c r="A15" s="7" t="s">
        <v>98</v>
      </c>
      <c r="B15" s="6" t="s">
        <v>60</v>
      </c>
      <c r="C15" s="7" t="s">
        <v>61</v>
      </c>
      <c r="D15" s="6" t="s">
        <v>53</v>
      </c>
      <c r="E15" s="7" t="s">
        <v>54</v>
      </c>
      <c r="F15" s="7">
        <v>1</v>
      </c>
      <c r="G15" s="12" t="s">
        <v>99</v>
      </c>
      <c r="H15" s="13"/>
    </row>
    <row r="16" spans="1:8">
      <c r="A16" s="7" t="s">
        <v>100</v>
      </c>
      <c r="B16" s="6" t="s">
        <v>60</v>
      </c>
      <c r="C16" s="7" t="s">
        <v>61</v>
      </c>
      <c r="D16" s="6" t="s">
        <v>53</v>
      </c>
      <c r="E16" s="7" t="s">
        <v>54</v>
      </c>
      <c r="F16" s="7">
        <v>2</v>
      </c>
      <c r="G16" s="12" t="s">
        <v>101</v>
      </c>
      <c r="H16" s="13"/>
    </row>
    <row r="17" spans="1:8">
      <c r="A17" s="7" t="s">
        <v>102</v>
      </c>
      <c r="B17" s="6" t="s">
        <v>60</v>
      </c>
      <c r="C17" s="7" t="s">
        <v>61</v>
      </c>
      <c r="D17" s="6" t="s">
        <v>53</v>
      </c>
      <c r="E17" s="7" t="s">
        <v>54</v>
      </c>
      <c r="F17" s="7">
        <v>3</v>
      </c>
      <c r="G17" s="12" t="s">
        <v>103</v>
      </c>
      <c r="H17" s="13"/>
    </row>
    <row r="18" spans="1:8">
      <c r="A18" s="7" t="s">
        <v>104</v>
      </c>
      <c r="B18" s="6" t="s">
        <v>60</v>
      </c>
      <c r="C18" s="7" t="s">
        <v>61</v>
      </c>
      <c r="D18" s="6" t="s">
        <v>55</v>
      </c>
      <c r="E18" s="7" t="s">
        <v>56</v>
      </c>
      <c r="F18" s="7">
        <v>1</v>
      </c>
      <c r="G18" s="12" t="s">
        <v>105</v>
      </c>
      <c r="H18" s="13"/>
    </row>
    <row r="19" spans="1:8">
      <c r="A19" s="7" t="s">
        <v>106</v>
      </c>
      <c r="B19" s="6" t="s">
        <v>60</v>
      </c>
      <c r="C19" s="7" t="s">
        <v>61</v>
      </c>
      <c r="D19" s="6" t="s">
        <v>55</v>
      </c>
      <c r="E19" s="7" t="s">
        <v>56</v>
      </c>
      <c r="F19" s="7">
        <v>2</v>
      </c>
      <c r="G19" s="12" t="s">
        <v>107</v>
      </c>
      <c r="H19" s="13"/>
    </row>
    <row r="20" spans="1:8">
      <c r="A20" s="7" t="s">
        <v>108</v>
      </c>
      <c r="B20" s="6" t="s">
        <v>60</v>
      </c>
      <c r="C20" s="7" t="s">
        <v>61</v>
      </c>
      <c r="D20" s="6" t="s">
        <v>55</v>
      </c>
      <c r="E20" s="7" t="s">
        <v>56</v>
      </c>
      <c r="F20" s="7">
        <v>3</v>
      </c>
      <c r="G20" s="12" t="s">
        <v>109</v>
      </c>
      <c r="H20" s="13"/>
    </row>
    <row r="21" spans="1:8">
      <c r="A21" s="7" t="s">
        <v>110</v>
      </c>
      <c r="B21" s="6" t="s">
        <v>60</v>
      </c>
      <c r="C21" s="7" t="s">
        <v>61</v>
      </c>
      <c r="D21" s="6" t="s">
        <v>55</v>
      </c>
      <c r="E21" s="7" t="s">
        <v>56</v>
      </c>
      <c r="F21" s="7">
        <v>4</v>
      </c>
      <c r="G21" s="12" t="s">
        <v>111</v>
      </c>
      <c r="H21" s="13"/>
    </row>
    <row r="22" spans="1:8">
      <c r="A22" s="7" t="s">
        <v>112</v>
      </c>
      <c r="B22" s="6" t="s">
        <v>60</v>
      </c>
      <c r="C22" s="7" t="s">
        <v>61</v>
      </c>
      <c r="D22" s="6" t="s">
        <v>58</v>
      </c>
      <c r="E22" s="7" t="s">
        <v>59</v>
      </c>
      <c r="F22" s="7">
        <v>1</v>
      </c>
      <c r="G22" s="12" t="s">
        <v>113</v>
      </c>
      <c r="H22" s="13"/>
    </row>
    <row r="23" spans="1:8">
      <c r="A23" s="7" t="s">
        <v>114</v>
      </c>
      <c r="B23" s="6" t="s">
        <v>60</v>
      </c>
      <c r="C23" s="7" t="s">
        <v>61</v>
      </c>
      <c r="D23" s="6" t="s">
        <v>62</v>
      </c>
      <c r="E23" s="7" t="s">
        <v>63</v>
      </c>
      <c r="F23" s="7">
        <v>1</v>
      </c>
      <c r="G23" s="12" t="s">
        <v>115</v>
      </c>
      <c r="H23" s="13"/>
    </row>
    <row r="24" spans="1:8">
      <c r="A24" s="7" t="s">
        <v>116</v>
      </c>
      <c r="B24" s="6" t="s">
        <v>64</v>
      </c>
      <c r="C24" s="7" t="s">
        <v>65</v>
      </c>
      <c r="D24" s="6" t="s">
        <v>47</v>
      </c>
      <c r="E24" s="7" t="s">
        <v>48</v>
      </c>
      <c r="F24" s="7">
        <v>1</v>
      </c>
      <c r="G24" s="12" t="s">
        <v>117</v>
      </c>
      <c r="H24" s="13"/>
    </row>
    <row r="25" spans="1:8">
      <c r="A25" s="7" t="s">
        <v>118</v>
      </c>
      <c r="B25" s="6" t="s">
        <v>64</v>
      </c>
      <c r="C25" s="7" t="s">
        <v>65</v>
      </c>
      <c r="D25" s="6" t="s">
        <v>47</v>
      </c>
      <c r="E25" s="7" t="s">
        <v>48</v>
      </c>
      <c r="F25" s="7">
        <v>2</v>
      </c>
      <c r="G25" s="12" t="s">
        <v>119</v>
      </c>
      <c r="H25" s="13"/>
    </row>
    <row r="26" spans="1:8">
      <c r="A26" s="7" t="s">
        <v>120</v>
      </c>
      <c r="B26" s="6" t="s">
        <v>64</v>
      </c>
      <c r="C26" s="7" t="s">
        <v>65</v>
      </c>
      <c r="D26" s="6" t="s">
        <v>50</v>
      </c>
      <c r="E26" s="7" t="s">
        <v>51</v>
      </c>
      <c r="F26" s="7">
        <v>1</v>
      </c>
      <c r="G26" s="12" t="s">
        <v>121</v>
      </c>
      <c r="H26" s="13"/>
    </row>
    <row r="27" spans="1:8">
      <c r="A27" s="7" t="s">
        <v>122</v>
      </c>
      <c r="B27" s="6" t="s">
        <v>64</v>
      </c>
      <c r="C27" s="7" t="s">
        <v>65</v>
      </c>
      <c r="D27" s="6" t="s">
        <v>50</v>
      </c>
      <c r="E27" s="7" t="s">
        <v>51</v>
      </c>
      <c r="F27" s="7">
        <v>2</v>
      </c>
      <c r="G27" s="12" t="s">
        <v>123</v>
      </c>
      <c r="H27" s="13"/>
    </row>
    <row r="28" spans="1:8">
      <c r="A28" s="7" t="s">
        <v>124</v>
      </c>
      <c r="B28" s="6" t="s">
        <v>64</v>
      </c>
      <c r="C28" s="7" t="s">
        <v>65</v>
      </c>
      <c r="D28" s="6" t="s">
        <v>50</v>
      </c>
      <c r="E28" s="7" t="s">
        <v>51</v>
      </c>
      <c r="F28" s="7">
        <v>3</v>
      </c>
      <c r="G28" s="12" t="s">
        <v>125</v>
      </c>
      <c r="H28" s="13"/>
    </row>
    <row r="29" spans="1:8">
      <c r="A29" s="7" t="s">
        <v>126</v>
      </c>
      <c r="B29" s="6" t="s">
        <v>64</v>
      </c>
      <c r="C29" s="7" t="s">
        <v>65</v>
      </c>
      <c r="D29" s="6" t="s">
        <v>55</v>
      </c>
      <c r="E29" s="7" t="s">
        <v>56</v>
      </c>
      <c r="F29" s="7">
        <v>1</v>
      </c>
      <c r="G29" s="12" t="s">
        <v>127</v>
      </c>
      <c r="H29" s="13"/>
    </row>
    <row r="30" spans="1:8">
      <c r="A30" s="7" t="s">
        <v>128</v>
      </c>
      <c r="B30" s="6" t="s">
        <v>64</v>
      </c>
      <c r="C30" s="7" t="s">
        <v>65</v>
      </c>
      <c r="D30" s="6" t="s">
        <v>58</v>
      </c>
      <c r="E30" s="7" t="s">
        <v>59</v>
      </c>
      <c r="F30" s="7">
        <v>1</v>
      </c>
      <c r="G30" s="12" t="s">
        <v>129</v>
      </c>
      <c r="H30" s="13"/>
    </row>
    <row r="31" spans="1:8">
      <c r="A31" s="7" t="s">
        <v>130</v>
      </c>
      <c r="B31" s="6" t="s">
        <v>64</v>
      </c>
      <c r="C31" s="7" t="s">
        <v>65</v>
      </c>
      <c r="D31" s="6" t="s">
        <v>66</v>
      </c>
      <c r="E31" s="7" t="s">
        <v>67</v>
      </c>
      <c r="F31" s="7">
        <v>1</v>
      </c>
      <c r="G31" s="12" t="s">
        <v>131</v>
      </c>
      <c r="H31" s="13"/>
    </row>
  </sheetData>
  <autoFilter ref="A1:H31" xr:uid="{00000000-0009-0000-0000-000002000000}"/>
  <dataValidations count="1">
    <dataValidation type="list" allowBlank="1" sqref="H2:H31" xr:uid="{00000000-0002-0000-0200-000000000000}">
      <formula1>"الإدارة العامة للتميز المؤسسي,الإدارة العامة للأداء,الإدارة العامة للشؤون الاستراتيجية,محافظ التنفيذ"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1"/>
  <sheetViews>
    <sheetView rightToLeft="1" tabSelected="1" zoomScaleNormal="100" workbookViewId="0">
      <pane ySplit="1" topLeftCell="A2" activePane="bottomLeft" state="frozen"/>
      <selection pane="bottomLeft" activeCell="F9" sqref="F9"/>
    </sheetView>
  </sheetViews>
  <sheetFormatPr defaultColWidth="8.73046875" defaultRowHeight="14.25"/>
  <cols>
    <col min="1" max="2" width="14" customWidth="1"/>
    <col min="3" max="3" width="26" customWidth="1"/>
    <col min="4" max="4" width="28" customWidth="1"/>
    <col min="5" max="6" width="24" customWidth="1"/>
    <col min="7" max="7" width="15" customWidth="1"/>
    <col min="8" max="8" width="26" customWidth="1"/>
    <col min="9" max="9" width="20" customWidth="1"/>
  </cols>
  <sheetData>
    <row r="1" spans="1:9" ht="36" customHeight="1">
      <c r="A1" s="4" t="s">
        <v>132</v>
      </c>
      <c r="B1" s="4" t="s">
        <v>133</v>
      </c>
      <c r="C1" s="4" t="s">
        <v>134</v>
      </c>
      <c r="D1" s="4" t="s">
        <v>135</v>
      </c>
      <c r="E1" s="4" t="s">
        <v>136</v>
      </c>
      <c r="F1" s="4" t="s">
        <v>137</v>
      </c>
      <c r="G1" s="4" t="s">
        <v>138</v>
      </c>
      <c r="H1" s="4" t="s">
        <v>139</v>
      </c>
      <c r="I1" s="4" t="s">
        <v>140</v>
      </c>
    </row>
    <row r="2" spans="1:9">
      <c r="A2" s="7" t="s">
        <v>141</v>
      </c>
      <c r="B2" s="7" t="s">
        <v>142</v>
      </c>
      <c r="C2" s="6" t="s">
        <v>2169</v>
      </c>
      <c r="D2" s="6" t="s">
        <v>143</v>
      </c>
      <c r="E2" s="6" t="s">
        <v>144</v>
      </c>
      <c r="F2" s="14" t="str">
        <f t="shared" ref="F2:F41" si="0">IF($E2="—",$D2,$E2)</f>
        <v>المكتب التنفيذي</v>
      </c>
      <c r="G2" s="6" t="s">
        <v>145</v>
      </c>
      <c r="H2" s="6" t="s">
        <v>2169</v>
      </c>
      <c r="I2" s="15">
        <f>COUNTIF('المرتبطة بسمو الوزير'!$B$2:$B$700,$A2)</f>
        <v>30</v>
      </c>
    </row>
    <row r="3" spans="1:9">
      <c r="A3" s="7" t="s">
        <v>146</v>
      </c>
      <c r="B3" s="7" t="s">
        <v>142</v>
      </c>
      <c r="C3" s="6" t="s">
        <v>2169</v>
      </c>
      <c r="D3" s="6" t="s">
        <v>147</v>
      </c>
      <c r="E3" s="6" t="s">
        <v>144</v>
      </c>
      <c r="F3" s="14" t="str">
        <f t="shared" si="0"/>
        <v>إدارة المتابعة والتقارير</v>
      </c>
      <c r="G3" s="6" t="s">
        <v>145</v>
      </c>
      <c r="H3" s="6" t="s">
        <v>2169</v>
      </c>
      <c r="I3" s="15">
        <f>COUNTIF('المرتبطة بسمو الوزير'!$B$2:$B$700,$A3)</f>
        <v>30</v>
      </c>
    </row>
    <row r="4" spans="1:9">
      <c r="A4" s="7" t="s">
        <v>148</v>
      </c>
      <c r="B4" s="7" t="s">
        <v>142</v>
      </c>
      <c r="C4" s="6" t="s">
        <v>2169</v>
      </c>
      <c r="D4" s="6" t="s">
        <v>149</v>
      </c>
      <c r="E4" s="6" t="s">
        <v>144</v>
      </c>
      <c r="F4" s="14" t="str">
        <f t="shared" si="0"/>
        <v>إدارة الحوكمة والمخاطر</v>
      </c>
      <c r="G4" s="6" t="s">
        <v>145</v>
      </c>
      <c r="H4" s="6" t="s">
        <v>2169</v>
      </c>
      <c r="I4" s="15">
        <f>COUNTIF('المرتبطة بسمو الوزير'!$B$2:$B$700,$A4)</f>
        <v>30</v>
      </c>
    </row>
    <row r="5" spans="1:9">
      <c r="A5" s="7" t="s">
        <v>150</v>
      </c>
      <c r="B5" s="7" t="s">
        <v>142</v>
      </c>
      <c r="C5" s="6" t="s">
        <v>2169</v>
      </c>
      <c r="D5" s="6" t="s">
        <v>151</v>
      </c>
      <c r="E5" s="6" t="s">
        <v>144</v>
      </c>
      <c r="F5" s="14" t="str">
        <f t="shared" si="0"/>
        <v>إدارة الشؤون القانونية</v>
      </c>
      <c r="G5" s="6" t="s">
        <v>145</v>
      </c>
      <c r="H5" s="6" t="s">
        <v>2169</v>
      </c>
      <c r="I5" s="15">
        <f>COUNTIF('المرتبطة بسمو الوزير'!$B$2:$B$700,$A5)</f>
        <v>30</v>
      </c>
    </row>
    <row r="6" spans="1:9">
      <c r="A6" s="7" t="s">
        <v>152</v>
      </c>
      <c r="B6" s="7" t="s">
        <v>142</v>
      </c>
      <c r="C6" s="6" t="s">
        <v>2169</v>
      </c>
      <c r="D6" s="6" t="s">
        <v>153</v>
      </c>
      <c r="E6" s="6" t="s">
        <v>144</v>
      </c>
      <c r="F6" s="14" t="str">
        <f t="shared" si="0"/>
        <v>إدارة التميز المؤسسي</v>
      </c>
      <c r="G6" s="6" t="s">
        <v>145</v>
      </c>
      <c r="H6" s="6" t="s">
        <v>2169</v>
      </c>
      <c r="I6" s="15">
        <f>COUNTIF('المرتبطة بسمو الوزير'!$B$2:$B$700,$A6)</f>
        <v>30</v>
      </c>
    </row>
    <row r="7" spans="1:9">
      <c r="A7" s="7" t="s">
        <v>154</v>
      </c>
      <c r="B7" s="7" t="s">
        <v>155</v>
      </c>
      <c r="C7" s="6" t="s">
        <v>156</v>
      </c>
      <c r="D7" s="6" t="s">
        <v>157</v>
      </c>
      <c r="E7" s="6" t="s">
        <v>158</v>
      </c>
      <c r="F7" s="14" t="str">
        <f t="shared" si="0"/>
        <v>الإدارة العامة للتخطيط والدراسات</v>
      </c>
      <c r="G7" s="6" t="s">
        <v>159</v>
      </c>
      <c r="H7" s="6" t="s">
        <v>156</v>
      </c>
      <c r="I7" s="15">
        <f>COUNTIF('الشؤون التنفيذية'!$B$2:$B$700,$A7)</f>
        <v>30</v>
      </c>
    </row>
    <row r="8" spans="1:9">
      <c r="A8" s="7" t="s">
        <v>160</v>
      </c>
      <c r="B8" s="7" t="s">
        <v>155</v>
      </c>
      <c r="C8" s="6" t="s">
        <v>156</v>
      </c>
      <c r="D8" s="6" t="s">
        <v>157</v>
      </c>
      <c r="E8" s="6" t="s">
        <v>161</v>
      </c>
      <c r="F8" s="14" t="str">
        <f t="shared" si="0"/>
        <v>الإدارة العامة للجودة والتطوير</v>
      </c>
      <c r="G8" s="6" t="s">
        <v>159</v>
      </c>
      <c r="H8" s="6" t="s">
        <v>156</v>
      </c>
      <c r="I8" s="15">
        <f>COUNTIF('الشؤون التنفيذية'!$B$2:$B$700,$A8)</f>
        <v>30</v>
      </c>
    </row>
    <row r="9" spans="1:9">
      <c r="A9" s="7" t="s">
        <v>162</v>
      </c>
      <c r="B9" s="7" t="s">
        <v>155</v>
      </c>
      <c r="C9" s="6" t="s">
        <v>156</v>
      </c>
      <c r="D9" s="6" t="s">
        <v>157</v>
      </c>
      <c r="E9" s="6" t="s">
        <v>163</v>
      </c>
      <c r="F9" s="14" t="str">
        <f t="shared" si="0"/>
        <v>الإدارة العامة للمشاريع</v>
      </c>
      <c r="G9" s="6" t="s">
        <v>159</v>
      </c>
      <c r="H9" s="6" t="s">
        <v>156</v>
      </c>
      <c r="I9" s="15">
        <f>COUNTIF('الشؤون التنفيذية'!$B$2:$B$700,$A9)</f>
        <v>30</v>
      </c>
    </row>
    <row r="10" spans="1:9">
      <c r="A10" s="7" t="s">
        <v>164</v>
      </c>
      <c r="B10" s="7" t="s">
        <v>155</v>
      </c>
      <c r="C10" s="6" t="s">
        <v>156</v>
      </c>
      <c r="D10" s="6" t="s">
        <v>157</v>
      </c>
      <c r="E10" s="6" t="s">
        <v>165</v>
      </c>
      <c r="F10" s="14" t="str">
        <f t="shared" si="0"/>
        <v>الإدارة العامة للتشغيل والصيانة</v>
      </c>
      <c r="G10" s="6" t="s">
        <v>159</v>
      </c>
      <c r="H10" s="6" t="s">
        <v>156</v>
      </c>
      <c r="I10" s="15">
        <f>COUNTIF('الشؤون التنفيذية'!$B$2:$B$700,$A10)</f>
        <v>30</v>
      </c>
    </row>
    <row r="11" spans="1:9">
      <c r="A11" s="7" t="s">
        <v>166</v>
      </c>
      <c r="B11" s="7" t="s">
        <v>155</v>
      </c>
      <c r="C11" s="6" t="s">
        <v>156</v>
      </c>
      <c r="D11" s="6" t="s">
        <v>157</v>
      </c>
      <c r="E11" s="6" t="s">
        <v>167</v>
      </c>
      <c r="F11" s="14" t="str">
        <f t="shared" si="0"/>
        <v>الإدارة العامة للسلامة والبيئة</v>
      </c>
      <c r="G11" s="6" t="s">
        <v>159</v>
      </c>
      <c r="H11" s="6" t="s">
        <v>156</v>
      </c>
      <c r="I11" s="15">
        <f>COUNTIF('الشؤون التنفيذية'!$B$2:$B$700,$A11)</f>
        <v>30</v>
      </c>
    </row>
    <row r="12" spans="1:9">
      <c r="A12" s="7" t="s">
        <v>168</v>
      </c>
      <c r="B12" s="7" t="s">
        <v>155</v>
      </c>
      <c r="C12" s="6" t="s">
        <v>156</v>
      </c>
      <c r="D12" s="6" t="s">
        <v>157</v>
      </c>
      <c r="E12" s="6" t="s">
        <v>169</v>
      </c>
      <c r="F12" s="14" t="str">
        <f t="shared" si="0"/>
        <v>الإدارة العامة للأصول والمرافق</v>
      </c>
      <c r="G12" s="6" t="s">
        <v>159</v>
      </c>
      <c r="H12" s="6" t="s">
        <v>156</v>
      </c>
      <c r="I12" s="15">
        <f>COUNTIF('الشؤون التنفيذية'!$B$2:$B$700,$A12)</f>
        <v>30</v>
      </c>
    </row>
    <row r="13" spans="1:9">
      <c r="A13" s="7" t="s">
        <v>170</v>
      </c>
      <c r="B13" s="7" t="s">
        <v>155</v>
      </c>
      <c r="C13" s="6" t="s">
        <v>156</v>
      </c>
      <c r="D13" s="6" t="s">
        <v>157</v>
      </c>
      <c r="E13" s="6" t="s">
        <v>171</v>
      </c>
      <c r="F13" s="14" t="str">
        <f t="shared" si="0"/>
        <v>الإدارة العامة للأمن والحماية</v>
      </c>
      <c r="G13" s="6" t="s">
        <v>159</v>
      </c>
      <c r="H13" s="6" t="s">
        <v>156</v>
      </c>
      <c r="I13" s="15">
        <f>COUNTIF('الشؤون التنفيذية'!$B$2:$B$700,$A13)</f>
        <v>30</v>
      </c>
    </row>
    <row r="14" spans="1:9">
      <c r="A14" s="7" t="s">
        <v>172</v>
      </c>
      <c r="B14" s="7" t="s">
        <v>155</v>
      </c>
      <c r="C14" s="6" t="s">
        <v>156</v>
      </c>
      <c r="D14" s="6" t="s">
        <v>173</v>
      </c>
      <c r="E14" s="6" t="s">
        <v>174</v>
      </c>
      <c r="F14" s="14" t="str">
        <f t="shared" si="0"/>
        <v>الإدارة العامة للموارد البشرية</v>
      </c>
      <c r="G14" s="6" t="s">
        <v>159</v>
      </c>
      <c r="H14" s="6" t="s">
        <v>156</v>
      </c>
      <c r="I14" s="15">
        <f>COUNTIF('الشؤون التنفيذية'!$B$2:$B$700,$A14)</f>
        <v>30</v>
      </c>
    </row>
    <row r="15" spans="1:9">
      <c r="A15" s="7" t="s">
        <v>175</v>
      </c>
      <c r="B15" s="7" t="s">
        <v>155</v>
      </c>
      <c r="C15" s="6" t="s">
        <v>156</v>
      </c>
      <c r="D15" s="6" t="s">
        <v>173</v>
      </c>
      <c r="E15" s="6" t="s">
        <v>176</v>
      </c>
      <c r="F15" s="14" t="str">
        <f t="shared" si="0"/>
        <v>الإدارة العامة للشؤون المالية</v>
      </c>
      <c r="G15" s="6" t="s">
        <v>159</v>
      </c>
      <c r="H15" s="6" t="s">
        <v>156</v>
      </c>
      <c r="I15" s="15">
        <f>COUNTIF('الشؤون التنفيذية'!$B$2:$B$700,$A15)</f>
        <v>30</v>
      </c>
    </row>
    <row r="16" spans="1:9">
      <c r="A16" s="7" t="s">
        <v>177</v>
      </c>
      <c r="B16" s="7" t="s">
        <v>155</v>
      </c>
      <c r="C16" s="6" t="s">
        <v>156</v>
      </c>
      <c r="D16" s="6" t="s">
        <v>173</v>
      </c>
      <c r="E16" s="6" t="s">
        <v>178</v>
      </c>
      <c r="F16" s="14" t="str">
        <f t="shared" si="0"/>
        <v>الإدارة العامة لتقنية المعلومات</v>
      </c>
      <c r="G16" s="6" t="s">
        <v>159</v>
      </c>
      <c r="H16" s="6" t="s">
        <v>156</v>
      </c>
      <c r="I16" s="15">
        <f>COUNTIF('الشؤون التنفيذية'!$B$2:$B$700,$A16)</f>
        <v>30</v>
      </c>
    </row>
    <row r="17" spans="1:9">
      <c r="A17" s="7" t="s">
        <v>179</v>
      </c>
      <c r="B17" s="7" t="s">
        <v>155</v>
      </c>
      <c r="C17" s="6" t="s">
        <v>156</v>
      </c>
      <c r="D17" s="6" t="s">
        <v>180</v>
      </c>
      <c r="E17" s="6" t="s">
        <v>144</v>
      </c>
      <c r="F17" s="14" t="str">
        <f t="shared" si="0"/>
        <v>وكالة الشؤون الاستراتيجية</v>
      </c>
      <c r="G17" s="6" t="s">
        <v>181</v>
      </c>
      <c r="H17" s="6" t="s">
        <v>156</v>
      </c>
      <c r="I17" s="15">
        <f>COUNTIF('الشؤون التنفيذية'!$B$2:$B$700,$A17)</f>
        <v>30</v>
      </c>
    </row>
    <row r="18" spans="1:9">
      <c r="A18" s="7" t="s">
        <v>182</v>
      </c>
      <c r="B18" s="7" t="s">
        <v>155</v>
      </c>
      <c r="C18" s="6" t="s">
        <v>156</v>
      </c>
      <c r="D18" s="6" t="s">
        <v>183</v>
      </c>
      <c r="E18" s="6" t="s">
        <v>144</v>
      </c>
      <c r="F18" s="14" t="str">
        <f t="shared" si="0"/>
        <v>وكالة التحول الرقمي</v>
      </c>
      <c r="G18" s="6" t="s">
        <v>181</v>
      </c>
      <c r="H18" s="6" t="s">
        <v>156</v>
      </c>
      <c r="I18" s="15">
        <f>COUNTIF('الشؤون التنفيذية'!$B$2:$B$700,$A18)</f>
        <v>30</v>
      </c>
    </row>
    <row r="19" spans="1:9">
      <c r="A19" s="7" t="s">
        <v>184</v>
      </c>
      <c r="B19" s="7" t="s">
        <v>155</v>
      </c>
      <c r="C19" s="6" t="s">
        <v>156</v>
      </c>
      <c r="D19" s="6" t="s">
        <v>185</v>
      </c>
      <c r="E19" s="6" t="s">
        <v>144</v>
      </c>
      <c r="F19" s="14" t="str">
        <f t="shared" si="0"/>
        <v>وكالة الاتصال المؤسسي</v>
      </c>
      <c r="G19" s="6" t="s">
        <v>181</v>
      </c>
      <c r="H19" s="6" t="s">
        <v>156</v>
      </c>
      <c r="I19" s="15">
        <f>COUNTIF('الشؤون التنفيذية'!$B$2:$B$700,$A19)</f>
        <v>30</v>
      </c>
    </row>
    <row r="20" spans="1:9">
      <c r="A20" s="7" t="s">
        <v>186</v>
      </c>
      <c r="B20" s="7" t="s">
        <v>155</v>
      </c>
      <c r="C20" s="6" t="s">
        <v>156</v>
      </c>
      <c r="D20" s="6" t="s">
        <v>187</v>
      </c>
      <c r="E20" s="6" t="s">
        <v>144</v>
      </c>
      <c r="F20" s="14" t="str">
        <f t="shared" si="0"/>
        <v>وكالة الرقابة والالتزام</v>
      </c>
      <c r="G20" s="6" t="s">
        <v>181</v>
      </c>
      <c r="H20" s="6" t="s">
        <v>156</v>
      </c>
      <c r="I20" s="15">
        <f>COUNTIF('الشؤون التنفيذية'!$B$2:$B$700,$A20)</f>
        <v>30</v>
      </c>
    </row>
    <row r="21" spans="1:9">
      <c r="A21" s="7" t="s">
        <v>188</v>
      </c>
      <c r="B21" s="7" t="s">
        <v>189</v>
      </c>
      <c r="C21" s="6" t="s">
        <v>190</v>
      </c>
      <c r="D21" s="6" t="s">
        <v>191</v>
      </c>
      <c r="E21" s="6" t="s">
        <v>144</v>
      </c>
      <c r="F21" s="14" t="str">
        <f t="shared" si="0"/>
        <v>هيئة الأركان</v>
      </c>
      <c r="G21" s="6" t="s">
        <v>145</v>
      </c>
      <c r="H21" s="6" t="s">
        <v>190</v>
      </c>
      <c r="I21" s="15">
        <f>COUNTIF('الجهاز العسكري'!$B$2:$B$700,$A21)</f>
        <v>30</v>
      </c>
    </row>
    <row r="22" spans="1:9">
      <c r="A22" s="7" t="s">
        <v>192</v>
      </c>
      <c r="B22" s="7" t="s">
        <v>189</v>
      </c>
      <c r="C22" s="6" t="s">
        <v>190</v>
      </c>
      <c r="D22" s="6" t="s">
        <v>193</v>
      </c>
      <c r="E22" s="6" t="s">
        <v>144</v>
      </c>
      <c r="F22" s="14" t="str">
        <f t="shared" si="0"/>
        <v>قيادة القوات البرية</v>
      </c>
      <c r="G22" s="6" t="s">
        <v>145</v>
      </c>
      <c r="H22" s="6" t="s">
        <v>190</v>
      </c>
      <c r="I22" s="15">
        <f>COUNTIF('الجهاز العسكري'!$B$2:$B$700,$A22)</f>
        <v>30</v>
      </c>
    </row>
    <row r="23" spans="1:9">
      <c r="A23" s="7" t="s">
        <v>194</v>
      </c>
      <c r="B23" s="7" t="s">
        <v>189</v>
      </c>
      <c r="C23" s="6" t="s">
        <v>190</v>
      </c>
      <c r="D23" s="6" t="s">
        <v>195</v>
      </c>
      <c r="E23" s="6" t="s">
        <v>144</v>
      </c>
      <c r="F23" s="14" t="str">
        <f t="shared" si="0"/>
        <v>قيادة القوات الجوية</v>
      </c>
      <c r="G23" s="6" t="s">
        <v>145</v>
      </c>
      <c r="H23" s="6" t="s">
        <v>190</v>
      </c>
      <c r="I23" s="15">
        <f>COUNTIF('الجهاز العسكري'!$B$2:$B$700,$A23)</f>
        <v>30</v>
      </c>
    </row>
    <row r="24" spans="1:9">
      <c r="A24" s="7" t="s">
        <v>196</v>
      </c>
      <c r="B24" s="7" t="s">
        <v>189</v>
      </c>
      <c r="C24" s="6" t="s">
        <v>190</v>
      </c>
      <c r="D24" s="6" t="s">
        <v>197</v>
      </c>
      <c r="E24" s="6" t="s">
        <v>144</v>
      </c>
      <c r="F24" s="14" t="str">
        <f t="shared" si="0"/>
        <v>قيادة القوات البحرية</v>
      </c>
      <c r="G24" s="6" t="s">
        <v>145</v>
      </c>
      <c r="H24" s="6" t="s">
        <v>190</v>
      </c>
      <c r="I24" s="15">
        <f>COUNTIF('الجهاز العسكري'!$B$2:$B$700,$A24)</f>
        <v>30</v>
      </c>
    </row>
    <row r="25" spans="1:9">
      <c r="A25" s="7" t="s">
        <v>198</v>
      </c>
      <c r="B25" s="7" t="s">
        <v>189</v>
      </c>
      <c r="C25" s="6" t="s">
        <v>190</v>
      </c>
      <c r="D25" s="6" t="s">
        <v>199</v>
      </c>
      <c r="E25" s="6" t="s">
        <v>144</v>
      </c>
      <c r="F25" s="14" t="str">
        <f t="shared" si="0"/>
        <v>قيادة قوات الدفاع الجوي</v>
      </c>
      <c r="G25" s="6" t="s">
        <v>145</v>
      </c>
      <c r="H25" s="6" t="s">
        <v>190</v>
      </c>
      <c r="I25" s="15">
        <f>COUNTIF('الجهاز العسكري'!$B$2:$B$700,$A25)</f>
        <v>30</v>
      </c>
    </row>
    <row r="26" spans="1:9">
      <c r="A26" s="7" t="s">
        <v>200</v>
      </c>
      <c r="B26" s="7" t="s">
        <v>189</v>
      </c>
      <c r="C26" s="6" t="s">
        <v>190</v>
      </c>
      <c r="D26" s="6" t="s">
        <v>201</v>
      </c>
      <c r="E26" s="6" t="s">
        <v>144</v>
      </c>
      <c r="F26" s="14" t="str">
        <f t="shared" si="0"/>
        <v>قيادة القوات الاستراتيجية</v>
      </c>
      <c r="G26" s="6" t="s">
        <v>145</v>
      </c>
      <c r="H26" s="6" t="s">
        <v>190</v>
      </c>
      <c r="I26" s="15">
        <f>COUNTIF('الجهاز العسكري'!$B$2:$B$700,$A26)</f>
        <v>30</v>
      </c>
    </row>
    <row r="27" spans="1:9">
      <c r="A27" s="7" t="s">
        <v>202</v>
      </c>
      <c r="B27" s="7" t="s">
        <v>189</v>
      </c>
      <c r="C27" s="6" t="s">
        <v>190</v>
      </c>
      <c r="D27" s="6" t="s">
        <v>203</v>
      </c>
      <c r="E27" s="6" t="s">
        <v>144</v>
      </c>
      <c r="F27" s="14" t="str">
        <f t="shared" si="0"/>
        <v>الإدارة العامة للاستخبارات العسكرية</v>
      </c>
      <c r="G27" s="6" t="s">
        <v>145</v>
      </c>
      <c r="H27" s="6" t="s">
        <v>190</v>
      </c>
      <c r="I27" s="15">
        <f>COUNTIF('الجهاز العسكري'!$B$2:$B$700,$A27)</f>
        <v>30</v>
      </c>
    </row>
    <row r="28" spans="1:9">
      <c r="A28" s="7" t="s">
        <v>204</v>
      </c>
      <c r="B28" s="7" t="s">
        <v>189</v>
      </c>
      <c r="C28" s="6" t="s">
        <v>190</v>
      </c>
      <c r="D28" s="6" t="s">
        <v>205</v>
      </c>
      <c r="E28" s="6" t="s">
        <v>144</v>
      </c>
      <c r="F28" s="14" t="str">
        <f t="shared" si="0"/>
        <v>الإدارة العامة للعمليات المشتركة</v>
      </c>
      <c r="G28" s="6" t="s">
        <v>145</v>
      </c>
      <c r="H28" s="6" t="s">
        <v>190</v>
      </c>
      <c r="I28" s="15">
        <f>COUNTIF('الجهاز العسكري'!$B$2:$B$700,$A28)</f>
        <v>30</v>
      </c>
    </row>
    <row r="29" spans="1:9">
      <c r="A29" s="7" t="s">
        <v>206</v>
      </c>
      <c r="B29" s="7" t="s">
        <v>189</v>
      </c>
      <c r="C29" s="6" t="s">
        <v>190</v>
      </c>
      <c r="D29" s="6" t="s">
        <v>207</v>
      </c>
      <c r="E29" s="6" t="s">
        <v>144</v>
      </c>
      <c r="F29" s="14" t="str">
        <f t="shared" si="0"/>
        <v>الإدارة العامة للتخطيط والتنظيم العسكري</v>
      </c>
      <c r="G29" s="6" t="s">
        <v>145</v>
      </c>
      <c r="H29" s="6" t="s">
        <v>190</v>
      </c>
      <c r="I29" s="15">
        <f>COUNTIF('الجهاز العسكري'!$B$2:$B$700,$A29)</f>
        <v>30</v>
      </c>
    </row>
    <row r="30" spans="1:9">
      <c r="A30" s="7" t="s">
        <v>208</v>
      </c>
      <c r="B30" s="7" t="s">
        <v>189</v>
      </c>
      <c r="C30" s="6" t="s">
        <v>190</v>
      </c>
      <c r="D30" s="6" t="s">
        <v>209</v>
      </c>
      <c r="E30" s="6" t="s">
        <v>144</v>
      </c>
      <c r="F30" s="14" t="str">
        <f t="shared" si="0"/>
        <v>الإدارة العامة للإمداد والتموين</v>
      </c>
      <c r="G30" s="6" t="s">
        <v>145</v>
      </c>
      <c r="H30" s="6" t="s">
        <v>190</v>
      </c>
      <c r="I30" s="15">
        <f>COUNTIF('الجهاز العسكري'!$B$2:$B$700,$A30)</f>
        <v>30</v>
      </c>
    </row>
    <row r="31" spans="1:9">
      <c r="A31" s="7" t="s">
        <v>210</v>
      </c>
      <c r="B31" s="7" t="s">
        <v>189</v>
      </c>
      <c r="C31" s="6" t="s">
        <v>190</v>
      </c>
      <c r="D31" s="6" t="s">
        <v>211</v>
      </c>
      <c r="E31" s="6" t="s">
        <v>144</v>
      </c>
      <c r="F31" s="14" t="str">
        <f t="shared" si="0"/>
        <v>الإدارة العامة للاتصالات وتقنية المعلومات العسكرية</v>
      </c>
      <c r="G31" s="6" t="s">
        <v>145</v>
      </c>
      <c r="H31" s="6" t="s">
        <v>190</v>
      </c>
      <c r="I31" s="15">
        <f>COUNTIF('الجهاز العسكري'!$B$2:$B$700,$A31)</f>
        <v>30</v>
      </c>
    </row>
    <row r="32" spans="1:9">
      <c r="A32" s="7" t="s">
        <v>212</v>
      </c>
      <c r="B32" s="7" t="s">
        <v>189</v>
      </c>
      <c r="C32" s="6" t="s">
        <v>190</v>
      </c>
      <c r="D32" s="6" t="s">
        <v>213</v>
      </c>
      <c r="E32" s="6" t="s">
        <v>144</v>
      </c>
      <c r="F32" s="14" t="str">
        <f t="shared" si="0"/>
        <v>الإدارة العامة للشؤون الهندسية العسكرية</v>
      </c>
      <c r="G32" s="6" t="s">
        <v>145</v>
      </c>
      <c r="H32" s="6" t="s">
        <v>190</v>
      </c>
      <c r="I32" s="15">
        <f>COUNTIF('الجهاز العسكري'!$B$2:$B$700,$A32)</f>
        <v>30</v>
      </c>
    </row>
    <row r="33" spans="1:9">
      <c r="A33" s="7" t="s">
        <v>214</v>
      </c>
      <c r="B33" s="7" t="s">
        <v>189</v>
      </c>
      <c r="C33" s="6" t="s">
        <v>190</v>
      </c>
      <c r="D33" s="6" t="s">
        <v>215</v>
      </c>
      <c r="E33" s="6" t="s">
        <v>144</v>
      </c>
      <c r="F33" s="14" t="str">
        <f t="shared" si="0"/>
        <v>الإدارة العامة للخدمات الطبية العسكرية</v>
      </c>
      <c r="G33" s="6" t="s">
        <v>145</v>
      </c>
      <c r="H33" s="6" t="s">
        <v>190</v>
      </c>
      <c r="I33" s="15">
        <f>COUNTIF('الجهاز العسكري'!$B$2:$B$700,$A33)</f>
        <v>30</v>
      </c>
    </row>
    <row r="34" spans="1:9">
      <c r="A34" s="7" t="s">
        <v>216</v>
      </c>
      <c r="B34" s="7" t="s">
        <v>189</v>
      </c>
      <c r="C34" s="6" t="s">
        <v>190</v>
      </c>
      <c r="D34" s="6" t="s">
        <v>217</v>
      </c>
      <c r="E34" s="6" t="s">
        <v>144</v>
      </c>
      <c r="F34" s="14" t="str">
        <f t="shared" si="0"/>
        <v>الإدارة العامة للقوى البشرية العسكرية</v>
      </c>
      <c r="G34" s="6" t="s">
        <v>145</v>
      </c>
      <c r="H34" s="6" t="s">
        <v>190</v>
      </c>
      <c r="I34" s="15">
        <f>COUNTIF('الجهاز العسكري'!$B$2:$B$700,$A34)</f>
        <v>30</v>
      </c>
    </row>
    <row r="35" spans="1:9">
      <c r="A35" s="7" t="s">
        <v>218</v>
      </c>
      <c r="B35" s="7" t="s">
        <v>189</v>
      </c>
      <c r="C35" s="6" t="s">
        <v>190</v>
      </c>
      <c r="D35" s="6" t="s">
        <v>219</v>
      </c>
      <c r="E35" s="6" t="s">
        <v>144</v>
      </c>
      <c r="F35" s="14" t="str">
        <f t="shared" si="0"/>
        <v>الإدارة العامة للتدريب والتأهيل العسكري</v>
      </c>
      <c r="G35" s="6" t="s">
        <v>145</v>
      </c>
      <c r="H35" s="6" t="s">
        <v>190</v>
      </c>
      <c r="I35" s="15">
        <f>COUNTIF('الجهاز العسكري'!$B$2:$B$700,$A35)</f>
        <v>30</v>
      </c>
    </row>
    <row r="36" spans="1:9">
      <c r="A36" s="7" t="s">
        <v>220</v>
      </c>
      <c r="B36" s="7" t="s">
        <v>189</v>
      </c>
      <c r="C36" s="6" t="s">
        <v>190</v>
      </c>
      <c r="D36" s="6" t="s">
        <v>221</v>
      </c>
      <c r="E36" s="6" t="s">
        <v>144</v>
      </c>
      <c r="F36" s="14" t="str">
        <f t="shared" si="0"/>
        <v>الإدارة العامة للتسليح والعتاد</v>
      </c>
      <c r="G36" s="6" t="s">
        <v>145</v>
      </c>
      <c r="H36" s="6" t="s">
        <v>190</v>
      </c>
      <c r="I36" s="15">
        <f>COUNTIF('الجهاز العسكري'!$B$2:$B$700,$A36)</f>
        <v>30</v>
      </c>
    </row>
    <row r="37" spans="1:9">
      <c r="A37" s="7" t="s">
        <v>222</v>
      </c>
      <c r="B37" s="7" t="s">
        <v>189</v>
      </c>
      <c r="C37" s="6" t="s">
        <v>190</v>
      </c>
      <c r="D37" s="6" t="s">
        <v>223</v>
      </c>
      <c r="E37" s="6" t="s">
        <v>144</v>
      </c>
      <c r="F37" s="14" t="str">
        <f t="shared" si="0"/>
        <v>الإدارة العامة للقضاء العسكري</v>
      </c>
      <c r="G37" s="6" t="s">
        <v>145</v>
      </c>
      <c r="H37" s="6" t="s">
        <v>190</v>
      </c>
      <c r="I37" s="15">
        <f>COUNTIF('الجهاز العسكري'!$B$2:$B$700,$A37)</f>
        <v>30</v>
      </c>
    </row>
    <row r="38" spans="1:9">
      <c r="A38" s="7" t="s">
        <v>224</v>
      </c>
      <c r="B38" s="7" t="s">
        <v>189</v>
      </c>
      <c r="C38" s="6" t="s">
        <v>190</v>
      </c>
      <c r="D38" s="6" t="s">
        <v>225</v>
      </c>
      <c r="E38" s="6" t="s">
        <v>144</v>
      </c>
      <c r="F38" s="14" t="str">
        <f t="shared" si="0"/>
        <v>الإدارة العامة للأمن العسكري</v>
      </c>
      <c r="G38" s="6" t="s">
        <v>145</v>
      </c>
      <c r="H38" s="6" t="s">
        <v>190</v>
      </c>
      <c r="I38" s="15">
        <f>COUNTIF('الجهاز العسكري'!$B$2:$B$700,$A38)</f>
        <v>30</v>
      </c>
    </row>
    <row r="39" spans="1:9">
      <c r="A39" s="7" t="s">
        <v>226</v>
      </c>
      <c r="B39" s="7" t="s">
        <v>189</v>
      </c>
      <c r="C39" s="6" t="s">
        <v>190</v>
      </c>
      <c r="D39" s="6" t="s">
        <v>227</v>
      </c>
      <c r="E39" s="6" t="s">
        <v>144</v>
      </c>
      <c r="F39" s="14" t="str">
        <f t="shared" si="0"/>
        <v>الإدارة العامة للمالية والميزانية العسكرية</v>
      </c>
      <c r="G39" s="6" t="s">
        <v>145</v>
      </c>
      <c r="H39" s="6" t="s">
        <v>190</v>
      </c>
      <c r="I39" s="15">
        <f>COUNTIF('الجهاز العسكري'!$B$2:$B$700,$A39)</f>
        <v>30</v>
      </c>
    </row>
    <row r="40" spans="1:9">
      <c r="A40" s="7" t="s">
        <v>228</v>
      </c>
      <c r="B40" s="7" t="s">
        <v>189</v>
      </c>
      <c r="C40" s="6" t="s">
        <v>190</v>
      </c>
      <c r="D40" s="6" t="s">
        <v>229</v>
      </c>
      <c r="E40" s="6" t="s">
        <v>144</v>
      </c>
      <c r="F40" s="14" t="str">
        <f t="shared" si="0"/>
        <v>الإدارة العامة للعلاقات العامة والإعلام العسكري</v>
      </c>
      <c r="G40" s="6" t="s">
        <v>145</v>
      </c>
      <c r="H40" s="6" t="s">
        <v>190</v>
      </c>
      <c r="I40" s="15">
        <f>COUNTIF('الجهاز العسكري'!$B$2:$B$700,$A40)</f>
        <v>30</v>
      </c>
    </row>
    <row r="41" spans="1:9">
      <c r="A41" s="7" t="s">
        <v>230</v>
      </c>
      <c r="B41" s="7" t="s">
        <v>189</v>
      </c>
      <c r="C41" s="6" t="s">
        <v>190</v>
      </c>
      <c r="D41" s="6" t="s">
        <v>231</v>
      </c>
      <c r="E41" s="6" t="s">
        <v>144</v>
      </c>
      <c r="F41" s="14" t="str">
        <f t="shared" si="0"/>
        <v>الإدارة العامة للمراسم والتشريفات العسكرية</v>
      </c>
      <c r="G41" s="6" t="s">
        <v>145</v>
      </c>
      <c r="H41" s="6" t="s">
        <v>190</v>
      </c>
      <c r="I41" s="15">
        <f>COUNTIF('الجهاز العسكري'!$B$2:$B$700,$A41)</f>
        <v>30</v>
      </c>
    </row>
  </sheetData>
  <autoFilter ref="A1:I4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51"/>
  <sheetViews>
    <sheetView rightToLeft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O2" sqref="O2:O151"/>
    </sheetView>
  </sheetViews>
  <sheetFormatPr defaultColWidth="8.73046875" defaultRowHeight="14.25"/>
  <cols>
    <col min="1" max="1" width="24" customWidth="1"/>
    <col min="2" max="3" width="13" customWidth="1"/>
    <col min="4" max="5" width="24" customWidth="1"/>
    <col min="6" max="6" width="22" customWidth="1"/>
    <col min="7" max="7" width="13" customWidth="1"/>
    <col min="8" max="8" width="15" customWidth="1"/>
    <col min="9" max="9" width="12" customWidth="1"/>
    <col min="10" max="10" width="26" customWidth="1"/>
    <col min="11" max="11" width="16" customWidth="1"/>
    <col min="12" max="12" width="62" customWidth="1"/>
    <col min="13" max="13" width="17" customWidth="1"/>
    <col min="14" max="14" width="16" customWidth="1"/>
    <col min="15" max="15" width="42" customWidth="1"/>
  </cols>
  <sheetData>
    <row r="1" spans="1:15" ht="36" customHeight="1">
      <c r="A1" s="4" t="s">
        <v>232</v>
      </c>
      <c r="B1" s="4" t="s">
        <v>132</v>
      </c>
      <c r="C1" s="4" t="s">
        <v>133</v>
      </c>
      <c r="D1" s="4" t="s">
        <v>2168</v>
      </c>
      <c r="E1" s="4" t="s">
        <v>135</v>
      </c>
      <c r="F1" s="4" t="s">
        <v>136</v>
      </c>
      <c r="G1" s="4" t="s">
        <v>33</v>
      </c>
      <c r="H1" s="4" t="s">
        <v>32</v>
      </c>
      <c r="I1" s="4" t="s">
        <v>36</v>
      </c>
      <c r="J1" s="4" t="s">
        <v>35</v>
      </c>
      <c r="K1" s="4" t="s">
        <v>68</v>
      </c>
      <c r="L1" s="4" t="s">
        <v>70</v>
      </c>
      <c r="M1" s="11" t="s">
        <v>233</v>
      </c>
      <c r="N1" s="4" t="s">
        <v>234</v>
      </c>
      <c r="O1" s="11" t="s">
        <v>235</v>
      </c>
    </row>
    <row r="2" spans="1:15">
      <c r="A2" s="16" t="s">
        <v>236</v>
      </c>
      <c r="B2" s="16" t="s">
        <v>141</v>
      </c>
      <c r="C2" s="15" t="str">
        <f>IFERROR(INDEX('قائمة الوحدات'!$B$2:$B$41,MATCH($B2,'قائمة الوحدات'!$A$2:$A$41,0)),"")</f>
        <v>TOP</v>
      </c>
      <c r="D2" s="14" t="str">
        <f>IFERROR(INDEX('قائمة الوحدات'!$C$2:$C$41,MATCH($B2,'قائمة الوحدات'!$A$2:$A$41,0)),"")</f>
        <v>المرتبطة بسمو الوزير</v>
      </c>
      <c r="E2" s="14" t="str">
        <f>IFERROR(INDEX('قائمة الوحدات'!$D$2:$D$41,MATCH($B2,'قائمة الوحدات'!$A$2:$A$41,0)),"")</f>
        <v>المكتب التنفيذي</v>
      </c>
      <c r="F2" s="14" t="str">
        <f>IFERROR(INDEX('قائمة الوحدات'!$F$2:$F$41,MATCH($B2,'قائمة الوحدات'!$A$2:$A$41,0)),"")</f>
        <v>المكتب التنفيذي</v>
      </c>
      <c r="G2" s="16" t="s">
        <v>43</v>
      </c>
      <c r="H2" s="14" t="str">
        <f>IFERROR(INDEX(المرجع!$A$2:$A$19,MATCH($G2,المرجع!$B$2:$B$19,0)),"")</f>
        <v>التصميم</v>
      </c>
      <c r="I2" s="16" t="s">
        <v>45</v>
      </c>
      <c r="J2" s="14" t="str">
        <f>IFERROR(INDEX(المرجع!$D$2:$D$19,MATCH($I2,المرجع!$E$2:$E$19,0)),"")</f>
        <v>الدور</v>
      </c>
      <c r="K2" s="16" t="s">
        <v>72</v>
      </c>
      <c r="L2" s="17" t="str">
        <f>IFERROR(INDEX('نقاط التحقق'!$G$2:$G$31,MATCH($K2,'نقاط التحقق'!$A$2:$A$31,0))&amp;"","")</f>
        <v>دور مفصل للوحدة التنظيمية</v>
      </c>
      <c r="M2" s="13">
        <v>50</v>
      </c>
      <c r="N2" s="15" t="str">
        <f>IF($M2="","غير مقيّمة",IF($M2&gt;المرجع!$K$3,"مستوفاة بشكل متقدم",IF($M2&lt;=المرجع!$K$2,"مستوفاة بشكل أولي","مستوفاة بشكل جزئي")))</f>
        <v>مستوفاة بشكل جزئي</v>
      </c>
      <c r="O2" s="18" t="s">
        <v>2171</v>
      </c>
    </row>
    <row r="3" spans="1:15">
      <c r="A3" s="16" t="s">
        <v>237</v>
      </c>
      <c r="B3" s="16" t="s">
        <v>141</v>
      </c>
      <c r="C3" s="15" t="str">
        <f>IFERROR(INDEX('قائمة الوحدات'!$B$2:$B$41,MATCH($B3,'قائمة الوحدات'!$A$2:$A$41,0)),"")</f>
        <v>TOP</v>
      </c>
      <c r="D3" s="14" t="str">
        <f>IFERROR(INDEX('قائمة الوحدات'!$C$2:$C$41,MATCH($B3,'قائمة الوحدات'!$A$2:$A$41,0)),"")</f>
        <v>المرتبطة بسمو الوزير</v>
      </c>
      <c r="E3" s="14" t="str">
        <f>IFERROR(INDEX('قائمة الوحدات'!$D$2:$D$41,MATCH($B3,'قائمة الوحدات'!$A$2:$A$41,0)),"")</f>
        <v>المكتب التنفيذي</v>
      </c>
      <c r="F3" s="14" t="str">
        <f>IFERROR(INDEX('قائمة الوحدات'!$F$2:$F$41,MATCH($B3,'قائمة الوحدات'!$A$2:$A$41,0)),"")</f>
        <v>المكتب التنفيذي</v>
      </c>
      <c r="G3" s="16" t="s">
        <v>43</v>
      </c>
      <c r="H3" s="14" t="str">
        <f>IFERROR(INDEX(المرجع!$A$2:$A$19,MATCH($G3,المرجع!$B$2:$B$19,0)),"")</f>
        <v>التصميم</v>
      </c>
      <c r="I3" s="16" t="s">
        <v>48</v>
      </c>
      <c r="J3" s="14" t="str">
        <f>IFERROR(INDEX(المرجع!$D$2:$D$19,MATCH($I3,المرجع!$E$2:$E$19,0)),"")</f>
        <v>الأهداف ومؤشرات الأداء</v>
      </c>
      <c r="K3" s="16" t="s">
        <v>74</v>
      </c>
      <c r="L3" s="17" t="str">
        <f>IFERROR(INDEX('نقاط التحقق'!$G$2:$G$31,MATCH($K3,'نقاط التحقق'!$A$2:$A$31,0))&amp;"","")</f>
        <v>أهداف محددة للوحدة التنظيمية وربطها بمؤشرات أداء لقياسها</v>
      </c>
      <c r="M3" s="13">
        <v>85</v>
      </c>
      <c r="N3" s="15" t="str">
        <f>IF($M3="","غير مقيّمة",IF($M3&gt;المرجع!$K$3,"مستوفاة بشكل متقدم",IF($M3&lt;=المرجع!$K$2,"مستوفاة بشكل أولي","مستوفاة بشكل جزئي")))</f>
        <v>مستوفاة بشكل متقدم</v>
      </c>
      <c r="O3" s="18" t="s">
        <v>2171</v>
      </c>
    </row>
    <row r="4" spans="1:15">
      <c r="A4" s="16" t="s">
        <v>238</v>
      </c>
      <c r="B4" s="16" t="s">
        <v>141</v>
      </c>
      <c r="C4" s="15" t="str">
        <f>IFERROR(INDEX('قائمة الوحدات'!$B$2:$B$41,MATCH($B4,'قائمة الوحدات'!$A$2:$A$41,0)),"")</f>
        <v>TOP</v>
      </c>
      <c r="D4" s="14" t="str">
        <f>IFERROR(INDEX('قائمة الوحدات'!$C$2:$C$41,MATCH($B4,'قائمة الوحدات'!$A$2:$A$41,0)),"")</f>
        <v>المرتبطة بسمو الوزير</v>
      </c>
      <c r="E4" s="14" t="str">
        <f>IFERROR(INDEX('قائمة الوحدات'!$D$2:$D$41,MATCH($B4,'قائمة الوحدات'!$A$2:$A$41,0)),"")</f>
        <v>المكتب التنفيذي</v>
      </c>
      <c r="F4" s="14" t="str">
        <f>IFERROR(INDEX('قائمة الوحدات'!$F$2:$F$41,MATCH($B4,'قائمة الوحدات'!$A$2:$A$41,0)),"")</f>
        <v>المكتب التنفيذي</v>
      </c>
      <c r="G4" s="16" t="s">
        <v>43</v>
      </c>
      <c r="H4" s="14" t="str">
        <f>IFERROR(INDEX(المرجع!$A$2:$A$19,MATCH($G4,المرجع!$B$2:$B$19,0)),"")</f>
        <v>التصميم</v>
      </c>
      <c r="I4" s="16" t="s">
        <v>48</v>
      </c>
      <c r="J4" s="14" t="str">
        <f>IFERROR(INDEX(المرجع!$D$2:$D$19,MATCH($I4,المرجع!$E$2:$E$19,0)),"")</f>
        <v>الأهداف ومؤشرات الأداء</v>
      </c>
      <c r="K4" s="16" t="s">
        <v>76</v>
      </c>
      <c r="L4" s="17" t="str">
        <f>IFERROR(INDEX('نقاط التحقق'!$G$2:$G$31,MATCH($K4,'نقاط التحقق'!$A$2:$A$31,0))&amp;"","")</f>
        <v>مؤشرات أداء الوحدة التنظيمية</v>
      </c>
      <c r="M4" s="13">
        <v>60</v>
      </c>
      <c r="N4" s="15" t="str">
        <f>IF($M4="","غير مقيّمة",IF($M4&gt;المرجع!$K$3,"مستوفاة بشكل متقدم",IF($M4&lt;=المرجع!$K$2,"مستوفاة بشكل أولي","مستوفاة بشكل جزئي")))</f>
        <v>مستوفاة بشكل جزئي</v>
      </c>
      <c r="O4" s="18" t="s">
        <v>2171</v>
      </c>
    </row>
    <row r="5" spans="1:15">
      <c r="A5" s="16" t="s">
        <v>239</v>
      </c>
      <c r="B5" s="16" t="s">
        <v>141</v>
      </c>
      <c r="C5" s="15" t="str">
        <f>IFERROR(INDEX('قائمة الوحدات'!$B$2:$B$41,MATCH($B5,'قائمة الوحدات'!$A$2:$A$41,0)),"")</f>
        <v>TOP</v>
      </c>
      <c r="D5" s="14" t="str">
        <f>IFERROR(INDEX('قائمة الوحدات'!$C$2:$C$41,MATCH($B5,'قائمة الوحدات'!$A$2:$A$41,0)),"")</f>
        <v>المرتبطة بسمو الوزير</v>
      </c>
      <c r="E5" s="14" t="str">
        <f>IFERROR(INDEX('قائمة الوحدات'!$D$2:$D$41,MATCH($B5,'قائمة الوحدات'!$A$2:$A$41,0)),"")</f>
        <v>المكتب التنفيذي</v>
      </c>
      <c r="F5" s="14" t="str">
        <f>IFERROR(INDEX('قائمة الوحدات'!$F$2:$F$41,MATCH($B5,'قائمة الوحدات'!$A$2:$A$41,0)),"")</f>
        <v>المكتب التنفيذي</v>
      </c>
      <c r="G5" s="16" t="s">
        <v>43</v>
      </c>
      <c r="H5" s="14" t="str">
        <f>IFERROR(INDEX(المرجع!$A$2:$A$19,MATCH($G5,المرجع!$B$2:$B$19,0)),"")</f>
        <v>التصميم</v>
      </c>
      <c r="I5" s="16" t="s">
        <v>51</v>
      </c>
      <c r="J5" s="14" t="str">
        <f>IFERROR(INDEX(المرجع!$D$2:$D$19,MATCH($I5,المرجع!$E$2:$E$19,0)),"")</f>
        <v>الحوكمة</v>
      </c>
      <c r="K5" s="16" t="s">
        <v>78</v>
      </c>
      <c r="L5" s="17" t="str">
        <f>IFERROR(INDEX('نقاط التحقق'!$G$2:$G$31,MATCH($K5,'نقاط التحقق'!$A$2:$A$31,0))&amp;"","")</f>
        <v>تفصيل القرارات ومصفوفة الصلاحيات واللجان ذات العلاقة لاعتماد مخرجات الوحدة التنظيمية</v>
      </c>
      <c r="M5" s="13">
        <v>87</v>
      </c>
      <c r="N5" s="15" t="str">
        <f>IF($M5="","غير مقيّمة",IF($M5&gt;المرجع!$K$3,"مستوفاة بشكل متقدم",IF($M5&lt;=المرجع!$K$2,"مستوفاة بشكل أولي","مستوفاة بشكل جزئي")))</f>
        <v>مستوفاة بشكل متقدم</v>
      </c>
      <c r="O5" s="18" t="s">
        <v>2171</v>
      </c>
    </row>
    <row r="6" spans="1:15">
      <c r="A6" s="16" t="s">
        <v>240</v>
      </c>
      <c r="B6" s="16" t="s">
        <v>141</v>
      </c>
      <c r="C6" s="15" t="str">
        <f>IFERROR(INDEX('قائمة الوحدات'!$B$2:$B$41,MATCH($B6,'قائمة الوحدات'!$A$2:$A$41,0)),"")</f>
        <v>TOP</v>
      </c>
      <c r="D6" s="14" t="str">
        <f>IFERROR(INDEX('قائمة الوحدات'!$C$2:$C$41,MATCH($B6,'قائمة الوحدات'!$A$2:$A$41,0)),"")</f>
        <v>المرتبطة بسمو الوزير</v>
      </c>
      <c r="E6" s="14" t="str">
        <f>IFERROR(INDEX('قائمة الوحدات'!$D$2:$D$41,MATCH($B6,'قائمة الوحدات'!$A$2:$A$41,0)),"")</f>
        <v>المكتب التنفيذي</v>
      </c>
      <c r="F6" s="14" t="str">
        <f>IFERROR(INDEX('قائمة الوحدات'!$F$2:$F$41,MATCH($B6,'قائمة الوحدات'!$A$2:$A$41,0)),"")</f>
        <v>المكتب التنفيذي</v>
      </c>
      <c r="G6" s="16" t="s">
        <v>43</v>
      </c>
      <c r="H6" s="14" t="str">
        <f>IFERROR(INDEX(المرجع!$A$2:$A$19,MATCH($G6,المرجع!$B$2:$B$19,0)),"")</f>
        <v>التصميم</v>
      </c>
      <c r="I6" s="16" t="s">
        <v>54</v>
      </c>
      <c r="J6" s="14" t="str">
        <f>IFERROR(INDEX(المرجع!$D$2:$D$19,MATCH($I6,المرجع!$E$2:$E$19,0)),"")</f>
        <v>التنظيم</v>
      </c>
      <c r="K6" s="16" t="s">
        <v>80</v>
      </c>
      <c r="L6" s="17" t="str">
        <f>IFERROR(INDEX('نقاط التحقق'!$G$2:$G$31,MATCH($K6,'نقاط التحقق'!$A$2:$A$31,0))&amp;"","")</f>
        <v>تطوير الأدوار والمسؤوليات للوحدة التنظيمية وتفصيل الهيكل التنظيمي</v>
      </c>
      <c r="M6" s="13">
        <v>82</v>
      </c>
      <c r="N6" s="15" t="str">
        <f>IF($M6="","غير مقيّمة",IF($M6&gt;المرجع!$K$3,"مستوفاة بشكل متقدم",IF($M6&lt;=المرجع!$K$2,"مستوفاة بشكل أولي","مستوفاة بشكل جزئي")))</f>
        <v>مستوفاة بشكل متقدم</v>
      </c>
      <c r="O6" s="18" t="s">
        <v>2171</v>
      </c>
    </row>
    <row r="7" spans="1:15">
      <c r="A7" s="16" t="s">
        <v>241</v>
      </c>
      <c r="B7" s="16" t="s">
        <v>141</v>
      </c>
      <c r="C7" s="15" t="str">
        <f>IFERROR(INDEX('قائمة الوحدات'!$B$2:$B$41,MATCH($B7,'قائمة الوحدات'!$A$2:$A$41,0)),"")</f>
        <v>TOP</v>
      </c>
      <c r="D7" s="14" t="str">
        <f>IFERROR(INDEX('قائمة الوحدات'!$C$2:$C$41,MATCH($B7,'قائمة الوحدات'!$A$2:$A$41,0)),"")</f>
        <v>المرتبطة بسمو الوزير</v>
      </c>
      <c r="E7" s="14" t="str">
        <f>IFERROR(INDEX('قائمة الوحدات'!$D$2:$D$41,MATCH($B7,'قائمة الوحدات'!$A$2:$A$41,0)),"")</f>
        <v>المكتب التنفيذي</v>
      </c>
      <c r="F7" s="14" t="str">
        <f>IFERROR(INDEX('قائمة الوحدات'!$F$2:$F$41,MATCH($B7,'قائمة الوحدات'!$A$2:$A$41,0)),"")</f>
        <v>المكتب التنفيذي</v>
      </c>
      <c r="G7" s="16" t="s">
        <v>43</v>
      </c>
      <c r="H7" s="14" t="str">
        <f>IFERROR(INDEX(المرجع!$A$2:$A$19,MATCH($G7,المرجع!$B$2:$B$19,0)),"")</f>
        <v>التصميم</v>
      </c>
      <c r="I7" s="16" t="s">
        <v>56</v>
      </c>
      <c r="J7" s="14" t="str">
        <f>IFERROR(INDEX(المرجع!$D$2:$D$19,MATCH($I7,المرجع!$E$2:$E$19,0)),"")</f>
        <v>الموارد</v>
      </c>
      <c r="K7" s="16" t="s">
        <v>82</v>
      </c>
      <c r="L7" s="17" t="str">
        <f>IFERROR(INDEX('نقاط التحقق'!$G$2:$G$31,MATCH($K7,'نقاط التحقق'!$A$2:$A$31,0))&amp;"","")</f>
        <v>تفصيل احتياج الموارد البشرية للوحدة التنظيمية</v>
      </c>
      <c r="M7" s="13">
        <v>96</v>
      </c>
      <c r="N7" s="15" t="str">
        <f>IF($M7="","غير مقيّمة",IF($M7&gt;المرجع!$K$3,"مستوفاة بشكل متقدم",IF($M7&lt;=المرجع!$K$2,"مستوفاة بشكل أولي","مستوفاة بشكل جزئي")))</f>
        <v>مستوفاة بشكل متقدم</v>
      </c>
      <c r="O7" s="18" t="s">
        <v>2171</v>
      </c>
    </row>
    <row r="8" spans="1:15">
      <c r="A8" s="16" t="s">
        <v>242</v>
      </c>
      <c r="B8" s="16" t="s">
        <v>141</v>
      </c>
      <c r="C8" s="15" t="str">
        <f>IFERROR(INDEX('قائمة الوحدات'!$B$2:$B$41,MATCH($B8,'قائمة الوحدات'!$A$2:$A$41,0)),"")</f>
        <v>TOP</v>
      </c>
      <c r="D8" s="14" t="str">
        <f>IFERROR(INDEX('قائمة الوحدات'!$C$2:$C$41,MATCH($B8,'قائمة الوحدات'!$A$2:$A$41,0)),"")</f>
        <v>المرتبطة بسمو الوزير</v>
      </c>
      <c r="E8" s="14" t="str">
        <f>IFERROR(INDEX('قائمة الوحدات'!$D$2:$D$41,MATCH($B8,'قائمة الوحدات'!$A$2:$A$41,0)),"")</f>
        <v>المكتب التنفيذي</v>
      </c>
      <c r="F8" s="14" t="str">
        <f>IFERROR(INDEX('قائمة الوحدات'!$F$2:$F$41,MATCH($B8,'قائمة الوحدات'!$A$2:$A$41,0)),"")</f>
        <v>المكتب التنفيذي</v>
      </c>
      <c r="G8" s="16" t="s">
        <v>43</v>
      </c>
      <c r="H8" s="14" t="str">
        <f>IFERROR(INDEX(المرجع!$A$2:$A$19,MATCH($G8,المرجع!$B$2:$B$19,0)),"")</f>
        <v>التصميم</v>
      </c>
      <c r="I8" s="16" t="s">
        <v>59</v>
      </c>
      <c r="J8" s="14" t="str">
        <f>IFERROR(INDEX(المرجع!$D$2:$D$19,MATCH($I8,المرجع!$E$2:$E$19,0)),"")</f>
        <v>الإجراءات</v>
      </c>
      <c r="K8" s="16" t="s">
        <v>84</v>
      </c>
      <c r="L8" s="17" t="str">
        <f>IFERROR(INDEX('نقاط التحقق'!$G$2:$G$31,MATCH($K8,'نقاط التحقق'!$A$2:$A$31,0))&amp;"","")</f>
        <v>تفصيل المخرجات إلى إجراءات عالية المستوى</v>
      </c>
      <c r="M8" s="13">
        <v>75</v>
      </c>
      <c r="N8" s="15" t="str">
        <f>IF($M8="","غير مقيّمة",IF($M8&gt;المرجع!$K$3,"مستوفاة بشكل متقدم",IF($M8&lt;=المرجع!$K$2,"مستوفاة بشكل أولي","مستوفاة بشكل جزئي")))</f>
        <v>مستوفاة بشكل متقدم</v>
      </c>
      <c r="O8" s="18" t="s">
        <v>2171</v>
      </c>
    </row>
    <row r="9" spans="1:15">
      <c r="A9" s="16" t="s">
        <v>243</v>
      </c>
      <c r="B9" s="16" t="s">
        <v>141</v>
      </c>
      <c r="C9" s="15" t="str">
        <f>IFERROR(INDEX('قائمة الوحدات'!$B$2:$B$41,MATCH($B9,'قائمة الوحدات'!$A$2:$A$41,0)),"")</f>
        <v>TOP</v>
      </c>
      <c r="D9" s="14" t="str">
        <f>IFERROR(INDEX('قائمة الوحدات'!$C$2:$C$41,MATCH($B9,'قائمة الوحدات'!$A$2:$A$41,0)),"")</f>
        <v>المرتبطة بسمو الوزير</v>
      </c>
      <c r="E9" s="14" t="str">
        <f>IFERROR(INDEX('قائمة الوحدات'!$D$2:$D$41,MATCH($B9,'قائمة الوحدات'!$A$2:$A$41,0)),"")</f>
        <v>المكتب التنفيذي</v>
      </c>
      <c r="F9" s="14" t="str">
        <f>IFERROR(INDEX('قائمة الوحدات'!$F$2:$F$41,MATCH($B9,'قائمة الوحدات'!$A$2:$A$41,0)),"")</f>
        <v>المكتب التنفيذي</v>
      </c>
      <c r="G9" s="16" t="s">
        <v>61</v>
      </c>
      <c r="H9" s="14" t="str">
        <f>IFERROR(INDEX(المرجع!$A$2:$A$19,MATCH($G9,المرجع!$B$2:$B$19,0)),"")</f>
        <v>البناء المؤسسي</v>
      </c>
      <c r="I9" s="16" t="s">
        <v>45</v>
      </c>
      <c r="J9" s="14" t="str">
        <f>IFERROR(INDEX(المرجع!$D$2:$D$19,MATCH($I9,المرجع!$E$2:$E$19,0)),"")</f>
        <v>الدور</v>
      </c>
      <c r="K9" s="16" t="s">
        <v>86</v>
      </c>
      <c r="L9" s="17" t="str">
        <f>IFERROR(INDEX('نقاط التحقق'!$G$2:$G$31,MATCH($K9,'نقاط التحقق'!$A$2:$A$31,0))&amp;"","")</f>
        <v>دور معتمد للوحدة التنظيمية</v>
      </c>
      <c r="M9" s="13">
        <v>55</v>
      </c>
      <c r="N9" s="15" t="str">
        <f>IF($M9="","غير مقيّمة",IF($M9&gt;المرجع!$K$3,"مستوفاة بشكل متقدم",IF($M9&lt;=المرجع!$K$2,"مستوفاة بشكل أولي","مستوفاة بشكل جزئي")))</f>
        <v>مستوفاة بشكل جزئي</v>
      </c>
      <c r="O9" s="18" t="s">
        <v>2171</v>
      </c>
    </row>
    <row r="10" spans="1:15">
      <c r="A10" s="16" t="s">
        <v>244</v>
      </c>
      <c r="B10" s="16" t="s">
        <v>141</v>
      </c>
      <c r="C10" s="15" t="str">
        <f>IFERROR(INDEX('قائمة الوحدات'!$B$2:$B$41,MATCH($B10,'قائمة الوحدات'!$A$2:$A$41,0)),"")</f>
        <v>TOP</v>
      </c>
      <c r="D10" s="14" t="str">
        <f>IFERROR(INDEX('قائمة الوحدات'!$C$2:$C$41,MATCH($B10,'قائمة الوحدات'!$A$2:$A$41,0)),"")</f>
        <v>المرتبطة بسمو الوزير</v>
      </c>
      <c r="E10" s="14" t="str">
        <f>IFERROR(INDEX('قائمة الوحدات'!$D$2:$D$41,MATCH($B10,'قائمة الوحدات'!$A$2:$A$41,0)),"")</f>
        <v>المكتب التنفيذي</v>
      </c>
      <c r="F10" s="14" t="str">
        <f>IFERROR(INDEX('قائمة الوحدات'!$F$2:$F$41,MATCH($B10,'قائمة الوحدات'!$A$2:$A$41,0)),"")</f>
        <v>المكتب التنفيذي</v>
      </c>
      <c r="G10" s="16" t="s">
        <v>61</v>
      </c>
      <c r="H10" s="14" t="str">
        <f>IFERROR(INDEX(المرجع!$A$2:$A$19,MATCH($G10,المرجع!$B$2:$B$19,0)),"")</f>
        <v>البناء المؤسسي</v>
      </c>
      <c r="I10" s="16" t="s">
        <v>48</v>
      </c>
      <c r="J10" s="14" t="str">
        <f>IFERROR(INDEX(المرجع!$D$2:$D$19,MATCH($I10,المرجع!$E$2:$E$19,0)),"")</f>
        <v>الأهداف ومؤشرات الأداء</v>
      </c>
      <c r="K10" s="16" t="s">
        <v>88</v>
      </c>
      <c r="L10" s="17" t="str">
        <f>IFERROR(INDEX('نقاط التحقق'!$G$2:$G$31,MATCH($K10,'نقاط التحقق'!$A$2:$A$31,0))&amp;"","")</f>
        <v>أهداف تشغيلية معتمدة من صاحب الصلاحية</v>
      </c>
      <c r="M10" s="13">
        <v>70</v>
      </c>
      <c r="N10" s="15" t="str">
        <f>IF($M10="","غير مقيّمة",IF($M10&gt;المرجع!$K$3,"مستوفاة بشكل متقدم",IF($M10&lt;=المرجع!$K$2,"مستوفاة بشكل أولي","مستوفاة بشكل جزئي")))</f>
        <v>مستوفاة بشكل جزئي</v>
      </c>
      <c r="O10" s="18" t="s">
        <v>2171</v>
      </c>
    </row>
    <row r="11" spans="1:15">
      <c r="A11" s="16" t="s">
        <v>245</v>
      </c>
      <c r="B11" s="16" t="s">
        <v>141</v>
      </c>
      <c r="C11" s="15" t="str">
        <f>IFERROR(INDEX('قائمة الوحدات'!$B$2:$B$41,MATCH($B11,'قائمة الوحدات'!$A$2:$A$41,0)),"")</f>
        <v>TOP</v>
      </c>
      <c r="D11" s="14" t="str">
        <f>IFERROR(INDEX('قائمة الوحدات'!$C$2:$C$41,MATCH($B11,'قائمة الوحدات'!$A$2:$A$41,0)),"")</f>
        <v>المرتبطة بسمو الوزير</v>
      </c>
      <c r="E11" s="14" t="str">
        <f>IFERROR(INDEX('قائمة الوحدات'!$D$2:$D$41,MATCH($B11,'قائمة الوحدات'!$A$2:$A$41,0)),"")</f>
        <v>المكتب التنفيذي</v>
      </c>
      <c r="F11" s="14" t="str">
        <f>IFERROR(INDEX('قائمة الوحدات'!$F$2:$F$41,MATCH($B11,'قائمة الوحدات'!$A$2:$A$41,0)),"")</f>
        <v>المكتب التنفيذي</v>
      </c>
      <c r="G11" s="16" t="s">
        <v>61</v>
      </c>
      <c r="H11" s="14" t="str">
        <f>IFERROR(INDEX(المرجع!$A$2:$A$19,MATCH($G11,المرجع!$B$2:$B$19,0)),"")</f>
        <v>البناء المؤسسي</v>
      </c>
      <c r="I11" s="16" t="s">
        <v>48</v>
      </c>
      <c r="J11" s="14" t="str">
        <f>IFERROR(INDEX(المرجع!$D$2:$D$19,MATCH($I11,المرجع!$E$2:$E$19,0)),"")</f>
        <v>الأهداف ومؤشرات الأداء</v>
      </c>
      <c r="K11" s="16" t="s">
        <v>90</v>
      </c>
      <c r="L11" s="17" t="str">
        <f>IFERROR(INDEX('نقاط التحقق'!$G$2:$G$31,MATCH($K11,'نقاط التحقق'!$A$2:$A$31,0))&amp;"","")</f>
        <v>نشر الأهداف التشغيلية على موظفي الوحدة التنظيمية</v>
      </c>
      <c r="M11" s="13">
        <v>80</v>
      </c>
      <c r="N11" s="15" t="str">
        <f>IF($M11="","غير مقيّمة",IF($M11&gt;المرجع!$K$3,"مستوفاة بشكل متقدم",IF($M11&lt;=المرجع!$K$2,"مستوفاة بشكل أولي","مستوفاة بشكل جزئي")))</f>
        <v>مستوفاة بشكل متقدم</v>
      </c>
      <c r="O11" s="18" t="s">
        <v>2171</v>
      </c>
    </row>
    <row r="12" spans="1:15">
      <c r="A12" s="16" t="s">
        <v>246</v>
      </c>
      <c r="B12" s="16" t="s">
        <v>141</v>
      </c>
      <c r="C12" s="15" t="str">
        <f>IFERROR(INDEX('قائمة الوحدات'!$B$2:$B$41,MATCH($B12,'قائمة الوحدات'!$A$2:$A$41,0)),"")</f>
        <v>TOP</v>
      </c>
      <c r="D12" s="14" t="str">
        <f>IFERROR(INDEX('قائمة الوحدات'!$C$2:$C$41,MATCH($B12,'قائمة الوحدات'!$A$2:$A$41,0)),"")</f>
        <v>المرتبطة بسمو الوزير</v>
      </c>
      <c r="E12" s="14" t="str">
        <f>IFERROR(INDEX('قائمة الوحدات'!$D$2:$D$41,MATCH($B12,'قائمة الوحدات'!$A$2:$A$41,0)),"")</f>
        <v>المكتب التنفيذي</v>
      </c>
      <c r="F12" s="14" t="str">
        <f>IFERROR(INDEX('قائمة الوحدات'!$F$2:$F$41,MATCH($B12,'قائمة الوحدات'!$A$2:$A$41,0)),"")</f>
        <v>المكتب التنفيذي</v>
      </c>
      <c r="G12" s="16" t="s">
        <v>61</v>
      </c>
      <c r="H12" s="14" t="str">
        <f>IFERROR(INDEX(المرجع!$A$2:$A$19,MATCH($G12,المرجع!$B$2:$B$19,0)),"")</f>
        <v>البناء المؤسسي</v>
      </c>
      <c r="I12" s="16" t="s">
        <v>51</v>
      </c>
      <c r="J12" s="14" t="str">
        <f>IFERROR(INDEX(المرجع!$D$2:$D$19,MATCH($I12,المرجع!$E$2:$E$19,0)),"")</f>
        <v>الحوكمة</v>
      </c>
      <c r="K12" s="16" t="s">
        <v>92</v>
      </c>
      <c r="L12" s="17" t="str">
        <f>IFERROR(INDEX('نقاط التحقق'!$G$2:$G$31,MATCH($K12,'نقاط التحقق'!$A$2:$A$31,0))&amp;"","")</f>
        <v>مصفوفة صلاحيات معتمدة ومعممة على أصحاب المصلحة</v>
      </c>
      <c r="M12" s="13">
        <v>90</v>
      </c>
      <c r="N12" s="15" t="str">
        <f>IF($M12="","غير مقيّمة",IF($M12&gt;المرجع!$K$3,"مستوفاة بشكل متقدم",IF($M12&lt;=المرجع!$K$2,"مستوفاة بشكل أولي","مستوفاة بشكل جزئي")))</f>
        <v>مستوفاة بشكل متقدم</v>
      </c>
      <c r="O12" s="18" t="s">
        <v>2171</v>
      </c>
    </row>
    <row r="13" spans="1:15">
      <c r="A13" s="16" t="s">
        <v>247</v>
      </c>
      <c r="B13" s="16" t="s">
        <v>141</v>
      </c>
      <c r="C13" s="15" t="str">
        <f>IFERROR(INDEX('قائمة الوحدات'!$B$2:$B$41,MATCH($B13,'قائمة الوحدات'!$A$2:$A$41,0)),"")</f>
        <v>TOP</v>
      </c>
      <c r="D13" s="14" t="str">
        <f>IFERROR(INDEX('قائمة الوحدات'!$C$2:$C$41,MATCH($B13,'قائمة الوحدات'!$A$2:$A$41,0)),"")</f>
        <v>المرتبطة بسمو الوزير</v>
      </c>
      <c r="E13" s="14" t="str">
        <f>IFERROR(INDEX('قائمة الوحدات'!$D$2:$D$41,MATCH($B13,'قائمة الوحدات'!$A$2:$A$41,0)),"")</f>
        <v>المكتب التنفيذي</v>
      </c>
      <c r="F13" s="14" t="str">
        <f>IFERROR(INDEX('قائمة الوحدات'!$F$2:$F$41,MATCH($B13,'قائمة الوحدات'!$A$2:$A$41,0)),"")</f>
        <v>المكتب التنفيذي</v>
      </c>
      <c r="G13" s="16" t="s">
        <v>61</v>
      </c>
      <c r="H13" s="14" t="str">
        <f>IFERROR(INDEX(المرجع!$A$2:$A$19,MATCH($G13,المرجع!$B$2:$B$19,0)),"")</f>
        <v>البناء المؤسسي</v>
      </c>
      <c r="I13" s="16" t="s">
        <v>51</v>
      </c>
      <c r="J13" s="14" t="str">
        <f>IFERROR(INDEX(المرجع!$D$2:$D$19,MATCH($I13,المرجع!$E$2:$E$19,0)),"")</f>
        <v>الحوكمة</v>
      </c>
      <c r="K13" s="16" t="s">
        <v>94</v>
      </c>
      <c r="L13" s="17" t="str">
        <f>IFERROR(INDEX('نقاط التحقق'!$G$2:$G$31,MATCH($K13,'نقاط التحقق'!$A$2:$A$31,0))&amp;"","")</f>
        <v>سياسات معتمدة للتي تملكها الوحدة التنظيمية</v>
      </c>
      <c r="M13" s="13">
        <v>60</v>
      </c>
      <c r="N13" s="15" t="str">
        <f>IF($M13="","غير مقيّمة",IF($M13&gt;المرجع!$K$3,"مستوفاة بشكل متقدم",IF($M13&lt;=المرجع!$K$2,"مستوفاة بشكل أولي","مستوفاة بشكل جزئي")))</f>
        <v>مستوفاة بشكل جزئي</v>
      </c>
      <c r="O13" s="18" t="s">
        <v>2171</v>
      </c>
    </row>
    <row r="14" spans="1:15">
      <c r="A14" s="16" t="s">
        <v>248</v>
      </c>
      <c r="B14" s="16" t="s">
        <v>141</v>
      </c>
      <c r="C14" s="15" t="str">
        <f>IFERROR(INDEX('قائمة الوحدات'!$B$2:$B$41,MATCH($B14,'قائمة الوحدات'!$A$2:$A$41,0)),"")</f>
        <v>TOP</v>
      </c>
      <c r="D14" s="14" t="str">
        <f>IFERROR(INDEX('قائمة الوحدات'!$C$2:$C$41,MATCH($B14,'قائمة الوحدات'!$A$2:$A$41,0)),"")</f>
        <v>المرتبطة بسمو الوزير</v>
      </c>
      <c r="E14" s="14" t="str">
        <f>IFERROR(INDEX('قائمة الوحدات'!$D$2:$D$41,MATCH($B14,'قائمة الوحدات'!$A$2:$A$41,0)),"")</f>
        <v>المكتب التنفيذي</v>
      </c>
      <c r="F14" s="14" t="str">
        <f>IFERROR(INDEX('قائمة الوحدات'!$F$2:$F$41,MATCH($B14,'قائمة الوحدات'!$A$2:$A$41,0)),"")</f>
        <v>المكتب التنفيذي</v>
      </c>
      <c r="G14" s="16" t="s">
        <v>61</v>
      </c>
      <c r="H14" s="14" t="str">
        <f>IFERROR(INDEX(المرجع!$A$2:$A$19,MATCH($G14,المرجع!$B$2:$B$19,0)),"")</f>
        <v>البناء المؤسسي</v>
      </c>
      <c r="I14" s="16" t="s">
        <v>51</v>
      </c>
      <c r="J14" s="14" t="str">
        <f>IFERROR(INDEX(المرجع!$D$2:$D$19,MATCH($I14,المرجع!$E$2:$E$19,0)),"")</f>
        <v>الحوكمة</v>
      </c>
      <c r="K14" s="16" t="s">
        <v>96</v>
      </c>
      <c r="L14" s="17" t="str">
        <f>IFERROR(INDEX('نقاط التحقق'!$G$2:$G$31,MATCH($K14,'نقاط التحقق'!$A$2:$A$31,0))&amp;"","")</f>
        <v>قرار تشكيل معتمد للجان ذات العلاقة</v>
      </c>
      <c r="M14" s="13">
        <v>85</v>
      </c>
      <c r="N14" s="15" t="str">
        <f>IF($M14="","غير مقيّمة",IF($M14&gt;المرجع!$K$3,"مستوفاة بشكل متقدم",IF($M14&lt;=المرجع!$K$2,"مستوفاة بشكل أولي","مستوفاة بشكل جزئي")))</f>
        <v>مستوفاة بشكل متقدم</v>
      </c>
      <c r="O14" s="18" t="s">
        <v>2171</v>
      </c>
    </row>
    <row r="15" spans="1:15">
      <c r="A15" s="16" t="s">
        <v>249</v>
      </c>
      <c r="B15" s="16" t="s">
        <v>141</v>
      </c>
      <c r="C15" s="15" t="str">
        <f>IFERROR(INDEX('قائمة الوحدات'!$B$2:$B$41,MATCH($B15,'قائمة الوحدات'!$A$2:$A$41,0)),"")</f>
        <v>TOP</v>
      </c>
      <c r="D15" s="14" t="str">
        <f>IFERROR(INDEX('قائمة الوحدات'!$C$2:$C$41,MATCH($B15,'قائمة الوحدات'!$A$2:$A$41,0)),"")</f>
        <v>المرتبطة بسمو الوزير</v>
      </c>
      <c r="E15" s="14" t="str">
        <f>IFERROR(INDEX('قائمة الوحدات'!$D$2:$D$41,MATCH($B15,'قائمة الوحدات'!$A$2:$A$41,0)),"")</f>
        <v>المكتب التنفيذي</v>
      </c>
      <c r="F15" s="14" t="str">
        <f>IFERROR(INDEX('قائمة الوحدات'!$F$2:$F$41,MATCH($B15,'قائمة الوحدات'!$A$2:$A$41,0)),"")</f>
        <v>المكتب التنفيذي</v>
      </c>
      <c r="G15" s="16" t="s">
        <v>61</v>
      </c>
      <c r="H15" s="14" t="str">
        <f>IFERROR(INDEX(المرجع!$A$2:$A$19,MATCH($G15,المرجع!$B$2:$B$19,0)),"")</f>
        <v>البناء المؤسسي</v>
      </c>
      <c r="I15" s="16" t="s">
        <v>54</v>
      </c>
      <c r="J15" s="14" t="str">
        <f>IFERROR(INDEX(المرجع!$D$2:$D$19,MATCH($I15,المرجع!$E$2:$E$19,0)),"")</f>
        <v>التنظيم</v>
      </c>
      <c r="K15" s="16" t="s">
        <v>98</v>
      </c>
      <c r="L15" s="17" t="str">
        <f>IFERROR(INDEX('نقاط التحقق'!$G$2:$G$31,MATCH($K15,'نقاط التحقق'!$A$2:$A$31,0))&amp;"","")</f>
        <v>هيكل تنظيمي معتمد من صاحب الصلاحية</v>
      </c>
      <c r="M15" s="13">
        <v>75</v>
      </c>
      <c r="N15" s="15" t="str">
        <f>IF($M15="","غير مقيّمة",IF($M15&gt;المرجع!$K$3,"مستوفاة بشكل متقدم",IF($M15&lt;=المرجع!$K$2,"مستوفاة بشكل أولي","مستوفاة بشكل جزئي")))</f>
        <v>مستوفاة بشكل متقدم</v>
      </c>
      <c r="O15" s="18" t="s">
        <v>2171</v>
      </c>
    </row>
    <row r="16" spans="1:15">
      <c r="A16" s="16" t="s">
        <v>250</v>
      </c>
      <c r="B16" s="16" t="s">
        <v>141</v>
      </c>
      <c r="C16" s="15" t="str">
        <f>IFERROR(INDEX('قائمة الوحدات'!$B$2:$B$41,MATCH($B16,'قائمة الوحدات'!$A$2:$A$41,0)),"")</f>
        <v>TOP</v>
      </c>
      <c r="D16" s="14" t="str">
        <f>IFERROR(INDEX('قائمة الوحدات'!$C$2:$C$41,MATCH($B16,'قائمة الوحدات'!$A$2:$A$41,0)),"")</f>
        <v>المرتبطة بسمو الوزير</v>
      </c>
      <c r="E16" s="14" t="str">
        <f>IFERROR(INDEX('قائمة الوحدات'!$D$2:$D$41,MATCH($B16,'قائمة الوحدات'!$A$2:$A$41,0)),"")</f>
        <v>المكتب التنفيذي</v>
      </c>
      <c r="F16" s="14" t="str">
        <f>IFERROR(INDEX('قائمة الوحدات'!$F$2:$F$41,MATCH($B16,'قائمة الوحدات'!$A$2:$A$41,0)),"")</f>
        <v>المكتب التنفيذي</v>
      </c>
      <c r="G16" s="16" t="s">
        <v>61</v>
      </c>
      <c r="H16" s="14" t="str">
        <f>IFERROR(INDEX(المرجع!$A$2:$A$19,MATCH($G16,المرجع!$B$2:$B$19,0)),"")</f>
        <v>البناء المؤسسي</v>
      </c>
      <c r="I16" s="16" t="s">
        <v>54</v>
      </c>
      <c r="J16" s="14" t="str">
        <f>IFERROR(INDEX(المرجع!$D$2:$D$19,MATCH($I16,المرجع!$E$2:$E$19,0)),"")</f>
        <v>التنظيم</v>
      </c>
      <c r="K16" s="16" t="s">
        <v>100</v>
      </c>
      <c r="L16" s="17" t="str">
        <f>IFERROR(INDEX('نقاط التحقق'!$G$2:$G$31,MATCH($K16,'نقاط التحقق'!$A$2:$A$31,0))&amp;"","")</f>
        <v>هيكل تنظيمي منشأ على نظام القوى العاملة</v>
      </c>
      <c r="M16" s="13">
        <v>75</v>
      </c>
      <c r="N16" s="15" t="str">
        <f>IF($M16="","غير مقيّمة",IF($M16&gt;المرجع!$K$3,"مستوفاة بشكل متقدم",IF($M16&lt;=المرجع!$K$2,"مستوفاة بشكل أولي","مستوفاة بشكل جزئي")))</f>
        <v>مستوفاة بشكل متقدم</v>
      </c>
      <c r="O16" s="18" t="s">
        <v>2171</v>
      </c>
    </row>
    <row r="17" spans="1:15">
      <c r="A17" s="16" t="s">
        <v>251</v>
      </c>
      <c r="B17" s="16" t="s">
        <v>141</v>
      </c>
      <c r="C17" s="15" t="str">
        <f>IFERROR(INDEX('قائمة الوحدات'!$B$2:$B$41,MATCH($B17,'قائمة الوحدات'!$A$2:$A$41,0)),"")</f>
        <v>TOP</v>
      </c>
      <c r="D17" s="14" t="str">
        <f>IFERROR(INDEX('قائمة الوحدات'!$C$2:$C$41,MATCH($B17,'قائمة الوحدات'!$A$2:$A$41,0)),"")</f>
        <v>المرتبطة بسمو الوزير</v>
      </c>
      <c r="E17" s="14" t="str">
        <f>IFERROR(INDEX('قائمة الوحدات'!$D$2:$D$41,MATCH($B17,'قائمة الوحدات'!$A$2:$A$41,0)),"")</f>
        <v>المكتب التنفيذي</v>
      </c>
      <c r="F17" s="14" t="str">
        <f>IFERROR(INDEX('قائمة الوحدات'!$F$2:$F$41,MATCH($B17,'قائمة الوحدات'!$A$2:$A$41,0)),"")</f>
        <v>المكتب التنفيذي</v>
      </c>
      <c r="G17" s="16" t="s">
        <v>61</v>
      </c>
      <c r="H17" s="14" t="str">
        <f>IFERROR(INDEX(المرجع!$A$2:$A$19,MATCH($G17,المرجع!$B$2:$B$19,0)),"")</f>
        <v>البناء المؤسسي</v>
      </c>
      <c r="I17" s="16" t="s">
        <v>54</v>
      </c>
      <c r="J17" s="14" t="str">
        <f>IFERROR(INDEX(المرجع!$D$2:$D$19,MATCH($I17,المرجع!$E$2:$E$19,0)),"")</f>
        <v>التنظيم</v>
      </c>
      <c r="K17" s="16" t="s">
        <v>102</v>
      </c>
      <c r="L17" s="17" t="str">
        <f>IFERROR(INDEX('نقاط التحقق'!$G$2:$G$31,MATCH($K17,'نقاط التحقق'!$A$2:$A$31,0))&amp;"","")</f>
        <v>الموظفون المحددون مسكّنون على الهيكل التنظيمي المستهدف</v>
      </c>
      <c r="M17" s="13">
        <v>80</v>
      </c>
      <c r="N17" s="15" t="str">
        <f>IF($M17="","غير مقيّمة",IF($M17&gt;المرجع!$K$3,"مستوفاة بشكل متقدم",IF($M17&lt;=المرجع!$K$2,"مستوفاة بشكل أولي","مستوفاة بشكل جزئي")))</f>
        <v>مستوفاة بشكل متقدم</v>
      </c>
      <c r="O17" s="18" t="s">
        <v>2171</v>
      </c>
    </row>
    <row r="18" spans="1:15">
      <c r="A18" s="16" t="s">
        <v>252</v>
      </c>
      <c r="B18" s="16" t="s">
        <v>141</v>
      </c>
      <c r="C18" s="15" t="str">
        <f>IFERROR(INDEX('قائمة الوحدات'!$B$2:$B$41,MATCH($B18,'قائمة الوحدات'!$A$2:$A$41,0)),"")</f>
        <v>TOP</v>
      </c>
      <c r="D18" s="14" t="str">
        <f>IFERROR(INDEX('قائمة الوحدات'!$C$2:$C$41,MATCH($B18,'قائمة الوحدات'!$A$2:$A$41,0)),"")</f>
        <v>المرتبطة بسمو الوزير</v>
      </c>
      <c r="E18" s="14" t="str">
        <f>IFERROR(INDEX('قائمة الوحدات'!$D$2:$D$41,MATCH($B18,'قائمة الوحدات'!$A$2:$A$41,0)),"")</f>
        <v>المكتب التنفيذي</v>
      </c>
      <c r="F18" s="14" t="str">
        <f>IFERROR(INDEX('قائمة الوحدات'!$F$2:$F$41,MATCH($B18,'قائمة الوحدات'!$A$2:$A$41,0)),"")</f>
        <v>المكتب التنفيذي</v>
      </c>
      <c r="G18" s="16" t="s">
        <v>61</v>
      </c>
      <c r="H18" s="14" t="str">
        <f>IFERROR(INDEX(المرجع!$A$2:$A$19,MATCH($G18,المرجع!$B$2:$B$19,0)),"")</f>
        <v>البناء المؤسسي</v>
      </c>
      <c r="I18" s="16" t="s">
        <v>56</v>
      </c>
      <c r="J18" s="14" t="str">
        <f>IFERROR(INDEX(المرجع!$D$2:$D$19,MATCH($I18,المرجع!$E$2:$E$19,0)),"")</f>
        <v>الموارد</v>
      </c>
      <c r="K18" s="16" t="s">
        <v>104</v>
      </c>
      <c r="L18" s="17" t="str">
        <f>IFERROR(INDEX('نقاط التحقق'!$G$2:$G$31,MATCH($K18,'نقاط التحقق'!$A$2:$A$31,0))&amp;"","")</f>
        <v>مدير الوحدة التنظيمية والموظفون الرئيسيون معينون/ملحقون</v>
      </c>
      <c r="M18" s="13">
        <v>70</v>
      </c>
      <c r="N18" s="15" t="str">
        <f>IF($M18="","غير مقيّمة",IF($M18&gt;المرجع!$K$3,"مستوفاة بشكل متقدم",IF($M18&lt;=المرجع!$K$2,"مستوفاة بشكل أولي","مستوفاة بشكل جزئي")))</f>
        <v>مستوفاة بشكل جزئي</v>
      </c>
      <c r="O18" s="18" t="s">
        <v>2171</v>
      </c>
    </row>
    <row r="19" spans="1:15">
      <c r="A19" s="16" t="s">
        <v>253</v>
      </c>
      <c r="B19" s="16" t="s">
        <v>141</v>
      </c>
      <c r="C19" s="15" t="str">
        <f>IFERROR(INDEX('قائمة الوحدات'!$B$2:$B$41,MATCH($B19,'قائمة الوحدات'!$A$2:$A$41,0)),"")</f>
        <v>TOP</v>
      </c>
      <c r="D19" s="14" t="str">
        <f>IFERROR(INDEX('قائمة الوحدات'!$C$2:$C$41,MATCH($B19,'قائمة الوحدات'!$A$2:$A$41,0)),"")</f>
        <v>المرتبطة بسمو الوزير</v>
      </c>
      <c r="E19" s="14" t="str">
        <f>IFERROR(INDEX('قائمة الوحدات'!$D$2:$D$41,MATCH($B19,'قائمة الوحدات'!$A$2:$A$41,0)),"")</f>
        <v>المكتب التنفيذي</v>
      </c>
      <c r="F19" s="14" t="str">
        <f>IFERROR(INDEX('قائمة الوحدات'!$F$2:$F$41,MATCH($B19,'قائمة الوحدات'!$A$2:$A$41,0)),"")</f>
        <v>المكتب التنفيذي</v>
      </c>
      <c r="G19" s="16" t="s">
        <v>61</v>
      </c>
      <c r="H19" s="14" t="str">
        <f>IFERROR(INDEX(المرجع!$A$2:$A$19,MATCH($G19,المرجع!$B$2:$B$19,0)),"")</f>
        <v>البناء المؤسسي</v>
      </c>
      <c r="I19" s="16" t="s">
        <v>56</v>
      </c>
      <c r="J19" s="14" t="str">
        <f>IFERROR(INDEX(المرجع!$D$2:$D$19,MATCH($I19,المرجع!$E$2:$E$19,0)),"")</f>
        <v>الموارد</v>
      </c>
      <c r="K19" s="16" t="s">
        <v>106</v>
      </c>
      <c r="L19" s="17" t="str">
        <f>IFERROR(INDEX('نقاط التحقق'!$G$2:$G$31,MATCH($K19,'نقاط التحقق'!$A$2:$A$31,0))&amp;"","")</f>
        <v>خطة توظيف وتدريب مستكملة</v>
      </c>
      <c r="M19" s="13">
        <v>65</v>
      </c>
      <c r="N19" s="15" t="str">
        <f>IF($M19="","غير مقيّمة",IF($M19&gt;المرجع!$K$3,"مستوفاة بشكل متقدم",IF($M19&lt;=المرجع!$K$2,"مستوفاة بشكل أولي","مستوفاة بشكل جزئي")))</f>
        <v>مستوفاة بشكل جزئي</v>
      </c>
      <c r="O19" s="18" t="s">
        <v>2171</v>
      </c>
    </row>
    <row r="20" spans="1:15">
      <c r="A20" s="16" t="s">
        <v>254</v>
      </c>
      <c r="B20" s="16" t="s">
        <v>141</v>
      </c>
      <c r="C20" s="15" t="str">
        <f>IFERROR(INDEX('قائمة الوحدات'!$B$2:$B$41,MATCH($B20,'قائمة الوحدات'!$A$2:$A$41,0)),"")</f>
        <v>TOP</v>
      </c>
      <c r="D20" s="14" t="str">
        <f>IFERROR(INDEX('قائمة الوحدات'!$C$2:$C$41,MATCH($B20,'قائمة الوحدات'!$A$2:$A$41,0)),"")</f>
        <v>المرتبطة بسمو الوزير</v>
      </c>
      <c r="E20" s="14" t="str">
        <f>IFERROR(INDEX('قائمة الوحدات'!$D$2:$D$41,MATCH($B20,'قائمة الوحدات'!$A$2:$A$41,0)),"")</f>
        <v>المكتب التنفيذي</v>
      </c>
      <c r="F20" s="14" t="str">
        <f>IFERROR(INDEX('قائمة الوحدات'!$F$2:$F$41,MATCH($B20,'قائمة الوحدات'!$A$2:$A$41,0)),"")</f>
        <v>المكتب التنفيذي</v>
      </c>
      <c r="G20" s="16" t="s">
        <v>61</v>
      </c>
      <c r="H20" s="14" t="str">
        <f>IFERROR(INDEX(المرجع!$A$2:$A$19,MATCH($G20,المرجع!$B$2:$B$19,0)),"")</f>
        <v>البناء المؤسسي</v>
      </c>
      <c r="I20" s="16" t="s">
        <v>56</v>
      </c>
      <c r="J20" s="14" t="str">
        <f>IFERROR(INDEX(المرجع!$D$2:$D$19,MATCH($I20,المرجع!$E$2:$E$19,0)),"")</f>
        <v>الموارد</v>
      </c>
      <c r="K20" s="16" t="s">
        <v>108</v>
      </c>
      <c r="L20" s="17" t="str">
        <f>IFERROR(INDEX('نقاط التحقق'!$G$2:$G$31,MATCH($K20,'نقاط التحقق'!$A$2:$A$31,0))&amp;"","")</f>
        <v>وجود مساحات مكتبية كافية</v>
      </c>
      <c r="M20" s="13">
        <v>45</v>
      </c>
      <c r="N20" s="15" t="str">
        <f>IF($M20="","غير مقيّمة",IF($M20&gt;المرجع!$K$3,"مستوفاة بشكل متقدم",IF($M20&lt;=المرجع!$K$2,"مستوفاة بشكل أولي","مستوفاة بشكل جزئي")))</f>
        <v>مستوفاة بشكل جزئي</v>
      </c>
      <c r="O20" s="18" t="s">
        <v>2171</v>
      </c>
    </row>
    <row r="21" spans="1:15">
      <c r="A21" s="16" t="s">
        <v>255</v>
      </c>
      <c r="B21" s="16" t="s">
        <v>141</v>
      </c>
      <c r="C21" s="15" t="str">
        <f>IFERROR(INDEX('قائمة الوحدات'!$B$2:$B$41,MATCH($B21,'قائمة الوحدات'!$A$2:$A$41,0)),"")</f>
        <v>TOP</v>
      </c>
      <c r="D21" s="14" t="str">
        <f>IFERROR(INDEX('قائمة الوحدات'!$C$2:$C$41,MATCH($B21,'قائمة الوحدات'!$A$2:$A$41,0)),"")</f>
        <v>المرتبطة بسمو الوزير</v>
      </c>
      <c r="E21" s="14" t="str">
        <f>IFERROR(INDEX('قائمة الوحدات'!$D$2:$D$41,MATCH($B21,'قائمة الوحدات'!$A$2:$A$41,0)),"")</f>
        <v>المكتب التنفيذي</v>
      </c>
      <c r="F21" s="14" t="str">
        <f>IFERROR(INDEX('قائمة الوحدات'!$F$2:$F$41,MATCH($B21,'قائمة الوحدات'!$A$2:$A$41,0)),"")</f>
        <v>المكتب التنفيذي</v>
      </c>
      <c r="G21" s="16" t="s">
        <v>61</v>
      </c>
      <c r="H21" s="14" t="str">
        <f>IFERROR(INDEX(المرجع!$A$2:$A$19,MATCH($G21,المرجع!$B$2:$B$19,0)),"")</f>
        <v>البناء المؤسسي</v>
      </c>
      <c r="I21" s="16" t="s">
        <v>56</v>
      </c>
      <c r="J21" s="14" t="str">
        <f>IFERROR(INDEX(المرجع!$D$2:$D$19,MATCH($I21,المرجع!$E$2:$E$19,0)),"")</f>
        <v>الموارد</v>
      </c>
      <c r="K21" s="16" t="s">
        <v>110</v>
      </c>
      <c r="L21" s="17" t="str">
        <f>IFERROR(INDEX('نقاط التحقق'!$G$2:$G$31,MATCH($K21,'نقاط التحقق'!$A$2:$A$31,0))&amp;"","")</f>
        <v>وجود الاحتياجات التقنية الأساسية</v>
      </c>
      <c r="M21" s="13">
        <v>45</v>
      </c>
      <c r="N21" s="15" t="str">
        <f>IF($M21="","غير مقيّمة",IF($M21&gt;المرجع!$K$3,"مستوفاة بشكل متقدم",IF($M21&lt;=المرجع!$K$2,"مستوفاة بشكل أولي","مستوفاة بشكل جزئي")))</f>
        <v>مستوفاة بشكل جزئي</v>
      </c>
      <c r="O21" s="18" t="s">
        <v>2171</v>
      </c>
    </row>
    <row r="22" spans="1:15">
      <c r="A22" s="16" t="s">
        <v>256</v>
      </c>
      <c r="B22" s="16" t="s">
        <v>141</v>
      </c>
      <c r="C22" s="15" t="str">
        <f>IFERROR(INDEX('قائمة الوحدات'!$B$2:$B$41,MATCH($B22,'قائمة الوحدات'!$A$2:$A$41,0)),"")</f>
        <v>TOP</v>
      </c>
      <c r="D22" s="14" t="str">
        <f>IFERROR(INDEX('قائمة الوحدات'!$C$2:$C$41,MATCH($B22,'قائمة الوحدات'!$A$2:$A$41,0)),"")</f>
        <v>المرتبطة بسمو الوزير</v>
      </c>
      <c r="E22" s="14" t="str">
        <f>IFERROR(INDEX('قائمة الوحدات'!$D$2:$D$41,MATCH($B22,'قائمة الوحدات'!$A$2:$A$41,0)),"")</f>
        <v>المكتب التنفيذي</v>
      </c>
      <c r="F22" s="14" t="str">
        <f>IFERROR(INDEX('قائمة الوحدات'!$F$2:$F$41,MATCH($B22,'قائمة الوحدات'!$A$2:$A$41,0)),"")</f>
        <v>المكتب التنفيذي</v>
      </c>
      <c r="G22" s="16" t="s">
        <v>61</v>
      </c>
      <c r="H22" s="14" t="str">
        <f>IFERROR(INDEX(المرجع!$A$2:$A$19,MATCH($G22,المرجع!$B$2:$B$19,0)),"")</f>
        <v>البناء المؤسسي</v>
      </c>
      <c r="I22" s="16" t="s">
        <v>59</v>
      </c>
      <c r="J22" s="14" t="str">
        <f>IFERROR(INDEX(المرجع!$D$2:$D$19,MATCH($I22,المرجع!$E$2:$E$19,0)),"")</f>
        <v>الإجراءات</v>
      </c>
      <c r="K22" s="16" t="s">
        <v>112</v>
      </c>
      <c r="L22" s="17" t="str">
        <f>IFERROR(INDEX('نقاط التحقق'!$G$2:$G$31,MATCH($K22,'نقاط التحقق'!$A$2:$A$31,0))&amp;"","")</f>
        <v>إجراءات معتمدة للوحدة التنظيمية</v>
      </c>
      <c r="M22" s="13">
        <v>84</v>
      </c>
      <c r="N22" s="15" t="str">
        <f>IF($M22="","غير مقيّمة",IF($M22&gt;المرجع!$K$3,"مستوفاة بشكل متقدم",IF($M22&lt;=المرجع!$K$2,"مستوفاة بشكل أولي","مستوفاة بشكل جزئي")))</f>
        <v>مستوفاة بشكل متقدم</v>
      </c>
      <c r="O22" s="18" t="s">
        <v>2171</v>
      </c>
    </row>
    <row r="23" spans="1:15">
      <c r="A23" s="16" t="s">
        <v>257</v>
      </c>
      <c r="B23" s="16" t="s">
        <v>141</v>
      </c>
      <c r="C23" s="15" t="str">
        <f>IFERROR(INDEX('قائمة الوحدات'!$B$2:$B$41,MATCH($B23,'قائمة الوحدات'!$A$2:$A$41,0)),"")</f>
        <v>TOP</v>
      </c>
      <c r="D23" s="14" t="str">
        <f>IFERROR(INDEX('قائمة الوحدات'!$C$2:$C$41,MATCH($B23,'قائمة الوحدات'!$A$2:$A$41,0)),"")</f>
        <v>المرتبطة بسمو الوزير</v>
      </c>
      <c r="E23" s="14" t="str">
        <f>IFERROR(INDEX('قائمة الوحدات'!$D$2:$D$41,MATCH($B23,'قائمة الوحدات'!$A$2:$A$41,0)),"")</f>
        <v>المكتب التنفيذي</v>
      </c>
      <c r="F23" s="14" t="str">
        <f>IFERROR(INDEX('قائمة الوحدات'!$F$2:$F$41,MATCH($B23,'قائمة الوحدات'!$A$2:$A$41,0)),"")</f>
        <v>المكتب التنفيذي</v>
      </c>
      <c r="G23" s="16" t="s">
        <v>61</v>
      </c>
      <c r="H23" s="14" t="str">
        <f>IFERROR(INDEX(المرجع!$A$2:$A$19,MATCH($G23,المرجع!$B$2:$B$19,0)),"")</f>
        <v>البناء المؤسسي</v>
      </c>
      <c r="I23" s="16" t="s">
        <v>63</v>
      </c>
      <c r="J23" s="14" t="str">
        <f>IFERROR(INDEX(المرجع!$D$2:$D$19,MATCH($I23,المرجع!$E$2:$E$19,0)),"")</f>
        <v>إنتاج المخرج الأول</v>
      </c>
      <c r="K23" s="16" t="s">
        <v>114</v>
      </c>
      <c r="L23" s="17" t="str">
        <f>IFERROR(INDEX('نقاط التحقق'!$G$2:$G$31,MATCH($K23,'نقاط التحقق'!$A$2:$A$31,0))&amp;"","")</f>
        <v>إنتاج المخرج الأول من قبل الوحدة التنظيمية</v>
      </c>
      <c r="M23" s="13">
        <v>81</v>
      </c>
      <c r="N23" s="15" t="str">
        <f>IF($M23="","غير مقيّمة",IF($M23&gt;المرجع!$K$3,"مستوفاة بشكل متقدم",IF($M23&lt;=المرجع!$K$2,"مستوفاة بشكل أولي","مستوفاة بشكل جزئي")))</f>
        <v>مستوفاة بشكل متقدم</v>
      </c>
      <c r="O23" s="18" t="s">
        <v>2171</v>
      </c>
    </row>
    <row r="24" spans="1:15">
      <c r="A24" s="16" t="s">
        <v>258</v>
      </c>
      <c r="B24" s="16" t="s">
        <v>141</v>
      </c>
      <c r="C24" s="15" t="str">
        <f>IFERROR(INDEX('قائمة الوحدات'!$B$2:$B$41,MATCH($B24,'قائمة الوحدات'!$A$2:$A$41,0)),"")</f>
        <v>TOP</v>
      </c>
      <c r="D24" s="14" t="str">
        <f>IFERROR(INDEX('قائمة الوحدات'!$C$2:$C$41,MATCH($B24,'قائمة الوحدات'!$A$2:$A$41,0)),"")</f>
        <v>المرتبطة بسمو الوزير</v>
      </c>
      <c r="E24" s="14" t="str">
        <f>IFERROR(INDEX('قائمة الوحدات'!$D$2:$D$41,MATCH($B24,'قائمة الوحدات'!$A$2:$A$41,0)),"")</f>
        <v>المكتب التنفيذي</v>
      </c>
      <c r="F24" s="14" t="str">
        <f>IFERROR(INDEX('قائمة الوحدات'!$F$2:$F$41,MATCH($B24,'قائمة الوحدات'!$A$2:$A$41,0)),"")</f>
        <v>المكتب التنفيذي</v>
      </c>
      <c r="G24" s="16" t="s">
        <v>65</v>
      </c>
      <c r="H24" s="14" t="str">
        <f>IFERROR(INDEX(المرجع!$A$2:$A$19,MATCH($G24,المرجع!$B$2:$B$19,0)),"")</f>
        <v>التشغيل</v>
      </c>
      <c r="I24" s="16" t="s">
        <v>48</v>
      </c>
      <c r="J24" s="14" t="str">
        <f>IFERROR(INDEX(المرجع!$D$2:$D$19,MATCH($I24,المرجع!$E$2:$E$19,0)),"")</f>
        <v>الأهداف ومؤشرات الأداء</v>
      </c>
      <c r="K24" s="16" t="s">
        <v>116</v>
      </c>
      <c r="L24" s="17" t="str">
        <f>IFERROR(INDEX('نقاط التحقق'!$G$2:$G$31,MATCH($K24,'نقاط التحقق'!$A$2:$A$31,0))&amp;"","")</f>
        <v>تحرك مؤشرات الأداء التشغيلي للوحدة التنظيمية بشكل إيجابي</v>
      </c>
      <c r="M24" s="13">
        <v>50</v>
      </c>
      <c r="N24" s="15" t="str">
        <f>IF($M24="","غير مقيّمة",IF($M24&gt;المرجع!$K$3,"مستوفاة بشكل متقدم",IF($M24&lt;=المرجع!$K$2,"مستوفاة بشكل أولي","مستوفاة بشكل جزئي")))</f>
        <v>مستوفاة بشكل جزئي</v>
      </c>
      <c r="O24" s="18" t="s">
        <v>2171</v>
      </c>
    </row>
    <row r="25" spans="1:15">
      <c r="A25" s="16" t="s">
        <v>259</v>
      </c>
      <c r="B25" s="16" t="s">
        <v>141</v>
      </c>
      <c r="C25" s="15" t="str">
        <f>IFERROR(INDEX('قائمة الوحدات'!$B$2:$B$41,MATCH($B25,'قائمة الوحدات'!$A$2:$A$41,0)),"")</f>
        <v>TOP</v>
      </c>
      <c r="D25" s="14" t="str">
        <f>IFERROR(INDEX('قائمة الوحدات'!$C$2:$C$41,MATCH($B25,'قائمة الوحدات'!$A$2:$A$41,0)),"")</f>
        <v>المرتبطة بسمو الوزير</v>
      </c>
      <c r="E25" s="14" t="str">
        <f>IFERROR(INDEX('قائمة الوحدات'!$D$2:$D$41,MATCH($B25,'قائمة الوحدات'!$A$2:$A$41,0)),"")</f>
        <v>المكتب التنفيذي</v>
      </c>
      <c r="F25" s="14" t="str">
        <f>IFERROR(INDEX('قائمة الوحدات'!$F$2:$F$41,MATCH($B25,'قائمة الوحدات'!$A$2:$A$41,0)),"")</f>
        <v>المكتب التنفيذي</v>
      </c>
      <c r="G25" s="16" t="s">
        <v>65</v>
      </c>
      <c r="H25" s="14" t="str">
        <f>IFERROR(INDEX(المرجع!$A$2:$A$19,MATCH($G25,المرجع!$B$2:$B$19,0)),"")</f>
        <v>التشغيل</v>
      </c>
      <c r="I25" s="16" t="s">
        <v>48</v>
      </c>
      <c r="J25" s="14" t="str">
        <f>IFERROR(INDEX(المرجع!$D$2:$D$19,MATCH($I25,المرجع!$E$2:$E$19,0)),"")</f>
        <v>الأهداف ومؤشرات الأداء</v>
      </c>
      <c r="K25" s="16" t="s">
        <v>118</v>
      </c>
      <c r="L25" s="17" t="str">
        <f>IFERROR(INDEX('نقاط التحقق'!$G$2:$G$31,MATCH($K25,'نقاط التحقق'!$A$2:$A$31,0))&amp;"","")</f>
        <v>خطة سنوية معتمدة للوحدة التنظيمية</v>
      </c>
      <c r="M25" s="13">
        <v>35</v>
      </c>
      <c r="N25" s="15" t="str">
        <f>IF($M25="","غير مقيّمة",IF($M25&gt;المرجع!$K$3,"مستوفاة بشكل متقدم",IF($M25&lt;=المرجع!$K$2,"مستوفاة بشكل أولي","مستوفاة بشكل جزئي")))</f>
        <v>مستوفاة بشكل جزئي</v>
      </c>
      <c r="O25" s="18" t="s">
        <v>2171</v>
      </c>
    </row>
    <row r="26" spans="1:15">
      <c r="A26" s="16" t="s">
        <v>260</v>
      </c>
      <c r="B26" s="16" t="s">
        <v>141</v>
      </c>
      <c r="C26" s="15" t="str">
        <f>IFERROR(INDEX('قائمة الوحدات'!$B$2:$B$41,MATCH($B26,'قائمة الوحدات'!$A$2:$A$41,0)),"")</f>
        <v>TOP</v>
      </c>
      <c r="D26" s="14" t="str">
        <f>IFERROR(INDEX('قائمة الوحدات'!$C$2:$C$41,MATCH($B26,'قائمة الوحدات'!$A$2:$A$41,0)),"")</f>
        <v>المرتبطة بسمو الوزير</v>
      </c>
      <c r="E26" s="14" t="str">
        <f>IFERROR(INDEX('قائمة الوحدات'!$D$2:$D$41,MATCH($B26,'قائمة الوحدات'!$A$2:$A$41,0)),"")</f>
        <v>المكتب التنفيذي</v>
      </c>
      <c r="F26" s="14" t="str">
        <f>IFERROR(INDEX('قائمة الوحدات'!$F$2:$F$41,MATCH($B26,'قائمة الوحدات'!$A$2:$A$41,0)),"")</f>
        <v>المكتب التنفيذي</v>
      </c>
      <c r="G26" s="16" t="s">
        <v>65</v>
      </c>
      <c r="H26" s="14" t="str">
        <f>IFERROR(INDEX(المرجع!$A$2:$A$19,MATCH($G26,المرجع!$B$2:$B$19,0)),"")</f>
        <v>التشغيل</v>
      </c>
      <c r="I26" s="16" t="s">
        <v>51</v>
      </c>
      <c r="J26" s="14" t="str">
        <f>IFERROR(INDEX(المرجع!$D$2:$D$19,MATCH($I26,المرجع!$E$2:$E$19,0)),"")</f>
        <v>الحوكمة</v>
      </c>
      <c r="K26" s="16" t="s">
        <v>120</v>
      </c>
      <c r="L26" s="17" t="str">
        <f>IFERROR(INDEX('نقاط التحقق'!$G$2:$G$31,MATCH($K26,'نقاط التحقق'!$A$2:$A$31,0))&amp;"","")</f>
        <v>محاضر لجان موثقة</v>
      </c>
      <c r="M26" s="13">
        <v>45</v>
      </c>
      <c r="N26" s="15" t="str">
        <f>IF($M26="","غير مقيّمة",IF($M26&gt;المرجع!$K$3,"مستوفاة بشكل متقدم",IF($M26&lt;=المرجع!$K$2,"مستوفاة بشكل أولي","مستوفاة بشكل جزئي")))</f>
        <v>مستوفاة بشكل جزئي</v>
      </c>
      <c r="O26" s="18" t="s">
        <v>2171</v>
      </c>
    </row>
    <row r="27" spans="1:15">
      <c r="A27" s="16" t="s">
        <v>261</v>
      </c>
      <c r="B27" s="16" t="s">
        <v>141</v>
      </c>
      <c r="C27" s="15" t="str">
        <f>IFERROR(INDEX('قائمة الوحدات'!$B$2:$B$41,MATCH($B27,'قائمة الوحدات'!$A$2:$A$41,0)),"")</f>
        <v>TOP</v>
      </c>
      <c r="D27" s="14" t="str">
        <f>IFERROR(INDEX('قائمة الوحدات'!$C$2:$C$41,MATCH($B27,'قائمة الوحدات'!$A$2:$A$41,0)),"")</f>
        <v>المرتبطة بسمو الوزير</v>
      </c>
      <c r="E27" s="14" t="str">
        <f>IFERROR(INDEX('قائمة الوحدات'!$D$2:$D$41,MATCH($B27,'قائمة الوحدات'!$A$2:$A$41,0)),"")</f>
        <v>المكتب التنفيذي</v>
      </c>
      <c r="F27" s="14" t="str">
        <f>IFERROR(INDEX('قائمة الوحدات'!$F$2:$F$41,MATCH($B27,'قائمة الوحدات'!$A$2:$A$41,0)),"")</f>
        <v>المكتب التنفيذي</v>
      </c>
      <c r="G27" s="16" t="s">
        <v>65</v>
      </c>
      <c r="H27" s="14" t="str">
        <f>IFERROR(INDEX(المرجع!$A$2:$A$19,MATCH($G27,المرجع!$B$2:$B$19,0)),"")</f>
        <v>التشغيل</v>
      </c>
      <c r="I27" s="16" t="s">
        <v>51</v>
      </c>
      <c r="J27" s="14" t="str">
        <f>IFERROR(INDEX(المرجع!$D$2:$D$19,MATCH($I27,المرجع!$E$2:$E$19,0)),"")</f>
        <v>الحوكمة</v>
      </c>
      <c r="K27" s="16" t="s">
        <v>122</v>
      </c>
      <c r="L27" s="17" t="str">
        <f>IFERROR(INDEX('نقاط التحقق'!$G$2:$G$31,MATCH($K27,'نقاط التحقق'!$A$2:$A$31,0))&amp;"","")</f>
        <v>نشر السياسات التي تملكها الوحدة التنظيمية</v>
      </c>
      <c r="M27" s="13">
        <v>40</v>
      </c>
      <c r="N27" s="15" t="str">
        <f>IF($M27="","غير مقيّمة",IF($M27&gt;المرجع!$K$3,"مستوفاة بشكل متقدم",IF($M27&lt;=المرجع!$K$2,"مستوفاة بشكل أولي","مستوفاة بشكل جزئي")))</f>
        <v>مستوفاة بشكل جزئي</v>
      </c>
      <c r="O27" s="18" t="s">
        <v>2171</v>
      </c>
    </row>
    <row r="28" spans="1:15">
      <c r="A28" s="16" t="s">
        <v>262</v>
      </c>
      <c r="B28" s="16" t="s">
        <v>141</v>
      </c>
      <c r="C28" s="15" t="str">
        <f>IFERROR(INDEX('قائمة الوحدات'!$B$2:$B$41,MATCH($B28,'قائمة الوحدات'!$A$2:$A$41,0)),"")</f>
        <v>TOP</v>
      </c>
      <c r="D28" s="14" t="str">
        <f>IFERROR(INDEX('قائمة الوحدات'!$C$2:$C$41,MATCH($B28,'قائمة الوحدات'!$A$2:$A$41,0)),"")</f>
        <v>المرتبطة بسمو الوزير</v>
      </c>
      <c r="E28" s="14" t="str">
        <f>IFERROR(INDEX('قائمة الوحدات'!$D$2:$D$41,MATCH($B28,'قائمة الوحدات'!$A$2:$A$41,0)),"")</f>
        <v>المكتب التنفيذي</v>
      </c>
      <c r="F28" s="14" t="str">
        <f>IFERROR(INDEX('قائمة الوحدات'!$F$2:$F$41,MATCH($B28,'قائمة الوحدات'!$A$2:$A$41,0)),"")</f>
        <v>المكتب التنفيذي</v>
      </c>
      <c r="G28" s="16" t="s">
        <v>65</v>
      </c>
      <c r="H28" s="14" t="str">
        <f>IFERROR(INDEX(المرجع!$A$2:$A$19,MATCH($G28,المرجع!$B$2:$B$19,0)),"")</f>
        <v>التشغيل</v>
      </c>
      <c r="I28" s="16" t="s">
        <v>51</v>
      </c>
      <c r="J28" s="14" t="str">
        <f>IFERROR(INDEX(المرجع!$D$2:$D$19,MATCH($I28,المرجع!$E$2:$E$19,0)),"")</f>
        <v>الحوكمة</v>
      </c>
      <c r="K28" s="16" t="s">
        <v>124</v>
      </c>
      <c r="L28" s="17" t="str">
        <f>IFERROR(INDEX('نقاط التحقق'!$G$2:$G$31,MATCH($K28,'نقاط التحقق'!$A$2:$A$31,0))&amp;"","")</f>
        <v>اتخاذ القرارات في نطاق الصلاحيات (وجود شواهد)</v>
      </c>
      <c r="M28" s="13">
        <v>25</v>
      </c>
      <c r="N28" s="15" t="str">
        <f>IF($M28="","غير مقيّمة",IF($M28&gt;المرجع!$K$3,"مستوفاة بشكل متقدم",IF($M28&lt;=المرجع!$K$2,"مستوفاة بشكل أولي","مستوفاة بشكل جزئي")))</f>
        <v>مستوفاة بشكل أولي</v>
      </c>
      <c r="O28" s="18" t="s">
        <v>2171</v>
      </c>
    </row>
    <row r="29" spans="1:15">
      <c r="A29" s="16" t="s">
        <v>263</v>
      </c>
      <c r="B29" s="16" t="s">
        <v>141</v>
      </c>
      <c r="C29" s="15" t="str">
        <f>IFERROR(INDEX('قائمة الوحدات'!$B$2:$B$41,MATCH($B29,'قائمة الوحدات'!$A$2:$A$41,0)),"")</f>
        <v>TOP</v>
      </c>
      <c r="D29" s="14" t="str">
        <f>IFERROR(INDEX('قائمة الوحدات'!$C$2:$C$41,MATCH($B29,'قائمة الوحدات'!$A$2:$A$41,0)),"")</f>
        <v>المرتبطة بسمو الوزير</v>
      </c>
      <c r="E29" s="14" t="str">
        <f>IFERROR(INDEX('قائمة الوحدات'!$D$2:$D$41,MATCH($B29,'قائمة الوحدات'!$A$2:$A$41,0)),"")</f>
        <v>المكتب التنفيذي</v>
      </c>
      <c r="F29" s="14" t="str">
        <f>IFERROR(INDEX('قائمة الوحدات'!$F$2:$F$41,MATCH($B29,'قائمة الوحدات'!$A$2:$A$41,0)),"")</f>
        <v>المكتب التنفيذي</v>
      </c>
      <c r="G29" s="16" t="s">
        <v>65</v>
      </c>
      <c r="H29" s="14" t="str">
        <f>IFERROR(INDEX(المرجع!$A$2:$A$19,MATCH($G29,المرجع!$B$2:$B$19,0)),"")</f>
        <v>التشغيل</v>
      </c>
      <c r="I29" s="16" t="s">
        <v>56</v>
      </c>
      <c r="J29" s="14" t="str">
        <f>IFERROR(INDEX(المرجع!$D$2:$D$19,MATCH($I29,المرجع!$E$2:$E$19,0)),"")</f>
        <v>الموارد</v>
      </c>
      <c r="K29" s="16" t="s">
        <v>126</v>
      </c>
      <c r="L29" s="17" t="str">
        <f>IFERROR(INDEX('نقاط التحقق'!$G$2:$G$31,MATCH($K29,'نقاط التحقق'!$A$2:$A$31,0))&amp;"","")</f>
        <v>موارد مستكملة للحد الأدنى الذي يغطي كافة محاور سلسلة القيمة</v>
      </c>
      <c r="M29" s="13">
        <v>57</v>
      </c>
      <c r="N29" s="15" t="str">
        <f>IF($M29="","غير مقيّمة",IF($M29&gt;المرجع!$K$3,"مستوفاة بشكل متقدم",IF($M29&lt;=المرجع!$K$2,"مستوفاة بشكل أولي","مستوفاة بشكل جزئي")))</f>
        <v>مستوفاة بشكل جزئي</v>
      </c>
      <c r="O29" s="18" t="s">
        <v>2171</v>
      </c>
    </row>
    <row r="30" spans="1:15">
      <c r="A30" s="16" t="s">
        <v>264</v>
      </c>
      <c r="B30" s="16" t="s">
        <v>141</v>
      </c>
      <c r="C30" s="15" t="str">
        <f>IFERROR(INDEX('قائمة الوحدات'!$B$2:$B$41,MATCH($B30,'قائمة الوحدات'!$A$2:$A$41,0)),"")</f>
        <v>TOP</v>
      </c>
      <c r="D30" s="14" t="str">
        <f>IFERROR(INDEX('قائمة الوحدات'!$C$2:$C$41,MATCH($B30,'قائمة الوحدات'!$A$2:$A$41,0)),"")</f>
        <v>المرتبطة بسمو الوزير</v>
      </c>
      <c r="E30" s="14" t="str">
        <f>IFERROR(INDEX('قائمة الوحدات'!$D$2:$D$41,MATCH($B30,'قائمة الوحدات'!$A$2:$A$41,0)),"")</f>
        <v>المكتب التنفيذي</v>
      </c>
      <c r="F30" s="14" t="str">
        <f>IFERROR(INDEX('قائمة الوحدات'!$F$2:$F$41,MATCH($B30,'قائمة الوحدات'!$A$2:$A$41,0)),"")</f>
        <v>المكتب التنفيذي</v>
      </c>
      <c r="G30" s="16" t="s">
        <v>65</v>
      </c>
      <c r="H30" s="14" t="str">
        <f>IFERROR(INDEX(المرجع!$A$2:$A$19,MATCH($G30,المرجع!$B$2:$B$19,0)),"")</f>
        <v>التشغيل</v>
      </c>
      <c r="I30" s="16" t="s">
        <v>59</v>
      </c>
      <c r="J30" s="14" t="str">
        <f>IFERROR(INDEX(المرجع!$D$2:$D$19,MATCH($I30,المرجع!$E$2:$E$19,0)),"")</f>
        <v>الإجراءات</v>
      </c>
      <c r="K30" s="16" t="s">
        <v>128</v>
      </c>
      <c r="L30" s="17" t="str">
        <f>IFERROR(INDEX('نقاط التحقق'!$G$2:$G$31,MATCH($K30,'نقاط التحقق'!$A$2:$A$31,0))&amp;"","")</f>
        <v>تحقيق تقييم "مطبق بشكل كامل" من منهجية تقييم فعالية الإجراءات</v>
      </c>
      <c r="M30" s="13">
        <v>32</v>
      </c>
      <c r="N30" s="15" t="str">
        <f>IF($M30="","غير مقيّمة",IF($M30&gt;المرجع!$K$3,"مستوفاة بشكل متقدم",IF($M30&lt;=المرجع!$K$2,"مستوفاة بشكل أولي","مستوفاة بشكل جزئي")))</f>
        <v>مستوفاة بشكل جزئي</v>
      </c>
      <c r="O30" s="18" t="s">
        <v>2171</v>
      </c>
    </row>
    <row r="31" spans="1:15">
      <c r="A31" s="16" t="s">
        <v>265</v>
      </c>
      <c r="B31" s="16" t="s">
        <v>141</v>
      </c>
      <c r="C31" s="15" t="str">
        <f>IFERROR(INDEX('قائمة الوحدات'!$B$2:$B$41,MATCH($B31,'قائمة الوحدات'!$A$2:$A$41,0)),"")</f>
        <v>TOP</v>
      </c>
      <c r="D31" s="14" t="str">
        <f>IFERROR(INDEX('قائمة الوحدات'!$C$2:$C$41,MATCH($B31,'قائمة الوحدات'!$A$2:$A$41,0)),"")</f>
        <v>المرتبطة بسمو الوزير</v>
      </c>
      <c r="E31" s="14" t="str">
        <f>IFERROR(INDEX('قائمة الوحدات'!$D$2:$D$41,MATCH($B31,'قائمة الوحدات'!$A$2:$A$41,0)),"")</f>
        <v>المكتب التنفيذي</v>
      </c>
      <c r="F31" s="14" t="str">
        <f>IFERROR(INDEX('قائمة الوحدات'!$F$2:$F$41,MATCH($B31,'قائمة الوحدات'!$A$2:$A$41,0)),"")</f>
        <v>المكتب التنفيذي</v>
      </c>
      <c r="G31" s="16" t="s">
        <v>65</v>
      </c>
      <c r="H31" s="14" t="str">
        <f>IFERROR(INDEX(المرجع!$A$2:$A$19,MATCH($G31,المرجع!$B$2:$B$19,0)),"")</f>
        <v>التشغيل</v>
      </c>
      <c r="I31" s="16" t="s">
        <v>67</v>
      </c>
      <c r="J31" s="14" t="str">
        <f>IFERROR(INDEX(المرجع!$D$2:$D$19,MATCH($I31,المرجع!$E$2:$E$19,0)),"")</f>
        <v>اكتمال المخرجات المستهدفة</v>
      </c>
      <c r="K31" s="16" t="s">
        <v>130</v>
      </c>
      <c r="L31" s="17" t="str">
        <f>IFERROR(INDEX('نقاط التحقق'!$G$2:$G$31,MATCH($K31,'نقاط التحقق'!$A$2:$A$31,0))&amp;"","")</f>
        <v>اكتمال مخرجات النموذج التشغيلي المستهدف للوحدة التنظيمية</v>
      </c>
      <c r="M31" s="13">
        <v>53</v>
      </c>
      <c r="N31" s="15" t="str">
        <f>IF($M31="","غير مقيّمة",IF($M31&gt;المرجع!$K$3,"مستوفاة بشكل متقدم",IF($M31&lt;=المرجع!$K$2,"مستوفاة بشكل أولي","مستوفاة بشكل جزئي")))</f>
        <v>مستوفاة بشكل جزئي</v>
      </c>
      <c r="O31" s="18" t="s">
        <v>2171</v>
      </c>
    </row>
    <row r="32" spans="1:15">
      <c r="A32" s="16" t="s">
        <v>266</v>
      </c>
      <c r="B32" s="16" t="s">
        <v>146</v>
      </c>
      <c r="C32" s="15" t="str">
        <f>IFERROR(INDEX('قائمة الوحدات'!$B$2:$B$41,MATCH($B32,'قائمة الوحدات'!$A$2:$A$41,0)),"")</f>
        <v>TOP</v>
      </c>
      <c r="D32" s="14" t="str">
        <f>IFERROR(INDEX('قائمة الوحدات'!$C$2:$C$41,MATCH($B32,'قائمة الوحدات'!$A$2:$A$41,0)),"")</f>
        <v>المرتبطة بسمو الوزير</v>
      </c>
      <c r="E32" s="14" t="str">
        <f>IFERROR(INDEX('قائمة الوحدات'!$D$2:$D$41,MATCH($B32,'قائمة الوحدات'!$A$2:$A$41,0)),"")</f>
        <v>إدارة المتابعة والتقارير</v>
      </c>
      <c r="F32" s="14" t="str">
        <f>IFERROR(INDEX('قائمة الوحدات'!$F$2:$F$41,MATCH($B32,'قائمة الوحدات'!$A$2:$A$41,0)),"")</f>
        <v>إدارة المتابعة والتقارير</v>
      </c>
      <c r="G32" s="16" t="s">
        <v>43</v>
      </c>
      <c r="H32" s="14" t="str">
        <f>IFERROR(INDEX(المرجع!$A$2:$A$19,MATCH($G32,المرجع!$B$2:$B$19,0)),"")</f>
        <v>التصميم</v>
      </c>
      <c r="I32" s="16" t="s">
        <v>45</v>
      </c>
      <c r="J32" s="14" t="str">
        <f>IFERROR(INDEX(المرجع!$D$2:$D$19,MATCH($I32,المرجع!$E$2:$E$19,0)),"")</f>
        <v>الدور</v>
      </c>
      <c r="K32" s="16" t="s">
        <v>72</v>
      </c>
      <c r="L32" s="17" t="str">
        <f>IFERROR(INDEX('نقاط التحقق'!$G$2:$G$31,MATCH($K32,'نقاط التحقق'!$A$2:$A$31,0))&amp;"","")</f>
        <v>دور مفصل للوحدة التنظيمية</v>
      </c>
      <c r="M32" s="13">
        <v>76</v>
      </c>
      <c r="N32" s="15" t="str">
        <f>IF($M32="","غير مقيّمة",IF($M32&gt;المرجع!$K$3,"مستوفاة بشكل متقدم",IF($M32&lt;=المرجع!$K$2,"مستوفاة بشكل أولي","مستوفاة بشكل جزئي")))</f>
        <v>مستوفاة بشكل متقدم</v>
      </c>
      <c r="O32" s="18" t="s">
        <v>2171</v>
      </c>
    </row>
    <row r="33" spans="1:15">
      <c r="A33" s="16" t="s">
        <v>267</v>
      </c>
      <c r="B33" s="16" t="s">
        <v>146</v>
      </c>
      <c r="C33" s="15" t="str">
        <f>IFERROR(INDEX('قائمة الوحدات'!$B$2:$B$41,MATCH($B33,'قائمة الوحدات'!$A$2:$A$41,0)),"")</f>
        <v>TOP</v>
      </c>
      <c r="D33" s="14" t="str">
        <f>IFERROR(INDEX('قائمة الوحدات'!$C$2:$C$41,MATCH($B33,'قائمة الوحدات'!$A$2:$A$41,0)),"")</f>
        <v>المرتبطة بسمو الوزير</v>
      </c>
      <c r="E33" s="14" t="str">
        <f>IFERROR(INDEX('قائمة الوحدات'!$D$2:$D$41,MATCH($B33,'قائمة الوحدات'!$A$2:$A$41,0)),"")</f>
        <v>إدارة المتابعة والتقارير</v>
      </c>
      <c r="F33" s="14" t="str">
        <f>IFERROR(INDEX('قائمة الوحدات'!$F$2:$F$41,MATCH($B33,'قائمة الوحدات'!$A$2:$A$41,0)),"")</f>
        <v>إدارة المتابعة والتقارير</v>
      </c>
      <c r="G33" s="16" t="s">
        <v>43</v>
      </c>
      <c r="H33" s="14" t="str">
        <f>IFERROR(INDEX(المرجع!$A$2:$A$19,MATCH($G33,المرجع!$B$2:$B$19,0)),"")</f>
        <v>التصميم</v>
      </c>
      <c r="I33" s="16" t="s">
        <v>48</v>
      </c>
      <c r="J33" s="14" t="str">
        <f>IFERROR(INDEX(المرجع!$D$2:$D$19,MATCH($I33,المرجع!$E$2:$E$19,0)),"")</f>
        <v>الأهداف ومؤشرات الأداء</v>
      </c>
      <c r="K33" s="16" t="s">
        <v>74</v>
      </c>
      <c r="L33" s="17" t="str">
        <f>IFERROR(INDEX('نقاط التحقق'!$G$2:$G$31,MATCH($K33,'نقاط التحقق'!$A$2:$A$31,0))&amp;"","")</f>
        <v>أهداف محددة للوحدة التنظيمية وربطها بمؤشرات أداء لقياسها</v>
      </c>
      <c r="M33" s="13">
        <v>70</v>
      </c>
      <c r="N33" s="15" t="str">
        <f>IF($M33="","غير مقيّمة",IF($M33&gt;المرجع!$K$3,"مستوفاة بشكل متقدم",IF($M33&lt;=المرجع!$K$2,"مستوفاة بشكل أولي","مستوفاة بشكل جزئي")))</f>
        <v>مستوفاة بشكل جزئي</v>
      </c>
      <c r="O33" s="18" t="s">
        <v>2171</v>
      </c>
    </row>
    <row r="34" spans="1:15">
      <c r="A34" s="16" t="s">
        <v>268</v>
      </c>
      <c r="B34" s="16" t="s">
        <v>146</v>
      </c>
      <c r="C34" s="15" t="str">
        <f>IFERROR(INDEX('قائمة الوحدات'!$B$2:$B$41,MATCH($B34,'قائمة الوحدات'!$A$2:$A$41,0)),"")</f>
        <v>TOP</v>
      </c>
      <c r="D34" s="14" t="str">
        <f>IFERROR(INDEX('قائمة الوحدات'!$C$2:$C$41,MATCH($B34,'قائمة الوحدات'!$A$2:$A$41,0)),"")</f>
        <v>المرتبطة بسمو الوزير</v>
      </c>
      <c r="E34" s="14" t="str">
        <f>IFERROR(INDEX('قائمة الوحدات'!$D$2:$D$41,MATCH($B34,'قائمة الوحدات'!$A$2:$A$41,0)),"")</f>
        <v>إدارة المتابعة والتقارير</v>
      </c>
      <c r="F34" s="14" t="str">
        <f>IFERROR(INDEX('قائمة الوحدات'!$F$2:$F$41,MATCH($B34,'قائمة الوحدات'!$A$2:$A$41,0)),"")</f>
        <v>إدارة المتابعة والتقارير</v>
      </c>
      <c r="G34" s="16" t="s">
        <v>43</v>
      </c>
      <c r="H34" s="14" t="str">
        <f>IFERROR(INDEX(المرجع!$A$2:$A$19,MATCH($G34,المرجع!$B$2:$B$19,0)),"")</f>
        <v>التصميم</v>
      </c>
      <c r="I34" s="16" t="s">
        <v>48</v>
      </c>
      <c r="J34" s="14" t="str">
        <f>IFERROR(INDEX(المرجع!$D$2:$D$19,MATCH($I34,المرجع!$E$2:$E$19,0)),"")</f>
        <v>الأهداف ومؤشرات الأداء</v>
      </c>
      <c r="K34" s="16" t="s">
        <v>76</v>
      </c>
      <c r="L34" s="17" t="str">
        <f>IFERROR(INDEX('نقاط التحقق'!$G$2:$G$31,MATCH($K34,'نقاط التحقق'!$A$2:$A$31,0))&amp;"","")</f>
        <v>مؤشرات أداء الوحدة التنظيمية</v>
      </c>
      <c r="M34" s="13">
        <v>75</v>
      </c>
      <c r="N34" s="15" t="str">
        <f>IF($M34="","غير مقيّمة",IF($M34&gt;المرجع!$K$3,"مستوفاة بشكل متقدم",IF($M34&lt;=المرجع!$K$2,"مستوفاة بشكل أولي","مستوفاة بشكل جزئي")))</f>
        <v>مستوفاة بشكل متقدم</v>
      </c>
      <c r="O34" s="18" t="s">
        <v>2171</v>
      </c>
    </row>
    <row r="35" spans="1:15">
      <c r="A35" s="16" t="s">
        <v>269</v>
      </c>
      <c r="B35" s="16" t="s">
        <v>146</v>
      </c>
      <c r="C35" s="15" t="str">
        <f>IFERROR(INDEX('قائمة الوحدات'!$B$2:$B$41,MATCH($B35,'قائمة الوحدات'!$A$2:$A$41,0)),"")</f>
        <v>TOP</v>
      </c>
      <c r="D35" s="14" t="str">
        <f>IFERROR(INDEX('قائمة الوحدات'!$C$2:$C$41,MATCH($B35,'قائمة الوحدات'!$A$2:$A$41,0)),"")</f>
        <v>المرتبطة بسمو الوزير</v>
      </c>
      <c r="E35" s="14" t="str">
        <f>IFERROR(INDEX('قائمة الوحدات'!$D$2:$D$41,MATCH($B35,'قائمة الوحدات'!$A$2:$A$41,0)),"")</f>
        <v>إدارة المتابعة والتقارير</v>
      </c>
      <c r="F35" s="14" t="str">
        <f>IFERROR(INDEX('قائمة الوحدات'!$F$2:$F$41,MATCH($B35,'قائمة الوحدات'!$A$2:$A$41,0)),"")</f>
        <v>إدارة المتابعة والتقارير</v>
      </c>
      <c r="G35" s="16" t="s">
        <v>43</v>
      </c>
      <c r="H35" s="14" t="str">
        <f>IFERROR(INDEX(المرجع!$A$2:$A$19,MATCH($G35,المرجع!$B$2:$B$19,0)),"")</f>
        <v>التصميم</v>
      </c>
      <c r="I35" s="16" t="s">
        <v>51</v>
      </c>
      <c r="J35" s="14" t="str">
        <f>IFERROR(INDEX(المرجع!$D$2:$D$19,MATCH($I35,المرجع!$E$2:$E$19,0)),"")</f>
        <v>الحوكمة</v>
      </c>
      <c r="K35" s="16" t="s">
        <v>78</v>
      </c>
      <c r="L35" s="17" t="str">
        <f>IFERROR(INDEX('نقاط التحقق'!$G$2:$G$31,MATCH($K35,'نقاط التحقق'!$A$2:$A$31,0))&amp;"","")</f>
        <v>تفصيل القرارات ومصفوفة الصلاحيات واللجان ذات العلاقة لاعتماد مخرجات الوحدة التنظيمية</v>
      </c>
      <c r="M35" s="13">
        <v>87</v>
      </c>
      <c r="N35" s="15" t="str">
        <f>IF($M35="","غير مقيّمة",IF($M35&gt;المرجع!$K$3,"مستوفاة بشكل متقدم",IF($M35&lt;=المرجع!$K$2,"مستوفاة بشكل أولي","مستوفاة بشكل جزئي")))</f>
        <v>مستوفاة بشكل متقدم</v>
      </c>
      <c r="O35" s="18" t="s">
        <v>2171</v>
      </c>
    </row>
    <row r="36" spans="1:15">
      <c r="A36" s="16" t="s">
        <v>270</v>
      </c>
      <c r="B36" s="16" t="s">
        <v>146</v>
      </c>
      <c r="C36" s="15" t="str">
        <f>IFERROR(INDEX('قائمة الوحدات'!$B$2:$B$41,MATCH($B36,'قائمة الوحدات'!$A$2:$A$41,0)),"")</f>
        <v>TOP</v>
      </c>
      <c r="D36" s="14" t="str">
        <f>IFERROR(INDEX('قائمة الوحدات'!$C$2:$C$41,MATCH($B36,'قائمة الوحدات'!$A$2:$A$41,0)),"")</f>
        <v>المرتبطة بسمو الوزير</v>
      </c>
      <c r="E36" s="14" t="str">
        <f>IFERROR(INDEX('قائمة الوحدات'!$D$2:$D$41,MATCH($B36,'قائمة الوحدات'!$A$2:$A$41,0)),"")</f>
        <v>إدارة المتابعة والتقارير</v>
      </c>
      <c r="F36" s="14" t="str">
        <f>IFERROR(INDEX('قائمة الوحدات'!$F$2:$F$41,MATCH($B36,'قائمة الوحدات'!$A$2:$A$41,0)),"")</f>
        <v>إدارة المتابعة والتقارير</v>
      </c>
      <c r="G36" s="16" t="s">
        <v>43</v>
      </c>
      <c r="H36" s="14" t="str">
        <f>IFERROR(INDEX(المرجع!$A$2:$A$19,MATCH($G36,المرجع!$B$2:$B$19,0)),"")</f>
        <v>التصميم</v>
      </c>
      <c r="I36" s="16" t="s">
        <v>54</v>
      </c>
      <c r="J36" s="14" t="str">
        <f>IFERROR(INDEX(المرجع!$D$2:$D$19,MATCH($I36,المرجع!$E$2:$E$19,0)),"")</f>
        <v>التنظيم</v>
      </c>
      <c r="K36" s="16" t="s">
        <v>80</v>
      </c>
      <c r="L36" s="17" t="str">
        <f>IFERROR(INDEX('نقاط التحقق'!$G$2:$G$31,MATCH($K36,'نقاط التحقق'!$A$2:$A$31,0))&amp;"","")</f>
        <v>تطوير الأدوار والمسؤوليات للوحدة التنظيمية وتفصيل الهيكل التنظيمي</v>
      </c>
      <c r="M36" s="13">
        <v>71</v>
      </c>
      <c r="N36" s="15" t="str">
        <f>IF($M36="","غير مقيّمة",IF($M36&gt;المرجع!$K$3,"مستوفاة بشكل متقدم",IF($M36&lt;=المرجع!$K$2,"مستوفاة بشكل أولي","مستوفاة بشكل جزئي")))</f>
        <v>مستوفاة بشكل متقدم</v>
      </c>
      <c r="O36" s="18" t="s">
        <v>2171</v>
      </c>
    </row>
    <row r="37" spans="1:15">
      <c r="A37" s="16" t="s">
        <v>271</v>
      </c>
      <c r="B37" s="16" t="s">
        <v>146</v>
      </c>
      <c r="C37" s="15" t="str">
        <f>IFERROR(INDEX('قائمة الوحدات'!$B$2:$B$41,MATCH($B37,'قائمة الوحدات'!$A$2:$A$41,0)),"")</f>
        <v>TOP</v>
      </c>
      <c r="D37" s="14" t="str">
        <f>IFERROR(INDEX('قائمة الوحدات'!$C$2:$C$41,MATCH($B37,'قائمة الوحدات'!$A$2:$A$41,0)),"")</f>
        <v>المرتبطة بسمو الوزير</v>
      </c>
      <c r="E37" s="14" t="str">
        <f>IFERROR(INDEX('قائمة الوحدات'!$D$2:$D$41,MATCH($B37,'قائمة الوحدات'!$A$2:$A$41,0)),"")</f>
        <v>إدارة المتابعة والتقارير</v>
      </c>
      <c r="F37" s="14" t="str">
        <f>IFERROR(INDEX('قائمة الوحدات'!$F$2:$F$41,MATCH($B37,'قائمة الوحدات'!$A$2:$A$41,0)),"")</f>
        <v>إدارة المتابعة والتقارير</v>
      </c>
      <c r="G37" s="16" t="s">
        <v>43</v>
      </c>
      <c r="H37" s="14" t="str">
        <f>IFERROR(INDEX(المرجع!$A$2:$A$19,MATCH($G37,المرجع!$B$2:$B$19,0)),"")</f>
        <v>التصميم</v>
      </c>
      <c r="I37" s="16" t="s">
        <v>56</v>
      </c>
      <c r="J37" s="14" t="str">
        <f>IFERROR(INDEX(المرجع!$D$2:$D$19,MATCH($I37,المرجع!$E$2:$E$19,0)),"")</f>
        <v>الموارد</v>
      </c>
      <c r="K37" s="16" t="s">
        <v>82</v>
      </c>
      <c r="L37" s="17" t="str">
        <f>IFERROR(INDEX('نقاط التحقق'!$G$2:$G$31,MATCH($K37,'نقاط التحقق'!$A$2:$A$31,0))&amp;"","")</f>
        <v>تفصيل احتياج الموارد البشرية للوحدة التنظيمية</v>
      </c>
      <c r="M37" s="13">
        <v>96</v>
      </c>
      <c r="N37" s="15" t="str">
        <f>IF($M37="","غير مقيّمة",IF($M37&gt;المرجع!$K$3,"مستوفاة بشكل متقدم",IF($M37&lt;=المرجع!$K$2,"مستوفاة بشكل أولي","مستوفاة بشكل جزئي")))</f>
        <v>مستوفاة بشكل متقدم</v>
      </c>
      <c r="O37" s="18" t="s">
        <v>2171</v>
      </c>
    </row>
    <row r="38" spans="1:15">
      <c r="A38" s="16" t="s">
        <v>272</v>
      </c>
      <c r="B38" s="16" t="s">
        <v>146</v>
      </c>
      <c r="C38" s="15" t="str">
        <f>IFERROR(INDEX('قائمة الوحدات'!$B$2:$B$41,MATCH($B38,'قائمة الوحدات'!$A$2:$A$41,0)),"")</f>
        <v>TOP</v>
      </c>
      <c r="D38" s="14" t="str">
        <f>IFERROR(INDEX('قائمة الوحدات'!$C$2:$C$41,MATCH($B38,'قائمة الوحدات'!$A$2:$A$41,0)),"")</f>
        <v>المرتبطة بسمو الوزير</v>
      </c>
      <c r="E38" s="14" t="str">
        <f>IFERROR(INDEX('قائمة الوحدات'!$D$2:$D$41,MATCH($B38,'قائمة الوحدات'!$A$2:$A$41,0)),"")</f>
        <v>إدارة المتابعة والتقارير</v>
      </c>
      <c r="F38" s="14" t="str">
        <f>IFERROR(INDEX('قائمة الوحدات'!$F$2:$F$41,MATCH($B38,'قائمة الوحدات'!$A$2:$A$41,0)),"")</f>
        <v>إدارة المتابعة والتقارير</v>
      </c>
      <c r="G38" s="16" t="s">
        <v>43</v>
      </c>
      <c r="H38" s="14" t="str">
        <f>IFERROR(INDEX(المرجع!$A$2:$A$19,MATCH($G38,المرجع!$B$2:$B$19,0)),"")</f>
        <v>التصميم</v>
      </c>
      <c r="I38" s="16" t="s">
        <v>59</v>
      </c>
      <c r="J38" s="14" t="str">
        <f>IFERROR(INDEX(المرجع!$D$2:$D$19,MATCH($I38,المرجع!$E$2:$E$19,0)),"")</f>
        <v>الإجراءات</v>
      </c>
      <c r="K38" s="16" t="s">
        <v>84</v>
      </c>
      <c r="L38" s="17" t="str">
        <f>IFERROR(INDEX('نقاط التحقق'!$G$2:$G$31,MATCH($K38,'نقاط التحقق'!$A$2:$A$31,0))&amp;"","")</f>
        <v>تفصيل المخرجات إلى إجراءات عالية المستوى</v>
      </c>
      <c r="M38" s="13">
        <v>68</v>
      </c>
      <c r="N38" s="15" t="str">
        <f>IF($M38="","غير مقيّمة",IF($M38&gt;المرجع!$K$3,"مستوفاة بشكل متقدم",IF($M38&lt;=المرجع!$K$2,"مستوفاة بشكل أولي","مستوفاة بشكل جزئي")))</f>
        <v>مستوفاة بشكل جزئي</v>
      </c>
      <c r="O38" s="18" t="s">
        <v>2171</v>
      </c>
    </row>
    <row r="39" spans="1:15">
      <c r="A39" s="16" t="s">
        <v>273</v>
      </c>
      <c r="B39" s="16" t="s">
        <v>146</v>
      </c>
      <c r="C39" s="15" t="str">
        <f>IFERROR(INDEX('قائمة الوحدات'!$B$2:$B$41,MATCH($B39,'قائمة الوحدات'!$A$2:$A$41,0)),"")</f>
        <v>TOP</v>
      </c>
      <c r="D39" s="14" t="str">
        <f>IFERROR(INDEX('قائمة الوحدات'!$C$2:$C$41,MATCH($B39,'قائمة الوحدات'!$A$2:$A$41,0)),"")</f>
        <v>المرتبطة بسمو الوزير</v>
      </c>
      <c r="E39" s="14" t="str">
        <f>IFERROR(INDEX('قائمة الوحدات'!$D$2:$D$41,MATCH($B39,'قائمة الوحدات'!$A$2:$A$41,0)),"")</f>
        <v>إدارة المتابعة والتقارير</v>
      </c>
      <c r="F39" s="14" t="str">
        <f>IFERROR(INDEX('قائمة الوحدات'!$F$2:$F$41,MATCH($B39,'قائمة الوحدات'!$A$2:$A$41,0)),"")</f>
        <v>إدارة المتابعة والتقارير</v>
      </c>
      <c r="G39" s="16" t="s">
        <v>61</v>
      </c>
      <c r="H39" s="14" t="str">
        <f>IFERROR(INDEX(المرجع!$A$2:$A$19,MATCH($G39,المرجع!$B$2:$B$19,0)),"")</f>
        <v>البناء المؤسسي</v>
      </c>
      <c r="I39" s="16" t="s">
        <v>45</v>
      </c>
      <c r="J39" s="14" t="str">
        <f>IFERROR(INDEX(المرجع!$D$2:$D$19,MATCH($I39,المرجع!$E$2:$E$19,0)),"")</f>
        <v>الدور</v>
      </c>
      <c r="K39" s="16" t="s">
        <v>86</v>
      </c>
      <c r="L39" s="17" t="str">
        <f>IFERROR(INDEX('نقاط التحقق'!$G$2:$G$31,MATCH($K39,'نقاط التحقق'!$A$2:$A$31,0))&amp;"","")</f>
        <v>دور معتمد للوحدة التنظيمية</v>
      </c>
      <c r="M39" s="13">
        <v>86</v>
      </c>
      <c r="N39" s="15" t="str">
        <f>IF($M39="","غير مقيّمة",IF($M39&gt;المرجع!$K$3,"مستوفاة بشكل متقدم",IF($M39&lt;=المرجع!$K$2,"مستوفاة بشكل أولي","مستوفاة بشكل جزئي")))</f>
        <v>مستوفاة بشكل متقدم</v>
      </c>
      <c r="O39" s="18" t="s">
        <v>2171</v>
      </c>
    </row>
    <row r="40" spans="1:15">
      <c r="A40" s="16" t="s">
        <v>274</v>
      </c>
      <c r="B40" s="16" t="s">
        <v>146</v>
      </c>
      <c r="C40" s="15" t="str">
        <f>IFERROR(INDEX('قائمة الوحدات'!$B$2:$B$41,MATCH($B40,'قائمة الوحدات'!$A$2:$A$41,0)),"")</f>
        <v>TOP</v>
      </c>
      <c r="D40" s="14" t="str">
        <f>IFERROR(INDEX('قائمة الوحدات'!$C$2:$C$41,MATCH($B40,'قائمة الوحدات'!$A$2:$A$41,0)),"")</f>
        <v>المرتبطة بسمو الوزير</v>
      </c>
      <c r="E40" s="14" t="str">
        <f>IFERROR(INDEX('قائمة الوحدات'!$D$2:$D$41,MATCH($B40,'قائمة الوحدات'!$A$2:$A$41,0)),"")</f>
        <v>إدارة المتابعة والتقارير</v>
      </c>
      <c r="F40" s="14" t="str">
        <f>IFERROR(INDEX('قائمة الوحدات'!$F$2:$F$41,MATCH($B40,'قائمة الوحدات'!$A$2:$A$41,0)),"")</f>
        <v>إدارة المتابعة والتقارير</v>
      </c>
      <c r="G40" s="16" t="s">
        <v>61</v>
      </c>
      <c r="H40" s="14" t="str">
        <f>IFERROR(INDEX(المرجع!$A$2:$A$19,MATCH($G40,المرجع!$B$2:$B$19,0)),"")</f>
        <v>البناء المؤسسي</v>
      </c>
      <c r="I40" s="16" t="s">
        <v>48</v>
      </c>
      <c r="J40" s="14" t="str">
        <f>IFERROR(INDEX(المرجع!$D$2:$D$19,MATCH($I40,المرجع!$E$2:$E$19,0)),"")</f>
        <v>الأهداف ومؤشرات الأداء</v>
      </c>
      <c r="K40" s="16" t="s">
        <v>88</v>
      </c>
      <c r="L40" s="17" t="str">
        <f>IFERROR(INDEX('نقاط التحقق'!$G$2:$G$31,MATCH($K40,'نقاط التحقق'!$A$2:$A$31,0))&amp;"","")</f>
        <v>أهداف تشغيلية معتمدة من صاحب الصلاحية</v>
      </c>
      <c r="M40" s="13">
        <v>45</v>
      </c>
      <c r="N40" s="15" t="str">
        <f>IF($M40="","غير مقيّمة",IF($M40&gt;المرجع!$K$3,"مستوفاة بشكل متقدم",IF($M40&lt;=المرجع!$K$2,"مستوفاة بشكل أولي","مستوفاة بشكل جزئي")))</f>
        <v>مستوفاة بشكل جزئي</v>
      </c>
      <c r="O40" s="18" t="s">
        <v>2171</v>
      </c>
    </row>
    <row r="41" spans="1:15">
      <c r="A41" s="16" t="s">
        <v>275</v>
      </c>
      <c r="B41" s="16" t="s">
        <v>146</v>
      </c>
      <c r="C41" s="15" t="str">
        <f>IFERROR(INDEX('قائمة الوحدات'!$B$2:$B$41,MATCH($B41,'قائمة الوحدات'!$A$2:$A$41,0)),"")</f>
        <v>TOP</v>
      </c>
      <c r="D41" s="14" t="str">
        <f>IFERROR(INDEX('قائمة الوحدات'!$C$2:$C$41,MATCH($B41,'قائمة الوحدات'!$A$2:$A$41,0)),"")</f>
        <v>المرتبطة بسمو الوزير</v>
      </c>
      <c r="E41" s="14" t="str">
        <f>IFERROR(INDEX('قائمة الوحدات'!$D$2:$D$41,MATCH($B41,'قائمة الوحدات'!$A$2:$A$41,0)),"")</f>
        <v>إدارة المتابعة والتقارير</v>
      </c>
      <c r="F41" s="14" t="str">
        <f>IFERROR(INDEX('قائمة الوحدات'!$F$2:$F$41,MATCH($B41,'قائمة الوحدات'!$A$2:$A$41,0)),"")</f>
        <v>إدارة المتابعة والتقارير</v>
      </c>
      <c r="G41" s="16" t="s">
        <v>61</v>
      </c>
      <c r="H41" s="14" t="str">
        <f>IFERROR(INDEX(المرجع!$A$2:$A$19,MATCH($G41,المرجع!$B$2:$B$19,0)),"")</f>
        <v>البناء المؤسسي</v>
      </c>
      <c r="I41" s="16" t="s">
        <v>48</v>
      </c>
      <c r="J41" s="14" t="str">
        <f>IFERROR(INDEX(المرجع!$D$2:$D$19,MATCH($I41,المرجع!$E$2:$E$19,0)),"")</f>
        <v>الأهداف ومؤشرات الأداء</v>
      </c>
      <c r="K41" s="16" t="s">
        <v>90</v>
      </c>
      <c r="L41" s="17" t="str">
        <f>IFERROR(INDEX('نقاط التحقق'!$G$2:$G$31,MATCH($K41,'نقاط التحقق'!$A$2:$A$31,0))&amp;"","")</f>
        <v>نشر الأهداف التشغيلية على موظفي الوحدة التنظيمية</v>
      </c>
      <c r="M41" s="13">
        <v>50</v>
      </c>
      <c r="N41" s="15" t="str">
        <f>IF($M41="","غير مقيّمة",IF($M41&gt;المرجع!$K$3,"مستوفاة بشكل متقدم",IF($M41&lt;=المرجع!$K$2,"مستوفاة بشكل أولي","مستوفاة بشكل جزئي")))</f>
        <v>مستوفاة بشكل جزئي</v>
      </c>
      <c r="O41" s="18" t="s">
        <v>2171</v>
      </c>
    </row>
    <row r="42" spans="1:15">
      <c r="A42" s="16" t="s">
        <v>276</v>
      </c>
      <c r="B42" s="16" t="s">
        <v>146</v>
      </c>
      <c r="C42" s="15" t="str">
        <f>IFERROR(INDEX('قائمة الوحدات'!$B$2:$B$41,MATCH($B42,'قائمة الوحدات'!$A$2:$A$41,0)),"")</f>
        <v>TOP</v>
      </c>
      <c r="D42" s="14" t="str">
        <f>IFERROR(INDEX('قائمة الوحدات'!$C$2:$C$41,MATCH($B42,'قائمة الوحدات'!$A$2:$A$41,0)),"")</f>
        <v>المرتبطة بسمو الوزير</v>
      </c>
      <c r="E42" s="14" t="str">
        <f>IFERROR(INDEX('قائمة الوحدات'!$D$2:$D$41,MATCH($B42,'قائمة الوحدات'!$A$2:$A$41,0)),"")</f>
        <v>إدارة المتابعة والتقارير</v>
      </c>
      <c r="F42" s="14" t="str">
        <f>IFERROR(INDEX('قائمة الوحدات'!$F$2:$F$41,MATCH($B42,'قائمة الوحدات'!$A$2:$A$41,0)),"")</f>
        <v>إدارة المتابعة والتقارير</v>
      </c>
      <c r="G42" s="16" t="s">
        <v>61</v>
      </c>
      <c r="H42" s="14" t="str">
        <f>IFERROR(INDEX(المرجع!$A$2:$A$19,MATCH($G42,المرجع!$B$2:$B$19,0)),"")</f>
        <v>البناء المؤسسي</v>
      </c>
      <c r="I42" s="16" t="s">
        <v>51</v>
      </c>
      <c r="J42" s="14" t="str">
        <f>IFERROR(INDEX(المرجع!$D$2:$D$19,MATCH($I42,المرجع!$E$2:$E$19,0)),"")</f>
        <v>الحوكمة</v>
      </c>
      <c r="K42" s="16" t="s">
        <v>92</v>
      </c>
      <c r="L42" s="17" t="str">
        <f>IFERROR(INDEX('نقاط التحقق'!$G$2:$G$31,MATCH($K42,'نقاط التحقق'!$A$2:$A$31,0))&amp;"","")</f>
        <v>مصفوفة صلاحيات معتمدة ومعممة على أصحاب المصلحة</v>
      </c>
      <c r="M42" s="13">
        <v>60</v>
      </c>
      <c r="N42" s="15" t="str">
        <f>IF($M42="","غير مقيّمة",IF($M42&gt;المرجع!$K$3,"مستوفاة بشكل متقدم",IF($M42&lt;=المرجع!$K$2,"مستوفاة بشكل أولي","مستوفاة بشكل جزئي")))</f>
        <v>مستوفاة بشكل جزئي</v>
      </c>
      <c r="O42" s="18" t="s">
        <v>2171</v>
      </c>
    </row>
    <row r="43" spans="1:15">
      <c r="A43" s="16" t="s">
        <v>277</v>
      </c>
      <c r="B43" s="16" t="s">
        <v>146</v>
      </c>
      <c r="C43" s="15" t="str">
        <f>IFERROR(INDEX('قائمة الوحدات'!$B$2:$B$41,MATCH($B43,'قائمة الوحدات'!$A$2:$A$41,0)),"")</f>
        <v>TOP</v>
      </c>
      <c r="D43" s="14" t="str">
        <f>IFERROR(INDEX('قائمة الوحدات'!$C$2:$C$41,MATCH($B43,'قائمة الوحدات'!$A$2:$A$41,0)),"")</f>
        <v>المرتبطة بسمو الوزير</v>
      </c>
      <c r="E43" s="14" t="str">
        <f>IFERROR(INDEX('قائمة الوحدات'!$D$2:$D$41,MATCH($B43,'قائمة الوحدات'!$A$2:$A$41,0)),"")</f>
        <v>إدارة المتابعة والتقارير</v>
      </c>
      <c r="F43" s="14" t="str">
        <f>IFERROR(INDEX('قائمة الوحدات'!$F$2:$F$41,MATCH($B43,'قائمة الوحدات'!$A$2:$A$41,0)),"")</f>
        <v>إدارة المتابعة والتقارير</v>
      </c>
      <c r="G43" s="16" t="s">
        <v>61</v>
      </c>
      <c r="H43" s="14" t="str">
        <f>IFERROR(INDEX(المرجع!$A$2:$A$19,MATCH($G43,المرجع!$B$2:$B$19,0)),"")</f>
        <v>البناء المؤسسي</v>
      </c>
      <c r="I43" s="16" t="s">
        <v>51</v>
      </c>
      <c r="J43" s="14" t="str">
        <f>IFERROR(INDEX(المرجع!$D$2:$D$19,MATCH($I43,المرجع!$E$2:$E$19,0)),"")</f>
        <v>الحوكمة</v>
      </c>
      <c r="K43" s="16" t="s">
        <v>94</v>
      </c>
      <c r="L43" s="17" t="str">
        <f>IFERROR(INDEX('نقاط التحقق'!$G$2:$G$31,MATCH($K43,'نقاط التحقق'!$A$2:$A$31,0))&amp;"","")</f>
        <v>سياسات معتمدة للتي تملكها الوحدة التنظيمية</v>
      </c>
      <c r="M43" s="13">
        <v>75</v>
      </c>
      <c r="N43" s="15" t="str">
        <f>IF($M43="","غير مقيّمة",IF($M43&gt;المرجع!$K$3,"مستوفاة بشكل متقدم",IF($M43&lt;=المرجع!$K$2,"مستوفاة بشكل أولي","مستوفاة بشكل جزئي")))</f>
        <v>مستوفاة بشكل متقدم</v>
      </c>
      <c r="O43" s="18" t="s">
        <v>2171</v>
      </c>
    </row>
    <row r="44" spans="1:15">
      <c r="A44" s="16" t="s">
        <v>278</v>
      </c>
      <c r="B44" s="16" t="s">
        <v>146</v>
      </c>
      <c r="C44" s="15" t="str">
        <f>IFERROR(INDEX('قائمة الوحدات'!$B$2:$B$41,MATCH($B44,'قائمة الوحدات'!$A$2:$A$41,0)),"")</f>
        <v>TOP</v>
      </c>
      <c r="D44" s="14" t="str">
        <f>IFERROR(INDEX('قائمة الوحدات'!$C$2:$C$41,MATCH($B44,'قائمة الوحدات'!$A$2:$A$41,0)),"")</f>
        <v>المرتبطة بسمو الوزير</v>
      </c>
      <c r="E44" s="14" t="str">
        <f>IFERROR(INDEX('قائمة الوحدات'!$D$2:$D$41,MATCH($B44,'قائمة الوحدات'!$A$2:$A$41,0)),"")</f>
        <v>إدارة المتابعة والتقارير</v>
      </c>
      <c r="F44" s="14" t="str">
        <f>IFERROR(INDEX('قائمة الوحدات'!$F$2:$F$41,MATCH($B44,'قائمة الوحدات'!$A$2:$A$41,0)),"")</f>
        <v>إدارة المتابعة والتقارير</v>
      </c>
      <c r="G44" s="16" t="s">
        <v>61</v>
      </c>
      <c r="H44" s="14" t="str">
        <f>IFERROR(INDEX(المرجع!$A$2:$A$19,MATCH($G44,المرجع!$B$2:$B$19,0)),"")</f>
        <v>البناء المؤسسي</v>
      </c>
      <c r="I44" s="16" t="s">
        <v>51</v>
      </c>
      <c r="J44" s="14" t="str">
        <f>IFERROR(INDEX(المرجع!$D$2:$D$19,MATCH($I44,المرجع!$E$2:$E$19,0)),"")</f>
        <v>الحوكمة</v>
      </c>
      <c r="K44" s="16" t="s">
        <v>96</v>
      </c>
      <c r="L44" s="17" t="str">
        <f>IFERROR(INDEX('نقاط التحقق'!$G$2:$G$31,MATCH($K44,'نقاط التحقق'!$A$2:$A$31,0))&amp;"","")</f>
        <v>قرار تشكيل معتمد للجان ذات العلاقة</v>
      </c>
      <c r="M44" s="13">
        <v>60</v>
      </c>
      <c r="N44" s="15" t="str">
        <f>IF($M44="","غير مقيّمة",IF($M44&gt;المرجع!$K$3,"مستوفاة بشكل متقدم",IF($M44&lt;=المرجع!$K$2,"مستوفاة بشكل أولي","مستوفاة بشكل جزئي")))</f>
        <v>مستوفاة بشكل جزئي</v>
      </c>
      <c r="O44" s="18" t="s">
        <v>2171</v>
      </c>
    </row>
    <row r="45" spans="1:15">
      <c r="A45" s="16" t="s">
        <v>279</v>
      </c>
      <c r="B45" s="16" t="s">
        <v>146</v>
      </c>
      <c r="C45" s="15" t="str">
        <f>IFERROR(INDEX('قائمة الوحدات'!$B$2:$B$41,MATCH($B45,'قائمة الوحدات'!$A$2:$A$41,0)),"")</f>
        <v>TOP</v>
      </c>
      <c r="D45" s="14" t="str">
        <f>IFERROR(INDEX('قائمة الوحدات'!$C$2:$C$41,MATCH($B45,'قائمة الوحدات'!$A$2:$A$41,0)),"")</f>
        <v>المرتبطة بسمو الوزير</v>
      </c>
      <c r="E45" s="14" t="str">
        <f>IFERROR(INDEX('قائمة الوحدات'!$D$2:$D$41,MATCH($B45,'قائمة الوحدات'!$A$2:$A$41,0)),"")</f>
        <v>إدارة المتابعة والتقارير</v>
      </c>
      <c r="F45" s="14" t="str">
        <f>IFERROR(INDEX('قائمة الوحدات'!$F$2:$F$41,MATCH($B45,'قائمة الوحدات'!$A$2:$A$41,0)),"")</f>
        <v>إدارة المتابعة والتقارير</v>
      </c>
      <c r="G45" s="16" t="s">
        <v>61</v>
      </c>
      <c r="H45" s="14" t="str">
        <f>IFERROR(INDEX(المرجع!$A$2:$A$19,MATCH($G45,المرجع!$B$2:$B$19,0)),"")</f>
        <v>البناء المؤسسي</v>
      </c>
      <c r="I45" s="16" t="s">
        <v>54</v>
      </c>
      <c r="J45" s="14" t="str">
        <f>IFERROR(INDEX(المرجع!$D$2:$D$19,MATCH($I45,المرجع!$E$2:$E$19,0)),"")</f>
        <v>التنظيم</v>
      </c>
      <c r="K45" s="16" t="s">
        <v>98</v>
      </c>
      <c r="L45" s="17" t="str">
        <f>IFERROR(INDEX('نقاط التحقق'!$G$2:$G$31,MATCH($K45,'نقاط التحقق'!$A$2:$A$31,0))&amp;"","")</f>
        <v>هيكل تنظيمي معتمد من صاحب الصلاحية</v>
      </c>
      <c r="M45" s="13">
        <v>55</v>
      </c>
      <c r="N45" s="15" t="str">
        <f>IF($M45="","غير مقيّمة",IF($M45&gt;المرجع!$K$3,"مستوفاة بشكل متقدم",IF($M45&lt;=المرجع!$K$2,"مستوفاة بشكل أولي","مستوفاة بشكل جزئي")))</f>
        <v>مستوفاة بشكل جزئي</v>
      </c>
      <c r="O45" s="18" t="s">
        <v>2171</v>
      </c>
    </row>
    <row r="46" spans="1:15">
      <c r="A46" s="16" t="s">
        <v>280</v>
      </c>
      <c r="B46" s="16" t="s">
        <v>146</v>
      </c>
      <c r="C46" s="15" t="str">
        <f>IFERROR(INDEX('قائمة الوحدات'!$B$2:$B$41,MATCH($B46,'قائمة الوحدات'!$A$2:$A$41,0)),"")</f>
        <v>TOP</v>
      </c>
      <c r="D46" s="14" t="str">
        <f>IFERROR(INDEX('قائمة الوحدات'!$C$2:$C$41,MATCH($B46,'قائمة الوحدات'!$A$2:$A$41,0)),"")</f>
        <v>المرتبطة بسمو الوزير</v>
      </c>
      <c r="E46" s="14" t="str">
        <f>IFERROR(INDEX('قائمة الوحدات'!$D$2:$D$41,MATCH($B46,'قائمة الوحدات'!$A$2:$A$41,0)),"")</f>
        <v>إدارة المتابعة والتقارير</v>
      </c>
      <c r="F46" s="14" t="str">
        <f>IFERROR(INDEX('قائمة الوحدات'!$F$2:$F$41,MATCH($B46,'قائمة الوحدات'!$A$2:$A$41,0)),"")</f>
        <v>إدارة المتابعة والتقارير</v>
      </c>
      <c r="G46" s="16" t="s">
        <v>61</v>
      </c>
      <c r="H46" s="14" t="str">
        <f>IFERROR(INDEX(المرجع!$A$2:$A$19,MATCH($G46,المرجع!$B$2:$B$19,0)),"")</f>
        <v>البناء المؤسسي</v>
      </c>
      <c r="I46" s="16" t="s">
        <v>54</v>
      </c>
      <c r="J46" s="14" t="str">
        <f>IFERROR(INDEX(المرجع!$D$2:$D$19,MATCH($I46,المرجع!$E$2:$E$19,0)),"")</f>
        <v>التنظيم</v>
      </c>
      <c r="K46" s="16" t="s">
        <v>100</v>
      </c>
      <c r="L46" s="17" t="str">
        <f>IFERROR(INDEX('نقاط التحقق'!$G$2:$G$31,MATCH($K46,'نقاط التحقق'!$A$2:$A$31,0))&amp;"","")</f>
        <v>هيكل تنظيمي منشأ على نظام القوى العاملة</v>
      </c>
      <c r="M46" s="13">
        <v>50</v>
      </c>
      <c r="N46" s="15" t="str">
        <f>IF($M46="","غير مقيّمة",IF($M46&gt;المرجع!$K$3,"مستوفاة بشكل متقدم",IF($M46&lt;=المرجع!$K$2,"مستوفاة بشكل أولي","مستوفاة بشكل جزئي")))</f>
        <v>مستوفاة بشكل جزئي</v>
      </c>
      <c r="O46" s="18" t="s">
        <v>2171</v>
      </c>
    </row>
    <row r="47" spans="1:15">
      <c r="A47" s="16" t="s">
        <v>281</v>
      </c>
      <c r="B47" s="16" t="s">
        <v>146</v>
      </c>
      <c r="C47" s="15" t="str">
        <f>IFERROR(INDEX('قائمة الوحدات'!$B$2:$B$41,MATCH($B47,'قائمة الوحدات'!$A$2:$A$41,0)),"")</f>
        <v>TOP</v>
      </c>
      <c r="D47" s="14" t="str">
        <f>IFERROR(INDEX('قائمة الوحدات'!$C$2:$C$41,MATCH($B47,'قائمة الوحدات'!$A$2:$A$41,0)),"")</f>
        <v>المرتبطة بسمو الوزير</v>
      </c>
      <c r="E47" s="14" t="str">
        <f>IFERROR(INDEX('قائمة الوحدات'!$D$2:$D$41,MATCH($B47,'قائمة الوحدات'!$A$2:$A$41,0)),"")</f>
        <v>إدارة المتابعة والتقارير</v>
      </c>
      <c r="F47" s="14" t="str">
        <f>IFERROR(INDEX('قائمة الوحدات'!$F$2:$F$41,MATCH($B47,'قائمة الوحدات'!$A$2:$A$41,0)),"")</f>
        <v>إدارة المتابعة والتقارير</v>
      </c>
      <c r="G47" s="16" t="s">
        <v>61</v>
      </c>
      <c r="H47" s="14" t="str">
        <f>IFERROR(INDEX(المرجع!$A$2:$A$19,MATCH($G47,المرجع!$B$2:$B$19,0)),"")</f>
        <v>البناء المؤسسي</v>
      </c>
      <c r="I47" s="16" t="s">
        <v>54</v>
      </c>
      <c r="J47" s="14" t="str">
        <f>IFERROR(INDEX(المرجع!$D$2:$D$19,MATCH($I47,المرجع!$E$2:$E$19,0)),"")</f>
        <v>التنظيم</v>
      </c>
      <c r="K47" s="16" t="s">
        <v>102</v>
      </c>
      <c r="L47" s="17" t="str">
        <f>IFERROR(INDEX('نقاط التحقق'!$G$2:$G$31,MATCH($K47,'نقاط التحقق'!$A$2:$A$31,0))&amp;"","")</f>
        <v>الموظفون المحددون مسكّنون على الهيكل التنظيمي المستهدف</v>
      </c>
      <c r="M47" s="13">
        <v>35</v>
      </c>
      <c r="N47" s="15" t="str">
        <f>IF($M47="","غير مقيّمة",IF($M47&gt;المرجع!$K$3,"مستوفاة بشكل متقدم",IF($M47&lt;=المرجع!$K$2,"مستوفاة بشكل أولي","مستوفاة بشكل جزئي")))</f>
        <v>مستوفاة بشكل جزئي</v>
      </c>
      <c r="O47" s="18" t="s">
        <v>2171</v>
      </c>
    </row>
    <row r="48" spans="1:15">
      <c r="A48" s="16" t="s">
        <v>282</v>
      </c>
      <c r="B48" s="16" t="s">
        <v>146</v>
      </c>
      <c r="C48" s="15" t="str">
        <f>IFERROR(INDEX('قائمة الوحدات'!$B$2:$B$41,MATCH($B48,'قائمة الوحدات'!$A$2:$A$41,0)),"")</f>
        <v>TOP</v>
      </c>
      <c r="D48" s="14" t="str">
        <f>IFERROR(INDEX('قائمة الوحدات'!$C$2:$C$41,MATCH($B48,'قائمة الوحدات'!$A$2:$A$41,0)),"")</f>
        <v>المرتبطة بسمو الوزير</v>
      </c>
      <c r="E48" s="14" t="str">
        <f>IFERROR(INDEX('قائمة الوحدات'!$D$2:$D$41,MATCH($B48,'قائمة الوحدات'!$A$2:$A$41,0)),"")</f>
        <v>إدارة المتابعة والتقارير</v>
      </c>
      <c r="F48" s="14" t="str">
        <f>IFERROR(INDEX('قائمة الوحدات'!$F$2:$F$41,MATCH($B48,'قائمة الوحدات'!$A$2:$A$41,0)),"")</f>
        <v>إدارة المتابعة والتقارير</v>
      </c>
      <c r="G48" s="16" t="s">
        <v>61</v>
      </c>
      <c r="H48" s="14" t="str">
        <f>IFERROR(INDEX(المرجع!$A$2:$A$19,MATCH($G48,المرجع!$B$2:$B$19,0)),"")</f>
        <v>البناء المؤسسي</v>
      </c>
      <c r="I48" s="16" t="s">
        <v>56</v>
      </c>
      <c r="J48" s="14" t="str">
        <f>IFERROR(INDEX(المرجع!$D$2:$D$19,MATCH($I48,المرجع!$E$2:$E$19,0)),"")</f>
        <v>الموارد</v>
      </c>
      <c r="K48" s="16" t="s">
        <v>104</v>
      </c>
      <c r="L48" s="17" t="str">
        <f>IFERROR(INDEX('نقاط التحقق'!$G$2:$G$31,MATCH($K48,'نقاط التحقق'!$A$2:$A$31,0))&amp;"","")</f>
        <v>مدير الوحدة التنظيمية والموظفون الرئيسيون معينون/ملحقون</v>
      </c>
      <c r="M48" s="13">
        <v>90</v>
      </c>
      <c r="N48" s="15" t="str">
        <f>IF($M48="","غير مقيّمة",IF($M48&gt;المرجع!$K$3,"مستوفاة بشكل متقدم",IF($M48&lt;=المرجع!$K$2,"مستوفاة بشكل أولي","مستوفاة بشكل جزئي")))</f>
        <v>مستوفاة بشكل متقدم</v>
      </c>
      <c r="O48" s="18" t="s">
        <v>2171</v>
      </c>
    </row>
    <row r="49" spans="1:15">
      <c r="A49" s="16" t="s">
        <v>283</v>
      </c>
      <c r="B49" s="16" t="s">
        <v>146</v>
      </c>
      <c r="C49" s="15" t="str">
        <f>IFERROR(INDEX('قائمة الوحدات'!$B$2:$B$41,MATCH($B49,'قائمة الوحدات'!$A$2:$A$41,0)),"")</f>
        <v>TOP</v>
      </c>
      <c r="D49" s="14" t="str">
        <f>IFERROR(INDEX('قائمة الوحدات'!$C$2:$C$41,MATCH($B49,'قائمة الوحدات'!$A$2:$A$41,0)),"")</f>
        <v>المرتبطة بسمو الوزير</v>
      </c>
      <c r="E49" s="14" t="str">
        <f>IFERROR(INDEX('قائمة الوحدات'!$D$2:$D$41,MATCH($B49,'قائمة الوحدات'!$A$2:$A$41,0)),"")</f>
        <v>إدارة المتابعة والتقارير</v>
      </c>
      <c r="F49" s="14" t="str">
        <f>IFERROR(INDEX('قائمة الوحدات'!$F$2:$F$41,MATCH($B49,'قائمة الوحدات'!$A$2:$A$41,0)),"")</f>
        <v>إدارة المتابعة والتقارير</v>
      </c>
      <c r="G49" s="16" t="s">
        <v>61</v>
      </c>
      <c r="H49" s="14" t="str">
        <f>IFERROR(INDEX(المرجع!$A$2:$A$19,MATCH($G49,المرجع!$B$2:$B$19,0)),"")</f>
        <v>البناء المؤسسي</v>
      </c>
      <c r="I49" s="16" t="s">
        <v>56</v>
      </c>
      <c r="J49" s="14" t="str">
        <f>IFERROR(INDEX(المرجع!$D$2:$D$19,MATCH($I49,المرجع!$E$2:$E$19,0)),"")</f>
        <v>الموارد</v>
      </c>
      <c r="K49" s="16" t="s">
        <v>106</v>
      </c>
      <c r="L49" s="17" t="str">
        <f>IFERROR(INDEX('نقاط التحقق'!$G$2:$G$31,MATCH($K49,'نقاط التحقق'!$A$2:$A$31,0))&amp;"","")</f>
        <v>خطة توظيف وتدريب مستكملة</v>
      </c>
      <c r="M49" s="13">
        <v>90</v>
      </c>
      <c r="N49" s="15" t="str">
        <f>IF($M49="","غير مقيّمة",IF($M49&gt;المرجع!$K$3,"مستوفاة بشكل متقدم",IF($M49&lt;=المرجع!$K$2,"مستوفاة بشكل أولي","مستوفاة بشكل جزئي")))</f>
        <v>مستوفاة بشكل متقدم</v>
      </c>
      <c r="O49" s="18" t="s">
        <v>2171</v>
      </c>
    </row>
    <row r="50" spans="1:15">
      <c r="A50" s="16" t="s">
        <v>284</v>
      </c>
      <c r="B50" s="16" t="s">
        <v>146</v>
      </c>
      <c r="C50" s="15" t="str">
        <f>IFERROR(INDEX('قائمة الوحدات'!$B$2:$B$41,MATCH($B50,'قائمة الوحدات'!$A$2:$A$41,0)),"")</f>
        <v>TOP</v>
      </c>
      <c r="D50" s="14" t="str">
        <f>IFERROR(INDEX('قائمة الوحدات'!$C$2:$C$41,MATCH($B50,'قائمة الوحدات'!$A$2:$A$41,0)),"")</f>
        <v>المرتبطة بسمو الوزير</v>
      </c>
      <c r="E50" s="14" t="str">
        <f>IFERROR(INDEX('قائمة الوحدات'!$D$2:$D$41,MATCH($B50,'قائمة الوحدات'!$A$2:$A$41,0)),"")</f>
        <v>إدارة المتابعة والتقارير</v>
      </c>
      <c r="F50" s="14" t="str">
        <f>IFERROR(INDEX('قائمة الوحدات'!$F$2:$F$41,MATCH($B50,'قائمة الوحدات'!$A$2:$A$41,0)),"")</f>
        <v>إدارة المتابعة والتقارير</v>
      </c>
      <c r="G50" s="16" t="s">
        <v>61</v>
      </c>
      <c r="H50" s="14" t="str">
        <f>IFERROR(INDEX(المرجع!$A$2:$A$19,MATCH($G50,المرجع!$B$2:$B$19,0)),"")</f>
        <v>البناء المؤسسي</v>
      </c>
      <c r="I50" s="16" t="s">
        <v>56</v>
      </c>
      <c r="J50" s="14" t="str">
        <f>IFERROR(INDEX(المرجع!$D$2:$D$19,MATCH($I50,المرجع!$E$2:$E$19,0)),"")</f>
        <v>الموارد</v>
      </c>
      <c r="K50" s="16" t="s">
        <v>108</v>
      </c>
      <c r="L50" s="17" t="str">
        <f>IFERROR(INDEX('نقاط التحقق'!$G$2:$G$31,MATCH($K50,'نقاط التحقق'!$A$2:$A$31,0))&amp;"","")</f>
        <v>وجود مساحات مكتبية كافية</v>
      </c>
      <c r="M50" s="13">
        <v>75</v>
      </c>
      <c r="N50" s="15" t="str">
        <f>IF($M50="","غير مقيّمة",IF($M50&gt;المرجع!$K$3,"مستوفاة بشكل متقدم",IF($M50&lt;=المرجع!$K$2,"مستوفاة بشكل أولي","مستوفاة بشكل جزئي")))</f>
        <v>مستوفاة بشكل متقدم</v>
      </c>
      <c r="O50" s="18" t="s">
        <v>2171</v>
      </c>
    </row>
    <row r="51" spans="1:15">
      <c r="A51" s="16" t="s">
        <v>285</v>
      </c>
      <c r="B51" s="16" t="s">
        <v>146</v>
      </c>
      <c r="C51" s="15" t="str">
        <f>IFERROR(INDEX('قائمة الوحدات'!$B$2:$B$41,MATCH($B51,'قائمة الوحدات'!$A$2:$A$41,0)),"")</f>
        <v>TOP</v>
      </c>
      <c r="D51" s="14" t="str">
        <f>IFERROR(INDEX('قائمة الوحدات'!$C$2:$C$41,MATCH($B51,'قائمة الوحدات'!$A$2:$A$41,0)),"")</f>
        <v>المرتبطة بسمو الوزير</v>
      </c>
      <c r="E51" s="14" t="str">
        <f>IFERROR(INDEX('قائمة الوحدات'!$D$2:$D$41,MATCH($B51,'قائمة الوحدات'!$A$2:$A$41,0)),"")</f>
        <v>إدارة المتابعة والتقارير</v>
      </c>
      <c r="F51" s="14" t="str">
        <f>IFERROR(INDEX('قائمة الوحدات'!$F$2:$F$41,MATCH($B51,'قائمة الوحدات'!$A$2:$A$41,0)),"")</f>
        <v>إدارة المتابعة والتقارير</v>
      </c>
      <c r="G51" s="16" t="s">
        <v>61</v>
      </c>
      <c r="H51" s="14" t="str">
        <f>IFERROR(INDEX(المرجع!$A$2:$A$19,MATCH($G51,المرجع!$B$2:$B$19,0)),"")</f>
        <v>البناء المؤسسي</v>
      </c>
      <c r="I51" s="16" t="s">
        <v>56</v>
      </c>
      <c r="J51" s="14" t="str">
        <f>IFERROR(INDEX(المرجع!$D$2:$D$19,MATCH($I51,المرجع!$E$2:$E$19,0)),"")</f>
        <v>الموارد</v>
      </c>
      <c r="K51" s="16" t="s">
        <v>110</v>
      </c>
      <c r="L51" s="17" t="str">
        <f>IFERROR(INDEX('نقاط التحقق'!$G$2:$G$31,MATCH($K51,'نقاط التحقق'!$A$2:$A$31,0))&amp;"","")</f>
        <v>وجود الاحتياجات التقنية الأساسية</v>
      </c>
      <c r="M51" s="13">
        <v>70</v>
      </c>
      <c r="N51" s="15" t="str">
        <f>IF($M51="","غير مقيّمة",IF($M51&gt;المرجع!$K$3,"مستوفاة بشكل متقدم",IF($M51&lt;=المرجع!$K$2,"مستوفاة بشكل أولي","مستوفاة بشكل جزئي")))</f>
        <v>مستوفاة بشكل جزئي</v>
      </c>
      <c r="O51" s="18" t="s">
        <v>2171</v>
      </c>
    </row>
    <row r="52" spans="1:15">
      <c r="A52" s="16" t="s">
        <v>286</v>
      </c>
      <c r="B52" s="16" t="s">
        <v>146</v>
      </c>
      <c r="C52" s="15" t="str">
        <f>IFERROR(INDEX('قائمة الوحدات'!$B$2:$B$41,MATCH($B52,'قائمة الوحدات'!$A$2:$A$41,0)),"")</f>
        <v>TOP</v>
      </c>
      <c r="D52" s="14" t="str">
        <f>IFERROR(INDEX('قائمة الوحدات'!$C$2:$C$41,MATCH($B52,'قائمة الوحدات'!$A$2:$A$41,0)),"")</f>
        <v>المرتبطة بسمو الوزير</v>
      </c>
      <c r="E52" s="14" t="str">
        <f>IFERROR(INDEX('قائمة الوحدات'!$D$2:$D$41,MATCH($B52,'قائمة الوحدات'!$A$2:$A$41,0)),"")</f>
        <v>إدارة المتابعة والتقارير</v>
      </c>
      <c r="F52" s="14" t="str">
        <f>IFERROR(INDEX('قائمة الوحدات'!$F$2:$F$41,MATCH($B52,'قائمة الوحدات'!$A$2:$A$41,0)),"")</f>
        <v>إدارة المتابعة والتقارير</v>
      </c>
      <c r="G52" s="16" t="s">
        <v>61</v>
      </c>
      <c r="H52" s="14" t="str">
        <f>IFERROR(INDEX(المرجع!$A$2:$A$19,MATCH($G52,المرجع!$B$2:$B$19,0)),"")</f>
        <v>البناء المؤسسي</v>
      </c>
      <c r="I52" s="16" t="s">
        <v>59</v>
      </c>
      <c r="J52" s="14" t="str">
        <f>IFERROR(INDEX(المرجع!$D$2:$D$19,MATCH($I52,المرجع!$E$2:$E$19,0)),"")</f>
        <v>الإجراءات</v>
      </c>
      <c r="K52" s="16" t="s">
        <v>112</v>
      </c>
      <c r="L52" s="17" t="str">
        <f>IFERROR(INDEX('نقاط التحقق'!$G$2:$G$31,MATCH($K52,'نقاط التحقق'!$A$2:$A$31,0))&amp;"","")</f>
        <v>إجراءات معتمدة للوحدة التنظيمية</v>
      </c>
      <c r="M52" s="13">
        <v>48</v>
      </c>
      <c r="N52" s="15" t="str">
        <f>IF($M52="","غير مقيّمة",IF($M52&gt;المرجع!$K$3,"مستوفاة بشكل متقدم",IF($M52&lt;=المرجع!$K$2,"مستوفاة بشكل أولي","مستوفاة بشكل جزئي")))</f>
        <v>مستوفاة بشكل جزئي</v>
      </c>
      <c r="O52" s="18" t="s">
        <v>2171</v>
      </c>
    </row>
    <row r="53" spans="1:15">
      <c r="A53" s="16" t="s">
        <v>287</v>
      </c>
      <c r="B53" s="16" t="s">
        <v>146</v>
      </c>
      <c r="C53" s="15" t="str">
        <f>IFERROR(INDEX('قائمة الوحدات'!$B$2:$B$41,MATCH($B53,'قائمة الوحدات'!$A$2:$A$41,0)),"")</f>
        <v>TOP</v>
      </c>
      <c r="D53" s="14" t="str">
        <f>IFERROR(INDEX('قائمة الوحدات'!$C$2:$C$41,MATCH($B53,'قائمة الوحدات'!$A$2:$A$41,0)),"")</f>
        <v>المرتبطة بسمو الوزير</v>
      </c>
      <c r="E53" s="14" t="str">
        <f>IFERROR(INDEX('قائمة الوحدات'!$D$2:$D$41,MATCH($B53,'قائمة الوحدات'!$A$2:$A$41,0)),"")</f>
        <v>إدارة المتابعة والتقارير</v>
      </c>
      <c r="F53" s="14" t="str">
        <f>IFERROR(INDEX('قائمة الوحدات'!$F$2:$F$41,MATCH($B53,'قائمة الوحدات'!$A$2:$A$41,0)),"")</f>
        <v>إدارة المتابعة والتقارير</v>
      </c>
      <c r="G53" s="16" t="s">
        <v>61</v>
      </c>
      <c r="H53" s="14" t="str">
        <f>IFERROR(INDEX(المرجع!$A$2:$A$19,MATCH($G53,المرجع!$B$2:$B$19,0)),"")</f>
        <v>البناء المؤسسي</v>
      </c>
      <c r="I53" s="16" t="s">
        <v>63</v>
      </c>
      <c r="J53" s="14" t="str">
        <f>IFERROR(INDEX(المرجع!$D$2:$D$19,MATCH($I53,المرجع!$E$2:$E$19,0)),"")</f>
        <v>إنتاج المخرج الأول</v>
      </c>
      <c r="K53" s="16" t="s">
        <v>114</v>
      </c>
      <c r="L53" s="17" t="str">
        <f>IFERROR(INDEX('نقاط التحقق'!$G$2:$G$31,MATCH($K53,'نقاط التحقق'!$A$2:$A$31,0))&amp;"","")</f>
        <v>إنتاج المخرج الأول من قبل الوحدة التنظيمية</v>
      </c>
      <c r="M53" s="13">
        <v>52</v>
      </c>
      <c r="N53" s="15" t="str">
        <f>IF($M53="","غير مقيّمة",IF($M53&gt;المرجع!$K$3,"مستوفاة بشكل متقدم",IF($M53&lt;=المرجع!$K$2,"مستوفاة بشكل أولي","مستوفاة بشكل جزئي")))</f>
        <v>مستوفاة بشكل جزئي</v>
      </c>
      <c r="O53" s="18" t="s">
        <v>2171</v>
      </c>
    </row>
    <row r="54" spans="1:15">
      <c r="A54" s="16" t="s">
        <v>288</v>
      </c>
      <c r="B54" s="16" t="s">
        <v>146</v>
      </c>
      <c r="C54" s="15" t="str">
        <f>IFERROR(INDEX('قائمة الوحدات'!$B$2:$B$41,MATCH($B54,'قائمة الوحدات'!$A$2:$A$41,0)),"")</f>
        <v>TOP</v>
      </c>
      <c r="D54" s="14" t="str">
        <f>IFERROR(INDEX('قائمة الوحدات'!$C$2:$C$41,MATCH($B54,'قائمة الوحدات'!$A$2:$A$41,0)),"")</f>
        <v>المرتبطة بسمو الوزير</v>
      </c>
      <c r="E54" s="14" t="str">
        <f>IFERROR(INDEX('قائمة الوحدات'!$D$2:$D$41,MATCH($B54,'قائمة الوحدات'!$A$2:$A$41,0)),"")</f>
        <v>إدارة المتابعة والتقارير</v>
      </c>
      <c r="F54" s="14" t="str">
        <f>IFERROR(INDEX('قائمة الوحدات'!$F$2:$F$41,MATCH($B54,'قائمة الوحدات'!$A$2:$A$41,0)),"")</f>
        <v>إدارة المتابعة والتقارير</v>
      </c>
      <c r="G54" s="16" t="s">
        <v>65</v>
      </c>
      <c r="H54" s="14" t="str">
        <f>IFERROR(INDEX(المرجع!$A$2:$A$19,MATCH($G54,المرجع!$B$2:$B$19,0)),"")</f>
        <v>التشغيل</v>
      </c>
      <c r="I54" s="16" t="s">
        <v>48</v>
      </c>
      <c r="J54" s="14" t="str">
        <f>IFERROR(INDEX(المرجع!$D$2:$D$19,MATCH($I54,المرجع!$E$2:$E$19,0)),"")</f>
        <v>الأهداف ومؤشرات الأداء</v>
      </c>
      <c r="K54" s="16" t="s">
        <v>116</v>
      </c>
      <c r="L54" s="17" t="str">
        <f>IFERROR(INDEX('نقاط التحقق'!$G$2:$G$31,MATCH($K54,'نقاط التحقق'!$A$2:$A$31,0))&amp;"","")</f>
        <v>تحرك مؤشرات الأداء التشغيلي للوحدة التنظيمية بشكل إيجابي</v>
      </c>
      <c r="M54" s="13">
        <v>55</v>
      </c>
      <c r="N54" s="15" t="str">
        <f>IF($M54="","غير مقيّمة",IF($M54&gt;المرجع!$K$3,"مستوفاة بشكل متقدم",IF($M54&lt;=المرجع!$K$2,"مستوفاة بشكل أولي","مستوفاة بشكل جزئي")))</f>
        <v>مستوفاة بشكل جزئي</v>
      </c>
      <c r="O54" s="18" t="s">
        <v>2171</v>
      </c>
    </row>
    <row r="55" spans="1:15">
      <c r="A55" s="16" t="s">
        <v>289</v>
      </c>
      <c r="B55" s="16" t="s">
        <v>146</v>
      </c>
      <c r="C55" s="15" t="str">
        <f>IFERROR(INDEX('قائمة الوحدات'!$B$2:$B$41,MATCH($B55,'قائمة الوحدات'!$A$2:$A$41,0)),"")</f>
        <v>TOP</v>
      </c>
      <c r="D55" s="14" t="str">
        <f>IFERROR(INDEX('قائمة الوحدات'!$C$2:$C$41,MATCH($B55,'قائمة الوحدات'!$A$2:$A$41,0)),"")</f>
        <v>المرتبطة بسمو الوزير</v>
      </c>
      <c r="E55" s="14" t="str">
        <f>IFERROR(INDEX('قائمة الوحدات'!$D$2:$D$41,MATCH($B55,'قائمة الوحدات'!$A$2:$A$41,0)),"")</f>
        <v>إدارة المتابعة والتقارير</v>
      </c>
      <c r="F55" s="14" t="str">
        <f>IFERROR(INDEX('قائمة الوحدات'!$F$2:$F$41,MATCH($B55,'قائمة الوحدات'!$A$2:$A$41,0)),"")</f>
        <v>إدارة المتابعة والتقارير</v>
      </c>
      <c r="G55" s="16" t="s">
        <v>65</v>
      </c>
      <c r="H55" s="14" t="str">
        <f>IFERROR(INDEX(المرجع!$A$2:$A$19,MATCH($G55,المرجع!$B$2:$B$19,0)),"")</f>
        <v>التشغيل</v>
      </c>
      <c r="I55" s="16" t="s">
        <v>48</v>
      </c>
      <c r="J55" s="14" t="str">
        <f>IFERROR(INDEX(المرجع!$D$2:$D$19,MATCH($I55,المرجع!$E$2:$E$19,0)),"")</f>
        <v>الأهداف ومؤشرات الأداء</v>
      </c>
      <c r="K55" s="16" t="s">
        <v>118</v>
      </c>
      <c r="L55" s="17" t="str">
        <f>IFERROR(INDEX('نقاط التحقق'!$G$2:$G$31,MATCH($K55,'نقاط التحقق'!$A$2:$A$31,0))&amp;"","")</f>
        <v>خطة سنوية معتمدة للوحدة التنظيمية</v>
      </c>
      <c r="M55" s="13">
        <v>45</v>
      </c>
      <c r="N55" s="15" t="str">
        <f>IF($M55="","غير مقيّمة",IF($M55&gt;المرجع!$K$3,"مستوفاة بشكل متقدم",IF($M55&lt;=المرجع!$K$2,"مستوفاة بشكل أولي","مستوفاة بشكل جزئي")))</f>
        <v>مستوفاة بشكل جزئي</v>
      </c>
      <c r="O55" s="18" t="s">
        <v>2171</v>
      </c>
    </row>
    <row r="56" spans="1:15">
      <c r="A56" s="16" t="s">
        <v>290</v>
      </c>
      <c r="B56" s="16" t="s">
        <v>146</v>
      </c>
      <c r="C56" s="15" t="str">
        <f>IFERROR(INDEX('قائمة الوحدات'!$B$2:$B$41,MATCH($B56,'قائمة الوحدات'!$A$2:$A$41,0)),"")</f>
        <v>TOP</v>
      </c>
      <c r="D56" s="14" t="str">
        <f>IFERROR(INDEX('قائمة الوحدات'!$C$2:$C$41,MATCH($B56,'قائمة الوحدات'!$A$2:$A$41,0)),"")</f>
        <v>المرتبطة بسمو الوزير</v>
      </c>
      <c r="E56" s="14" t="str">
        <f>IFERROR(INDEX('قائمة الوحدات'!$D$2:$D$41,MATCH($B56,'قائمة الوحدات'!$A$2:$A$41,0)),"")</f>
        <v>إدارة المتابعة والتقارير</v>
      </c>
      <c r="F56" s="14" t="str">
        <f>IFERROR(INDEX('قائمة الوحدات'!$F$2:$F$41,MATCH($B56,'قائمة الوحدات'!$A$2:$A$41,0)),"")</f>
        <v>إدارة المتابعة والتقارير</v>
      </c>
      <c r="G56" s="16" t="s">
        <v>65</v>
      </c>
      <c r="H56" s="14" t="str">
        <f>IFERROR(INDEX(المرجع!$A$2:$A$19,MATCH($G56,المرجع!$B$2:$B$19,0)),"")</f>
        <v>التشغيل</v>
      </c>
      <c r="I56" s="16" t="s">
        <v>51</v>
      </c>
      <c r="J56" s="14" t="str">
        <f>IFERROR(INDEX(المرجع!$D$2:$D$19,MATCH($I56,المرجع!$E$2:$E$19,0)),"")</f>
        <v>الحوكمة</v>
      </c>
      <c r="K56" s="16" t="s">
        <v>120</v>
      </c>
      <c r="L56" s="17" t="str">
        <f>IFERROR(INDEX('نقاط التحقق'!$G$2:$G$31,MATCH($K56,'نقاط التحقق'!$A$2:$A$31,0))&amp;"","")</f>
        <v>محاضر لجان موثقة</v>
      </c>
      <c r="M56" s="13">
        <v>30</v>
      </c>
      <c r="N56" s="15" t="str">
        <f>IF($M56="","غير مقيّمة",IF($M56&gt;المرجع!$K$3,"مستوفاة بشكل متقدم",IF($M56&lt;=المرجع!$K$2,"مستوفاة بشكل أولي","مستوفاة بشكل جزئي")))</f>
        <v>مستوفاة بشكل أولي</v>
      </c>
      <c r="O56" s="18" t="s">
        <v>2171</v>
      </c>
    </row>
    <row r="57" spans="1:15">
      <c r="A57" s="16" t="s">
        <v>291</v>
      </c>
      <c r="B57" s="16" t="s">
        <v>146</v>
      </c>
      <c r="C57" s="15" t="str">
        <f>IFERROR(INDEX('قائمة الوحدات'!$B$2:$B$41,MATCH($B57,'قائمة الوحدات'!$A$2:$A$41,0)),"")</f>
        <v>TOP</v>
      </c>
      <c r="D57" s="14" t="str">
        <f>IFERROR(INDEX('قائمة الوحدات'!$C$2:$C$41,MATCH($B57,'قائمة الوحدات'!$A$2:$A$41,0)),"")</f>
        <v>المرتبطة بسمو الوزير</v>
      </c>
      <c r="E57" s="14" t="str">
        <f>IFERROR(INDEX('قائمة الوحدات'!$D$2:$D$41,MATCH($B57,'قائمة الوحدات'!$A$2:$A$41,0)),"")</f>
        <v>إدارة المتابعة والتقارير</v>
      </c>
      <c r="F57" s="14" t="str">
        <f>IFERROR(INDEX('قائمة الوحدات'!$F$2:$F$41,MATCH($B57,'قائمة الوحدات'!$A$2:$A$41,0)),"")</f>
        <v>إدارة المتابعة والتقارير</v>
      </c>
      <c r="G57" s="16" t="s">
        <v>65</v>
      </c>
      <c r="H57" s="14" t="str">
        <f>IFERROR(INDEX(المرجع!$A$2:$A$19,MATCH($G57,المرجع!$B$2:$B$19,0)),"")</f>
        <v>التشغيل</v>
      </c>
      <c r="I57" s="16" t="s">
        <v>51</v>
      </c>
      <c r="J57" s="14" t="str">
        <f>IFERROR(INDEX(المرجع!$D$2:$D$19,MATCH($I57,المرجع!$E$2:$E$19,0)),"")</f>
        <v>الحوكمة</v>
      </c>
      <c r="K57" s="16" t="s">
        <v>122</v>
      </c>
      <c r="L57" s="17" t="str">
        <f>IFERROR(INDEX('نقاط التحقق'!$G$2:$G$31,MATCH($K57,'نقاط التحقق'!$A$2:$A$31,0))&amp;"","")</f>
        <v>نشر السياسات التي تملكها الوحدة التنظيمية</v>
      </c>
      <c r="M57" s="13">
        <v>15</v>
      </c>
      <c r="N57" s="15" t="str">
        <f>IF($M57="","غير مقيّمة",IF($M57&gt;المرجع!$K$3,"مستوفاة بشكل متقدم",IF($M57&lt;=المرجع!$K$2,"مستوفاة بشكل أولي","مستوفاة بشكل جزئي")))</f>
        <v>مستوفاة بشكل أولي</v>
      </c>
      <c r="O57" s="18" t="s">
        <v>2171</v>
      </c>
    </row>
    <row r="58" spans="1:15">
      <c r="A58" s="16" t="s">
        <v>292</v>
      </c>
      <c r="B58" s="16" t="s">
        <v>146</v>
      </c>
      <c r="C58" s="15" t="str">
        <f>IFERROR(INDEX('قائمة الوحدات'!$B$2:$B$41,MATCH($B58,'قائمة الوحدات'!$A$2:$A$41,0)),"")</f>
        <v>TOP</v>
      </c>
      <c r="D58" s="14" t="str">
        <f>IFERROR(INDEX('قائمة الوحدات'!$C$2:$C$41,MATCH($B58,'قائمة الوحدات'!$A$2:$A$41,0)),"")</f>
        <v>المرتبطة بسمو الوزير</v>
      </c>
      <c r="E58" s="14" t="str">
        <f>IFERROR(INDEX('قائمة الوحدات'!$D$2:$D$41,MATCH($B58,'قائمة الوحدات'!$A$2:$A$41,0)),"")</f>
        <v>إدارة المتابعة والتقارير</v>
      </c>
      <c r="F58" s="14" t="str">
        <f>IFERROR(INDEX('قائمة الوحدات'!$F$2:$F$41,MATCH($B58,'قائمة الوحدات'!$A$2:$A$41,0)),"")</f>
        <v>إدارة المتابعة والتقارير</v>
      </c>
      <c r="G58" s="16" t="s">
        <v>65</v>
      </c>
      <c r="H58" s="14" t="str">
        <f>IFERROR(INDEX(المرجع!$A$2:$A$19,MATCH($G58,المرجع!$B$2:$B$19,0)),"")</f>
        <v>التشغيل</v>
      </c>
      <c r="I58" s="16" t="s">
        <v>51</v>
      </c>
      <c r="J58" s="14" t="str">
        <f>IFERROR(INDEX(المرجع!$D$2:$D$19,MATCH($I58,المرجع!$E$2:$E$19,0)),"")</f>
        <v>الحوكمة</v>
      </c>
      <c r="K58" s="16" t="s">
        <v>124</v>
      </c>
      <c r="L58" s="17" t="str">
        <f>IFERROR(INDEX('نقاط التحقق'!$G$2:$G$31,MATCH($K58,'نقاط التحقق'!$A$2:$A$31,0))&amp;"","")</f>
        <v>اتخاذ القرارات في نطاق الصلاحيات (وجود شواهد)</v>
      </c>
      <c r="M58" s="13">
        <v>30</v>
      </c>
      <c r="N58" s="15" t="str">
        <f>IF($M58="","غير مقيّمة",IF($M58&gt;المرجع!$K$3,"مستوفاة بشكل متقدم",IF($M58&lt;=المرجع!$K$2,"مستوفاة بشكل أولي","مستوفاة بشكل جزئي")))</f>
        <v>مستوفاة بشكل أولي</v>
      </c>
      <c r="O58" s="18" t="s">
        <v>2171</v>
      </c>
    </row>
    <row r="59" spans="1:15">
      <c r="A59" s="16" t="s">
        <v>293</v>
      </c>
      <c r="B59" s="16" t="s">
        <v>146</v>
      </c>
      <c r="C59" s="15" t="str">
        <f>IFERROR(INDEX('قائمة الوحدات'!$B$2:$B$41,MATCH($B59,'قائمة الوحدات'!$A$2:$A$41,0)),"")</f>
        <v>TOP</v>
      </c>
      <c r="D59" s="14" t="str">
        <f>IFERROR(INDEX('قائمة الوحدات'!$C$2:$C$41,MATCH($B59,'قائمة الوحدات'!$A$2:$A$41,0)),"")</f>
        <v>المرتبطة بسمو الوزير</v>
      </c>
      <c r="E59" s="14" t="str">
        <f>IFERROR(INDEX('قائمة الوحدات'!$D$2:$D$41,MATCH($B59,'قائمة الوحدات'!$A$2:$A$41,0)),"")</f>
        <v>إدارة المتابعة والتقارير</v>
      </c>
      <c r="F59" s="14" t="str">
        <f>IFERROR(INDEX('قائمة الوحدات'!$F$2:$F$41,MATCH($B59,'قائمة الوحدات'!$A$2:$A$41,0)),"")</f>
        <v>إدارة المتابعة والتقارير</v>
      </c>
      <c r="G59" s="16" t="s">
        <v>65</v>
      </c>
      <c r="H59" s="14" t="str">
        <f>IFERROR(INDEX(المرجع!$A$2:$A$19,MATCH($G59,المرجع!$B$2:$B$19,0)),"")</f>
        <v>التشغيل</v>
      </c>
      <c r="I59" s="16" t="s">
        <v>56</v>
      </c>
      <c r="J59" s="14" t="str">
        <f>IFERROR(INDEX(المرجع!$D$2:$D$19,MATCH($I59,المرجع!$E$2:$E$19,0)),"")</f>
        <v>الموارد</v>
      </c>
      <c r="K59" s="16" t="s">
        <v>126</v>
      </c>
      <c r="L59" s="17" t="str">
        <f>IFERROR(INDEX('نقاط التحقق'!$G$2:$G$31,MATCH($K59,'نقاط التحقق'!$A$2:$A$31,0))&amp;"","")</f>
        <v>موارد مستكملة للحد الأدنى الذي يغطي كافة محاور سلسلة القيمة</v>
      </c>
      <c r="M59" s="13">
        <v>56</v>
      </c>
      <c r="N59" s="15" t="str">
        <f>IF($M59="","غير مقيّمة",IF($M59&gt;المرجع!$K$3,"مستوفاة بشكل متقدم",IF($M59&lt;=المرجع!$K$2,"مستوفاة بشكل أولي","مستوفاة بشكل جزئي")))</f>
        <v>مستوفاة بشكل جزئي</v>
      </c>
      <c r="O59" s="18" t="s">
        <v>2171</v>
      </c>
    </row>
    <row r="60" spans="1:15">
      <c r="A60" s="16" t="s">
        <v>294</v>
      </c>
      <c r="B60" s="16" t="s">
        <v>146</v>
      </c>
      <c r="C60" s="15" t="str">
        <f>IFERROR(INDEX('قائمة الوحدات'!$B$2:$B$41,MATCH($B60,'قائمة الوحدات'!$A$2:$A$41,0)),"")</f>
        <v>TOP</v>
      </c>
      <c r="D60" s="14" t="str">
        <f>IFERROR(INDEX('قائمة الوحدات'!$C$2:$C$41,MATCH($B60,'قائمة الوحدات'!$A$2:$A$41,0)),"")</f>
        <v>المرتبطة بسمو الوزير</v>
      </c>
      <c r="E60" s="14" t="str">
        <f>IFERROR(INDEX('قائمة الوحدات'!$D$2:$D$41,MATCH($B60,'قائمة الوحدات'!$A$2:$A$41,0)),"")</f>
        <v>إدارة المتابعة والتقارير</v>
      </c>
      <c r="F60" s="14" t="str">
        <f>IFERROR(INDEX('قائمة الوحدات'!$F$2:$F$41,MATCH($B60,'قائمة الوحدات'!$A$2:$A$41,0)),"")</f>
        <v>إدارة المتابعة والتقارير</v>
      </c>
      <c r="G60" s="16" t="s">
        <v>65</v>
      </c>
      <c r="H60" s="14" t="str">
        <f>IFERROR(INDEX(المرجع!$A$2:$A$19,MATCH($G60,المرجع!$B$2:$B$19,0)),"")</f>
        <v>التشغيل</v>
      </c>
      <c r="I60" s="16" t="s">
        <v>59</v>
      </c>
      <c r="J60" s="14" t="str">
        <f>IFERROR(INDEX(المرجع!$D$2:$D$19,MATCH($I60,المرجع!$E$2:$E$19,0)),"")</f>
        <v>الإجراءات</v>
      </c>
      <c r="K60" s="16" t="s">
        <v>128</v>
      </c>
      <c r="L60" s="17" t="str">
        <f>IFERROR(INDEX('نقاط التحقق'!$G$2:$G$31,MATCH($K60,'نقاط التحقق'!$A$2:$A$31,0))&amp;"","")</f>
        <v>تحقيق تقييم "مطبق بشكل كامل" من منهجية تقييم فعالية الإجراءات</v>
      </c>
      <c r="M60" s="13">
        <v>47</v>
      </c>
      <c r="N60" s="15" t="str">
        <f>IF($M60="","غير مقيّمة",IF($M60&gt;المرجع!$K$3,"مستوفاة بشكل متقدم",IF($M60&lt;=المرجع!$K$2,"مستوفاة بشكل أولي","مستوفاة بشكل جزئي")))</f>
        <v>مستوفاة بشكل جزئي</v>
      </c>
      <c r="O60" s="18" t="s">
        <v>2171</v>
      </c>
    </row>
    <row r="61" spans="1:15">
      <c r="A61" s="16" t="s">
        <v>295</v>
      </c>
      <c r="B61" s="16" t="s">
        <v>146</v>
      </c>
      <c r="C61" s="15" t="str">
        <f>IFERROR(INDEX('قائمة الوحدات'!$B$2:$B$41,MATCH($B61,'قائمة الوحدات'!$A$2:$A$41,0)),"")</f>
        <v>TOP</v>
      </c>
      <c r="D61" s="14" t="str">
        <f>IFERROR(INDEX('قائمة الوحدات'!$C$2:$C$41,MATCH($B61,'قائمة الوحدات'!$A$2:$A$41,0)),"")</f>
        <v>المرتبطة بسمو الوزير</v>
      </c>
      <c r="E61" s="14" t="str">
        <f>IFERROR(INDEX('قائمة الوحدات'!$D$2:$D$41,MATCH($B61,'قائمة الوحدات'!$A$2:$A$41,0)),"")</f>
        <v>إدارة المتابعة والتقارير</v>
      </c>
      <c r="F61" s="14" t="str">
        <f>IFERROR(INDEX('قائمة الوحدات'!$F$2:$F$41,MATCH($B61,'قائمة الوحدات'!$A$2:$A$41,0)),"")</f>
        <v>إدارة المتابعة والتقارير</v>
      </c>
      <c r="G61" s="16" t="s">
        <v>65</v>
      </c>
      <c r="H61" s="14" t="str">
        <f>IFERROR(INDEX(المرجع!$A$2:$A$19,MATCH($G61,المرجع!$B$2:$B$19,0)),"")</f>
        <v>التشغيل</v>
      </c>
      <c r="I61" s="16" t="s">
        <v>67</v>
      </c>
      <c r="J61" s="14" t="str">
        <f>IFERROR(INDEX(المرجع!$D$2:$D$19,MATCH($I61,المرجع!$E$2:$E$19,0)),"")</f>
        <v>اكتمال المخرجات المستهدفة</v>
      </c>
      <c r="K61" s="16" t="s">
        <v>130</v>
      </c>
      <c r="L61" s="17" t="str">
        <f>IFERROR(INDEX('نقاط التحقق'!$G$2:$G$31,MATCH($K61,'نقاط التحقق'!$A$2:$A$31,0))&amp;"","")</f>
        <v>اكتمال مخرجات النموذج التشغيلي المستهدف للوحدة التنظيمية</v>
      </c>
      <c r="M61" s="13">
        <v>59</v>
      </c>
      <c r="N61" s="15" t="str">
        <f>IF($M61="","غير مقيّمة",IF($M61&gt;المرجع!$K$3,"مستوفاة بشكل متقدم",IF($M61&lt;=المرجع!$K$2,"مستوفاة بشكل أولي","مستوفاة بشكل جزئي")))</f>
        <v>مستوفاة بشكل جزئي</v>
      </c>
      <c r="O61" s="18" t="s">
        <v>2171</v>
      </c>
    </row>
    <row r="62" spans="1:15">
      <c r="A62" s="16" t="s">
        <v>296</v>
      </c>
      <c r="B62" s="16" t="s">
        <v>148</v>
      </c>
      <c r="C62" s="15" t="str">
        <f>IFERROR(INDEX('قائمة الوحدات'!$B$2:$B$41,MATCH($B62,'قائمة الوحدات'!$A$2:$A$41,0)),"")</f>
        <v>TOP</v>
      </c>
      <c r="D62" s="14" t="str">
        <f>IFERROR(INDEX('قائمة الوحدات'!$C$2:$C$41,MATCH($B62,'قائمة الوحدات'!$A$2:$A$41,0)),"")</f>
        <v>المرتبطة بسمو الوزير</v>
      </c>
      <c r="E62" s="14" t="str">
        <f>IFERROR(INDEX('قائمة الوحدات'!$D$2:$D$41,MATCH($B62,'قائمة الوحدات'!$A$2:$A$41,0)),"")</f>
        <v>إدارة الحوكمة والمخاطر</v>
      </c>
      <c r="F62" s="14" t="str">
        <f>IFERROR(INDEX('قائمة الوحدات'!$F$2:$F$41,MATCH($B62,'قائمة الوحدات'!$A$2:$A$41,0)),"")</f>
        <v>إدارة الحوكمة والمخاطر</v>
      </c>
      <c r="G62" s="16" t="s">
        <v>43</v>
      </c>
      <c r="H62" s="14" t="str">
        <f>IFERROR(INDEX(المرجع!$A$2:$A$19,MATCH($G62,المرجع!$B$2:$B$19,0)),"")</f>
        <v>التصميم</v>
      </c>
      <c r="I62" s="16" t="s">
        <v>45</v>
      </c>
      <c r="J62" s="14" t="str">
        <f>IFERROR(INDEX(المرجع!$D$2:$D$19,MATCH($I62,المرجع!$E$2:$E$19,0)),"")</f>
        <v>الدور</v>
      </c>
      <c r="K62" s="16" t="s">
        <v>72</v>
      </c>
      <c r="L62" s="17" t="str">
        <f>IFERROR(INDEX('نقاط التحقق'!$G$2:$G$31,MATCH($K62,'نقاط التحقق'!$A$2:$A$31,0))&amp;"","")</f>
        <v>دور مفصل للوحدة التنظيمية</v>
      </c>
      <c r="M62" s="13">
        <v>74</v>
      </c>
      <c r="N62" s="15" t="str">
        <f>IF($M62="","غير مقيّمة",IF($M62&gt;المرجع!$K$3,"مستوفاة بشكل متقدم",IF($M62&lt;=المرجع!$K$2,"مستوفاة بشكل أولي","مستوفاة بشكل جزئي")))</f>
        <v>مستوفاة بشكل متقدم</v>
      </c>
      <c r="O62" s="18" t="s">
        <v>2171</v>
      </c>
    </row>
    <row r="63" spans="1:15">
      <c r="A63" s="16" t="s">
        <v>297</v>
      </c>
      <c r="B63" s="16" t="s">
        <v>148</v>
      </c>
      <c r="C63" s="15" t="str">
        <f>IFERROR(INDEX('قائمة الوحدات'!$B$2:$B$41,MATCH($B63,'قائمة الوحدات'!$A$2:$A$41,0)),"")</f>
        <v>TOP</v>
      </c>
      <c r="D63" s="14" t="str">
        <f>IFERROR(INDEX('قائمة الوحدات'!$C$2:$C$41,MATCH($B63,'قائمة الوحدات'!$A$2:$A$41,0)),"")</f>
        <v>المرتبطة بسمو الوزير</v>
      </c>
      <c r="E63" s="14" t="str">
        <f>IFERROR(INDEX('قائمة الوحدات'!$D$2:$D$41,MATCH($B63,'قائمة الوحدات'!$A$2:$A$41,0)),"")</f>
        <v>إدارة الحوكمة والمخاطر</v>
      </c>
      <c r="F63" s="14" t="str">
        <f>IFERROR(INDEX('قائمة الوحدات'!$F$2:$F$41,MATCH($B63,'قائمة الوحدات'!$A$2:$A$41,0)),"")</f>
        <v>إدارة الحوكمة والمخاطر</v>
      </c>
      <c r="G63" s="16" t="s">
        <v>43</v>
      </c>
      <c r="H63" s="14" t="str">
        <f>IFERROR(INDEX(المرجع!$A$2:$A$19,MATCH($G63,المرجع!$B$2:$B$19,0)),"")</f>
        <v>التصميم</v>
      </c>
      <c r="I63" s="16" t="s">
        <v>48</v>
      </c>
      <c r="J63" s="14" t="str">
        <f>IFERROR(INDEX(المرجع!$D$2:$D$19,MATCH($I63,المرجع!$E$2:$E$19,0)),"")</f>
        <v>الأهداف ومؤشرات الأداء</v>
      </c>
      <c r="K63" s="16" t="s">
        <v>74</v>
      </c>
      <c r="L63" s="17" t="str">
        <f>IFERROR(INDEX('نقاط التحقق'!$G$2:$G$31,MATCH($K63,'نقاط التحقق'!$A$2:$A$31,0))&amp;"","")</f>
        <v>أهداف محددة للوحدة التنظيمية وربطها بمؤشرات أداء لقياسها</v>
      </c>
      <c r="M63" s="13">
        <v>90</v>
      </c>
      <c r="N63" s="15" t="str">
        <f>IF($M63="","غير مقيّمة",IF($M63&gt;المرجع!$K$3,"مستوفاة بشكل متقدم",IF($M63&lt;=المرجع!$K$2,"مستوفاة بشكل أولي","مستوفاة بشكل جزئي")))</f>
        <v>مستوفاة بشكل متقدم</v>
      </c>
      <c r="O63" s="18" t="s">
        <v>2171</v>
      </c>
    </row>
    <row r="64" spans="1:15">
      <c r="A64" s="16" t="s">
        <v>298</v>
      </c>
      <c r="B64" s="16" t="s">
        <v>148</v>
      </c>
      <c r="C64" s="15" t="str">
        <f>IFERROR(INDEX('قائمة الوحدات'!$B$2:$B$41,MATCH($B64,'قائمة الوحدات'!$A$2:$A$41,0)),"")</f>
        <v>TOP</v>
      </c>
      <c r="D64" s="14" t="str">
        <f>IFERROR(INDEX('قائمة الوحدات'!$C$2:$C$41,MATCH($B64,'قائمة الوحدات'!$A$2:$A$41,0)),"")</f>
        <v>المرتبطة بسمو الوزير</v>
      </c>
      <c r="E64" s="14" t="str">
        <f>IFERROR(INDEX('قائمة الوحدات'!$D$2:$D$41,MATCH($B64,'قائمة الوحدات'!$A$2:$A$41,0)),"")</f>
        <v>إدارة الحوكمة والمخاطر</v>
      </c>
      <c r="F64" s="14" t="str">
        <f>IFERROR(INDEX('قائمة الوحدات'!$F$2:$F$41,MATCH($B64,'قائمة الوحدات'!$A$2:$A$41,0)),"")</f>
        <v>إدارة الحوكمة والمخاطر</v>
      </c>
      <c r="G64" s="16" t="s">
        <v>43</v>
      </c>
      <c r="H64" s="14" t="str">
        <f>IFERROR(INDEX(المرجع!$A$2:$A$19,MATCH($G64,المرجع!$B$2:$B$19,0)),"")</f>
        <v>التصميم</v>
      </c>
      <c r="I64" s="16" t="s">
        <v>48</v>
      </c>
      <c r="J64" s="14" t="str">
        <f>IFERROR(INDEX(المرجع!$D$2:$D$19,MATCH($I64,المرجع!$E$2:$E$19,0)),"")</f>
        <v>الأهداف ومؤشرات الأداء</v>
      </c>
      <c r="K64" s="16" t="s">
        <v>76</v>
      </c>
      <c r="L64" s="17" t="str">
        <f>IFERROR(INDEX('نقاط التحقق'!$G$2:$G$31,MATCH($K64,'نقاط التحقق'!$A$2:$A$31,0))&amp;"","")</f>
        <v>مؤشرات أداء الوحدة التنظيمية</v>
      </c>
      <c r="M64" s="13">
        <v>70</v>
      </c>
      <c r="N64" s="15" t="str">
        <f>IF($M64="","غير مقيّمة",IF($M64&gt;المرجع!$K$3,"مستوفاة بشكل متقدم",IF($M64&lt;=المرجع!$K$2,"مستوفاة بشكل أولي","مستوفاة بشكل جزئي")))</f>
        <v>مستوفاة بشكل جزئي</v>
      </c>
      <c r="O64" s="18" t="s">
        <v>2171</v>
      </c>
    </row>
    <row r="65" spans="1:15">
      <c r="A65" s="16" t="s">
        <v>299</v>
      </c>
      <c r="B65" s="16" t="s">
        <v>148</v>
      </c>
      <c r="C65" s="15" t="str">
        <f>IFERROR(INDEX('قائمة الوحدات'!$B$2:$B$41,MATCH($B65,'قائمة الوحدات'!$A$2:$A$41,0)),"")</f>
        <v>TOP</v>
      </c>
      <c r="D65" s="14" t="str">
        <f>IFERROR(INDEX('قائمة الوحدات'!$C$2:$C$41,MATCH($B65,'قائمة الوحدات'!$A$2:$A$41,0)),"")</f>
        <v>المرتبطة بسمو الوزير</v>
      </c>
      <c r="E65" s="14" t="str">
        <f>IFERROR(INDEX('قائمة الوحدات'!$D$2:$D$41,MATCH($B65,'قائمة الوحدات'!$A$2:$A$41,0)),"")</f>
        <v>إدارة الحوكمة والمخاطر</v>
      </c>
      <c r="F65" s="14" t="str">
        <f>IFERROR(INDEX('قائمة الوحدات'!$F$2:$F$41,MATCH($B65,'قائمة الوحدات'!$A$2:$A$41,0)),"")</f>
        <v>إدارة الحوكمة والمخاطر</v>
      </c>
      <c r="G65" s="16" t="s">
        <v>43</v>
      </c>
      <c r="H65" s="14" t="str">
        <f>IFERROR(INDEX(المرجع!$A$2:$A$19,MATCH($G65,المرجع!$B$2:$B$19,0)),"")</f>
        <v>التصميم</v>
      </c>
      <c r="I65" s="16" t="s">
        <v>51</v>
      </c>
      <c r="J65" s="14" t="str">
        <f>IFERROR(INDEX(المرجع!$D$2:$D$19,MATCH($I65,المرجع!$E$2:$E$19,0)),"")</f>
        <v>الحوكمة</v>
      </c>
      <c r="K65" s="16" t="s">
        <v>78</v>
      </c>
      <c r="L65" s="17" t="str">
        <f>IFERROR(INDEX('نقاط التحقق'!$G$2:$G$31,MATCH($K65,'نقاط التحقق'!$A$2:$A$31,0))&amp;"","")</f>
        <v>تفصيل القرارات ومصفوفة الصلاحيات واللجان ذات العلاقة لاعتماد مخرجات الوحدة التنظيمية</v>
      </c>
      <c r="M65" s="13">
        <v>81</v>
      </c>
      <c r="N65" s="15" t="str">
        <f>IF($M65="","غير مقيّمة",IF($M65&gt;المرجع!$K$3,"مستوفاة بشكل متقدم",IF($M65&lt;=المرجع!$K$2,"مستوفاة بشكل أولي","مستوفاة بشكل جزئي")))</f>
        <v>مستوفاة بشكل متقدم</v>
      </c>
      <c r="O65" s="18" t="s">
        <v>2171</v>
      </c>
    </row>
    <row r="66" spans="1:15">
      <c r="A66" s="16" t="s">
        <v>300</v>
      </c>
      <c r="B66" s="16" t="s">
        <v>148</v>
      </c>
      <c r="C66" s="15" t="str">
        <f>IFERROR(INDEX('قائمة الوحدات'!$B$2:$B$41,MATCH($B66,'قائمة الوحدات'!$A$2:$A$41,0)),"")</f>
        <v>TOP</v>
      </c>
      <c r="D66" s="14" t="str">
        <f>IFERROR(INDEX('قائمة الوحدات'!$C$2:$C$41,MATCH($B66,'قائمة الوحدات'!$A$2:$A$41,0)),"")</f>
        <v>المرتبطة بسمو الوزير</v>
      </c>
      <c r="E66" s="14" t="str">
        <f>IFERROR(INDEX('قائمة الوحدات'!$D$2:$D$41,MATCH($B66,'قائمة الوحدات'!$A$2:$A$41,0)),"")</f>
        <v>إدارة الحوكمة والمخاطر</v>
      </c>
      <c r="F66" s="14" t="str">
        <f>IFERROR(INDEX('قائمة الوحدات'!$F$2:$F$41,MATCH($B66,'قائمة الوحدات'!$A$2:$A$41,0)),"")</f>
        <v>إدارة الحوكمة والمخاطر</v>
      </c>
      <c r="G66" s="16" t="s">
        <v>43</v>
      </c>
      <c r="H66" s="14" t="str">
        <f>IFERROR(INDEX(المرجع!$A$2:$A$19,MATCH($G66,المرجع!$B$2:$B$19,0)),"")</f>
        <v>التصميم</v>
      </c>
      <c r="I66" s="16" t="s">
        <v>54</v>
      </c>
      <c r="J66" s="14" t="str">
        <f>IFERROR(INDEX(المرجع!$D$2:$D$19,MATCH($I66,المرجع!$E$2:$E$19,0)),"")</f>
        <v>التنظيم</v>
      </c>
      <c r="K66" s="16" t="s">
        <v>80</v>
      </c>
      <c r="L66" s="17" t="str">
        <f>IFERROR(INDEX('نقاط التحقق'!$G$2:$G$31,MATCH($K66,'نقاط التحقق'!$A$2:$A$31,0))&amp;"","")</f>
        <v>تطوير الأدوار والمسؤوليات للوحدة التنظيمية وتفصيل الهيكل التنظيمي</v>
      </c>
      <c r="M66" s="13">
        <v>83</v>
      </c>
      <c r="N66" s="15" t="str">
        <f>IF($M66="","غير مقيّمة",IF($M66&gt;المرجع!$K$3,"مستوفاة بشكل متقدم",IF($M66&lt;=المرجع!$K$2,"مستوفاة بشكل أولي","مستوفاة بشكل جزئي")))</f>
        <v>مستوفاة بشكل متقدم</v>
      </c>
      <c r="O66" s="18" t="s">
        <v>2171</v>
      </c>
    </row>
    <row r="67" spans="1:15">
      <c r="A67" s="16" t="s">
        <v>301</v>
      </c>
      <c r="B67" s="16" t="s">
        <v>148</v>
      </c>
      <c r="C67" s="15" t="str">
        <f>IFERROR(INDEX('قائمة الوحدات'!$B$2:$B$41,MATCH($B67,'قائمة الوحدات'!$A$2:$A$41,0)),"")</f>
        <v>TOP</v>
      </c>
      <c r="D67" s="14" t="str">
        <f>IFERROR(INDEX('قائمة الوحدات'!$C$2:$C$41,MATCH($B67,'قائمة الوحدات'!$A$2:$A$41,0)),"")</f>
        <v>المرتبطة بسمو الوزير</v>
      </c>
      <c r="E67" s="14" t="str">
        <f>IFERROR(INDEX('قائمة الوحدات'!$D$2:$D$41,MATCH($B67,'قائمة الوحدات'!$A$2:$A$41,0)),"")</f>
        <v>إدارة الحوكمة والمخاطر</v>
      </c>
      <c r="F67" s="14" t="str">
        <f>IFERROR(INDEX('قائمة الوحدات'!$F$2:$F$41,MATCH($B67,'قائمة الوحدات'!$A$2:$A$41,0)),"")</f>
        <v>إدارة الحوكمة والمخاطر</v>
      </c>
      <c r="G67" s="16" t="s">
        <v>43</v>
      </c>
      <c r="H67" s="14" t="str">
        <f>IFERROR(INDEX(المرجع!$A$2:$A$19,MATCH($G67,المرجع!$B$2:$B$19,0)),"")</f>
        <v>التصميم</v>
      </c>
      <c r="I67" s="16" t="s">
        <v>56</v>
      </c>
      <c r="J67" s="14" t="str">
        <f>IFERROR(INDEX(المرجع!$D$2:$D$19,MATCH($I67,المرجع!$E$2:$E$19,0)),"")</f>
        <v>الموارد</v>
      </c>
      <c r="K67" s="16" t="s">
        <v>82</v>
      </c>
      <c r="L67" s="17" t="str">
        <f>IFERROR(INDEX('نقاط التحقق'!$G$2:$G$31,MATCH($K67,'نقاط التحقق'!$A$2:$A$31,0))&amp;"","")</f>
        <v>تفصيل احتياج الموارد البشرية للوحدة التنظيمية</v>
      </c>
      <c r="M67" s="13">
        <v>89</v>
      </c>
      <c r="N67" s="15" t="str">
        <f>IF($M67="","غير مقيّمة",IF($M67&gt;المرجع!$K$3,"مستوفاة بشكل متقدم",IF($M67&lt;=المرجع!$K$2,"مستوفاة بشكل أولي","مستوفاة بشكل جزئي")))</f>
        <v>مستوفاة بشكل متقدم</v>
      </c>
      <c r="O67" s="18" t="s">
        <v>2171</v>
      </c>
    </row>
    <row r="68" spans="1:15">
      <c r="A68" s="16" t="s">
        <v>302</v>
      </c>
      <c r="B68" s="16" t="s">
        <v>148</v>
      </c>
      <c r="C68" s="15" t="str">
        <f>IFERROR(INDEX('قائمة الوحدات'!$B$2:$B$41,MATCH($B68,'قائمة الوحدات'!$A$2:$A$41,0)),"")</f>
        <v>TOP</v>
      </c>
      <c r="D68" s="14" t="str">
        <f>IFERROR(INDEX('قائمة الوحدات'!$C$2:$C$41,MATCH($B68,'قائمة الوحدات'!$A$2:$A$41,0)),"")</f>
        <v>المرتبطة بسمو الوزير</v>
      </c>
      <c r="E68" s="14" t="str">
        <f>IFERROR(INDEX('قائمة الوحدات'!$D$2:$D$41,MATCH($B68,'قائمة الوحدات'!$A$2:$A$41,0)),"")</f>
        <v>إدارة الحوكمة والمخاطر</v>
      </c>
      <c r="F68" s="14" t="str">
        <f>IFERROR(INDEX('قائمة الوحدات'!$F$2:$F$41,MATCH($B68,'قائمة الوحدات'!$A$2:$A$41,0)),"")</f>
        <v>إدارة الحوكمة والمخاطر</v>
      </c>
      <c r="G68" s="16" t="s">
        <v>43</v>
      </c>
      <c r="H68" s="14" t="str">
        <f>IFERROR(INDEX(المرجع!$A$2:$A$19,MATCH($G68,المرجع!$B$2:$B$19,0)),"")</f>
        <v>التصميم</v>
      </c>
      <c r="I68" s="16" t="s">
        <v>59</v>
      </c>
      <c r="J68" s="14" t="str">
        <f>IFERROR(INDEX(المرجع!$D$2:$D$19,MATCH($I68,المرجع!$E$2:$E$19,0)),"")</f>
        <v>الإجراءات</v>
      </c>
      <c r="K68" s="16" t="s">
        <v>84</v>
      </c>
      <c r="L68" s="17" t="str">
        <f>IFERROR(INDEX('نقاط التحقق'!$G$2:$G$31,MATCH($K68,'نقاط التحقق'!$A$2:$A$31,0))&amp;"","")</f>
        <v>تفصيل المخرجات إلى إجراءات عالية المستوى</v>
      </c>
      <c r="M68" s="13">
        <v>68</v>
      </c>
      <c r="N68" s="15" t="str">
        <f>IF($M68="","غير مقيّمة",IF($M68&gt;المرجع!$K$3,"مستوفاة بشكل متقدم",IF($M68&lt;=المرجع!$K$2,"مستوفاة بشكل أولي","مستوفاة بشكل جزئي")))</f>
        <v>مستوفاة بشكل جزئي</v>
      </c>
      <c r="O68" s="18" t="s">
        <v>2171</v>
      </c>
    </row>
    <row r="69" spans="1:15">
      <c r="A69" s="16" t="s">
        <v>303</v>
      </c>
      <c r="B69" s="16" t="s">
        <v>148</v>
      </c>
      <c r="C69" s="15" t="str">
        <f>IFERROR(INDEX('قائمة الوحدات'!$B$2:$B$41,MATCH($B69,'قائمة الوحدات'!$A$2:$A$41,0)),"")</f>
        <v>TOP</v>
      </c>
      <c r="D69" s="14" t="str">
        <f>IFERROR(INDEX('قائمة الوحدات'!$C$2:$C$41,MATCH($B69,'قائمة الوحدات'!$A$2:$A$41,0)),"")</f>
        <v>المرتبطة بسمو الوزير</v>
      </c>
      <c r="E69" s="14" t="str">
        <f>IFERROR(INDEX('قائمة الوحدات'!$D$2:$D$41,MATCH($B69,'قائمة الوحدات'!$A$2:$A$41,0)),"")</f>
        <v>إدارة الحوكمة والمخاطر</v>
      </c>
      <c r="F69" s="14" t="str">
        <f>IFERROR(INDEX('قائمة الوحدات'!$F$2:$F$41,MATCH($B69,'قائمة الوحدات'!$A$2:$A$41,0)),"")</f>
        <v>إدارة الحوكمة والمخاطر</v>
      </c>
      <c r="G69" s="16" t="s">
        <v>61</v>
      </c>
      <c r="H69" s="14" t="str">
        <f>IFERROR(INDEX(المرجع!$A$2:$A$19,MATCH($G69,المرجع!$B$2:$B$19,0)),"")</f>
        <v>البناء المؤسسي</v>
      </c>
      <c r="I69" s="16" t="s">
        <v>45</v>
      </c>
      <c r="J69" s="14" t="str">
        <f>IFERROR(INDEX(المرجع!$D$2:$D$19,MATCH($I69,المرجع!$E$2:$E$19,0)),"")</f>
        <v>الدور</v>
      </c>
      <c r="K69" s="16" t="s">
        <v>86</v>
      </c>
      <c r="L69" s="17" t="str">
        <f>IFERROR(INDEX('نقاط التحقق'!$G$2:$G$31,MATCH($K69,'نقاط التحقق'!$A$2:$A$31,0))&amp;"","")</f>
        <v>دور معتمد للوحدة التنظيمية</v>
      </c>
      <c r="M69" s="13">
        <v>56</v>
      </c>
      <c r="N69" s="15" t="str">
        <f>IF($M69="","غير مقيّمة",IF($M69&gt;المرجع!$K$3,"مستوفاة بشكل متقدم",IF($M69&lt;=المرجع!$K$2,"مستوفاة بشكل أولي","مستوفاة بشكل جزئي")))</f>
        <v>مستوفاة بشكل جزئي</v>
      </c>
      <c r="O69" s="18" t="s">
        <v>2171</v>
      </c>
    </row>
    <row r="70" spans="1:15">
      <c r="A70" s="16" t="s">
        <v>304</v>
      </c>
      <c r="B70" s="16" t="s">
        <v>148</v>
      </c>
      <c r="C70" s="15" t="str">
        <f>IFERROR(INDEX('قائمة الوحدات'!$B$2:$B$41,MATCH($B70,'قائمة الوحدات'!$A$2:$A$41,0)),"")</f>
        <v>TOP</v>
      </c>
      <c r="D70" s="14" t="str">
        <f>IFERROR(INDEX('قائمة الوحدات'!$C$2:$C$41,MATCH($B70,'قائمة الوحدات'!$A$2:$A$41,0)),"")</f>
        <v>المرتبطة بسمو الوزير</v>
      </c>
      <c r="E70" s="14" t="str">
        <f>IFERROR(INDEX('قائمة الوحدات'!$D$2:$D$41,MATCH($B70,'قائمة الوحدات'!$A$2:$A$41,0)),"")</f>
        <v>إدارة الحوكمة والمخاطر</v>
      </c>
      <c r="F70" s="14" t="str">
        <f>IFERROR(INDEX('قائمة الوحدات'!$F$2:$F$41,MATCH($B70,'قائمة الوحدات'!$A$2:$A$41,0)),"")</f>
        <v>إدارة الحوكمة والمخاطر</v>
      </c>
      <c r="G70" s="16" t="s">
        <v>61</v>
      </c>
      <c r="H70" s="14" t="str">
        <f>IFERROR(INDEX(المرجع!$A$2:$A$19,MATCH($G70,المرجع!$B$2:$B$19,0)),"")</f>
        <v>البناء المؤسسي</v>
      </c>
      <c r="I70" s="16" t="s">
        <v>48</v>
      </c>
      <c r="J70" s="14" t="str">
        <f>IFERROR(INDEX(المرجع!$D$2:$D$19,MATCH($I70,المرجع!$E$2:$E$19,0)),"")</f>
        <v>الأهداف ومؤشرات الأداء</v>
      </c>
      <c r="K70" s="16" t="s">
        <v>88</v>
      </c>
      <c r="L70" s="17" t="str">
        <f>IFERROR(INDEX('نقاط التحقق'!$G$2:$G$31,MATCH($K70,'نقاط التحقق'!$A$2:$A$31,0))&amp;"","")</f>
        <v>أهداف تشغيلية معتمدة من صاحب الصلاحية</v>
      </c>
      <c r="M70" s="13">
        <v>85</v>
      </c>
      <c r="N70" s="15" t="str">
        <f>IF($M70="","غير مقيّمة",IF($M70&gt;المرجع!$K$3,"مستوفاة بشكل متقدم",IF($M70&lt;=المرجع!$K$2,"مستوفاة بشكل أولي","مستوفاة بشكل جزئي")))</f>
        <v>مستوفاة بشكل متقدم</v>
      </c>
      <c r="O70" s="18" t="s">
        <v>2171</v>
      </c>
    </row>
    <row r="71" spans="1:15">
      <c r="A71" s="16" t="s">
        <v>305</v>
      </c>
      <c r="B71" s="16" t="s">
        <v>148</v>
      </c>
      <c r="C71" s="15" t="str">
        <f>IFERROR(INDEX('قائمة الوحدات'!$B$2:$B$41,MATCH($B71,'قائمة الوحدات'!$A$2:$A$41,0)),"")</f>
        <v>TOP</v>
      </c>
      <c r="D71" s="14" t="str">
        <f>IFERROR(INDEX('قائمة الوحدات'!$C$2:$C$41,MATCH($B71,'قائمة الوحدات'!$A$2:$A$41,0)),"")</f>
        <v>المرتبطة بسمو الوزير</v>
      </c>
      <c r="E71" s="14" t="str">
        <f>IFERROR(INDEX('قائمة الوحدات'!$D$2:$D$41,MATCH($B71,'قائمة الوحدات'!$A$2:$A$41,0)),"")</f>
        <v>إدارة الحوكمة والمخاطر</v>
      </c>
      <c r="F71" s="14" t="str">
        <f>IFERROR(INDEX('قائمة الوحدات'!$F$2:$F$41,MATCH($B71,'قائمة الوحدات'!$A$2:$A$41,0)),"")</f>
        <v>إدارة الحوكمة والمخاطر</v>
      </c>
      <c r="G71" s="16" t="s">
        <v>61</v>
      </c>
      <c r="H71" s="14" t="str">
        <f>IFERROR(INDEX(المرجع!$A$2:$A$19,MATCH($G71,المرجع!$B$2:$B$19,0)),"")</f>
        <v>البناء المؤسسي</v>
      </c>
      <c r="I71" s="16" t="s">
        <v>48</v>
      </c>
      <c r="J71" s="14" t="str">
        <f>IFERROR(INDEX(المرجع!$D$2:$D$19,MATCH($I71,المرجع!$E$2:$E$19,0)),"")</f>
        <v>الأهداف ومؤشرات الأداء</v>
      </c>
      <c r="K71" s="16" t="s">
        <v>90</v>
      </c>
      <c r="L71" s="17" t="str">
        <f>IFERROR(INDEX('نقاط التحقق'!$G$2:$G$31,MATCH($K71,'نقاط التحقق'!$A$2:$A$31,0))&amp;"","")</f>
        <v>نشر الأهداف التشغيلية على موظفي الوحدة التنظيمية</v>
      </c>
      <c r="M71" s="13">
        <v>70</v>
      </c>
      <c r="N71" s="15" t="str">
        <f>IF($M71="","غير مقيّمة",IF($M71&gt;المرجع!$K$3,"مستوفاة بشكل متقدم",IF($M71&lt;=المرجع!$K$2,"مستوفاة بشكل أولي","مستوفاة بشكل جزئي")))</f>
        <v>مستوفاة بشكل جزئي</v>
      </c>
      <c r="O71" s="18" t="s">
        <v>2171</v>
      </c>
    </row>
    <row r="72" spans="1:15">
      <c r="A72" s="16" t="s">
        <v>306</v>
      </c>
      <c r="B72" s="16" t="s">
        <v>148</v>
      </c>
      <c r="C72" s="15" t="str">
        <f>IFERROR(INDEX('قائمة الوحدات'!$B$2:$B$41,MATCH($B72,'قائمة الوحدات'!$A$2:$A$41,0)),"")</f>
        <v>TOP</v>
      </c>
      <c r="D72" s="14" t="str">
        <f>IFERROR(INDEX('قائمة الوحدات'!$C$2:$C$41,MATCH($B72,'قائمة الوحدات'!$A$2:$A$41,0)),"")</f>
        <v>المرتبطة بسمو الوزير</v>
      </c>
      <c r="E72" s="14" t="str">
        <f>IFERROR(INDEX('قائمة الوحدات'!$D$2:$D$41,MATCH($B72,'قائمة الوحدات'!$A$2:$A$41,0)),"")</f>
        <v>إدارة الحوكمة والمخاطر</v>
      </c>
      <c r="F72" s="14" t="str">
        <f>IFERROR(INDEX('قائمة الوحدات'!$F$2:$F$41,MATCH($B72,'قائمة الوحدات'!$A$2:$A$41,0)),"")</f>
        <v>إدارة الحوكمة والمخاطر</v>
      </c>
      <c r="G72" s="16" t="s">
        <v>61</v>
      </c>
      <c r="H72" s="14" t="str">
        <f>IFERROR(INDEX(المرجع!$A$2:$A$19,MATCH($G72,المرجع!$B$2:$B$19,0)),"")</f>
        <v>البناء المؤسسي</v>
      </c>
      <c r="I72" s="16" t="s">
        <v>51</v>
      </c>
      <c r="J72" s="14" t="str">
        <f>IFERROR(INDEX(المرجع!$D$2:$D$19,MATCH($I72,المرجع!$E$2:$E$19,0)),"")</f>
        <v>الحوكمة</v>
      </c>
      <c r="K72" s="16" t="s">
        <v>92</v>
      </c>
      <c r="L72" s="17" t="str">
        <f>IFERROR(INDEX('نقاط التحقق'!$G$2:$G$31,MATCH($K72,'نقاط التحقق'!$A$2:$A$31,0))&amp;"","")</f>
        <v>مصفوفة صلاحيات معتمدة ومعممة على أصحاب المصلحة</v>
      </c>
      <c r="M72" s="13">
        <v>65</v>
      </c>
      <c r="N72" s="15" t="str">
        <f>IF($M72="","غير مقيّمة",IF($M72&gt;المرجع!$K$3,"مستوفاة بشكل متقدم",IF($M72&lt;=المرجع!$K$2,"مستوفاة بشكل أولي","مستوفاة بشكل جزئي")))</f>
        <v>مستوفاة بشكل جزئي</v>
      </c>
      <c r="O72" s="18" t="s">
        <v>2171</v>
      </c>
    </row>
    <row r="73" spans="1:15">
      <c r="A73" s="16" t="s">
        <v>307</v>
      </c>
      <c r="B73" s="16" t="s">
        <v>148</v>
      </c>
      <c r="C73" s="15" t="str">
        <f>IFERROR(INDEX('قائمة الوحدات'!$B$2:$B$41,MATCH($B73,'قائمة الوحدات'!$A$2:$A$41,0)),"")</f>
        <v>TOP</v>
      </c>
      <c r="D73" s="14" t="str">
        <f>IFERROR(INDEX('قائمة الوحدات'!$C$2:$C$41,MATCH($B73,'قائمة الوحدات'!$A$2:$A$41,0)),"")</f>
        <v>المرتبطة بسمو الوزير</v>
      </c>
      <c r="E73" s="14" t="str">
        <f>IFERROR(INDEX('قائمة الوحدات'!$D$2:$D$41,MATCH($B73,'قائمة الوحدات'!$A$2:$A$41,0)),"")</f>
        <v>إدارة الحوكمة والمخاطر</v>
      </c>
      <c r="F73" s="14" t="str">
        <f>IFERROR(INDEX('قائمة الوحدات'!$F$2:$F$41,MATCH($B73,'قائمة الوحدات'!$A$2:$A$41,0)),"")</f>
        <v>إدارة الحوكمة والمخاطر</v>
      </c>
      <c r="G73" s="16" t="s">
        <v>61</v>
      </c>
      <c r="H73" s="14" t="str">
        <f>IFERROR(INDEX(المرجع!$A$2:$A$19,MATCH($G73,المرجع!$B$2:$B$19,0)),"")</f>
        <v>البناء المؤسسي</v>
      </c>
      <c r="I73" s="16" t="s">
        <v>51</v>
      </c>
      <c r="J73" s="14" t="str">
        <f>IFERROR(INDEX(المرجع!$D$2:$D$19,MATCH($I73,المرجع!$E$2:$E$19,0)),"")</f>
        <v>الحوكمة</v>
      </c>
      <c r="K73" s="16" t="s">
        <v>94</v>
      </c>
      <c r="L73" s="17" t="str">
        <f>IFERROR(INDEX('نقاط التحقق'!$G$2:$G$31,MATCH($K73,'نقاط التحقق'!$A$2:$A$31,0))&amp;"","")</f>
        <v>سياسات معتمدة للتي تملكها الوحدة التنظيمية</v>
      </c>
      <c r="M73" s="13">
        <v>60</v>
      </c>
      <c r="N73" s="15" t="str">
        <f>IF($M73="","غير مقيّمة",IF($M73&gt;المرجع!$K$3,"مستوفاة بشكل متقدم",IF($M73&lt;=المرجع!$K$2,"مستوفاة بشكل أولي","مستوفاة بشكل جزئي")))</f>
        <v>مستوفاة بشكل جزئي</v>
      </c>
      <c r="O73" s="18" t="s">
        <v>2171</v>
      </c>
    </row>
    <row r="74" spans="1:15">
      <c r="A74" s="16" t="s">
        <v>308</v>
      </c>
      <c r="B74" s="16" t="s">
        <v>148</v>
      </c>
      <c r="C74" s="15" t="str">
        <f>IFERROR(INDEX('قائمة الوحدات'!$B$2:$B$41,MATCH($B74,'قائمة الوحدات'!$A$2:$A$41,0)),"")</f>
        <v>TOP</v>
      </c>
      <c r="D74" s="14" t="str">
        <f>IFERROR(INDEX('قائمة الوحدات'!$C$2:$C$41,MATCH($B74,'قائمة الوحدات'!$A$2:$A$41,0)),"")</f>
        <v>المرتبطة بسمو الوزير</v>
      </c>
      <c r="E74" s="14" t="str">
        <f>IFERROR(INDEX('قائمة الوحدات'!$D$2:$D$41,MATCH($B74,'قائمة الوحدات'!$A$2:$A$41,0)),"")</f>
        <v>إدارة الحوكمة والمخاطر</v>
      </c>
      <c r="F74" s="14" t="str">
        <f>IFERROR(INDEX('قائمة الوحدات'!$F$2:$F$41,MATCH($B74,'قائمة الوحدات'!$A$2:$A$41,0)),"")</f>
        <v>إدارة الحوكمة والمخاطر</v>
      </c>
      <c r="G74" s="16" t="s">
        <v>61</v>
      </c>
      <c r="H74" s="14" t="str">
        <f>IFERROR(INDEX(المرجع!$A$2:$A$19,MATCH($G74,المرجع!$B$2:$B$19,0)),"")</f>
        <v>البناء المؤسسي</v>
      </c>
      <c r="I74" s="16" t="s">
        <v>51</v>
      </c>
      <c r="J74" s="14" t="str">
        <f>IFERROR(INDEX(المرجع!$D$2:$D$19,MATCH($I74,المرجع!$E$2:$E$19,0)),"")</f>
        <v>الحوكمة</v>
      </c>
      <c r="K74" s="16" t="s">
        <v>96</v>
      </c>
      <c r="L74" s="17" t="str">
        <f>IFERROR(INDEX('نقاط التحقق'!$G$2:$G$31,MATCH($K74,'نقاط التحقق'!$A$2:$A$31,0))&amp;"","")</f>
        <v>قرار تشكيل معتمد للجان ذات العلاقة</v>
      </c>
      <c r="M74" s="13">
        <v>70</v>
      </c>
      <c r="N74" s="15" t="str">
        <f>IF($M74="","غير مقيّمة",IF($M74&gt;المرجع!$K$3,"مستوفاة بشكل متقدم",IF($M74&lt;=المرجع!$K$2,"مستوفاة بشكل أولي","مستوفاة بشكل جزئي")))</f>
        <v>مستوفاة بشكل جزئي</v>
      </c>
      <c r="O74" s="18" t="s">
        <v>2171</v>
      </c>
    </row>
    <row r="75" spans="1:15">
      <c r="A75" s="16" t="s">
        <v>309</v>
      </c>
      <c r="B75" s="16" t="s">
        <v>148</v>
      </c>
      <c r="C75" s="15" t="str">
        <f>IFERROR(INDEX('قائمة الوحدات'!$B$2:$B$41,MATCH($B75,'قائمة الوحدات'!$A$2:$A$41,0)),"")</f>
        <v>TOP</v>
      </c>
      <c r="D75" s="14" t="str">
        <f>IFERROR(INDEX('قائمة الوحدات'!$C$2:$C$41,MATCH($B75,'قائمة الوحدات'!$A$2:$A$41,0)),"")</f>
        <v>المرتبطة بسمو الوزير</v>
      </c>
      <c r="E75" s="14" t="str">
        <f>IFERROR(INDEX('قائمة الوحدات'!$D$2:$D$41,MATCH($B75,'قائمة الوحدات'!$A$2:$A$41,0)),"")</f>
        <v>إدارة الحوكمة والمخاطر</v>
      </c>
      <c r="F75" s="14" t="str">
        <f>IFERROR(INDEX('قائمة الوحدات'!$F$2:$F$41,MATCH($B75,'قائمة الوحدات'!$A$2:$A$41,0)),"")</f>
        <v>إدارة الحوكمة والمخاطر</v>
      </c>
      <c r="G75" s="16" t="s">
        <v>61</v>
      </c>
      <c r="H75" s="14" t="str">
        <f>IFERROR(INDEX(المرجع!$A$2:$A$19,MATCH($G75,المرجع!$B$2:$B$19,0)),"")</f>
        <v>البناء المؤسسي</v>
      </c>
      <c r="I75" s="16" t="s">
        <v>54</v>
      </c>
      <c r="J75" s="14" t="str">
        <f>IFERROR(INDEX(المرجع!$D$2:$D$19,MATCH($I75,المرجع!$E$2:$E$19,0)),"")</f>
        <v>التنظيم</v>
      </c>
      <c r="K75" s="16" t="s">
        <v>98</v>
      </c>
      <c r="L75" s="17" t="str">
        <f>IFERROR(INDEX('نقاط التحقق'!$G$2:$G$31,MATCH($K75,'نقاط التحقق'!$A$2:$A$31,0))&amp;"","")</f>
        <v>هيكل تنظيمي معتمد من صاحب الصلاحية</v>
      </c>
      <c r="M75" s="13">
        <v>30</v>
      </c>
      <c r="N75" s="15" t="str">
        <f>IF($M75="","غير مقيّمة",IF($M75&gt;المرجع!$K$3,"مستوفاة بشكل متقدم",IF($M75&lt;=المرجع!$K$2,"مستوفاة بشكل أولي","مستوفاة بشكل جزئي")))</f>
        <v>مستوفاة بشكل أولي</v>
      </c>
      <c r="O75" s="18" t="s">
        <v>2171</v>
      </c>
    </row>
    <row r="76" spans="1:15">
      <c r="A76" s="16" t="s">
        <v>310</v>
      </c>
      <c r="B76" s="16" t="s">
        <v>148</v>
      </c>
      <c r="C76" s="15" t="str">
        <f>IFERROR(INDEX('قائمة الوحدات'!$B$2:$B$41,MATCH($B76,'قائمة الوحدات'!$A$2:$A$41,0)),"")</f>
        <v>TOP</v>
      </c>
      <c r="D76" s="14" t="str">
        <f>IFERROR(INDEX('قائمة الوحدات'!$C$2:$C$41,MATCH($B76,'قائمة الوحدات'!$A$2:$A$41,0)),"")</f>
        <v>المرتبطة بسمو الوزير</v>
      </c>
      <c r="E76" s="14" t="str">
        <f>IFERROR(INDEX('قائمة الوحدات'!$D$2:$D$41,MATCH($B76,'قائمة الوحدات'!$A$2:$A$41,0)),"")</f>
        <v>إدارة الحوكمة والمخاطر</v>
      </c>
      <c r="F76" s="14" t="str">
        <f>IFERROR(INDEX('قائمة الوحدات'!$F$2:$F$41,MATCH($B76,'قائمة الوحدات'!$A$2:$A$41,0)),"")</f>
        <v>إدارة الحوكمة والمخاطر</v>
      </c>
      <c r="G76" s="16" t="s">
        <v>61</v>
      </c>
      <c r="H76" s="14" t="str">
        <f>IFERROR(INDEX(المرجع!$A$2:$A$19,MATCH($G76,المرجع!$B$2:$B$19,0)),"")</f>
        <v>البناء المؤسسي</v>
      </c>
      <c r="I76" s="16" t="s">
        <v>54</v>
      </c>
      <c r="J76" s="14" t="str">
        <f>IFERROR(INDEX(المرجع!$D$2:$D$19,MATCH($I76,المرجع!$E$2:$E$19,0)),"")</f>
        <v>التنظيم</v>
      </c>
      <c r="K76" s="16" t="s">
        <v>100</v>
      </c>
      <c r="L76" s="17" t="str">
        <f>IFERROR(INDEX('نقاط التحقق'!$G$2:$G$31,MATCH($K76,'نقاط التحقق'!$A$2:$A$31,0))&amp;"","")</f>
        <v>هيكل تنظيمي منشأ على نظام القوى العاملة</v>
      </c>
      <c r="M76" s="13">
        <v>45</v>
      </c>
      <c r="N76" s="15" t="str">
        <f>IF($M76="","غير مقيّمة",IF($M76&gt;المرجع!$K$3,"مستوفاة بشكل متقدم",IF($M76&lt;=المرجع!$K$2,"مستوفاة بشكل أولي","مستوفاة بشكل جزئي")))</f>
        <v>مستوفاة بشكل جزئي</v>
      </c>
      <c r="O76" s="18" t="s">
        <v>2171</v>
      </c>
    </row>
    <row r="77" spans="1:15">
      <c r="A77" s="16" t="s">
        <v>311</v>
      </c>
      <c r="B77" s="16" t="s">
        <v>148</v>
      </c>
      <c r="C77" s="15" t="str">
        <f>IFERROR(INDEX('قائمة الوحدات'!$B$2:$B$41,MATCH($B77,'قائمة الوحدات'!$A$2:$A$41,0)),"")</f>
        <v>TOP</v>
      </c>
      <c r="D77" s="14" t="str">
        <f>IFERROR(INDEX('قائمة الوحدات'!$C$2:$C$41,MATCH($B77,'قائمة الوحدات'!$A$2:$A$41,0)),"")</f>
        <v>المرتبطة بسمو الوزير</v>
      </c>
      <c r="E77" s="14" t="str">
        <f>IFERROR(INDEX('قائمة الوحدات'!$D$2:$D$41,MATCH($B77,'قائمة الوحدات'!$A$2:$A$41,0)),"")</f>
        <v>إدارة الحوكمة والمخاطر</v>
      </c>
      <c r="F77" s="14" t="str">
        <f>IFERROR(INDEX('قائمة الوحدات'!$F$2:$F$41,MATCH($B77,'قائمة الوحدات'!$A$2:$A$41,0)),"")</f>
        <v>إدارة الحوكمة والمخاطر</v>
      </c>
      <c r="G77" s="16" t="s">
        <v>61</v>
      </c>
      <c r="H77" s="14" t="str">
        <f>IFERROR(INDEX(المرجع!$A$2:$A$19,MATCH($G77,المرجع!$B$2:$B$19,0)),"")</f>
        <v>البناء المؤسسي</v>
      </c>
      <c r="I77" s="16" t="s">
        <v>54</v>
      </c>
      <c r="J77" s="14" t="str">
        <f>IFERROR(INDEX(المرجع!$D$2:$D$19,MATCH($I77,المرجع!$E$2:$E$19,0)),"")</f>
        <v>التنظيم</v>
      </c>
      <c r="K77" s="16" t="s">
        <v>102</v>
      </c>
      <c r="L77" s="17" t="str">
        <f>IFERROR(INDEX('نقاط التحقق'!$G$2:$G$31,MATCH($K77,'نقاط التحقق'!$A$2:$A$31,0))&amp;"","")</f>
        <v>الموظفون المحددون مسكّنون على الهيكل التنظيمي المستهدف</v>
      </c>
      <c r="M77" s="13">
        <v>50</v>
      </c>
      <c r="N77" s="15" t="str">
        <f>IF($M77="","غير مقيّمة",IF($M77&gt;المرجع!$K$3,"مستوفاة بشكل متقدم",IF($M77&lt;=المرجع!$K$2,"مستوفاة بشكل أولي","مستوفاة بشكل جزئي")))</f>
        <v>مستوفاة بشكل جزئي</v>
      </c>
      <c r="O77" s="18" t="s">
        <v>2171</v>
      </c>
    </row>
    <row r="78" spans="1:15">
      <c r="A78" s="16" t="s">
        <v>312</v>
      </c>
      <c r="B78" s="16" t="s">
        <v>148</v>
      </c>
      <c r="C78" s="15" t="str">
        <f>IFERROR(INDEX('قائمة الوحدات'!$B$2:$B$41,MATCH($B78,'قائمة الوحدات'!$A$2:$A$41,0)),"")</f>
        <v>TOP</v>
      </c>
      <c r="D78" s="14" t="str">
        <f>IFERROR(INDEX('قائمة الوحدات'!$C$2:$C$41,MATCH($B78,'قائمة الوحدات'!$A$2:$A$41,0)),"")</f>
        <v>المرتبطة بسمو الوزير</v>
      </c>
      <c r="E78" s="14" t="str">
        <f>IFERROR(INDEX('قائمة الوحدات'!$D$2:$D$41,MATCH($B78,'قائمة الوحدات'!$A$2:$A$41,0)),"")</f>
        <v>إدارة الحوكمة والمخاطر</v>
      </c>
      <c r="F78" s="14" t="str">
        <f>IFERROR(INDEX('قائمة الوحدات'!$F$2:$F$41,MATCH($B78,'قائمة الوحدات'!$A$2:$A$41,0)),"")</f>
        <v>إدارة الحوكمة والمخاطر</v>
      </c>
      <c r="G78" s="16" t="s">
        <v>61</v>
      </c>
      <c r="H78" s="14" t="str">
        <f>IFERROR(INDEX(المرجع!$A$2:$A$19,MATCH($G78,المرجع!$B$2:$B$19,0)),"")</f>
        <v>البناء المؤسسي</v>
      </c>
      <c r="I78" s="16" t="s">
        <v>56</v>
      </c>
      <c r="J78" s="14" t="str">
        <f>IFERROR(INDEX(المرجع!$D$2:$D$19,MATCH($I78,المرجع!$E$2:$E$19,0)),"")</f>
        <v>الموارد</v>
      </c>
      <c r="K78" s="16" t="s">
        <v>104</v>
      </c>
      <c r="L78" s="17" t="str">
        <f>IFERROR(INDEX('نقاط التحقق'!$G$2:$G$31,MATCH($K78,'نقاط التحقق'!$A$2:$A$31,0))&amp;"","")</f>
        <v>مدير الوحدة التنظيمية والموظفون الرئيسيون معينون/ملحقون</v>
      </c>
      <c r="M78" s="13">
        <v>65</v>
      </c>
      <c r="N78" s="15" t="str">
        <f>IF($M78="","غير مقيّمة",IF($M78&gt;المرجع!$K$3,"مستوفاة بشكل متقدم",IF($M78&lt;=المرجع!$K$2,"مستوفاة بشكل أولي","مستوفاة بشكل جزئي")))</f>
        <v>مستوفاة بشكل جزئي</v>
      </c>
      <c r="O78" s="18" t="s">
        <v>2171</v>
      </c>
    </row>
    <row r="79" spans="1:15">
      <c r="A79" s="16" t="s">
        <v>313</v>
      </c>
      <c r="B79" s="16" t="s">
        <v>148</v>
      </c>
      <c r="C79" s="15" t="str">
        <f>IFERROR(INDEX('قائمة الوحدات'!$B$2:$B$41,MATCH($B79,'قائمة الوحدات'!$A$2:$A$41,0)),"")</f>
        <v>TOP</v>
      </c>
      <c r="D79" s="14" t="str">
        <f>IFERROR(INDEX('قائمة الوحدات'!$C$2:$C$41,MATCH($B79,'قائمة الوحدات'!$A$2:$A$41,0)),"")</f>
        <v>المرتبطة بسمو الوزير</v>
      </c>
      <c r="E79" s="14" t="str">
        <f>IFERROR(INDEX('قائمة الوحدات'!$D$2:$D$41,MATCH($B79,'قائمة الوحدات'!$A$2:$A$41,0)),"")</f>
        <v>إدارة الحوكمة والمخاطر</v>
      </c>
      <c r="F79" s="14" t="str">
        <f>IFERROR(INDEX('قائمة الوحدات'!$F$2:$F$41,MATCH($B79,'قائمة الوحدات'!$A$2:$A$41,0)),"")</f>
        <v>إدارة الحوكمة والمخاطر</v>
      </c>
      <c r="G79" s="16" t="s">
        <v>61</v>
      </c>
      <c r="H79" s="14" t="str">
        <f>IFERROR(INDEX(المرجع!$A$2:$A$19,MATCH($G79,المرجع!$B$2:$B$19,0)),"")</f>
        <v>البناء المؤسسي</v>
      </c>
      <c r="I79" s="16" t="s">
        <v>56</v>
      </c>
      <c r="J79" s="14" t="str">
        <f>IFERROR(INDEX(المرجع!$D$2:$D$19,MATCH($I79,المرجع!$E$2:$E$19,0)),"")</f>
        <v>الموارد</v>
      </c>
      <c r="K79" s="16" t="s">
        <v>106</v>
      </c>
      <c r="L79" s="17" t="str">
        <f>IFERROR(INDEX('نقاط التحقق'!$G$2:$G$31,MATCH($K79,'نقاط التحقق'!$A$2:$A$31,0))&amp;"","")</f>
        <v>خطة توظيف وتدريب مستكملة</v>
      </c>
      <c r="M79" s="13">
        <v>50</v>
      </c>
      <c r="N79" s="15" t="str">
        <f>IF($M79="","غير مقيّمة",IF($M79&gt;المرجع!$K$3,"مستوفاة بشكل متقدم",IF($M79&lt;=المرجع!$K$2,"مستوفاة بشكل أولي","مستوفاة بشكل جزئي")))</f>
        <v>مستوفاة بشكل جزئي</v>
      </c>
      <c r="O79" s="18" t="s">
        <v>2171</v>
      </c>
    </row>
    <row r="80" spans="1:15">
      <c r="A80" s="16" t="s">
        <v>314</v>
      </c>
      <c r="B80" s="16" t="s">
        <v>148</v>
      </c>
      <c r="C80" s="15" t="str">
        <f>IFERROR(INDEX('قائمة الوحدات'!$B$2:$B$41,MATCH($B80,'قائمة الوحدات'!$A$2:$A$41,0)),"")</f>
        <v>TOP</v>
      </c>
      <c r="D80" s="14" t="str">
        <f>IFERROR(INDEX('قائمة الوحدات'!$C$2:$C$41,MATCH($B80,'قائمة الوحدات'!$A$2:$A$41,0)),"")</f>
        <v>المرتبطة بسمو الوزير</v>
      </c>
      <c r="E80" s="14" t="str">
        <f>IFERROR(INDEX('قائمة الوحدات'!$D$2:$D$41,MATCH($B80,'قائمة الوحدات'!$A$2:$A$41,0)),"")</f>
        <v>إدارة الحوكمة والمخاطر</v>
      </c>
      <c r="F80" s="14" t="str">
        <f>IFERROR(INDEX('قائمة الوحدات'!$F$2:$F$41,MATCH($B80,'قائمة الوحدات'!$A$2:$A$41,0)),"")</f>
        <v>إدارة الحوكمة والمخاطر</v>
      </c>
      <c r="G80" s="16" t="s">
        <v>61</v>
      </c>
      <c r="H80" s="14" t="str">
        <f>IFERROR(INDEX(المرجع!$A$2:$A$19,MATCH($G80,المرجع!$B$2:$B$19,0)),"")</f>
        <v>البناء المؤسسي</v>
      </c>
      <c r="I80" s="16" t="s">
        <v>56</v>
      </c>
      <c r="J80" s="14" t="str">
        <f>IFERROR(INDEX(المرجع!$D$2:$D$19,MATCH($I80,المرجع!$E$2:$E$19,0)),"")</f>
        <v>الموارد</v>
      </c>
      <c r="K80" s="16" t="s">
        <v>108</v>
      </c>
      <c r="L80" s="17" t="str">
        <f>IFERROR(INDEX('نقاط التحقق'!$G$2:$G$31,MATCH($K80,'نقاط التحقق'!$A$2:$A$31,0))&amp;"","")</f>
        <v>وجود مساحات مكتبية كافية</v>
      </c>
      <c r="M80" s="13">
        <v>55</v>
      </c>
      <c r="N80" s="15" t="str">
        <f>IF($M80="","غير مقيّمة",IF($M80&gt;المرجع!$K$3,"مستوفاة بشكل متقدم",IF($M80&lt;=المرجع!$K$2,"مستوفاة بشكل أولي","مستوفاة بشكل جزئي")))</f>
        <v>مستوفاة بشكل جزئي</v>
      </c>
      <c r="O80" s="18" t="s">
        <v>2171</v>
      </c>
    </row>
    <row r="81" spans="1:15">
      <c r="A81" s="16" t="s">
        <v>315</v>
      </c>
      <c r="B81" s="16" t="s">
        <v>148</v>
      </c>
      <c r="C81" s="15" t="str">
        <f>IFERROR(INDEX('قائمة الوحدات'!$B$2:$B$41,MATCH($B81,'قائمة الوحدات'!$A$2:$A$41,0)),"")</f>
        <v>TOP</v>
      </c>
      <c r="D81" s="14" t="str">
        <f>IFERROR(INDEX('قائمة الوحدات'!$C$2:$C$41,MATCH($B81,'قائمة الوحدات'!$A$2:$A$41,0)),"")</f>
        <v>المرتبطة بسمو الوزير</v>
      </c>
      <c r="E81" s="14" t="str">
        <f>IFERROR(INDEX('قائمة الوحدات'!$D$2:$D$41,MATCH($B81,'قائمة الوحدات'!$A$2:$A$41,0)),"")</f>
        <v>إدارة الحوكمة والمخاطر</v>
      </c>
      <c r="F81" s="14" t="str">
        <f>IFERROR(INDEX('قائمة الوحدات'!$F$2:$F$41,MATCH($B81,'قائمة الوحدات'!$A$2:$A$41,0)),"")</f>
        <v>إدارة الحوكمة والمخاطر</v>
      </c>
      <c r="G81" s="16" t="s">
        <v>61</v>
      </c>
      <c r="H81" s="14" t="str">
        <f>IFERROR(INDEX(المرجع!$A$2:$A$19,MATCH($G81,المرجع!$B$2:$B$19,0)),"")</f>
        <v>البناء المؤسسي</v>
      </c>
      <c r="I81" s="16" t="s">
        <v>56</v>
      </c>
      <c r="J81" s="14" t="str">
        <f>IFERROR(INDEX(المرجع!$D$2:$D$19,MATCH($I81,المرجع!$E$2:$E$19,0)),"")</f>
        <v>الموارد</v>
      </c>
      <c r="K81" s="16" t="s">
        <v>110</v>
      </c>
      <c r="L81" s="17" t="str">
        <f>IFERROR(INDEX('نقاط التحقق'!$G$2:$G$31,MATCH($K81,'نقاط التحقق'!$A$2:$A$31,0))&amp;"","")</f>
        <v>وجود الاحتياجات التقنية الأساسية</v>
      </c>
      <c r="M81" s="13">
        <v>55</v>
      </c>
      <c r="N81" s="15" t="str">
        <f>IF($M81="","غير مقيّمة",IF($M81&gt;المرجع!$K$3,"مستوفاة بشكل متقدم",IF($M81&lt;=المرجع!$K$2,"مستوفاة بشكل أولي","مستوفاة بشكل جزئي")))</f>
        <v>مستوفاة بشكل جزئي</v>
      </c>
      <c r="O81" s="18" t="s">
        <v>2171</v>
      </c>
    </row>
    <row r="82" spans="1:15">
      <c r="A82" s="16" t="s">
        <v>316</v>
      </c>
      <c r="B82" s="16" t="s">
        <v>148</v>
      </c>
      <c r="C82" s="15" t="str">
        <f>IFERROR(INDEX('قائمة الوحدات'!$B$2:$B$41,MATCH($B82,'قائمة الوحدات'!$A$2:$A$41,0)),"")</f>
        <v>TOP</v>
      </c>
      <c r="D82" s="14" t="str">
        <f>IFERROR(INDEX('قائمة الوحدات'!$C$2:$C$41,MATCH($B82,'قائمة الوحدات'!$A$2:$A$41,0)),"")</f>
        <v>المرتبطة بسمو الوزير</v>
      </c>
      <c r="E82" s="14" t="str">
        <f>IFERROR(INDEX('قائمة الوحدات'!$D$2:$D$41,MATCH($B82,'قائمة الوحدات'!$A$2:$A$41,0)),"")</f>
        <v>إدارة الحوكمة والمخاطر</v>
      </c>
      <c r="F82" s="14" t="str">
        <f>IFERROR(INDEX('قائمة الوحدات'!$F$2:$F$41,MATCH($B82,'قائمة الوحدات'!$A$2:$A$41,0)),"")</f>
        <v>إدارة الحوكمة والمخاطر</v>
      </c>
      <c r="G82" s="16" t="s">
        <v>61</v>
      </c>
      <c r="H82" s="14" t="str">
        <f>IFERROR(INDEX(المرجع!$A$2:$A$19,MATCH($G82,المرجع!$B$2:$B$19,0)),"")</f>
        <v>البناء المؤسسي</v>
      </c>
      <c r="I82" s="16" t="s">
        <v>59</v>
      </c>
      <c r="J82" s="14" t="str">
        <f>IFERROR(INDEX(المرجع!$D$2:$D$19,MATCH($I82,المرجع!$E$2:$E$19,0)),"")</f>
        <v>الإجراءات</v>
      </c>
      <c r="K82" s="16" t="s">
        <v>112</v>
      </c>
      <c r="L82" s="17" t="str">
        <f>IFERROR(INDEX('نقاط التحقق'!$G$2:$G$31,MATCH($K82,'نقاط التحقق'!$A$2:$A$31,0))&amp;"","")</f>
        <v>إجراءات معتمدة للوحدة التنظيمية</v>
      </c>
      <c r="M82" s="13">
        <v>53</v>
      </c>
      <c r="N82" s="15" t="str">
        <f>IF($M82="","غير مقيّمة",IF($M82&gt;المرجع!$K$3,"مستوفاة بشكل متقدم",IF($M82&lt;=المرجع!$K$2,"مستوفاة بشكل أولي","مستوفاة بشكل جزئي")))</f>
        <v>مستوفاة بشكل جزئي</v>
      </c>
      <c r="O82" s="18" t="s">
        <v>2171</v>
      </c>
    </row>
    <row r="83" spans="1:15">
      <c r="A83" s="16" t="s">
        <v>317</v>
      </c>
      <c r="B83" s="16" t="s">
        <v>148</v>
      </c>
      <c r="C83" s="15" t="str">
        <f>IFERROR(INDEX('قائمة الوحدات'!$B$2:$B$41,MATCH($B83,'قائمة الوحدات'!$A$2:$A$41,0)),"")</f>
        <v>TOP</v>
      </c>
      <c r="D83" s="14" t="str">
        <f>IFERROR(INDEX('قائمة الوحدات'!$C$2:$C$41,MATCH($B83,'قائمة الوحدات'!$A$2:$A$41,0)),"")</f>
        <v>المرتبطة بسمو الوزير</v>
      </c>
      <c r="E83" s="14" t="str">
        <f>IFERROR(INDEX('قائمة الوحدات'!$D$2:$D$41,MATCH($B83,'قائمة الوحدات'!$A$2:$A$41,0)),"")</f>
        <v>إدارة الحوكمة والمخاطر</v>
      </c>
      <c r="F83" s="14" t="str">
        <f>IFERROR(INDEX('قائمة الوحدات'!$F$2:$F$41,MATCH($B83,'قائمة الوحدات'!$A$2:$A$41,0)),"")</f>
        <v>إدارة الحوكمة والمخاطر</v>
      </c>
      <c r="G83" s="16" t="s">
        <v>61</v>
      </c>
      <c r="H83" s="14" t="str">
        <f>IFERROR(INDEX(المرجع!$A$2:$A$19,MATCH($G83,المرجع!$B$2:$B$19,0)),"")</f>
        <v>البناء المؤسسي</v>
      </c>
      <c r="I83" s="16" t="s">
        <v>63</v>
      </c>
      <c r="J83" s="14" t="str">
        <f>IFERROR(INDEX(المرجع!$D$2:$D$19,MATCH($I83,المرجع!$E$2:$E$19,0)),"")</f>
        <v>إنتاج المخرج الأول</v>
      </c>
      <c r="K83" s="16" t="s">
        <v>114</v>
      </c>
      <c r="L83" s="17" t="str">
        <f>IFERROR(INDEX('نقاط التحقق'!$G$2:$G$31,MATCH($K83,'نقاط التحقق'!$A$2:$A$31,0))&amp;"","")</f>
        <v>إنتاج المخرج الأول من قبل الوحدة التنظيمية</v>
      </c>
      <c r="M83" s="13">
        <v>68</v>
      </c>
      <c r="N83" s="15" t="str">
        <f>IF($M83="","غير مقيّمة",IF($M83&gt;المرجع!$K$3,"مستوفاة بشكل متقدم",IF($M83&lt;=المرجع!$K$2,"مستوفاة بشكل أولي","مستوفاة بشكل جزئي")))</f>
        <v>مستوفاة بشكل جزئي</v>
      </c>
      <c r="O83" s="18" t="s">
        <v>2171</v>
      </c>
    </row>
    <row r="84" spans="1:15">
      <c r="A84" s="16" t="s">
        <v>318</v>
      </c>
      <c r="B84" s="16" t="s">
        <v>148</v>
      </c>
      <c r="C84" s="15" t="str">
        <f>IFERROR(INDEX('قائمة الوحدات'!$B$2:$B$41,MATCH($B84,'قائمة الوحدات'!$A$2:$A$41,0)),"")</f>
        <v>TOP</v>
      </c>
      <c r="D84" s="14" t="str">
        <f>IFERROR(INDEX('قائمة الوحدات'!$C$2:$C$41,MATCH($B84,'قائمة الوحدات'!$A$2:$A$41,0)),"")</f>
        <v>المرتبطة بسمو الوزير</v>
      </c>
      <c r="E84" s="14" t="str">
        <f>IFERROR(INDEX('قائمة الوحدات'!$D$2:$D$41,MATCH($B84,'قائمة الوحدات'!$A$2:$A$41,0)),"")</f>
        <v>إدارة الحوكمة والمخاطر</v>
      </c>
      <c r="F84" s="14" t="str">
        <f>IFERROR(INDEX('قائمة الوحدات'!$F$2:$F$41,MATCH($B84,'قائمة الوحدات'!$A$2:$A$41,0)),"")</f>
        <v>إدارة الحوكمة والمخاطر</v>
      </c>
      <c r="G84" s="16" t="s">
        <v>65</v>
      </c>
      <c r="H84" s="14" t="str">
        <f>IFERROR(INDEX(المرجع!$A$2:$A$19,MATCH($G84,المرجع!$B$2:$B$19,0)),"")</f>
        <v>التشغيل</v>
      </c>
      <c r="I84" s="16" t="s">
        <v>48</v>
      </c>
      <c r="J84" s="14" t="str">
        <f>IFERROR(INDEX(المرجع!$D$2:$D$19,MATCH($I84,المرجع!$E$2:$E$19,0)),"")</f>
        <v>الأهداف ومؤشرات الأداء</v>
      </c>
      <c r="K84" s="16" t="s">
        <v>116</v>
      </c>
      <c r="L84" s="17" t="str">
        <f>IFERROR(INDEX('نقاط التحقق'!$G$2:$G$31,MATCH($K84,'نقاط التحقق'!$A$2:$A$31,0))&amp;"","")</f>
        <v>تحرك مؤشرات الأداء التشغيلي للوحدة التنظيمية بشكل إيجابي</v>
      </c>
      <c r="M84" s="13">
        <v>20</v>
      </c>
      <c r="N84" s="15" t="str">
        <f>IF($M84="","غير مقيّمة",IF($M84&gt;المرجع!$K$3,"مستوفاة بشكل متقدم",IF($M84&lt;=المرجع!$K$2,"مستوفاة بشكل أولي","مستوفاة بشكل جزئي")))</f>
        <v>مستوفاة بشكل أولي</v>
      </c>
      <c r="O84" s="18" t="s">
        <v>2171</v>
      </c>
    </row>
    <row r="85" spans="1:15">
      <c r="A85" s="16" t="s">
        <v>319</v>
      </c>
      <c r="B85" s="16" t="s">
        <v>148</v>
      </c>
      <c r="C85" s="15" t="str">
        <f>IFERROR(INDEX('قائمة الوحدات'!$B$2:$B$41,MATCH($B85,'قائمة الوحدات'!$A$2:$A$41,0)),"")</f>
        <v>TOP</v>
      </c>
      <c r="D85" s="14" t="str">
        <f>IFERROR(INDEX('قائمة الوحدات'!$C$2:$C$41,MATCH($B85,'قائمة الوحدات'!$A$2:$A$41,0)),"")</f>
        <v>المرتبطة بسمو الوزير</v>
      </c>
      <c r="E85" s="14" t="str">
        <f>IFERROR(INDEX('قائمة الوحدات'!$D$2:$D$41,MATCH($B85,'قائمة الوحدات'!$A$2:$A$41,0)),"")</f>
        <v>إدارة الحوكمة والمخاطر</v>
      </c>
      <c r="F85" s="14" t="str">
        <f>IFERROR(INDEX('قائمة الوحدات'!$F$2:$F$41,MATCH($B85,'قائمة الوحدات'!$A$2:$A$41,0)),"")</f>
        <v>إدارة الحوكمة والمخاطر</v>
      </c>
      <c r="G85" s="16" t="s">
        <v>65</v>
      </c>
      <c r="H85" s="14" t="str">
        <f>IFERROR(INDEX(المرجع!$A$2:$A$19,MATCH($G85,المرجع!$B$2:$B$19,0)),"")</f>
        <v>التشغيل</v>
      </c>
      <c r="I85" s="16" t="s">
        <v>48</v>
      </c>
      <c r="J85" s="14" t="str">
        <f>IFERROR(INDEX(المرجع!$D$2:$D$19,MATCH($I85,المرجع!$E$2:$E$19,0)),"")</f>
        <v>الأهداف ومؤشرات الأداء</v>
      </c>
      <c r="K85" s="16" t="s">
        <v>118</v>
      </c>
      <c r="L85" s="17" t="str">
        <f>IFERROR(INDEX('نقاط التحقق'!$G$2:$G$31,MATCH($K85,'نقاط التحقق'!$A$2:$A$31,0))&amp;"","")</f>
        <v>خطة سنوية معتمدة للوحدة التنظيمية</v>
      </c>
      <c r="M85" s="13">
        <v>30</v>
      </c>
      <c r="N85" s="15" t="str">
        <f>IF($M85="","غير مقيّمة",IF($M85&gt;المرجع!$K$3,"مستوفاة بشكل متقدم",IF($M85&lt;=المرجع!$K$2,"مستوفاة بشكل أولي","مستوفاة بشكل جزئي")))</f>
        <v>مستوفاة بشكل أولي</v>
      </c>
      <c r="O85" s="18" t="s">
        <v>2171</v>
      </c>
    </row>
    <row r="86" spans="1:15">
      <c r="A86" s="16" t="s">
        <v>320</v>
      </c>
      <c r="B86" s="16" t="s">
        <v>148</v>
      </c>
      <c r="C86" s="15" t="str">
        <f>IFERROR(INDEX('قائمة الوحدات'!$B$2:$B$41,MATCH($B86,'قائمة الوحدات'!$A$2:$A$41,0)),"")</f>
        <v>TOP</v>
      </c>
      <c r="D86" s="14" t="str">
        <f>IFERROR(INDEX('قائمة الوحدات'!$C$2:$C$41,MATCH($B86,'قائمة الوحدات'!$A$2:$A$41,0)),"")</f>
        <v>المرتبطة بسمو الوزير</v>
      </c>
      <c r="E86" s="14" t="str">
        <f>IFERROR(INDEX('قائمة الوحدات'!$D$2:$D$41,MATCH($B86,'قائمة الوحدات'!$A$2:$A$41,0)),"")</f>
        <v>إدارة الحوكمة والمخاطر</v>
      </c>
      <c r="F86" s="14" t="str">
        <f>IFERROR(INDEX('قائمة الوحدات'!$F$2:$F$41,MATCH($B86,'قائمة الوحدات'!$A$2:$A$41,0)),"")</f>
        <v>إدارة الحوكمة والمخاطر</v>
      </c>
      <c r="G86" s="16" t="s">
        <v>65</v>
      </c>
      <c r="H86" s="14" t="str">
        <f>IFERROR(INDEX(المرجع!$A$2:$A$19,MATCH($G86,المرجع!$B$2:$B$19,0)),"")</f>
        <v>التشغيل</v>
      </c>
      <c r="I86" s="16" t="s">
        <v>51</v>
      </c>
      <c r="J86" s="14" t="str">
        <f>IFERROR(INDEX(المرجع!$D$2:$D$19,MATCH($I86,المرجع!$E$2:$E$19,0)),"")</f>
        <v>الحوكمة</v>
      </c>
      <c r="K86" s="16" t="s">
        <v>120</v>
      </c>
      <c r="L86" s="17" t="str">
        <f>IFERROR(INDEX('نقاط التحقق'!$G$2:$G$31,MATCH($K86,'نقاط التحقق'!$A$2:$A$31,0))&amp;"","")</f>
        <v>محاضر لجان موثقة</v>
      </c>
      <c r="M86" s="13">
        <v>45</v>
      </c>
      <c r="N86" s="15" t="str">
        <f>IF($M86="","غير مقيّمة",IF($M86&gt;المرجع!$K$3,"مستوفاة بشكل متقدم",IF($M86&lt;=المرجع!$K$2,"مستوفاة بشكل أولي","مستوفاة بشكل جزئي")))</f>
        <v>مستوفاة بشكل جزئي</v>
      </c>
      <c r="O86" s="18" t="s">
        <v>2171</v>
      </c>
    </row>
    <row r="87" spans="1:15">
      <c r="A87" s="16" t="s">
        <v>321</v>
      </c>
      <c r="B87" s="16" t="s">
        <v>148</v>
      </c>
      <c r="C87" s="15" t="str">
        <f>IFERROR(INDEX('قائمة الوحدات'!$B$2:$B$41,MATCH($B87,'قائمة الوحدات'!$A$2:$A$41,0)),"")</f>
        <v>TOP</v>
      </c>
      <c r="D87" s="14" t="str">
        <f>IFERROR(INDEX('قائمة الوحدات'!$C$2:$C$41,MATCH($B87,'قائمة الوحدات'!$A$2:$A$41,0)),"")</f>
        <v>المرتبطة بسمو الوزير</v>
      </c>
      <c r="E87" s="14" t="str">
        <f>IFERROR(INDEX('قائمة الوحدات'!$D$2:$D$41,MATCH($B87,'قائمة الوحدات'!$A$2:$A$41,0)),"")</f>
        <v>إدارة الحوكمة والمخاطر</v>
      </c>
      <c r="F87" s="14" t="str">
        <f>IFERROR(INDEX('قائمة الوحدات'!$F$2:$F$41,MATCH($B87,'قائمة الوحدات'!$A$2:$A$41,0)),"")</f>
        <v>إدارة الحوكمة والمخاطر</v>
      </c>
      <c r="G87" s="16" t="s">
        <v>65</v>
      </c>
      <c r="H87" s="14" t="str">
        <f>IFERROR(INDEX(المرجع!$A$2:$A$19,MATCH($G87,المرجع!$B$2:$B$19,0)),"")</f>
        <v>التشغيل</v>
      </c>
      <c r="I87" s="16" t="s">
        <v>51</v>
      </c>
      <c r="J87" s="14" t="str">
        <f>IFERROR(INDEX(المرجع!$D$2:$D$19,MATCH($I87,المرجع!$E$2:$E$19,0)),"")</f>
        <v>الحوكمة</v>
      </c>
      <c r="K87" s="16" t="s">
        <v>122</v>
      </c>
      <c r="L87" s="17" t="str">
        <f>IFERROR(INDEX('نقاط التحقق'!$G$2:$G$31,MATCH($K87,'نقاط التحقق'!$A$2:$A$31,0))&amp;"","")</f>
        <v>نشر السياسات التي تملكها الوحدة التنظيمية</v>
      </c>
      <c r="M87" s="13">
        <v>35</v>
      </c>
      <c r="N87" s="15" t="str">
        <f>IF($M87="","غير مقيّمة",IF($M87&gt;المرجع!$K$3,"مستوفاة بشكل متقدم",IF($M87&lt;=المرجع!$K$2,"مستوفاة بشكل أولي","مستوفاة بشكل جزئي")))</f>
        <v>مستوفاة بشكل جزئي</v>
      </c>
      <c r="O87" s="18" t="s">
        <v>2171</v>
      </c>
    </row>
    <row r="88" spans="1:15">
      <c r="A88" s="16" t="s">
        <v>322</v>
      </c>
      <c r="B88" s="16" t="s">
        <v>148</v>
      </c>
      <c r="C88" s="15" t="str">
        <f>IFERROR(INDEX('قائمة الوحدات'!$B$2:$B$41,MATCH($B88,'قائمة الوحدات'!$A$2:$A$41,0)),"")</f>
        <v>TOP</v>
      </c>
      <c r="D88" s="14" t="str">
        <f>IFERROR(INDEX('قائمة الوحدات'!$C$2:$C$41,MATCH($B88,'قائمة الوحدات'!$A$2:$A$41,0)),"")</f>
        <v>المرتبطة بسمو الوزير</v>
      </c>
      <c r="E88" s="14" t="str">
        <f>IFERROR(INDEX('قائمة الوحدات'!$D$2:$D$41,MATCH($B88,'قائمة الوحدات'!$A$2:$A$41,0)),"")</f>
        <v>إدارة الحوكمة والمخاطر</v>
      </c>
      <c r="F88" s="14" t="str">
        <f>IFERROR(INDEX('قائمة الوحدات'!$F$2:$F$41,MATCH($B88,'قائمة الوحدات'!$A$2:$A$41,0)),"")</f>
        <v>إدارة الحوكمة والمخاطر</v>
      </c>
      <c r="G88" s="16" t="s">
        <v>65</v>
      </c>
      <c r="H88" s="14" t="str">
        <f>IFERROR(INDEX(المرجع!$A$2:$A$19,MATCH($G88,المرجع!$B$2:$B$19,0)),"")</f>
        <v>التشغيل</v>
      </c>
      <c r="I88" s="16" t="s">
        <v>51</v>
      </c>
      <c r="J88" s="14" t="str">
        <f>IFERROR(INDEX(المرجع!$D$2:$D$19,MATCH($I88,المرجع!$E$2:$E$19,0)),"")</f>
        <v>الحوكمة</v>
      </c>
      <c r="K88" s="16" t="s">
        <v>124</v>
      </c>
      <c r="L88" s="17" t="str">
        <f>IFERROR(INDEX('نقاط التحقق'!$G$2:$G$31,MATCH($K88,'نقاط التحقق'!$A$2:$A$31,0))&amp;"","")</f>
        <v>اتخاذ القرارات في نطاق الصلاحيات (وجود شواهد)</v>
      </c>
      <c r="M88" s="13">
        <v>40</v>
      </c>
      <c r="N88" s="15" t="str">
        <f>IF($M88="","غير مقيّمة",IF($M88&gt;المرجع!$K$3,"مستوفاة بشكل متقدم",IF($M88&lt;=المرجع!$K$2,"مستوفاة بشكل أولي","مستوفاة بشكل جزئي")))</f>
        <v>مستوفاة بشكل جزئي</v>
      </c>
      <c r="O88" s="18" t="s">
        <v>2171</v>
      </c>
    </row>
    <row r="89" spans="1:15">
      <c r="A89" s="16" t="s">
        <v>323</v>
      </c>
      <c r="B89" s="16" t="s">
        <v>148</v>
      </c>
      <c r="C89" s="15" t="str">
        <f>IFERROR(INDEX('قائمة الوحدات'!$B$2:$B$41,MATCH($B89,'قائمة الوحدات'!$A$2:$A$41,0)),"")</f>
        <v>TOP</v>
      </c>
      <c r="D89" s="14" t="str">
        <f>IFERROR(INDEX('قائمة الوحدات'!$C$2:$C$41,MATCH($B89,'قائمة الوحدات'!$A$2:$A$41,0)),"")</f>
        <v>المرتبطة بسمو الوزير</v>
      </c>
      <c r="E89" s="14" t="str">
        <f>IFERROR(INDEX('قائمة الوحدات'!$D$2:$D$41,MATCH($B89,'قائمة الوحدات'!$A$2:$A$41,0)),"")</f>
        <v>إدارة الحوكمة والمخاطر</v>
      </c>
      <c r="F89" s="14" t="str">
        <f>IFERROR(INDEX('قائمة الوحدات'!$F$2:$F$41,MATCH($B89,'قائمة الوحدات'!$A$2:$A$41,0)),"")</f>
        <v>إدارة الحوكمة والمخاطر</v>
      </c>
      <c r="G89" s="16" t="s">
        <v>65</v>
      </c>
      <c r="H89" s="14" t="str">
        <f>IFERROR(INDEX(المرجع!$A$2:$A$19,MATCH($G89,المرجع!$B$2:$B$19,0)),"")</f>
        <v>التشغيل</v>
      </c>
      <c r="I89" s="16" t="s">
        <v>56</v>
      </c>
      <c r="J89" s="14" t="str">
        <f>IFERROR(INDEX(المرجع!$D$2:$D$19,MATCH($I89,المرجع!$E$2:$E$19,0)),"")</f>
        <v>الموارد</v>
      </c>
      <c r="K89" s="16" t="s">
        <v>126</v>
      </c>
      <c r="L89" s="17" t="str">
        <f>IFERROR(INDEX('نقاط التحقق'!$G$2:$G$31,MATCH($K89,'نقاط التحقق'!$A$2:$A$31,0))&amp;"","")</f>
        <v>موارد مستكملة للحد الأدنى الذي يغطي كافة محاور سلسلة القيمة</v>
      </c>
      <c r="M89" s="13">
        <v>32</v>
      </c>
      <c r="N89" s="15" t="str">
        <f>IF($M89="","غير مقيّمة",IF($M89&gt;المرجع!$K$3,"مستوفاة بشكل متقدم",IF($M89&lt;=المرجع!$K$2,"مستوفاة بشكل أولي","مستوفاة بشكل جزئي")))</f>
        <v>مستوفاة بشكل جزئي</v>
      </c>
      <c r="O89" s="18" t="s">
        <v>2171</v>
      </c>
    </row>
    <row r="90" spans="1:15">
      <c r="A90" s="16" t="s">
        <v>324</v>
      </c>
      <c r="B90" s="16" t="s">
        <v>148</v>
      </c>
      <c r="C90" s="15" t="str">
        <f>IFERROR(INDEX('قائمة الوحدات'!$B$2:$B$41,MATCH($B90,'قائمة الوحدات'!$A$2:$A$41,0)),"")</f>
        <v>TOP</v>
      </c>
      <c r="D90" s="14" t="str">
        <f>IFERROR(INDEX('قائمة الوحدات'!$C$2:$C$41,MATCH($B90,'قائمة الوحدات'!$A$2:$A$41,0)),"")</f>
        <v>المرتبطة بسمو الوزير</v>
      </c>
      <c r="E90" s="14" t="str">
        <f>IFERROR(INDEX('قائمة الوحدات'!$D$2:$D$41,MATCH($B90,'قائمة الوحدات'!$A$2:$A$41,0)),"")</f>
        <v>إدارة الحوكمة والمخاطر</v>
      </c>
      <c r="F90" s="14" t="str">
        <f>IFERROR(INDEX('قائمة الوحدات'!$F$2:$F$41,MATCH($B90,'قائمة الوحدات'!$A$2:$A$41,0)),"")</f>
        <v>إدارة الحوكمة والمخاطر</v>
      </c>
      <c r="G90" s="16" t="s">
        <v>65</v>
      </c>
      <c r="H90" s="14" t="str">
        <f>IFERROR(INDEX(المرجع!$A$2:$A$19,MATCH($G90,المرجع!$B$2:$B$19,0)),"")</f>
        <v>التشغيل</v>
      </c>
      <c r="I90" s="16" t="s">
        <v>59</v>
      </c>
      <c r="J90" s="14" t="str">
        <f>IFERROR(INDEX(المرجع!$D$2:$D$19,MATCH($I90,المرجع!$E$2:$E$19,0)),"")</f>
        <v>الإجراءات</v>
      </c>
      <c r="K90" s="16" t="s">
        <v>128</v>
      </c>
      <c r="L90" s="17" t="str">
        <f>IFERROR(INDEX('نقاط التحقق'!$G$2:$G$31,MATCH($K90,'نقاط التحقق'!$A$2:$A$31,0))&amp;"","")</f>
        <v>تحقيق تقييم "مطبق بشكل كامل" من منهجية تقييم فعالية الإجراءات</v>
      </c>
      <c r="M90" s="13">
        <v>47</v>
      </c>
      <c r="N90" s="15" t="str">
        <f>IF($M90="","غير مقيّمة",IF($M90&gt;المرجع!$K$3,"مستوفاة بشكل متقدم",IF($M90&lt;=المرجع!$K$2,"مستوفاة بشكل أولي","مستوفاة بشكل جزئي")))</f>
        <v>مستوفاة بشكل جزئي</v>
      </c>
      <c r="O90" s="18" t="s">
        <v>2171</v>
      </c>
    </row>
    <row r="91" spans="1:15">
      <c r="A91" s="16" t="s">
        <v>325</v>
      </c>
      <c r="B91" s="16" t="s">
        <v>148</v>
      </c>
      <c r="C91" s="15" t="str">
        <f>IFERROR(INDEX('قائمة الوحدات'!$B$2:$B$41,MATCH($B91,'قائمة الوحدات'!$A$2:$A$41,0)),"")</f>
        <v>TOP</v>
      </c>
      <c r="D91" s="14" t="str">
        <f>IFERROR(INDEX('قائمة الوحدات'!$C$2:$C$41,MATCH($B91,'قائمة الوحدات'!$A$2:$A$41,0)),"")</f>
        <v>المرتبطة بسمو الوزير</v>
      </c>
      <c r="E91" s="14" t="str">
        <f>IFERROR(INDEX('قائمة الوحدات'!$D$2:$D$41,MATCH($B91,'قائمة الوحدات'!$A$2:$A$41,0)),"")</f>
        <v>إدارة الحوكمة والمخاطر</v>
      </c>
      <c r="F91" s="14" t="str">
        <f>IFERROR(INDEX('قائمة الوحدات'!$F$2:$F$41,MATCH($B91,'قائمة الوحدات'!$A$2:$A$41,0)),"")</f>
        <v>إدارة الحوكمة والمخاطر</v>
      </c>
      <c r="G91" s="16" t="s">
        <v>65</v>
      </c>
      <c r="H91" s="14" t="str">
        <f>IFERROR(INDEX(المرجع!$A$2:$A$19,MATCH($G91,المرجع!$B$2:$B$19,0)),"")</f>
        <v>التشغيل</v>
      </c>
      <c r="I91" s="16" t="s">
        <v>67</v>
      </c>
      <c r="J91" s="14" t="str">
        <f>IFERROR(INDEX(المرجع!$D$2:$D$19,MATCH($I91,المرجع!$E$2:$E$19,0)),"")</f>
        <v>اكتمال المخرجات المستهدفة</v>
      </c>
      <c r="K91" s="16" t="s">
        <v>130</v>
      </c>
      <c r="L91" s="17" t="str">
        <f>IFERROR(INDEX('نقاط التحقق'!$G$2:$G$31,MATCH($K91,'نقاط التحقق'!$A$2:$A$31,0))&amp;"","")</f>
        <v>اكتمال مخرجات النموذج التشغيلي المستهدف للوحدة التنظيمية</v>
      </c>
      <c r="M91" s="13">
        <v>37</v>
      </c>
      <c r="N91" s="15" t="str">
        <f>IF($M91="","غير مقيّمة",IF($M91&gt;المرجع!$K$3,"مستوفاة بشكل متقدم",IF($M91&lt;=المرجع!$K$2,"مستوفاة بشكل أولي","مستوفاة بشكل جزئي")))</f>
        <v>مستوفاة بشكل جزئي</v>
      </c>
      <c r="O91" s="18" t="s">
        <v>2171</v>
      </c>
    </row>
    <row r="92" spans="1:15">
      <c r="A92" s="16" t="s">
        <v>326</v>
      </c>
      <c r="B92" s="16" t="s">
        <v>150</v>
      </c>
      <c r="C92" s="15" t="str">
        <f>IFERROR(INDEX('قائمة الوحدات'!$B$2:$B$41,MATCH($B92,'قائمة الوحدات'!$A$2:$A$41,0)),"")</f>
        <v>TOP</v>
      </c>
      <c r="D92" s="14" t="str">
        <f>IFERROR(INDEX('قائمة الوحدات'!$C$2:$C$41,MATCH($B92,'قائمة الوحدات'!$A$2:$A$41,0)),"")</f>
        <v>المرتبطة بسمو الوزير</v>
      </c>
      <c r="E92" s="14" t="str">
        <f>IFERROR(INDEX('قائمة الوحدات'!$D$2:$D$41,MATCH($B92,'قائمة الوحدات'!$A$2:$A$41,0)),"")</f>
        <v>إدارة الشؤون القانونية</v>
      </c>
      <c r="F92" s="14" t="str">
        <f>IFERROR(INDEX('قائمة الوحدات'!$F$2:$F$41,MATCH($B92,'قائمة الوحدات'!$A$2:$A$41,0)),"")</f>
        <v>إدارة الشؤون القانونية</v>
      </c>
      <c r="G92" s="16" t="s">
        <v>43</v>
      </c>
      <c r="H92" s="14" t="str">
        <f>IFERROR(INDEX(المرجع!$A$2:$A$19,MATCH($G92,المرجع!$B$2:$B$19,0)),"")</f>
        <v>التصميم</v>
      </c>
      <c r="I92" s="16" t="s">
        <v>45</v>
      </c>
      <c r="J92" s="14" t="str">
        <f>IFERROR(INDEX(المرجع!$D$2:$D$19,MATCH($I92,المرجع!$E$2:$E$19,0)),"")</f>
        <v>الدور</v>
      </c>
      <c r="K92" s="16" t="s">
        <v>72</v>
      </c>
      <c r="L92" s="17" t="str">
        <f>IFERROR(INDEX('نقاط التحقق'!$G$2:$G$31,MATCH($K92,'نقاط التحقق'!$A$2:$A$31,0))&amp;"","")</f>
        <v>دور مفصل للوحدة التنظيمية</v>
      </c>
      <c r="M92" s="13">
        <v>84</v>
      </c>
      <c r="N92" s="15" t="str">
        <f>IF($M92="","غير مقيّمة",IF($M92&gt;المرجع!$K$3,"مستوفاة بشكل متقدم",IF($M92&lt;=المرجع!$K$2,"مستوفاة بشكل أولي","مستوفاة بشكل جزئي")))</f>
        <v>مستوفاة بشكل متقدم</v>
      </c>
      <c r="O92" s="18" t="s">
        <v>2171</v>
      </c>
    </row>
    <row r="93" spans="1:15">
      <c r="A93" s="16" t="s">
        <v>327</v>
      </c>
      <c r="B93" s="16" t="s">
        <v>150</v>
      </c>
      <c r="C93" s="15" t="str">
        <f>IFERROR(INDEX('قائمة الوحدات'!$B$2:$B$41,MATCH($B93,'قائمة الوحدات'!$A$2:$A$41,0)),"")</f>
        <v>TOP</v>
      </c>
      <c r="D93" s="14" t="str">
        <f>IFERROR(INDEX('قائمة الوحدات'!$C$2:$C$41,MATCH($B93,'قائمة الوحدات'!$A$2:$A$41,0)),"")</f>
        <v>المرتبطة بسمو الوزير</v>
      </c>
      <c r="E93" s="14" t="str">
        <f>IFERROR(INDEX('قائمة الوحدات'!$D$2:$D$41,MATCH($B93,'قائمة الوحدات'!$A$2:$A$41,0)),"")</f>
        <v>إدارة الشؤون القانونية</v>
      </c>
      <c r="F93" s="14" t="str">
        <f>IFERROR(INDEX('قائمة الوحدات'!$F$2:$F$41,MATCH($B93,'قائمة الوحدات'!$A$2:$A$41,0)),"")</f>
        <v>إدارة الشؤون القانونية</v>
      </c>
      <c r="G93" s="16" t="s">
        <v>43</v>
      </c>
      <c r="H93" s="14" t="str">
        <f>IFERROR(INDEX(المرجع!$A$2:$A$19,MATCH($G93,المرجع!$B$2:$B$19,0)),"")</f>
        <v>التصميم</v>
      </c>
      <c r="I93" s="16" t="s">
        <v>48</v>
      </c>
      <c r="J93" s="14" t="str">
        <f>IFERROR(INDEX(المرجع!$D$2:$D$19,MATCH($I93,المرجع!$E$2:$E$19,0)),"")</f>
        <v>الأهداف ومؤشرات الأداء</v>
      </c>
      <c r="K93" s="16" t="s">
        <v>74</v>
      </c>
      <c r="L93" s="17" t="str">
        <f>IFERROR(INDEX('نقاط التحقق'!$G$2:$G$31,MATCH($K93,'نقاط التحقق'!$A$2:$A$31,0))&amp;"","")</f>
        <v>أهداف محددة للوحدة التنظيمية وربطها بمؤشرات أداء لقياسها</v>
      </c>
      <c r="M93" s="13">
        <v>95</v>
      </c>
      <c r="N93" s="15" t="str">
        <f>IF($M93="","غير مقيّمة",IF($M93&gt;المرجع!$K$3,"مستوفاة بشكل متقدم",IF($M93&lt;=المرجع!$K$2,"مستوفاة بشكل أولي","مستوفاة بشكل جزئي")))</f>
        <v>مستوفاة بشكل متقدم</v>
      </c>
      <c r="O93" s="18" t="s">
        <v>2171</v>
      </c>
    </row>
    <row r="94" spans="1:15">
      <c r="A94" s="16" t="s">
        <v>328</v>
      </c>
      <c r="B94" s="16" t="s">
        <v>150</v>
      </c>
      <c r="C94" s="15" t="str">
        <f>IFERROR(INDEX('قائمة الوحدات'!$B$2:$B$41,MATCH($B94,'قائمة الوحدات'!$A$2:$A$41,0)),"")</f>
        <v>TOP</v>
      </c>
      <c r="D94" s="14" t="str">
        <f>IFERROR(INDEX('قائمة الوحدات'!$C$2:$C$41,MATCH($B94,'قائمة الوحدات'!$A$2:$A$41,0)),"")</f>
        <v>المرتبطة بسمو الوزير</v>
      </c>
      <c r="E94" s="14" t="str">
        <f>IFERROR(INDEX('قائمة الوحدات'!$D$2:$D$41,MATCH($B94,'قائمة الوحدات'!$A$2:$A$41,0)),"")</f>
        <v>إدارة الشؤون القانونية</v>
      </c>
      <c r="F94" s="14" t="str">
        <f>IFERROR(INDEX('قائمة الوحدات'!$F$2:$F$41,MATCH($B94,'قائمة الوحدات'!$A$2:$A$41,0)),"")</f>
        <v>إدارة الشؤون القانونية</v>
      </c>
      <c r="G94" s="16" t="s">
        <v>43</v>
      </c>
      <c r="H94" s="14" t="str">
        <f>IFERROR(INDEX(المرجع!$A$2:$A$19,MATCH($G94,المرجع!$B$2:$B$19,0)),"")</f>
        <v>التصميم</v>
      </c>
      <c r="I94" s="16" t="s">
        <v>48</v>
      </c>
      <c r="J94" s="14" t="str">
        <f>IFERROR(INDEX(المرجع!$D$2:$D$19,MATCH($I94,المرجع!$E$2:$E$19,0)),"")</f>
        <v>الأهداف ومؤشرات الأداء</v>
      </c>
      <c r="K94" s="16" t="s">
        <v>76</v>
      </c>
      <c r="L94" s="17" t="str">
        <f>IFERROR(INDEX('نقاط التحقق'!$G$2:$G$31,MATCH($K94,'نقاط التحقق'!$A$2:$A$31,0))&amp;"","")</f>
        <v>مؤشرات أداء الوحدة التنظيمية</v>
      </c>
      <c r="M94" s="13">
        <v>100</v>
      </c>
      <c r="N94" s="15" t="str">
        <f>IF($M94="","غير مقيّمة",IF($M94&gt;المرجع!$K$3,"مستوفاة بشكل متقدم",IF($M94&lt;=المرجع!$K$2,"مستوفاة بشكل أولي","مستوفاة بشكل جزئي")))</f>
        <v>مستوفاة بشكل متقدم</v>
      </c>
      <c r="O94" s="18" t="s">
        <v>2171</v>
      </c>
    </row>
    <row r="95" spans="1:15">
      <c r="A95" s="16" t="s">
        <v>329</v>
      </c>
      <c r="B95" s="16" t="s">
        <v>150</v>
      </c>
      <c r="C95" s="15" t="str">
        <f>IFERROR(INDEX('قائمة الوحدات'!$B$2:$B$41,MATCH($B95,'قائمة الوحدات'!$A$2:$A$41,0)),"")</f>
        <v>TOP</v>
      </c>
      <c r="D95" s="14" t="str">
        <f>IFERROR(INDEX('قائمة الوحدات'!$C$2:$C$41,MATCH($B95,'قائمة الوحدات'!$A$2:$A$41,0)),"")</f>
        <v>المرتبطة بسمو الوزير</v>
      </c>
      <c r="E95" s="14" t="str">
        <f>IFERROR(INDEX('قائمة الوحدات'!$D$2:$D$41,MATCH($B95,'قائمة الوحدات'!$A$2:$A$41,0)),"")</f>
        <v>إدارة الشؤون القانونية</v>
      </c>
      <c r="F95" s="14" t="str">
        <f>IFERROR(INDEX('قائمة الوحدات'!$F$2:$F$41,MATCH($B95,'قائمة الوحدات'!$A$2:$A$41,0)),"")</f>
        <v>إدارة الشؤون القانونية</v>
      </c>
      <c r="G95" s="16" t="s">
        <v>43</v>
      </c>
      <c r="H95" s="14" t="str">
        <f>IFERROR(INDEX(المرجع!$A$2:$A$19,MATCH($G95,المرجع!$B$2:$B$19,0)),"")</f>
        <v>التصميم</v>
      </c>
      <c r="I95" s="16" t="s">
        <v>51</v>
      </c>
      <c r="J95" s="14" t="str">
        <f>IFERROR(INDEX(المرجع!$D$2:$D$19,MATCH($I95,المرجع!$E$2:$E$19,0)),"")</f>
        <v>الحوكمة</v>
      </c>
      <c r="K95" s="16" t="s">
        <v>78</v>
      </c>
      <c r="L95" s="17" t="str">
        <f>IFERROR(INDEX('نقاط التحقق'!$G$2:$G$31,MATCH($K95,'نقاط التحقق'!$A$2:$A$31,0))&amp;"","")</f>
        <v>تفصيل القرارات ومصفوفة الصلاحيات واللجان ذات العلاقة لاعتماد مخرجات الوحدة التنظيمية</v>
      </c>
      <c r="M95" s="13">
        <v>84</v>
      </c>
      <c r="N95" s="15" t="str">
        <f>IF($M95="","غير مقيّمة",IF($M95&gt;المرجع!$K$3,"مستوفاة بشكل متقدم",IF($M95&lt;=المرجع!$K$2,"مستوفاة بشكل أولي","مستوفاة بشكل جزئي")))</f>
        <v>مستوفاة بشكل متقدم</v>
      </c>
      <c r="O95" s="18" t="s">
        <v>2171</v>
      </c>
    </row>
    <row r="96" spans="1:15">
      <c r="A96" s="16" t="s">
        <v>330</v>
      </c>
      <c r="B96" s="16" t="s">
        <v>150</v>
      </c>
      <c r="C96" s="15" t="str">
        <f>IFERROR(INDEX('قائمة الوحدات'!$B$2:$B$41,MATCH($B96,'قائمة الوحدات'!$A$2:$A$41,0)),"")</f>
        <v>TOP</v>
      </c>
      <c r="D96" s="14" t="str">
        <f>IFERROR(INDEX('قائمة الوحدات'!$C$2:$C$41,MATCH($B96,'قائمة الوحدات'!$A$2:$A$41,0)),"")</f>
        <v>المرتبطة بسمو الوزير</v>
      </c>
      <c r="E96" s="14" t="str">
        <f>IFERROR(INDEX('قائمة الوحدات'!$D$2:$D$41,MATCH($B96,'قائمة الوحدات'!$A$2:$A$41,0)),"")</f>
        <v>إدارة الشؤون القانونية</v>
      </c>
      <c r="F96" s="14" t="str">
        <f>IFERROR(INDEX('قائمة الوحدات'!$F$2:$F$41,MATCH($B96,'قائمة الوحدات'!$A$2:$A$41,0)),"")</f>
        <v>إدارة الشؤون القانونية</v>
      </c>
      <c r="G96" s="16" t="s">
        <v>43</v>
      </c>
      <c r="H96" s="14" t="str">
        <f>IFERROR(INDEX(المرجع!$A$2:$A$19,MATCH($G96,المرجع!$B$2:$B$19,0)),"")</f>
        <v>التصميم</v>
      </c>
      <c r="I96" s="16" t="s">
        <v>54</v>
      </c>
      <c r="J96" s="14" t="str">
        <f>IFERROR(INDEX(المرجع!$D$2:$D$19,MATCH($I96,المرجع!$E$2:$E$19,0)),"")</f>
        <v>التنظيم</v>
      </c>
      <c r="K96" s="16" t="s">
        <v>80</v>
      </c>
      <c r="L96" s="17" t="str">
        <f>IFERROR(INDEX('نقاط التحقق'!$G$2:$G$31,MATCH($K96,'نقاط التحقق'!$A$2:$A$31,0))&amp;"","")</f>
        <v>تطوير الأدوار والمسؤوليات للوحدة التنظيمية وتفصيل الهيكل التنظيمي</v>
      </c>
      <c r="M96" s="13">
        <v>69</v>
      </c>
      <c r="N96" s="15" t="str">
        <f>IF($M96="","غير مقيّمة",IF($M96&gt;المرجع!$K$3,"مستوفاة بشكل متقدم",IF($M96&lt;=المرجع!$K$2,"مستوفاة بشكل أولي","مستوفاة بشكل جزئي")))</f>
        <v>مستوفاة بشكل جزئي</v>
      </c>
      <c r="O96" s="18" t="s">
        <v>2171</v>
      </c>
    </row>
    <row r="97" spans="1:15">
      <c r="A97" s="16" t="s">
        <v>331</v>
      </c>
      <c r="B97" s="16" t="s">
        <v>150</v>
      </c>
      <c r="C97" s="15" t="str">
        <f>IFERROR(INDEX('قائمة الوحدات'!$B$2:$B$41,MATCH($B97,'قائمة الوحدات'!$A$2:$A$41,0)),"")</f>
        <v>TOP</v>
      </c>
      <c r="D97" s="14" t="str">
        <f>IFERROR(INDEX('قائمة الوحدات'!$C$2:$C$41,MATCH($B97,'قائمة الوحدات'!$A$2:$A$41,0)),"")</f>
        <v>المرتبطة بسمو الوزير</v>
      </c>
      <c r="E97" s="14" t="str">
        <f>IFERROR(INDEX('قائمة الوحدات'!$D$2:$D$41,MATCH($B97,'قائمة الوحدات'!$A$2:$A$41,0)),"")</f>
        <v>إدارة الشؤون القانونية</v>
      </c>
      <c r="F97" s="14" t="str">
        <f>IFERROR(INDEX('قائمة الوحدات'!$F$2:$F$41,MATCH($B97,'قائمة الوحدات'!$A$2:$A$41,0)),"")</f>
        <v>إدارة الشؤون القانونية</v>
      </c>
      <c r="G97" s="16" t="s">
        <v>43</v>
      </c>
      <c r="H97" s="14" t="str">
        <f>IFERROR(INDEX(المرجع!$A$2:$A$19,MATCH($G97,المرجع!$B$2:$B$19,0)),"")</f>
        <v>التصميم</v>
      </c>
      <c r="I97" s="16" t="s">
        <v>56</v>
      </c>
      <c r="J97" s="14" t="str">
        <f>IFERROR(INDEX(المرجع!$D$2:$D$19,MATCH($I97,المرجع!$E$2:$E$19,0)),"")</f>
        <v>الموارد</v>
      </c>
      <c r="K97" s="16" t="s">
        <v>82</v>
      </c>
      <c r="L97" s="17" t="str">
        <f>IFERROR(INDEX('نقاط التحقق'!$G$2:$G$31,MATCH($K97,'نقاط التحقق'!$A$2:$A$31,0))&amp;"","")</f>
        <v>تفصيل احتياج الموارد البشرية للوحدة التنظيمية</v>
      </c>
      <c r="M97" s="13">
        <v>86</v>
      </c>
      <c r="N97" s="15" t="str">
        <f>IF($M97="","غير مقيّمة",IF($M97&gt;المرجع!$K$3,"مستوفاة بشكل متقدم",IF($M97&lt;=المرجع!$K$2,"مستوفاة بشكل أولي","مستوفاة بشكل جزئي")))</f>
        <v>مستوفاة بشكل متقدم</v>
      </c>
      <c r="O97" s="18" t="s">
        <v>2171</v>
      </c>
    </row>
    <row r="98" spans="1:15">
      <c r="A98" s="16" t="s">
        <v>332</v>
      </c>
      <c r="B98" s="16" t="s">
        <v>150</v>
      </c>
      <c r="C98" s="15" t="str">
        <f>IFERROR(INDEX('قائمة الوحدات'!$B$2:$B$41,MATCH($B98,'قائمة الوحدات'!$A$2:$A$41,0)),"")</f>
        <v>TOP</v>
      </c>
      <c r="D98" s="14" t="str">
        <f>IFERROR(INDEX('قائمة الوحدات'!$C$2:$C$41,MATCH($B98,'قائمة الوحدات'!$A$2:$A$41,0)),"")</f>
        <v>المرتبطة بسمو الوزير</v>
      </c>
      <c r="E98" s="14" t="str">
        <f>IFERROR(INDEX('قائمة الوحدات'!$D$2:$D$41,MATCH($B98,'قائمة الوحدات'!$A$2:$A$41,0)),"")</f>
        <v>إدارة الشؤون القانونية</v>
      </c>
      <c r="F98" s="14" t="str">
        <f>IFERROR(INDEX('قائمة الوحدات'!$F$2:$F$41,MATCH($B98,'قائمة الوحدات'!$A$2:$A$41,0)),"")</f>
        <v>إدارة الشؤون القانونية</v>
      </c>
      <c r="G98" s="16" t="s">
        <v>43</v>
      </c>
      <c r="H98" s="14" t="str">
        <f>IFERROR(INDEX(المرجع!$A$2:$A$19,MATCH($G98,المرجع!$B$2:$B$19,0)),"")</f>
        <v>التصميم</v>
      </c>
      <c r="I98" s="16" t="s">
        <v>59</v>
      </c>
      <c r="J98" s="14" t="str">
        <f>IFERROR(INDEX(المرجع!$D$2:$D$19,MATCH($I98,المرجع!$E$2:$E$19,0)),"")</f>
        <v>الإجراءات</v>
      </c>
      <c r="K98" s="16" t="s">
        <v>84</v>
      </c>
      <c r="L98" s="17" t="str">
        <f>IFERROR(INDEX('نقاط التحقق'!$G$2:$G$31,MATCH($K98,'نقاط التحقق'!$A$2:$A$31,0))&amp;"","")</f>
        <v>تفصيل المخرجات إلى إجراءات عالية المستوى</v>
      </c>
      <c r="M98" s="13">
        <v>87</v>
      </c>
      <c r="N98" s="15" t="str">
        <f>IF($M98="","غير مقيّمة",IF($M98&gt;المرجع!$K$3,"مستوفاة بشكل متقدم",IF($M98&lt;=المرجع!$K$2,"مستوفاة بشكل أولي","مستوفاة بشكل جزئي")))</f>
        <v>مستوفاة بشكل متقدم</v>
      </c>
      <c r="O98" s="18" t="s">
        <v>2171</v>
      </c>
    </row>
    <row r="99" spans="1:15">
      <c r="A99" s="16" t="s">
        <v>333</v>
      </c>
      <c r="B99" s="16" t="s">
        <v>150</v>
      </c>
      <c r="C99" s="15" t="str">
        <f>IFERROR(INDEX('قائمة الوحدات'!$B$2:$B$41,MATCH($B99,'قائمة الوحدات'!$A$2:$A$41,0)),"")</f>
        <v>TOP</v>
      </c>
      <c r="D99" s="14" t="str">
        <f>IFERROR(INDEX('قائمة الوحدات'!$C$2:$C$41,MATCH($B99,'قائمة الوحدات'!$A$2:$A$41,0)),"")</f>
        <v>المرتبطة بسمو الوزير</v>
      </c>
      <c r="E99" s="14" t="str">
        <f>IFERROR(INDEX('قائمة الوحدات'!$D$2:$D$41,MATCH($B99,'قائمة الوحدات'!$A$2:$A$41,0)),"")</f>
        <v>إدارة الشؤون القانونية</v>
      </c>
      <c r="F99" s="14" t="str">
        <f>IFERROR(INDEX('قائمة الوحدات'!$F$2:$F$41,MATCH($B99,'قائمة الوحدات'!$A$2:$A$41,0)),"")</f>
        <v>إدارة الشؤون القانونية</v>
      </c>
      <c r="G99" s="16" t="s">
        <v>61</v>
      </c>
      <c r="H99" s="14" t="str">
        <f>IFERROR(INDEX(المرجع!$A$2:$A$19,MATCH($G99,المرجع!$B$2:$B$19,0)),"")</f>
        <v>البناء المؤسسي</v>
      </c>
      <c r="I99" s="16" t="s">
        <v>45</v>
      </c>
      <c r="J99" s="14" t="str">
        <f>IFERROR(INDEX(المرجع!$D$2:$D$19,MATCH($I99,المرجع!$E$2:$E$19,0)),"")</f>
        <v>الدور</v>
      </c>
      <c r="K99" s="16" t="s">
        <v>86</v>
      </c>
      <c r="L99" s="17" t="str">
        <f>IFERROR(INDEX('نقاط التحقق'!$G$2:$G$31,MATCH($K99,'نقاط التحقق'!$A$2:$A$31,0))&amp;"","")</f>
        <v>دور معتمد للوحدة التنظيمية</v>
      </c>
      <c r="M99" s="13">
        <v>48</v>
      </c>
      <c r="N99" s="15" t="str">
        <f>IF($M99="","غير مقيّمة",IF($M99&gt;المرجع!$K$3,"مستوفاة بشكل متقدم",IF($M99&lt;=المرجع!$K$2,"مستوفاة بشكل أولي","مستوفاة بشكل جزئي")))</f>
        <v>مستوفاة بشكل جزئي</v>
      </c>
      <c r="O99" s="18" t="s">
        <v>2171</v>
      </c>
    </row>
    <row r="100" spans="1:15">
      <c r="A100" s="16" t="s">
        <v>334</v>
      </c>
      <c r="B100" s="16" t="s">
        <v>150</v>
      </c>
      <c r="C100" s="15" t="str">
        <f>IFERROR(INDEX('قائمة الوحدات'!$B$2:$B$41,MATCH($B100,'قائمة الوحدات'!$A$2:$A$41,0)),"")</f>
        <v>TOP</v>
      </c>
      <c r="D100" s="14" t="str">
        <f>IFERROR(INDEX('قائمة الوحدات'!$C$2:$C$41,MATCH($B100,'قائمة الوحدات'!$A$2:$A$41,0)),"")</f>
        <v>المرتبطة بسمو الوزير</v>
      </c>
      <c r="E100" s="14" t="str">
        <f>IFERROR(INDEX('قائمة الوحدات'!$D$2:$D$41,MATCH($B100,'قائمة الوحدات'!$A$2:$A$41,0)),"")</f>
        <v>إدارة الشؤون القانونية</v>
      </c>
      <c r="F100" s="14" t="str">
        <f>IFERROR(INDEX('قائمة الوحدات'!$F$2:$F$41,MATCH($B100,'قائمة الوحدات'!$A$2:$A$41,0)),"")</f>
        <v>إدارة الشؤون القانونية</v>
      </c>
      <c r="G100" s="16" t="s">
        <v>61</v>
      </c>
      <c r="H100" s="14" t="str">
        <f>IFERROR(INDEX(المرجع!$A$2:$A$19,MATCH($G100,المرجع!$B$2:$B$19,0)),"")</f>
        <v>البناء المؤسسي</v>
      </c>
      <c r="I100" s="16" t="s">
        <v>48</v>
      </c>
      <c r="J100" s="14" t="str">
        <f>IFERROR(INDEX(المرجع!$D$2:$D$19,MATCH($I100,المرجع!$E$2:$E$19,0)),"")</f>
        <v>الأهداف ومؤشرات الأداء</v>
      </c>
      <c r="K100" s="16" t="s">
        <v>88</v>
      </c>
      <c r="L100" s="17" t="str">
        <f>IFERROR(INDEX('نقاط التحقق'!$G$2:$G$31,MATCH($K100,'نقاط التحقق'!$A$2:$A$31,0))&amp;"","")</f>
        <v>أهداف تشغيلية معتمدة من صاحب الصلاحية</v>
      </c>
      <c r="M100" s="13">
        <v>80</v>
      </c>
      <c r="N100" s="15" t="str">
        <f>IF($M100="","غير مقيّمة",IF($M100&gt;المرجع!$K$3,"مستوفاة بشكل متقدم",IF($M100&lt;=المرجع!$K$2,"مستوفاة بشكل أولي","مستوفاة بشكل جزئي")))</f>
        <v>مستوفاة بشكل متقدم</v>
      </c>
      <c r="O100" s="18" t="s">
        <v>2171</v>
      </c>
    </row>
    <row r="101" spans="1:15">
      <c r="A101" s="16" t="s">
        <v>335</v>
      </c>
      <c r="B101" s="16" t="s">
        <v>150</v>
      </c>
      <c r="C101" s="15" t="str">
        <f>IFERROR(INDEX('قائمة الوحدات'!$B$2:$B$41,MATCH($B101,'قائمة الوحدات'!$A$2:$A$41,0)),"")</f>
        <v>TOP</v>
      </c>
      <c r="D101" s="14" t="str">
        <f>IFERROR(INDEX('قائمة الوحدات'!$C$2:$C$41,MATCH($B101,'قائمة الوحدات'!$A$2:$A$41,0)),"")</f>
        <v>المرتبطة بسمو الوزير</v>
      </c>
      <c r="E101" s="14" t="str">
        <f>IFERROR(INDEX('قائمة الوحدات'!$D$2:$D$41,MATCH($B101,'قائمة الوحدات'!$A$2:$A$41,0)),"")</f>
        <v>إدارة الشؤون القانونية</v>
      </c>
      <c r="F101" s="14" t="str">
        <f>IFERROR(INDEX('قائمة الوحدات'!$F$2:$F$41,MATCH($B101,'قائمة الوحدات'!$A$2:$A$41,0)),"")</f>
        <v>إدارة الشؤون القانونية</v>
      </c>
      <c r="G101" s="16" t="s">
        <v>61</v>
      </c>
      <c r="H101" s="14" t="str">
        <f>IFERROR(INDEX(المرجع!$A$2:$A$19,MATCH($G101,المرجع!$B$2:$B$19,0)),"")</f>
        <v>البناء المؤسسي</v>
      </c>
      <c r="I101" s="16" t="s">
        <v>48</v>
      </c>
      <c r="J101" s="14" t="str">
        <f>IFERROR(INDEX(المرجع!$D$2:$D$19,MATCH($I101,المرجع!$E$2:$E$19,0)),"")</f>
        <v>الأهداف ومؤشرات الأداء</v>
      </c>
      <c r="K101" s="16" t="s">
        <v>90</v>
      </c>
      <c r="L101" s="17" t="str">
        <f>IFERROR(INDEX('نقاط التحقق'!$G$2:$G$31,MATCH($K101,'نقاط التحقق'!$A$2:$A$31,0))&amp;"","")</f>
        <v>نشر الأهداف التشغيلية على موظفي الوحدة التنظيمية</v>
      </c>
      <c r="M101" s="13">
        <v>85</v>
      </c>
      <c r="N101" s="15" t="str">
        <f>IF($M101="","غير مقيّمة",IF($M101&gt;المرجع!$K$3,"مستوفاة بشكل متقدم",IF($M101&lt;=المرجع!$K$2,"مستوفاة بشكل أولي","مستوفاة بشكل جزئي")))</f>
        <v>مستوفاة بشكل متقدم</v>
      </c>
      <c r="O101" s="18" t="s">
        <v>2171</v>
      </c>
    </row>
    <row r="102" spans="1:15">
      <c r="A102" s="16" t="s">
        <v>336</v>
      </c>
      <c r="B102" s="16" t="s">
        <v>150</v>
      </c>
      <c r="C102" s="15" t="str">
        <f>IFERROR(INDEX('قائمة الوحدات'!$B$2:$B$41,MATCH($B102,'قائمة الوحدات'!$A$2:$A$41,0)),"")</f>
        <v>TOP</v>
      </c>
      <c r="D102" s="14" t="str">
        <f>IFERROR(INDEX('قائمة الوحدات'!$C$2:$C$41,MATCH($B102,'قائمة الوحدات'!$A$2:$A$41,0)),"")</f>
        <v>المرتبطة بسمو الوزير</v>
      </c>
      <c r="E102" s="14" t="str">
        <f>IFERROR(INDEX('قائمة الوحدات'!$D$2:$D$41,MATCH($B102,'قائمة الوحدات'!$A$2:$A$41,0)),"")</f>
        <v>إدارة الشؤون القانونية</v>
      </c>
      <c r="F102" s="14" t="str">
        <f>IFERROR(INDEX('قائمة الوحدات'!$F$2:$F$41,MATCH($B102,'قائمة الوحدات'!$A$2:$A$41,0)),"")</f>
        <v>إدارة الشؤون القانونية</v>
      </c>
      <c r="G102" s="16" t="s">
        <v>61</v>
      </c>
      <c r="H102" s="14" t="str">
        <f>IFERROR(INDEX(المرجع!$A$2:$A$19,MATCH($G102,المرجع!$B$2:$B$19,0)),"")</f>
        <v>البناء المؤسسي</v>
      </c>
      <c r="I102" s="16" t="s">
        <v>51</v>
      </c>
      <c r="J102" s="14" t="str">
        <f>IFERROR(INDEX(المرجع!$D$2:$D$19,MATCH($I102,المرجع!$E$2:$E$19,0)),"")</f>
        <v>الحوكمة</v>
      </c>
      <c r="K102" s="16" t="s">
        <v>92</v>
      </c>
      <c r="L102" s="17" t="str">
        <f>IFERROR(INDEX('نقاط التحقق'!$G$2:$G$31,MATCH($K102,'نقاط التحقق'!$A$2:$A$31,0))&amp;"","")</f>
        <v>مصفوفة صلاحيات معتمدة ومعممة على أصحاب المصلحة</v>
      </c>
      <c r="M102" s="13">
        <v>50</v>
      </c>
      <c r="N102" s="15" t="str">
        <f>IF($M102="","غير مقيّمة",IF($M102&gt;المرجع!$K$3,"مستوفاة بشكل متقدم",IF($M102&lt;=المرجع!$K$2,"مستوفاة بشكل أولي","مستوفاة بشكل جزئي")))</f>
        <v>مستوفاة بشكل جزئي</v>
      </c>
      <c r="O102" s="18" t="s">
        <v>2171</v>
      </c>
    </row>
    <row r="103" spans="1:15">
      <c r="A103" s="16" t="s">
        <v>337</v>
      </c>
      <c r="B103" s="16" t="s">
        <v>150</v>
      </c>
      <c r="C103" s="15" t="str">
        <f>IFERROR(INDEX('قائمة الوحدات'!$B$2:$B$41,MATCH($B103,'قائمة الوحدات'!$A$2:$A$41,0)),"")</f>
        <v>TOP</v>
      </c>
      <c r="D103" s="14" t="str">
        <f>IFERROR(INDEX('قائمة الوحدات'!$C$2:$C$41,MATCH($B103,'قائمة الوحدات'!$A$2:$A$41,0)),"")</f>
        <v>المرتبطة بسمو الوزير</v>
      </c>
      <c r="E103" s="14" t="str">
        <f>IFERROR(INDEX('قائمة الوحدات'!$D$2:$D$41,MATCH($B103,'قائمة الوحدات'!$A$2:$A$41,0)),"")</f>
        <v>إدارة الشؤون القانونية</v>
      </c>
      <c r="F103" s="14" t="str">
        <f>IFERROR(INDEX('قائمة الوحدات'!$F$2:$F$41,MATCH($B103,'قائمة الوحدات'!$A$2:$A$41,0)),"")</f>
        <v>إدارة الشؤون القانونية</v>
      </c>
      <c r="G103" s="16" t="s">
        <v>61</v>
      </c>
      <c r="H103" s="14" t="str">
        <f>IFERROR(INDEX(المرجع!$A$2:$A$19,MATCH($G103,المرجع!$B$2:$B$19,0)),"")</f>
        <v>البناء المؤسسي</v>
      </c>
      <c r="I103" s="16" t="s">
        <v>51</v>
      </c>
      <c r="J103" s="14" t="str">
        <f>IFERROR(INDEX(المرجع!$D$2:$D$19,MATCH($I103,المرجع!$E$2:$E$19,0)),"")</f>
        <v>الحوكمة</v>
      </c>
      <c r="K103" s="16" t="s">
        <v>94</v>
      </c>
      <c r="L103" s="17" t="str">
        <f>IFERROR(INDEX('نقاط التحقق'!$G$2:$G$31,MATCH($K103,'نقاط التحقق'!$A$2:$A$31,0))&amp;"","")</f>
        <v>سياسات معتمدة للتي تملكها الوحدة التنظيمية</v>
      </c>
      <c r="M103" s="13">
        <v>60</v>
      </c>
      <c r="N103" s="15" t="str">
        <f>IF($M103="","غير مقيّمة",IF($M103&gt;المرجع!$K$3,"مستوفاة بشكل متقدم",IF($M103&lt;=المرجع!$K$2,"مستوفاة بشكل أولي","مستوفاة بشكل جزئي")))</f>
        <v>مستوفاة بشكل جزئي</v>
      </c>
      <c r="O103" s="18" t="s">
        <v>2171</v>
      </c>
    </row>
    <row r="104" spans="1:15">
      <c r="A104" s="16" t="s">
        <v>338</v>
      </c>
      <c r="B104" s="16" t="s">
        <v>150</v>
      </c>
      <c r="C104" s="15" t="str">
        <f>IFERROR(INDEX('قائمة الوحدات'!$B$2:$B$41,MATCH($B104,'قائمة الوحدات'!$A$2:$A$41,0)),"")</f>
        <v>TOP</v>
      </c>
      <c r="D104" s="14" t="str">
        <f>IFERROR(INDEX('قائمة الوحدات'!$C$2:$C$41,MATCH($B104,'قائمة الوحدات'!$A$2:$A$41,0)),"")</f>
        <v>المرتبطة بسمو الوزير</v>
      </c>
      <c r="E104" s="14" t="str">
        <f>IFERROR(INDEX('قائمة الوحدات'!$D$2:$D$41,MATCH($B104,'قائمة الوحدات'!$A$2:$A$41,0)),"")</f>
        <v>إدارة الشؤون القانونية</v>
      </c>
      <c r="F104" s="14" t="str">
        <f>IFERROR(INDEX('قائمة الوحدات'!$F$2:$F$41,MATCH($B104,'قائمة الوحدات'!$A$2:$A$41,0)),"")</f>
        <v>إدارة الشؤون القانونية</v>
      </c>
      <c r="G104" s="16" t="s">
        <v>61</v>
      </c>
      <c r="H104" s="14" t="str">
        <f>IFERROR(INDEX(المرجع!$A$2:$A$19,MATCH($G104,المرجع!$B$2:$B$19,0)),"")</f>
        <v>البناء المؤسسي</v>
      </c>
      <c r="I104" s="16" t="s">
        <v>51</v>
      </c>
      <c r="J104" s="14" t="str">
        <f>IFERROR(INDEX(المرجع!$D$2:$D$19,MATCH($I104,المرجع!$E$2:$E$19,0)),"")</f>
        <v>الحوكمة</v>
      </c>
      <c r="K104" s="16" t="s">
        <v>96</v>
      </c>
      <c r="L104" s="17" t="str">
        <f>IFERROR(INDEX('نقاط التحقق'!$G$2:$G$31,MATCH($K104,'نقاط التحقق'!$A$2:$A$31,0))&amp;"","")</f>
        <v>قرار تشكيل معتمد للجان ذات العلاقة</v>
      </c>
      <c r="M104" s="13">
        <v>60</v>
      </c>
      <c r="N104" s="15" t="str">
        <f>IF($M104="","غير مقيّمة",IF($M104&gt;المرجع!$K$3,"مستوفاة بشكل متقدم",IF($M104&lt;=المرجع!$K$2,"مستوفاة بشكل أولي","مستوفاة بشكل جزئي")))</f>
        <v>مستوفاة بشكل جزئي</v>
      </c>
      <c r="O104" s="18" t="s">
        <v>2171</v>
      </c>
    </row>
    <row r="105" spans="1:15">
      <c r="A105" s="16" t="s">
        <v>339</v>
      </c>
      <c r="B105" s="16" t="s">
        <v>150</v>
      </c>
      <c r="C105" s="15" t="str">
        <f>IFERROR(INDEX('قائمة الوحدات'!$B$2:$B$41,MATCH($B105,'قائمة الوحدات'!$A$2:$A$41,0)),"")</f>
        <v>TOP</v>
      </c>
      <c r="D105" s="14" t="str">
        <f>IFERROR(INDEX('قائمة الوحدات'!$C$2:$C$41,MATCH($B105,'قائمة الوحدات'!$A$2:$A$41,0)),"")</f>
        <v>المرتبطة بسمو الوزير</v>
      </c>
      <c r="E105" s="14" t="str">
        <f>IFERROR(INDEX('قائمة الوحدات'!$D$2:$D$41,MATCH($B105,'قائمة الوحدات'!$A$2:$A$41,0)),"")</f>
        <v>إدارة الشؤون القانونية</v>
      </c>
      <c r="F105" s="14" t="str">
        <f>IFERROR(INDEX('قائمة الوحدات'!$F$2:$F$41,MATCH($B105,'قائمة الوحدات'!$A$2:$A$41,0)),"")</f>
        <v>إدارة الشؤون القانونية</v>
      </c>
      <c r="G105" s="16" t="s">
        <v>61</v>
      </c>
      <c r="H105" s="14" t="str">
        <f>IFERROR(INDEX(المرجع!$A$2:$A$19,MATCH($G105,المرجع!$B$2:$B$19,0)),"")</f>
        <v>البناء المؤسسي</v>
      </c>
      <c r="I105" s="16" t="s">
        <v>54</v>
      </c>
      <c r="J105" s="14" t="str">
        <f>IFERROR(INDEX(المرجع!$D$2:$D$19,MATCH($I105,المرجع!$E$2:$E$19,0)),"")</f>
        <v>التنظيم</v>
      </c>
      <c r="K105" s="16" t="s">
        <v>98</v>
      </c>
      <c r="L105" s="17" t="str">
        <f>IFERROR(INDEX('نقاط التحقق'!$G$2:$G$31,MATCH($K105,'نقاط التحقق'!$A$2:$A$31,0))&amp;"","")</f>
        <v>هيكل تنظيمي معتمد من صاحب الصلاحية</v>
      </c>
      <c r="M105" s="13">
        <v>40</v>
      </c>
      <c r="N105" s="15" t="str">
        <f>IF($M105="","غير مقيّمة",IF($M105&gt;المرجع!$K$3,"مستوفاة بشكل متقدم",IF($M105&lt;=المرجع!$K$2,"مستوفاة بشكل أولي","مستوفاة بشكل جزئي")))</f>
        <v>مستوفاة بشكل جزئي</v>
      </c>
      <c r="O105" s="18" t="s">
        <v>2171</v>
      </c>
    </row>
    <row r="106" spans="1:15">
      <c r="A106" s="16" t="s">
        <v>340</v>
      </c>
      <c r="B106" s="16" t="s">
        <v>150</v>
      </c>
      <c r="C106" s="15" t="str">
        <f>IFERROR(INDEX('قائمة الوحدات'!$B$2:$B$41,MATCH($B106,'قائمة الوحدات'!$A$2:$A$41,0)),"")</f>
        <v>TOP</v>
      </c>
      <c r="D106" s="14" t="str">
        <f>IFERROR(INDEX('قائمة الوحدات'!$C$2:$C$41,MATCH($B106,'قائمة الوحدات'!$A$2:$A$41,0)),"")</f>
        <v>المرتبطة بسمو الوزير</v>
      </c>
      <c r="E106" s="14" t="str">
        <f>IFERROR(INDEX('قائمة الوحدات'!$D$2:$D$41,MATCH($B106,'قائمة الوحدات'!$A$2:$A$41,0)),"")</f>
        <v>إدارة الشؤون القانونية</v>
      </c>
      <c r="F106" s="14" t="str">
        <f>IFERROR(INDEX('قائمة الوحدات'!$F$2:$F$41,MATCH($B106,'قائمة الوحدات'!$A$2:$A$41,0)),"")</f>
        <v>إدارة الشؤون القانونية</v>
      </c>
      <c r="G106" s="16" t="s">
        <v>61</v>
      </c>
      <c r="H106" s="14" t="str">
        <f>IFERROR(INDEX(المرجع!$A$2:$A$19,MATCH($G106,المرجع!$B$2:$B$19,0)),"")</f>
        <v>البناء المؤسسي</v>
      </c>
      <c r="I106" s="16" t="s">
        <v>54</v>
      </c>
      <c r="J106" s="14" t="str">
        <f>IFERROR(INDEX(المرجع!$D$2:$D$19,MATCH($I106,المرجع!$E$2:$E$19,0)),"")</f>
        <v>التنظيم</v>
      </c>
      <c r="K106" s="16" t="s">
        <v>100</v>
      </c>
      <c r="L106" s="17" t="str">
        <f>IFERROR(INDEX('نقاط التحقق'!$G$2:$G$31,MATCH($K106,'نقاط التحقق'!$A$2:$A$31,0))&amp;"","")</f>
        <v>هيكل تنظيمي منشأ على نظام القوى العاملة</v>
      </c>
      <c r="M106" s="13">
        <v>55</v>
      </c>
      <c r="N106" s="15" t="str">
        <f>IF($M106="","غير مقيّمة",IF($M106&gt;المرجع!$K$3,"مستوفاة بشكل متقدم",IF($M106&lt;=المرجع!$K$2,"مستوفاة بشكل أولي","مستوفاة بشكل جزئي")))</f>
        <v>مستوفاة بشكل جزئي</v>
      </c>
      <c r="O106" s="18" t="s">
        <v>2171</v>
      </c>
    </row>
    <row r="107" spans="1:15">
      <c r="A107" s="16" t="s">
        <v>341</v>
      </c>
      <c r="B107" s="16" t="s">
        <v>150</v>
      </c>
      <c r="C107" s="15" t="str">
        <f>IFERROR(INDEX('قائمة الوحدات'!$B$2:$B$41,MATCH($B107,'قائمة الوحدات'!$A$2:$A$41,0)),"")</f>
        <v>TOP</v>
      </c>
      <c r="D107" s="14" t="str">
        <f>IFERROR(INDEX('قائمة الوحدات'!$C$2:$C$41,MATCH($B107,'قائمة الوحدات'!$A$2:$A$41,0)),"")</f>
        <v>المرتبطة بسمو الوزير</v>
      </c>
      <c r="E107" s="14" t="str">
        <f>IFERROR(INDEX('قائمة الوحدات'!$D$2:$D$41,MATCH($B107,'قائمة الوحدات'!$A$2:$A$41,0)),"")</f>
        <v>إدارة الشؤون القانونية</v>
      </c>
      <c r="F107" s="14" t="str">
        <f>IFERROR(INDEX('قائمة الوحدات'!$F$2:$F$41,MATCH($B107,'قائمة الوحدات'!$A$2:$A$41,0)),"")</f>
        <v>إدارة الشؤون القانونية</v>
      </c>
      <c r="G107" s="16" t="s">
        <v>61</v>
      </c>
      <c r="H107" s="14" t="str">
        <f>IFERROR(INDEX(المرجع!$A$2:$A$19,MATCH($G107,المرجع!$B$2:$B$19,0)),"")</f>
        <v>البناء المؤسسي</v>
      </c>
      <c r="I107" s="16" t="s">
        <v>54</v>
      </c>
      <c r="J107" s="14" t="str">
        <f>IFERROR(INDEX(المرجع!$D$2:$D$19,MATCH($I107,المرجع!$E$2:$E$19,0)),"")</f>
        <v>التنظيم</v>
      </c>
      <c r="K107" s="16" t="s">
        <v>102</v>
      </c>
      <c r="L107" s="17" t="str">
        <f>IFERROR(INDEX('نقاط التحقق'!$G$2:$G$31,MATCH($K107,'نقاط التحقق'!$A$2:$A$31,0))&amp;"","")</f>
        <v>الموظفون المحددون مسكّنون على الهيكل التنظيمي المستهدف</v>
      </c>
      <c r="M107" s="13">
        <v>45</v>
      </c>
      <c r="N107" s="15" t="str">
        <f>IF($M107="","غير مقيّمة",IF($M107&gt;المرجع!$K$3,"مستوفاة بشكل متقدم",IF($M107&lt;=المرجع!$K$2,"مستوفاة بشكل أولي","مستوفاة بشكل جزئي")))</f>
        <v>مستوفاة بشكل جزئي</v>
      </c>
      <c r="O107" s="18" t="s">
        <v>2171</v>
      </c>
    </row>
    <row r="108" spans="1:15">
      <c r="A108" s="16" t="s">
        <v>342</v>
      </c>
      <c r="B108" s="16" t="s">
        <v>150</v>
      </c>
      <c r="C108" s="15" t="str">
        <f>IFERROR(INDEX('قائمة الوحدات'!$B$2:$B$41,MATCH($B108,'قائمة الوحدات'!$A$2:$A$41,0)),"")</f>
        <v>TOP</v>
      </c>
      <c r="D108" s="14" t="str">
        <f>IFERROR(INDEX('قائمة الوحدات'!$C$2:$C$41,MATCH($B108,'قائمة الوحدات'!$A$2:$A$41,0)),"")</f>
        <v>المرتبطة بسمو الوزير</v>
      </c>
      <c r="E108" s="14" t="str">
        <f>IFERROR(INDEX('قائمة الوحدات'!$D$2:$D$41,MATCH($B108,'قائمة الوحدات'!$A$2:$A$41,0)),"")</f>
        <v>إدارة الشؤون القانونية</v>
      </c>
      <c r="F108" s="14" t="str">
        <f>IFERROR(INDEX('قائمة الوحدات'!$F$2:$F$41,MATCH($B108,'قائمة الوحدات'!$A$2:$A$41,0)),"")</f>
        <v>إدارة الشؤون القانونية</v>
      </c>
      <c r="G108" s="16" t="s">
        <v>61</v>
      </c>
      <c r="H108" s="14" t="str">
        <f>IFERROR(INDEX(المرجع!$A$2:$A$19,MATCH($G108,المرجع!$B$2:$B$19,0)),"")</f>
        <v>البناء المؤسسي</v>
      </c>
      <c r="I108" s="16" t="s">
        <v>56</v>
      </c>
      <c r="J108" s="14" t="str">
        <f>IFERROR(INDEX(المرجع!$D$2:$D$19,MATCH($I108,المرجع!$E$2:$E$19,0)),"")</f>
        <v>الموارد</v>
      </c>
      <c r="K108" s="16" t="s">
        <v>104</v>
      </c>
      <c r="L108" s="17" t="str">
        <f>IFERROR(INDEX('نقاط التحقق'!$G$2:$G$31,MATCH($K108,'نقاط التحقق'!$A$2:$A$31,0))&amp;"","")</f>
        <v>مدير الوحدة التنظيمية والموظفون الرئيسيون معينون/ملحقون</v>
      </c>
      <c r="M108" s="13">
        <v>80</v>
      </c>
      <c r="N108" s="15" t="str">
        <f>IF($M108="","غير مقيّمة",IF($M108&gt;المرجع!$K$3,"مستوفاة بشكل متقدم",IF($M108&lt;=المرجع!$K$2,"مستوفاة بشكل أولي","مستوفاة بشكل جزئي")))</f>
        <v>مستوفاة بشكل متقدم</v>
      </c>
      <c r="O108" s="18" t="s">
        <v>2171</v>
      </c>
    </row>
    <row r="109" spans="1:15">
      <c r="A109" s="16" t="s">
        <v>343</v>
      </c>
      <c r="B109" s="16" t="s">
        <v>150</v>
      </c>
      <c r="C109" s="15" t="str">
        <f>IFERROR(INDEX('قائمة الوحدات'!$B$2:$B$41,MATCH($B109,'قائمة الوحدات'!$A$2:$A$41,0)),"")</f>
        <v>TOP</v>
      </c>
      <c r="D109" s="14" t="str">
        <f>IFERROR(INDEX('قائمة الوحدات'!$C$2:$C$41,MATCH($B109,'قائمة الوحدات'!$A$2:$A$41,0)),"")</f>
        <v>المرتبطة بسمو الوزير</v>
      </c>
      <c r="E109" s="14" t="str">
        <f>IFERROR(INDEX('قائمة الوحدات'!$D$2:$D$41,MATCH($B109,'قائمة الوحدات'!$A$2:$A$41,0)),"")</f>
        <v>إدارة الشؤون القانونية</v>
      </c>
      <c r="F109" s="14" t="str">
        <f>IFERROR(INDEX('قائمة الوحدات'!$F$2:$F$41,MATCH($B109,'قائمة الوحدات'!$A$2:$A$41,0)),"")</f>
        <v>إدارة الشؤون القانونية</v>
      </c>
      <c r="G109" s="16" t="s">
        <v>61</v>
      </c>
      <c r="H109" s="14" t="str">
        <f>IFERROR(INDEX(المرجع!$A$2:$A$19,MATCH($G109,المرجع!$B$2:$B$19,0)),"")</f>
        <v>البناء المؤسسي</v>
      </c>
      <c r="I109" s="16" t="s">
        <v>56</v>
      </c>
      <c r="J109" s="14" t="str">
        <f>IFERROR(INDEX(المرجع!$D$2:$D$19,MATCH($I109,المرجع!$E$2:$E$19,0)),"")</f>
        <v>الموارد</v>
      </c>
      <c r="K109" s="16" t="s">
        <v>106</v>
      </c>
      <c r="L109" s="17" t="str">
        <f>IFERROR(INDEX('نقاط التحقق'!$G$2:$G$31,MATCH($K109,'نقاط التحقق'!$A$2:$A$31,0))&amp;"","")</f>
        <v>خطة توظيف وتدريب مستكملة</v>
      </c>
      <c r="M109" s="13">
        <v>55</v>
      </c>
      <c r="N109" s="15" t="str">
        <f>IF($M109="","غير مقيّمة",IF($M109&gt;المرجع!$K$3,"مستوفاة بشكل متقدم",IF($M109&lt;=المرجع!$K$2,"مستوفاة بشكل أولي","مستوفاة بشكل جزئي")))</f>
        <v>مستوفاة بشكل جزئي</v>
      </c>
      <c r="O109" s="18" t="s">
        <v>2171</v>
      </c>
    </row>
    <row r="110" spans="1:15">
      <c r="A110" s="16" t="s">
        <v>344</v>
      </c>
      <c r="B110" s="16" t="s">
        <v>150</v>
      </c>
      <c r="C110" s="15" t="str">
        <f>IFERROR(INDEX('قائمة الوحدات'!$B$2:$B$41,MATCH($B110,'قائمة الوحدات'!$A$2:$A$41,0)),"")</f>
        <v>TOP</v>
      </c>
      <c r="D110" s="14" t="str">
        <f>IFERROR(INDEX('قائمة الوحدات'!$C$2:$C$41,MATCH($B110,'قائمة الوحدات'!$A$2:$A$41,0)),"")</f>
        <v>المرتبطة بسمو الوزير</v>
      </c>
      <c r="E110" s="14" t="str">
        <f>IFERROR(INDEX('قائمة الوحدات'!$D$2:$D$41,MATCH($B110,'قائمة الوحدات'!$A$2:$A$41,0)),"")</f>
        <v>إدارة الشؤون القانونية</v>
      </c>
      <c r="F110" s="14" t="str">
        <f>IFERROR(INDEX('قائمة الوحدات'!$F$2:$F$41,MATCH($B110,'قائمة الوحدات'!$A$2:$A$41,0)),"")</f>
        <v>إدارة الشؤون القانونية</v>
      </c>
      <c r="G110" s="16" t="s">
        <v>61</v>
      </c>
      <c r="H110" s="14" t="str">
        <f>IFERROR(INDEX(المرجع!$A$2:$A$19,MATCH($G110,المرجع!$B$2:$B$19,0)),"")</f>
        <v>البناء المؤسسي</v>
      </c>
      <c r="I110" s="16" t="s">
        <v>56</v>
      </c>
      <c r="J110" s="14" t="str">
        <f>IFERROR(INDEX(المرجع!$D$2:$D$19,MATCH($I110,المرجع!$E$2:$E$19,0)),"")</f>
        <v>الموارد</v>
      </c>
      <c r="K110" s="16" t="s">
        <v>108</v>
      </c>
      <c r="L110" s="17" t="str">
        <f>IFERROR(INDEX('نقاط التحقق'!$G$2:$G$31,MATCH($K110,'نقاط التحقق'!$A$2:$A$31,0))&amp;"","")</f>
        <v>وجود مساحات مكتبية كافية</v>
      </c>
      <c r="M110" s="13">
        <v>65</v>
      </c>
      <c r="N110" s="15" t="str">
        <f>IF($M110="","غير مقيّمة",IF($M110&gt;المرجع!$K$3,"مستوفاة بشكل متقدم",IF($M110&lt;=المرجع!$K$2,"مستوفاة بشكل أولي","مستوفاة بشكل جزئي")))</f>
        <v>مستوفاة بشكل جزئي</v>
      </c>
      <c r="O110" s="18" t="s">
        <v>2171</v>
      </c>
    </row>
    <row r="111" spans="1:15">
      <c r="A111" s="16" t="s">
        <v>345</v>
      </c>
      <c r="B111" s="16" t="s">
        <v>150</v>
      </c>
      <c r="C111" s="15" t="str">
        <f>IFERROR(INDEX('قائمة الوحدات'!$B$2:$B$41,MATCH($B111,'قائمة الوحدات'!$A$2:$A$41,0)),"")</f>
        <v>TOP</v>
      </c>
      <c r="D111" s="14" t="str">
        <f>IFERROR(INDEX('قائمة الوحدات'!$C$2:$C$41,MATCH($B111,'قائمة الوحدات'!$A$2:$A$41,0)),"")</f>
        <v>المرتبطة بسمو الوزير</v>
      </c>
      <c r="E111" s="14" t="str">
        <f>IFERROR(INDEX('قائمة الوحدات'!$D$2:$D$41,MATCH($B111,'قائمة الوحدات'!$A$2:$A$41,0)),"")</f>
        <v>إدارة الشؤون القانونية</v>
      </c>
      <c r="F111" s="14" t="str">
        <f>IFERROR(INDEX('قائمة الوحدات'!$F$2:$F$41,MATCH($B111,'قائمة الوحدات'!$A$2:$A$41,0)),"")</f>
        <v>إدارة الشؤون القانونية</v>
      </c>
      <c r="G111" s="16" t="s">
        <v>61</v>
      </c>
      <c r="H111" s="14" t="str">
        <f>IFERROR(INDEX(المرجع!$A$2:$A$19,MATCH($G111,المرجع!$B$2:$B$19,0)),"")</f>
        <v>البناء المؤسسي</v>
      </c>
      <c r="I111" s="16" t="s">
        <v>56</v>
      </c>
      <c r="J111" s="14" t="str">
        <f>IFERROR(INDEX(المرجع!$D$2:$D$19,MATCH($I111,المرجع!$E$2:$E$19,0)),"")</f>
        <v>الموارد</v>
      </c>
      <c r="K111" s="16" t="s">
        <v>110</v>
      </c>
      <c r="L111" s="17" t="str">
        <f>IFERROR(INDEX('نقاط التحقق'!$G$2:$G$31,MATCH($K111,'نقاط التحقق'!$A$2:$A$31,0))&amp;"","")</f>
        <v>وجود الاحتياجات التقنية الأساسية</v>
      </c>
      <c r="M111" s="13">
        <v>65</v>
      </c>
      <c r="N111" s="15" t="str">
        <f>IF($M111="","غير مقيّمة",IF($M111&gt;المرجع!$K$3,"مستوفاة بشكل متقدم",IF($M111&lt;=المرجع!$K$2,"مستوفاة بشكل أولي","مستوفاة بشكل جزئي")))</f>
        <v>مستوفاة بشكل جزئي</v>
      </c>
      <c r="O111" s="18" t="s">
        <v>2171</v>
      </c>
    </row>
    <row r="112" spans="1:15">
      <c r="A112" s="16" t="s">
        <v>346</v>
      </c>
      <c r="B112" s="16" t="s">
        <v>150</v>
      </c>
      <c r="C112" s="15" t="str">
        <f>IFERROR(INDEX('قائمة الوحدات'!$B$2:$B$41,MATCH($B112,'قائمة الوحدات'!$A$2:$A$41,0)),"")</f>
        <v>TOP</v>
      </c>
      <c r="D112" s="14" t="str">
        <f>IFERROR(INDEX('قائمة الوحدات'!$C$2:$C$41,MATCH($B112,'قائمة الوحدات'!$A$2:$A$41,0)),"")</f>
        <v>المرتبطة بسمو الوزير</v>
      </c>
      <c r="E112" s="14" t="str">
        <f>IFERROR(INDEX('قائمة الوحدات'!$D$2:$D$41,MATCH($B112,'قائمة الوحدات'!$A$2:$A$41,0)),"")</f>
        <v>إدارة الشؤون القانونية</v>
      </c>
      <c r="F112" s="14" t="str">
        <f>IFERROR(INDEX('قائمة الوحدات'!$F$2:$F$41,MATCH($B112,'قائمة الوحدات'!$A$2:$A$41,0)),"")</f>
        <v>إدارة الشؤون القانونية</v>
      </c>
      <c r="G112" s="16" t="s">
        <v>61</v>
      </c>
      <c r="H112" s="14" t="str">
        <f>IFERROR(INDEX(المرجع!$A$2:$A$19,MATCH($G112,المرجع!$B$2:$B$19,0)),"")</f>
        <v>البناء المؤسسي</v>
      </c>
      <c r="I112" s="16" t="s">
        <v>59</v>
      </c>
      <c r="J112" s="14" t="str">
        <f>IFERROR(INDEX(المرجع!$D$2:$D$19,MATCH($I112,المرجع!$E$2:$E$19,0)),"")</f>
        <v>الإجراءات</v>
      </c>
      <c r="K112" s="16" t="s">
        <v>112</v>
      </c>
      <c r="L112" s="17" t="str">
        <f>IFERROR(INDEX('نقاط التحقق'!$G$2:$G$31,MATCH($K112,'نقاط التحقق'!$A$2:$A$31,0))&amp;"","")</f>
        <v>إجراءات معتمدة للوحدة التنظيمية</v>
      </c>
      <c r="M112" s="13">
        <v>71</v>
      </c>
      <c r="N112" s="15" t="str">
        <f>IF($M112="","غير مقيّمة",IF($M112&gt;المرجع!$K$3,"مستوفاة بشكل متقدم",IF($M112&lt;=المرجع!$K$2,"مستوفاة بشكل أولي","مستوفاة بشكل جزئي")))</f>
        <v>مستوفاة بشكل متقدم</v>
      </c>
      <c r="O112" s="18" t="s">
        <v>2171</v>
      </c>
    </row>
    <row r="113" spans="1:15">
      <c r="A113" s="16" t="s">
        <v>347</v>
      </c>
      <c r="B113" s="16" t="s">
        <v>150</v>
      </c>
      <c r="C113" s="15" t="str">
        <f>IFERROR(INDEX('قائمة الوحدات'!$B$2:$B$41,MATCH($B113,'قائمة الوحدات'!$A$2:$A$41,0)),"")</f>
        <v>TOP</v>
      </c>
      <c r="D113" s="14" t="str">
        <f>IFERROR(INDEX('قائمة الوحدات'!$C$2:$C$41,MATCH($B113,'قائمة الوحدات'!$A$2:$A$41,0)),"")</f>
        <v>المرتبطة بسمو الوزير</v>
      </c>
      <c r="E113" s="14" t="str">
        <f>IFERROR(INDEX('قائمة الوحدات'!$D$2:$D$41,MATCH($B113,'قائمة الوحدات'!$A$2:$A$41,0)),"")</f>
        <v>إدارة الشؤون القانونية</v>
      </c>
      <c r="F113" s="14" t="str">
        <f>IFERROR(INDEX('قائمة الوحدات'!$F$2:$F$41,MATCH($B113,'قائمة الوحدات'!$A$2:$A$41,0)),"")</f>
        <v>إدارة الشؤون القانونية</v>
      </c>
      <c r="G113" s="16" t="s">
        <v>61</v>
      </c>
      <c r="H113" s="14" t="str">
        <f>IFERROR(INDEX(المرجع!$A$2:$A$19,MATCH($G113,المرجع!$B$2:$B$19,0)),"")</f>
        <v>البناء المؤسسي</v>
      </c>
      <c r="I113" s="16" t="s">
        <v>63</v>
      </c>
      <c r="J113" s="14" t="str">
        <f>IFERROR(INDEX(المرجع!$D$2:$D$19,MATCH($I113,المرجع!$E$2:$E$19,0)),"")</f>
        <v>إنتاج المخرج الأول</v>
      </c>
      <c r="K113" s="16" t="s">
        <v>114</v>
      </c>
      <c r="L113" s="17" t="str">
        <f>IFERROR(INDEX('نقاط التحقق'!$G$2:$G$31,MATCH($K113,'نقاط التحقق'!$A$2:$A$31,0))&amp;"","")</f>
        <v>إنتاج المخرج الأول من قبل الوحدة التنظيمية</v>
      </c>
      <c r="M113" s="13">
        <v>56</v>
      </c>
      <c r="N113" s="15" t="str">
        <f>IF($M113="","غير مقيّمة",IF($M113&gt;المرجع!$K$3,"مستوفاة بشكل متقدم",IF($M113&lt;=المرجع!$K$2,"مستوفاة بشكل أولي","مستوفاة بشكل جزئي")))</f>
        <v>مستوفاة بشكل جزئي</v>
      </c>
      <c r="O113" s="18" t="s">
        <v>2171</v>
      </c>
    </row>
    <row r="114" spans="1:15">
      <c r="A114" s="16" t="s">
        <v>348</v>
      </c>
      <c r="B114" s="16" t="s">
        <v>150</v>
      </c>
      <c r="C114" s="15" t="str">
        <f>IFERROR(INDEX('قائمة الوحدات'!$B$2:$B$41,MATCH($B114,'قائمة الوحدات'!$A$2:$A$41,0)),"")</f>
        <v>TOP</v>
      </c>
      <c r="D114" s="14" t="str">
        <f>IFERROR(INDEX('قائمة الوحدات'!$C$2:$C$41,MATCH($B114,'قائمة الوحدات'!$A$2:$A$41,0)),"")</f>
        <v>المرتبطة بسمو الوزير</v>
      </c>
      <c r="E114" s="14" t="str">
        <f>IFERROR(INDEX('قائمة الوحدات'!$D$2:$D$41,MATCH($B114,'قائمة الوحدات'!$A$2:$A$41,0)),"")</f>
        <v>إدارة الشؤون القانونية</v>
      </c>
      <c r="F114" s="14" t="str">
        <f>IFERROR(INDEX('قائمة الوحدات'!$F$2:$F$41,MATCH($B114,'قائمة الوحدات'!$A$2:$A$41,0)),"")</f>
        <v>إدارة الشؤون القانونية</v>
      </c>
      <c r="G114" s="16" t="s">
        <v>65</v>
      </c>
      <c r="H114" s="14" t="str">
        <f>IFERROR(INDEX(المرجع!$A$2:$A$19,MATCH($G114,المرجع!$B$2:$B$19,0)),"")</f>
        <v>التشغيل</v>
      </c>
      <c r="I114" s="16" t="s">
        <v>48</v>
      </c>
      <c r="J114" s="14" t="str">
        <f>IFERROR(INDEX(المرجع!$D$2:$D$19,MATCH($I114,المرجع!$E$2:$E$19,0)),"")</f>
        <v>الأهداف ومؤشرات الأداء</v>
      </c>
      <c r="K114" s="16" t="s">
        <v>116</v>
      </c>
      <c r="L114" s="17" t="str">
        <f>IFERROR(INDEX('نقاط التحقق'!$G$2:$G$31,MATCH($K114,'نقاط التحقق'!$A$2:$A$31,0))&amp;"","")</f>
        <v>تحرك مؤشرات الأداء التشغيلي للوحدة التنظيمية بشكل إيجابي</v>
      </c>
      <c r="M114" s="13">
        <v>65</v>
      </c>
      <c r="N114" s="15" t="str">
        <f>IF($M114="","غير مقيّمة",IF($M114&gt;المرجع!$K$3,"مستوفاة بشكل متقدم",IF($M114&lt;=المرجع!$K$2,"مستوفاة بشكل أولي","مستوفاة بشكل جزئي")))</f>
        <v>مستوفاة بشكل جزئي</v>
      </c>
      <c r="O114" s="18" t="s">
        <v>2171</v>
      </c>
    </row>
    <row r="115" spans="1:15">
      <c r="A115" s="16" t="s">
        <v>349</v>
      </c>
      <c r="B115" s="16" t="s">
        <v>150</v>
      </c>
      <c r="C115" s="15" t="str">
        <f>IFERROR(INDEX('قائمة الوحدات'!$B$2:$B$41,MATCH($B115,'قائمة الوحدات'!$A$2:$A$41,0)),"")</f>
        <v>TOP</v>
      </c>
      <c r="D115" s="14" t="str">
        <f>IFERROR(INDEX('قائمة الوحدات'!$C$2:$C$41,MATCH($B115,'قائمة الوحدات'!$A$2:$A$41,0)),"")</f>
        <v>المرتبطة بسمو الوزير</v>
      </c>
      <c r="E115" s="14" t="str">
        <f>IFERROR(INDEX('قائمة الوحدات'!$D$2:$D$41,MATCH($B115,'قائمة الوحدات'!$A$2:$A$41,0)),"")</f>
        <v>إدارة الشؤون القانونية</v>
      </c>
      <c r="F115" s="14" t="str">
        <f>IFERROR(INDEX('قائمة الوحدات'!$F$2:$F$41,MATCH($B115,'قائمة الوحدات'!$A$2:$A$41,0)),"")</f>
        <v>إدارة الشؤون القانونية</v>
      </c>
      <c r="G115" s="16" t="s">
        <v>65</v>
      </c>
      <c r="H115" s="14" t="str">
        <f>IFERROR(INDEX(المرجع!$A$2:$A$19,MATCH($G115,المرجع!$B$2:$B$19,0)),"")</f>
        <v>التشغيل</v>
      </c>
      <c r="I115" s="16" t="s">
        <v>48</v>
      </c>
      <c r="J115" s="14" t="str">
        <f>IFERROR(INDEX(المرجع!$D$2:$D$19,MATCH($I115,المرجع!$E$2:$E$19,0)),"")</f>
        <v>الأهداف ومؤشرات الأداء</v>
      </c>
      <c r="K115" s="16" t="s">
        <v>118</v>
      </c>
      <c r="L115" s="17" t="str">
        <f>IFERROR(INDEX('نقاط التحقق'!$G$2:$G$31,MATCH($K115,'نقاط التحقق'!$A$2:$A$31,0))&amp;"","")</f>
        <v>خطة سنوية معتمدة للوحدة التنظيمية</v>
      </c>
      <c r="M115" s="13">
        <v>50</v>
      </c>
      <c r="N115" s="15" t="str">
        <f>IF($M115="","غير مقيّمة",IF($M115&gt;المرجع!$K$3,"مستوفاة بشكل متقدم",IF($M115&lt;=المرجع!$K$2,"مستوفاة بشكل أولي","مستوفاة بشكل جزئي")))</f>
        <v>مستوفاة بشكل جزئي</v>
      </c>
      <c r="O115" s="18" t="s">
        <v>2171</v>
      </c>
    </row>
    <row r="116" spans="1:15">
      <c r="A116" s="16" t="s">
        <v>350</v>
      </c>
      <c r="B116" s="16" t="s">
        <v>150</v>
      </c>
      <c r="C116" s="15" t="str">
        <f>IFERROR(INDEX('قائمة الوحدات'!$B$2:$B$41,MATCH($B116,'قائمة الوحدات'!$A$2:$A$41,0)),"")</f>
        <v>TOP</v>
      </c>
      <c r="D116" s="14" t="str">
        <f>IFERROR(INDEX('قائمة الوحدات'!$C$2:$C$41,MATCH($B116,'قائمة الوحدات'!$A$2:$A$41,0)),"")</f>
        <v>المرتبطة بسمو الوزير</v>
      </c>
      <c r="E116" s="14" t="str">
        <f>IFERROR(INDEX('قائمة الوحدات'!$D$2:$D$41,MATCH($B116,'قائمة الوحدات'!$A$2:$A$41,0)),"")</f>
        <v>إدارة الشؤون القانونية</v>
      </c>
      <c r="F116" s="14" t="str">
        <f>IFERROR(INDEX('قائمة الوحدات'!$F$2:$F$41,MATCH($B116,'قائمة الوحدات'!$A$2:$A$41,0)),"")</f>
        <v>إدارة الشؤون القانونية</v>
      </c>
      <c r="G116" s="16" t="s">
        <v>65</v>
      </c>
      <c r="H116" s="14" t="str">
        <f>IFERROR(INDEX(المرجع!$A$2:$A$19,MATCH($G116,المرجع!$B$2:$B$19,0)),"")</f>
        <v>التشغيل</v>
      </c>
      <c r="I116" s="16" t="s">
        <v>51</v>
      </c>
      <c r="J116" s="14" t="str">
        <f>IFERROR(INDEX(المرجع!$D$2:$D$19,MATCH($I116,المرجع!$E$2:$E$19,0)),"")</f>
        <v>الحوكمة</v>
      </c>
      <c r="K116" s="16" t="s">
        <v>120</v>
      </c>
      <c r="L116" s="17" t="str">
        <f>IFERROR(INDEX('نقاط التحقق'!$G$2:$G$31,MATCH($K116,'نقاط التحقق'!$A$2:$A$31,0))&amp;"","")</f>
        <v>محاضر لجان موثقة</v>
      </c>
      <c r="M116" s="13">
        <v>35</v>
      </c>
      <c r="N116" s="15" t="str">
        <f>IF($M116="","غير مقيّمة",IF($M116&gt;المرجع!$K$3,"مستوفاة بشكل متقدم",IF($M116&lt;=المرجع!$K$2,"مستوفاة بشكل أولي","مستوفاة بشكل جزئي")))</f>
        <v>مستوفاة بشكل جزئي</v>
      </c>
      <c r="O116" s="18" t="s">
        <v>2171</v>
      </c>
    </row>
    <row r="117" spans="1:15">
      <c r="A117" s="16" t="s">
        <v>351</v>
      </c>
      <c r="B117" s="16" t="s">
        <v>150</v>
      </c>
      <c r="C117" s="15" t="str">
        <f>IFERROR(INDEX('قائمة الوحدات'!$B$2:$B$41,MATCH($B117,'قائمة الوحدات'!$A$2:$A$41,0)),"")</f>
        <v>TOP</v>
      </c>
      <c r="D117" s="14" t="str">
        <f>IFERROR(INDEX('قائمة الوحدات'!$C$2:$C$41,MATCH($B117,'قائمة الوحدات'!$A$2:$A$41,0)),"")</f>
        <v>المرتبطة بسمو الوزير</v>
      </c>
      <c r="E117" s="14" t="str">
        <f>IFERROR(INDEX('قائمة الوحدات'!$D$2:$D$41,MATCH($B117,'قائمة الوحدات'!$A$2:$A$41,0)),"")</f>
        <v>إدارة الشؤون القانونية</v>
      </c>
      <c r="F117" s="14" t="str">
        <f>IFERROR(INDEX('قائمة الوحدات'!$F$2:$F$41,MATCH($B117,'قائمة الوحدات'!$A$2:$A$41,0)),"")</f>
        <v>إدارة الشؤون القانونية</v>
      </c>
      <c r="G117" s="16" t="s">
        <v>65</v>
      </c>
      <c r="H117" s="14" t="str">
        <f>IFERROR(INDEX(المرجع!$A$2:$A$19,MATCH($G117,المرجع!$B$2:$B$19,0)),"")</f>
        <v>التشغيل</v>
      </c>
      <c r="I117" s="16" t="s">
        <v>51</v>
      </c>
      <c r="J117" s="14" t="str">
        <f>IFERROR(INDEX(المرجع!$D$2:$D$19,MATCH($I117,المرجع!$E$2:$E$19,0)),"")</f>
        <v>الحوكمة</v>
      </c>
      <c r="K117" s="16" t="s">
        <v>122</v>
      </c>
      <c r="L117" s="17" t="str">
        <f>IFERROR(INDEX('نقاط التحقق'!$G$2:$G$31,MATCH($K117,'نقاط التحقق'!$A$2:$A$31,0))&amp;"","")</f>
        <v>نشر السياسات التي تملكها الوحدة التنظيمية</v>
      </c>
      <c r="M117" s="13">
        <v>45</v>
      </c>
      <c r="N117" s="15" t="str">
        <f>IF($M117="","غير مقيّمة",IF($M117&gt;المرجع!$K$3,"مستوفاة بشكل متقدم",IF($M117&lt;=المرجع!$K$2,"مستوفاة بشكل أولي","مستوفاة بشكل جزئي")))</f>
        <v>مستوفاة بشكل جزئي</v>
      </c>
      <c r="O117" s="18" t="s">
        <v>2171</v>
      </c>
    </row>
    <row r="118" spans="1:15">
      <c r="A118" s="16" t="s">
        <v>352</v>
      </c>
      <c r="B118" s="16" t="s">
        <v>150</v>
      </c>
      <c r="C118" s="15" t="str">
        <f>IFERROR(INDEX('قائمة الوحدات'!$B$2:$B$41,MATCH($B118,'قائمة الوحدات'!$A$2:$A$41,0)),"")</f>
        <v>TOP</v>
      </c>
      <c r="D118" s="14" t="str">
        <f>IFERROR(INDEX('قائمة الوحدات'!$C$2:$C$41,MATCH($B118,'قائمة الوحدات'!$A$2:$A$41,0)),"")</f>
        <v>المرتبطة بسمو الوزير</v>
      </c>
      <c r="E118" s="14" t="str">
        <f>IFERROR(INDEX('قائمة الوحدات'!$D$2:$D$41,MATCH($B118,'قائمة الوحدات'!$A$2:$A$41,0)),"")</f>
        <v>إدارة الشؤون القانونية</v>
      </c>
      <c r="F118" s="14" t="str">
        <f>IFERROR(INDEX('قائمة الوحدات'!$F$2:$F$41,MATCH($B118,'قائمة الوحدات'!$A$2:$A$41,0)),"")</f>
        <v>إدارة الشؤون القانونية</v>
      </c>
      <c r="G118" s="16" t="s">
        <v>65</v>
      </c>
      <c r="H118" s="14" t="str">
        <f>IFERROR(INDEX(المرجع!$A$2:$A$19,MATCH($G118,المرجع!$B$2:$B$19,0)),"")</f>
        <v>التشغيل</v>
      </c>
      <c r="I118" s="16" t="s">
        <v>51</v>
      </c>
      <c r="J118" s="14" t="str">
        <f>IFERROR(INDEX(المرجع!$D$2:$D$19,MATCH($I118,المرجع!$E$2:$E$19,0)),"")</f>
        <v>الحوكمة</v>
      </c>
      <c r="K118" s="16" t="s">
        <v>124</v>
      </c>
      <c r="L118" s="17" t="str">
        <f>IFERROR(INDEX('نقاط التحقق'!$G$2:$G$31,MATCH($K118,'نقاط التحقق'!$A$2:$A$31,0))&amp;"","")</f>
        <v>اتخاذ القرارات في نطاق الصلاحيات (وجود شواهد)</v>
      </c>
      <c r="M118" s="13">
        <v>40</v>
      </c>
      <c r="N118" s="15" t="str">
        <f>IF($M118="","غير مقيّمة",IF($M118&gt;المرجع!$K$3,"مستوفاة بشكل متقدم",IF($M118&lt;=المرجع!$K$2,"مستوفاة بشكل أولي","مستوفاة بشكل جزئي")))</f>
        <v>مستوفاة بشكل جزئي</v>
      </c>
      <c r="O118" s="18" t="s">
        <v>2171</v>
      </c>
    </row>
    <row r="119" spans="1:15">
      <c r="A119" s="16" t="s">
        <v>353</v>
      </c>
      <c r="B119" s="16" t="s">
        <v>150</v>
      </c>
      <c r="C119" s="15" t="str">
        <f>IFERROR(INDEX('قائمة الوحدات'!$B$2:$B$41,MATCH($B119,'قائمة الوحدات'!$A$2:$A$41,0)),"")</f>
        <v>TOP</v>
      </c>
      <c r="D119" s="14" t="str">
        <f>IFERROR(INDEX('قائمة الوحدات'!$C$2:$C$41,MATCH($B119,'قائمة الوحدات'!$A$2:$A$41,0)),"")</f>
        <v>المرتبطة بسمو الوزير</v>
      </c>
      <c r="E119" s="14" t="str">
        <f>IFERROR(INDEX('قائمة الوحدات'!$D$2:$D$41,MATCH($B119,'قائمة الوحدات'!$A$2:$A$41,0)),"")</f>
        <v>إدارة الشؤون القانونية</v>
      </c>
      <c r="F119" s="14" t="str">
        <f>IFERROR(INDEX('قائمة الوحدات'!$F$2:$F$41,MATCH($B119,'قائمة الوحدات'!$A$2:$A$41,0)),"")</f>
        <v>إدارة الشؤون القانونية</v>
      </c>
      <c r="G119" s="16" t="s">
        <v>65</v>
      </c>
      <c r="H119" s="14" t="str">
        <f>IFERROR(INDEX(المرجع!$A$2:$A$19,MATCH($G119,المرجع!$B$2:$B$19,0)),"")</f>
        <v>التشغيل</v>
      </c>
      <c r="I119" s="16" t="s">
        <v>56</v>
      </c>
      <c r="J119" s="14" t="str">
        <f>IFERROR(INDEX(المرجع!$D$2:$D$19,MATCH($I119,المرجع!$E$2:$E$19,0)),"")</f>
        <v>الموارد</v>
      </c>
      <c r="K119" s="16" t="s">
        <v>126</v>
      </c>
      <c r="L119" s="17" t="str">
        <f>IFERROR(INDEX('نقاط التحقق'!$G$2:$G$31,MATCH($K119,'نقاط التحقق'!$A$2:$A$31,0))&amp;"","")</f>
        <v>موارد مستكملة للحد الأدنى الذي يغطي كافة محاور سلسلة القيمة</v>
      </c>
      <c r="M119" s="13">
        <v>42</v>
      </c>
      <c r="N119" s="15" t="str">
        <f>IF($M119="","غير مقيّمة",IF($M119&gt;المرجع!$K$3,"مستوفاة بشكل متقدم",IF($M119&lt;=المرجع!$K$2,"مستوفاة بشكل أولي","مستوفاة بشكل جزئي")))</f>
        <v>مستوفاة بشكل جزئي</v>
      </c>
      <c r="O119" s="18" t="s">
        <v>2171</v>
      </c>
    </row>
    <row r="120" spans="1:15">
      <c r="A120" s="16" t="s">
        <v>354</v>
      </c>
      <c r="B120" s="16" t="s">
        <v>150</v>
      </c>
      <c r="C120" s="15" t="str">
        <f>IFERROR(INDEX('قائمة الوحدات'!$B$2:$B$41,MATCH($B120,'قائمة الوحدات'!$A$2:$A$41,0)),"")</f>
        <v>TOP</v>
      </c>
      <c r="D120" s="14" t="str">
        <f>IFERROR(INDEX('قائمة الوحدات'!$C$2:$C$41,MATCH($B120,'قائمة الوحدات'!$A$2:$A$41,0)),"")</f>
        <v>المرتبطة بسمو الوزير</v>
      </c>
      <c r="E120" s="14" t="str">
        <f>IFERROR(INDEX('قائمة الوحدات'!$D$2:$D$41,MATCH($B120,'قائمة الوحدات'!$A$2:$A$41,0)),"")</f>
        <v>إدارة الشؤون القانونية</v>
      </c>
      <c r="F120" s="14" t="str">
        <f>IFERROR(INDEX('قائمة الوحدات'!$F$2:$F$41,MATCH($B120,'قائمة الوحدات'!$A$2:$A$41,0)),"")</f>
        <v>إدارة الشؤون القانونية</v>
      </c>
      <c r="G120" s="16" t="s">
        <v>65</v>
      </c>
      <c r="H120" s="14" t="str">
        <f>IFERROR(INDEX(المرجع!$A$2:$A$19,MATCH($G120,المرجع!$B$2:$B$19,0)),"")</f>
        <v>التشغيل</v>
      </c>
      <c r="I120" s="16" t="s">
        <v>59</v>
      </c>
      <c r="J120" s="14" t="str">
        <f>IFERROR(INDEX(المرجع!$D$2:$D$19,MATCH($I120,المرجع!$E$2:$E$19,0)),"")</f>
        <v>الإجراءات</v>
      </c>
      <c r="K120" s="16" t="s">
        <v>128</v>
      </c>
      <c r="L120" s="17" t="str">
        <f>IFERROR(INDEX('نقاط التحقق'!$G$2:$G$31,MATCH($K120,'نقاط التحقق'!$A$2:$A$31,0))&amp;"","")</f>
        <v>تحقيق تقييم "مطبق بشكل كامل" من منهجية تقييم فعالية الإجراءات</v>
      </c>
      <c r="M120" s="13">
        <v>56</v>
      </c>
      <c r="N120" s="15" t="str">
        <f>IF($M120="","غير مقيّمة",IF($M120&gt;المرجع!$K$3,"مستوفاة بشكل متقدم",IF($M120&lt;=المرجع!$K$2,"مستوفاة بشكل أولي","مستوفاة بشكل جزئي")))</f>
        <v>مستوفاة بشكل جزئي</v>
      </c>
      <c r="O120" s="18" t="s">
        <v>2171</v>
      </c>
    </row>
    <row r="121" spans="1:15">
      <c r="A121" s="16" t="s">
        <v>355</v>
      </c>
      <c r="B121" s="16" t="s">
        <v>150</v>
      </c>
      <c r="C121" s="15" t="str">
        <f>IFERROR(INDEX('قائمة الوحدات'!$B$2:$B$41,MATCH($B121,'قائمة الوحدات'!$A$2:$A$41,0)),"")</f>
        <v>TOP</v>
      </c>
      <c r="D121" s="14" t="str">
        <f>IFERROR(INDEX('قائمة الوحدات'!$C$2:$C$41,MATCH($B121,'قائمة الوحدات'!$A$2:$A$41,0)),"")</f>
        <v>المرتبطة بسمو الوزير</v>
      </c>
      <c r="E121" s="14" t="str">
        <f>IFERROR(INDEX('قائمة الوحدات'!$D$2:$D$41,MATCH($B121,'قائمة الوحدات'!$A$2:$A$41,0)),"")</f>
        <v>إدارة الشؤون القانونية</v>
      </c>
      <c r="F121" s="14" t="str">
        <f>IFERROR(INDEX('قائمة الوحدات'!$F$2:$F$41,MATCH($B121,'قائمة الوحدات'!$A$2:$A$41,0)),"")</f>
        <v>إدارة الشؤون القانونية</v>
      </c>
      <c r="G121" s="16" t="s">
        <v>65</v>
      </c>
      <c r="H121" s="14" t="str">
        <f>IFERROR(INDEX(المرجع!$A$2:$A$19,MATCH($G121,المرجع!$B$2:$B$19,0)),"")</f>
        <v>التشغيل</v>
      </c>
      <c r="I121" s="16" t="s">
        <v>67</v>
      </c>
      <c r="J121" s="14" t="str">
        <f>IFERROR(INDEX(المرجع!$D$2:$D$19,MATCH($I121,المرجع!$E$2:$E$19,0)),"")</f>
        <v>اكتمال المخرجات المستهدفة</v>
      </c>
      <c r="K121" s="16" t="s">
        <v>130</v>
      </c>
      <c r="L121" s="17" t="str">
        <f>IFERROR(INDEX('نقاط التحقق'!$G$2:$G$31,MATCH($K121,'نقاط التحقق'!$A$2:$A$31,0))&amp;"","")</f>
        <v>اكتمال مخرجات النموذج التشغيلي المستهدف للوحدة التنظيمية</v>
      </c>
      <c r="M121" s="13">
        <v>20</v>
      </c>
      <c r="N121" s="15" t="str">
        <f>IF($M121="","غير مقيّمة",IF($M121&gt;المرجع!$K$3,"مستوفاة بشكل متقدم",IF($M121&lt;=المرجع!$K$2,"مستوفاة بشكل أولي","مستوفاة بشكل جزئي")))</f>
        <v>مستوفاة بشكل أولي</v>
      </c>
      <c r="O121" s="18" t="s">
        <v>2171</v>
      </c>
    </row>
    <row r="122" spans="1:15">
      <c r="A122" s="16" t="s">
        <v>356</v>
      </c>
      <c r="B122" s="16" t="s">
        <v>152</v>
      </c>
      <c r="C122" s="15" t="str">
        <f>IFERROR(INDEX('قائمة الوحدات'!$B$2:$B$41,MATCH($B122,'قائمة الوحدات'!$A$2:$A$41,0)),"")</f>
        <v>TOP</v>
      </c>
      <c r="D122" s="14" t="str">
        <f>IFERROR(INDEX('قائمة الوحدات'!$C$2:$C$41,MATCH($B122,'قائمة الوحدات'!$A$2:$A$41,0)),"")</f>
        <v>المرتبطة بسمو الوزير</v>
      </c>
      <c r="E122" s="14" t="str">
        <f>IFERROR(INDEX('قائمة الوحدات'!$D$2:$D$41,MATCH($B122,'قائمة الوحدات'!$A$2:$A$41,0)),"")</f>
        <v>إدارة التميز المؤسسي</v>
      </c>
      <c r="F122" s="14" t="str">
        <f>IFERROR(INDEX('قائمة الوحدات'!$F$2:$F$41,MATCH($B122,'قائمة الوحدات'!$A$2:$A$41,0)),"")</f>
        <v>إدارة التميز المؤسسي</v>
      </c>
      <c r="G122" s="16" t="s">
        <v>43</v>
      </c>
      <c r="H122" s="14" t="str">
        <f>IFERROR(INDEX(المرجع!$A$2:$A$19,MATCH($G122,المرجع!$B$2:$B$19,0)),"")</f>
        <v>التصميم</v>
      </c>
      <c r="I122" s="16" t="s">
        <v>45</v>
      </c>
      <c r="J122" s="14" t="str">
        <f>IFERROR(INDEX(المرجع!$D$2:$D$19,MATCH($I122,المرجع!$E$2:$E$19,0)),"")</f>
        <v>الدور</v>
      </c>
      <c r="K122" s="16" t="s">
        <v>72</v>
      </c>
      <c r="L122" s="17" t="str">
        <f>IFERROR(INDEX('نقاط التحقق'!$G$2:$G$31,MATCH($K122,'نقاط التحقق'!$A$2:$A$31,0))&amp;"","")</f>
        <v>دور مفصل للوحدة التنظيمية</v>
      </c>
      <c r="M122" s="13">
        <v>88</v>
      </c>
      <c r="N122" s="15" t="str">
        <f>IF($M122="","غير مقيّمة",IF($M122&gt;المرجع!$K$3,"مستوفاة بشكل متقدم",IF($M122&lt;=المرجع!$K$2,"مستوفاة بشكل أولي","مستوفاة بشكل جزئي")))</f>
        <v>مستوفاة بشكل متقدم</v>
      </c>
      <c r="O122" s="18" t="s">
        <v>2171</v>
      </c>
    </row>
    <row r="123" spans="1:15">
      <c r="A123" s="16" t="s">
        <v>357</v>
      </c>
      <c r="B123" s="16" t="s">
        <v>152</v>
      </c>
      <c r="C123" s="15" t="str">
        <f>IFERROR(INDEX('قائمة الوحدات'!$B$2:$B$41,MATCH($B123,'قائمة الوحدات'!$A$2:$A$41,0)),"")</f>
        <v>TOP</v>
      </c>
      <c r="D123" s="14" t="str">
        <f>IFERROR(INDEX('قائمة الوحدات'!$C$2:$C$41,MATCH($B123,'قائمة الوحدات'!$A$2:$A$41,0)),"")</f>
        <v>المرتبطة بسمو الوزير</v>
      </c>
      <c r="E123" s="14" t="str">
        <f>IFERROR(INDEX('قائمة الوحدات'!$D$2:$D$41,MATCH($B123,'قائمة الوحدات'!$A$2:$A$41,0)),"")</f>
        <v>إدارة التميز المؤسسي</v>
      </c>
      <c r="F123" s="14" t="str">
        <f>IFERROR(INDEX('قائمة الوحدات'!$F$2:$F$41,MATCH($B123,'قائمة الوحدات'!$A$2:$A$41,0)),"")</f>
        <v>إدارة التميز المؤسسي</v>
      </c>
      <c r="G123" s="16" t="s">
        <v>43</v>
      </c>
      <c r="H123" s="14" t="str">
        <f>IFERROR(INDEX(المرجع!$A$2:$A$19,MATCH($G123,المرجع!$B$2:$B$19,0)),"")</f>
        <v>التصميم</v>
      </c>
      <c r="I123" s="16" t="s">
        <v>48</v>
      </c>
      <c r="J123" s="14" t="str">
        <f>IFERROR(INDEX(المرجع!$D$2:$D$19,MATCH($I123,المرجع!$E$2:$E$19,0)),"")</f>
        <v>الأهداف ومؤشرات الأداء</v>
      </c>
      <c r="K123" s="16" t="s">
        <v>74</v>
      </c>
      <c r="L123" s="17" t="str">
        <f>IFERROR(INDEX('نقاط التحقق'!$G$2:$G$31,MATCH($K123,'نقاط التحقق'!$A$2:$A$31,0))&amp;"","")</f>
        <v>أهداف محددة للوحدة التنظيمية وربطها بمؤشرات أداء لقياسها</v>
      </c>
      <c r="M123" s="13">
        <v>70</v>
      </c>
      <c r="N123" s="15" t="str">
        <f>IF($M123="","غير مقيّمة",IF($M123&gt;المرجع!$K$3,"مستوفاة بشكل متقدم",IF($M123&lt;=المرجع!$K$2,"مستوفاة بشكل أولي","مستوفاة بشكل جزئي")))</f>
        <v>مستوفاة بشكل جزئي</v>
      </c>
      <c r="O123" s="18" t="s">
        <v>2171</v>
      </c>
    </row>
    <row r="124" spans="1:15">
      <c r="A124" s="16" t="s">
        <v>358</v>
      </c>
      <c r="B124" s="16" t="s">
        <v>152</v>
      </c>
      <c r="C124" s="15" t="str">
        <f>IFERROR(INDEX('قائمة الوحدات'!$B$2:$B$41,MATCH($B124,'قائمة الوحدات'!$A$2:$A$41,0)),"")</f>
        <v>TOP</v>
      </c>
      <c r="D124" s="14" t="str">
        <f>IFERROR(INDEX('قائمة الوحدات'!$C$2:$C$41,MATCH($B124,'قائمة الوحدات'!$A$2:$A$41,0)),"")</f>
        <v>المرتبطة بسمو الوزير</v>
      </c>
      <c r="E124" s="14" t="str">
        <f>IFERROR(INDEX('قائمة الوحدات'!$D$2:$D$41,MATCH($B124,'قائمة الوحدات'!$A$2:$A$41,0)),"")</f>
        <v>إدارة التميز المؤسسي</v>
      </c>
      <c r="F124" s="14" t="str">
        <f>IFERROR(INDEX('قائمة الوحدات'!$F$2:$F$41,MATCH($B124,'قائمة الوحدات'!$A$2:$A$41,0)),"")</f>
        <v>إدارة التميز المؤسسي</v>
      </c>
      <c r="G124" s="16" t="s">
        <v>43</v>
      </c>
      <c r="H124" s="14" t="str">
        <f>IFERROR(INDEX(المرجع!$A$2:$A$19,MATCH($G124,المرجع!$B$2:$B$19,0)),"")</f>
        <v>التصميم</v>
      </c>
      <c r="I124" s="16" t="s">
        <v>48</v>
      </c>
      <c r="J124" s="14" t="str">
        <f>IFERROR(INDEX(المرجع!$D$2:$D$19,MATCH($I124,المرجع!$E$2:$E$19,0)),"")</f>
        <v>الأهداف ومؤشرات الأداء</v>
      </c>
      <c r="K124" s="16" t="s">
        <v>76</v>
      </c>
      <c r="L124" s="17" t="str">
        <f>IFERROR(INDEX('نقاط التحقق'!$G$2:$G$31,MATCH($K124,'نقاط التحقق'!$A$2:$A$31,0))&amp;"","")</f>
        <v>مؤشرات أداء الوحدة التنظيمية</v>
      </c>
      <c r="M124" s="13">
        <v>75</v>
      </c>
      <c r="N124" s="15" t="str">
        <f>IF($M124="","غير مقيّمة",IF($M124&gt;المرجع!$K$3,"مستوفاة بشكل متقدم",IF($M124&lt;=المرجع!$K$2,"مستوفاة بشكل أولي","مستوفاة بشكل جزئي")))</f>
        <v>مستوفاة بشكل متقدم</v>
      </c>
      <c r="O124" s="18" t="s">
        <v>2171</v>
      </c>
    </row>
    <row r="125" spans="1:15">
      <c r="A125" s="16" t="s">
        <v>359</v>
      </c>
      <c r="B125" s="16" t="s">
        <v>152</v>
      </c>
      <c r="C125" s="15" t="str">
        <f>IFERROR(INDEX('قائمة الوحدات'!$B$2:$B$41,MATCH($B125,'قائمة الوحدات'!$A$2:$A$41,0)),"")</f>
        <v>TOP</v>
      </c>
      <c r="D125" s="14" t="str">
        <f>IFERROR(INDEX('قائمة الوحدات'!$C$2:$C$41,MATCH($B125,'قائمة الوحدات'!$A$2:$A$41,0)),"")</f>
        <v>المرتبطة بسمو الوزير</v>
      </c>
      <c r="E125" s="14" t="str">
        <f>IFERROR(INDEX('قائمة الوحدات'!$D$2:$D$41,MATCH($B125,'قائمة الوحدات'!$A$2:$A$41,0)),"")</f>
        <v>إدارة التميز المؤسسي</v>
      </c>
      <c r="F125" s="14" t="str">
        <f>IFERROR(INDEX('قائمة الوحدات'!$F$2:$F$41,MATCH($B125,'قائمة الوحدات'!$A$2:$A$41,0)),"")</f>
        <v>إدارة التميز المؤسسي</v>
      </c>
      <c r="G125" s="16" t="s">
        <v>43</v>
      </c>
      <c r="H125" s="14" t="str">
        <f>IFERROR(INDEX(المرجع!$A$2:$A$19,MATCH($G125,المرجع!$B$2:$B$19,0)),"")</f>
        <v>التصميم</v>
      </c>
      <c r="I125" s="16" t="s">
        <v>51</v>
      </c>
      <c r="J125" s="14" t="str">
        <f>IFERROR(INDEX(المرجع!$D$2:$D$19,MATCH($I125,المرجع!$E$2:$E$19,0)),"")</f>
        <v>الحوكمة</v>
      </c>
      <c r="K125" s="16" t="s">
        <v>78</v>
      </c>
      <c r="L125" s="17" t="str">
        <f>IFERROR(INDEX('نقاط التحقق'!$G$2:$G$31,MATCH($K125,'نقاط التحقق'!$A$2:$A$31,0))&amp;"","")</f>
        <v>تفصيل القرارات ومصفوفة الصلاحيات واللجان ذات العلاقة لاعتماد مخرجات الوحدة التنظيمية</v>
      </c>
      <c r="M125" s="13">
        <v>79</v>
      </c>
      <c r="N125" s="15" t="str">
        <f>IF($M125="","غير مقيّمة",IF($M125&gt;المرجع!$K$3,"مستوفاة بشكل متقدم",IF($M125&lt;=المرجع!$K$2,"مستوفاة بشكل أولي","مستوفاة بشكل جزئي")))</f>
        <v>مستوفاة بشكل متقدم</v>
      </c>
      <c r="O125" s="18" t="s">
        <v>2171</v>
      </c>
    </row>
    <row r="126" spans="1:15">
      <c r="A126" s="16" t="s">
        <v>360</v>
      </c>
      <c r="B126" s="16" t="s">
        <v>152</v>
      </c>
      <c r="C126" s="15" t="str">
        <f>IFERROR(INDEX('قائمة الوحدات'!$B$2:$B$41,MATCH($B126,'قائمة الوحدات'!$A$2:$A$41,0)),"")</f>
        <v>TOP</v>
      </c>
      <c r="D126" s="14" t="str">
        <f>IFERROR(INDEX('قائمة الوحدات'!$C$2:$C$41,MATCH($B126,'قائمة الوحدات'!$A$2:$A$41,0)),"")</f>
        <v>المرتبطة بسمو الوزير</v>
      </c>
      <c r="E126" s="14" t="str">
        <f>IFERROR(INDEX('قائمة الوحدات'!$D$2:$D$41,MATCH($B126,'قائمة الوحدات'!$A$2:$A$41,0)),"")</f>
        <v>إدارة التميز المؤسسي</v>
      </c>
      <c r="F126" s="14" t="str">
        <f>IFERROR(INDEX('قائمة الوحدات'!$F$2:$F$41,MATCH($B126,'قائمة الوحدات'!$A$2:$A$41,0)),"")</f>
        <v>إدارة التميز المؤسسي</v>
      </c>
      <c r="G126" s="16" t="s">
        <v>43</v>
      </c>
      <c r="H126" s="14" t="str">
        <f>IFERROR(INDEX(المرجع!$A$2:$A$19,MATCH($G126,المرجع!$B$2:$B$19,0)),"")</f>
        <v>التصميم</v>
      </c>
      <c r="I126" s="16" t="s">
        <v>54</v>
      </c>
      <c r="J126" s="14" t="str">
        <f>IFERROR(INDEX(المرجع!$D$2:$D$19,MATCH($I126,المرجع!$E$2:$E$19,0)),"")</f>
        <v>التنظيم</v>
      </c>
      <c r="K126" s="16" t="s">
        <v>80</v>
      </c>
      <c r="L126" s="17" t="str">
        <f>IFERROR(INDEX('نقاط التحقق'!$G$2:$G$31,MATCH($K126,'نقاط التحقق'!$A$2:$A$31,0))&amp;"","")</f>
        <v>تطوير الأدوار والمسؤوليات للوحدة التنظيمية وتفصيل الهيكل التنظيمي</v>
      </c>
      <c r="M126" s="13">
        <v>98</v>
      </c>
      <c r="N126" s="15" t="str">
        <f>IF($M126="","غير مقيّمة",IF($M126&gt;المرجع!$K$3,"مستوفاة بشكل متقدم",IF($M126&lt;=المرجع!$K$2,"مستوفاة بشكل أولي","مستوفاة بشكل جزئي")))</f>
        <v>مستوفاة بشكل متقدم</v>
      </c>
      <c r="O126" s="18" t="s">
        <v>2171</v>
      </c>
    </row>
    <row r="127" spans="1:15">
      <c r="A127" s="16" t="s">
        <v>361</v>
      </c>
      <c r="B127" s="16" t="s">
        <v>152</v>
      </c>
      <c r="C127" s="15" t="str">
        <f>IFERROR(INDEX('قائمة الوحدات'!$B$2:$B$41,MATCH($B127,'قائمة الوحدات'!$A$2:$A$41,0)),"")</f>
        <v>TOP</v>
      </c>
      <c r="D127" s="14" t="str">
        <f>IFERROR(INDEX('قائمة الوحدات'!$C$2:$C$41,MATCH($B127,'قائمة الوحدات'!$A$2:$A$41,0)),"")</f>
        <v>المرتبطة بسمو الوزير</v>
      </c>
      <c r="E127" s="14" t="str">
        <f>IFERROR(INDEX('قائمة الوحدات'!$D$2:$D$41,MATCH($B127,'قائمة الوحدات'!$A$2:$A$41,0)),"")</f>
        <v>إدارة التميز المؤسسي</v>
      </c>
      <c r="F127" s="14" t="str">
        <f>IFERROR(INDEX('قائمة الوحدات'!$F$2:$F$41,MATCH($B127,'قائمة الوحدات'!$A$2:$A$41,0)),"")</f>
        <v>إدارة التميز المؤسسي</v>
      </c>
      <c r="G127" s="16" t="s">
        <v>43</v>
      </c>
      <c r="H127" s="14" t="str">
        <f>IFERROR(INDEX(المرجع!$A$2:$A$19,MATCH($G127,المرجع!$B$2:$B$19,0)),"")</f>
        <v>التصميم</v>
      </c>
      <c r="I127" s="16" t="s">
        <v>56</v>
      </c>
      <c r="J127" s="14" t="str">
        <f>IFERROR(INDEX(المرجع!$D$2:$D$19,MATCH($I127,المرجع!$E$2:$E$19,0)),"")</f>
        <v>الموارد</v>
      </c>
      <c r="K127" s="16" t="s">
        <v>82</v>
      </c>
      <c r="L127" s="17" t="str">
        <f>IFERROR(INDEX('نقاط التحقق'!$G$2:$G$31,MATCH($K127,'نقاط التحقق'!$A$2:$A$31,0))&amp;"","")</f>
        <v>تفصيل احتياج الموارد البشرية للوحدة التنظيمية</v>
      </c>
      <c r="M127" s="13">
        <v>70</v>
      </c>
      <c r="N127" s="15" t="str">
        <f>IF($M127="","غير مقيّمة",IF($M127&gt;المرجع!$K$3,"مستوفاة بشكل متقدم",IF($M127&lt;=المرجع!$K$2,"مستوفاة بشكل أولي","مستوفاة بشكل جزئي")))</f>
        <v>مستوفاة بشكل جزئي</v>
      </c>
      <c r="O127" s="18" t="s">
        <v>2171</v>
      </c>
    </row>
    <row r="128" spans="1:15">
      <c r="A128" s="16" t="s">
        <v>362</v>
      </c>
      <c r="B128" s="16" t="s">
        <v>152</v>
      </c>
      <c r="C128" s="15" t="str">
        <f>IFERROR(INDEX('قائمة الوحدات'!$B$2:$B$41,MATCH($B128,'قائمة الوحدات'!$A$2:$A$41,0)),"")</f>
        <v>TOP</v>
      </c>
      <c r="D128" s="14" t="str">
        <f>IFERROR(INDEX('قائمة الوحدات'!$C$2:$C$41,MATCH($B128,'قائمة الوحدات'!$A$2:$A$41,0)),"")</f>
        <v>المرتبطة بسمو الوزير</v>
      </c>
      <c r="E128" s="14" t="str">
        <f>IFERROR(INDEX('قائمة الوحدات'!$D$2:$D$41,MATCH($B128,'قائمة الوحدات'!$A$2:$A$41,0)),"")</f>
        <v>إدارة التميز المؤسسي</v>
      </c>
      <c r="F128" s="14" t="str">
        <f>IFERROR(INDEX('قائمة الوحدات'!$F$2:$F$41,MATCH($B128,'قائمة الوحدات'!$A$2:$A$41,0)),"")</f>
        <v>إدارة التميز المؤسسي</v>
      </c>
      <c r="G128" s="16" t="s">
        <v>43</v>
      </c>
      <c r="H128" s="14" t="str">
        <f>IFERROR(INDEX(المرجع!$A$2:$A$19,MATCH($G128,المرجع!$B$2:$B$19,0)),"")</f>
        <v>التصميم</v>
      </c>
      <c r="I128" s="16" t="s">
        <v>59</v>
      </c>
      <c r="J128" s="14" t="str">
        <f>IFERROR(INDEX(المرجع!$D$2:$D$19,MATCH($I128,المرجع!$E$2:$E$19,0)),"")</f>
        <v>الإجراءات</v>
      </c>
      <c r="K128" s="16" t="s">
        <v>84</v>
      </c>
      <c r="L128" s="17" t="str">
        <f>IFERROR(INDEX('نقاط التحقق'!$G$2:$G$31,MATCH($K128,'نقاط التحقق'!$A$2:$A$31,0))&amp;"","")</f>
        <v>تفصيل المخرجات إلى إجراءات عالية المستوى</v>
      </c>
      <c r="M128" s="13">
        <v>70</v>
      </c>
      <c r="N128" s="15" t="str">
        <f>IF($M128="","غير مقيّمة",IF($M128&gt;المرجع!$K$3,"مستوفاة بشكل متقدم",IF($M128&lt;=المرجع!$K$2,"مستوفاة بشكل أولي","مستوفاة بشكل جزئي")))</f>
        <v>مستوفاة بشكل جزئي</v>
      </c>
      <c r="O128" s="18" t="s">
        <v>2171</v>
      </c>
    </row>
    <row r="129" spans="1:15">
      <c r="A129" s="16" t="s">
        <v>363</v>
      </c>
      <c r="B129" s="16" t="s">
        <v>152</v>
      </c>
      <c r="C129" s="15" t="str">
        <f>IFERROR(INDEX('قائمة الوحدات'!$B$2:$B$41,MATCH($B129,'قائمة الوحدات'!$A$2:$A$41,0)),"")</f>
        <v>TOP</v>
      </c>
      <c r="D129" s="14" t="str">
        <f>IFERROR(INDEX('قائمة الوحدات'!$C$2:$C$41,MATCH($B129,'قائمة الوحدات'!$A$2:$A$41,0)),"")</f>
        <v>المرتبطة بسمو الوزير</v>
      </c>
      <c r="E129" s="14" t="str">
        <f>IFERROR(INDEX('قائمة الوحدات'!$D$2:$D$41,MATCH($B129,'قائمة الوحدات'!$A$2:$A$41,0)),"")</f>
        <v>إدارة التميز المؤسسي</v>
      </c>
      <c r="F129" s="14" t="str">
        <f>IFERROR(INDEX('قائمة الوحدات'!$F$2:$F$41,MATCH($B129,'قائمة الوحدات'!$A$2:$A$41,0)),"")</f>
        <v>إدارة التميز المؤسسي</v>
      </c>
      <c r="G129" s="16" t="s">
        <v>61</v>
      </c>
      <c r="H129" s="14" t="str">
        <f>IFERROR(INDEX(المرجع!$A$2:$A$19,MATCH($G129,المرجع!$B$2:$B$19,0)),"")</f>
        <v>البناء المؤسسي</v>
      </c>
      <c r="I129" s="16" t="s">
        <v>45</v>
      </c>
      <c r="J129" s="14" t="str">
        <f>IFERROR(INDEX(المرجع!$D$2:$D$19,MATCH($I129,المرجع!$E$2:$E$19,0)),"")</f>
        <v>الدور</v>
      </c>
      <c r="K129" s="16" t="s">
        <v>86</v>
      </c>
      <c r="L129" s="17" t="str">
        <f>IFERROR(INDEX('نقاط التحقق'!$G$2:$G$31,MATCH($K129,'نقاط التحقق'!$A$2:$A$31,0))&amp;"","")</f>
        <v>دور معتمد للوحدة التنظيمية</v>
      </c>
      <c r="M129" s="13">
        <v>58</v>
      </c>
      <c r="N129" s="15" t="str">
        <f>IF($M129="","غير مقيّمة",IF($M129&gt;المرجع!$K$3,"مستوفاة بشكل متقدم",IF($M129&lt;=المرجع!$K$2,"مستوفاة بشكل أولي","مستوفاة بشكل جزئي")))</f>
        <v>مستوفاة بشكل جزئي</v>
      </c>
      <c r="O129" s="18" t="s">
        <v>2171</v>
      </c>
    </row>
    <row r="130" spans="1:15">
      <c r="A130" s="16" t="s">
        <v>364</v>
      </c>
      <c r="B130" s="16" t="s">
        <v>152</v>
      </c>
      <c r="C130" s="15" t="str">
        <f>IFERROR(INDEX('قائمة الوحدات'!$B$2:$B$41,MATCH($B130,'قائمة الوحدات'!$A$2:$A$41,0)),"")</f>
        <v>TOP</v>
      </c>
      <c r="D130" s="14" t="str">
        <f>IFERROR(INDEX('قائمة الوحدات'!$C$2:$C$41,MATCH($B130,'قائمة الوحدات'!$A$2:$A$41,0)),"")</f>
        <v>المرتبطة بسمو الوزير</v>
      </c>
      <c r="E130" s="14" t="str">
        <f>IFERROR(INDEX('قائمة الوحدات'!$D$2:$D$41,MATCH($B130,'قائمة الوحدات'!$A$2:$A$41,0)),"")</f>
        <v>إدارة التميز المؤسسي</v>
      </c>
      <c r="F130" s="14" t="str">
        <f>IFERROR(INDEX('قائمة الوحدات'!$F$2:$F$41,MATCH($B130,'قائمة الوحدات'!$A$2:$A$41,0)),"")</f>
        <v>إدارة التميز المؤسسي</v>
      </c>
      <c r="G130" s="16" t="s">
        <v>61</v>
      </c>
      <c r="H130" s="14" t="str">
        <f>IFERROR(INDEX(المرجع!$A$2:$A$19,MATCH($G130,المرجع!$B$2:$B$19,0)),"")</f>
        <v>البناء المؤسسي</v>
      </c>
      <c r="I130" s="16" t="s">
        <v>48</v>
      </c>
      <c r="J130" s="14" t="str">
        <f>IFERROR(INDEX(المرجع!$D$2:$D$19,MATCH($I130,المرجع!$E$2:$E$19,0)),"")</f>
        <v>الأهداف ومؤشرات الأداء</v>
      </c>
      <c r="K130" s="16" t="s">
        <v>88</v>
      </c>
      <c r="L130" s="17" t="str">
        <f>IFERROR(INDEX('نقاط التحقق'!$G$2:$G$31,MATCH($K130,'نقاط التحقق'!$A$2:$A$31,0))&amp;"","")</f>
        <v>أهداف تشغيلية معتمدة من صاحب الصلاحية</v>
      </c>
      <c r="M130" s="13">
        <v>60</v>
      </c>
      <c r="N130" s="15" t="str">
        <f>IF($M130="","غير مقيّمة",IF($M130&gt;المرجع!$K$3,"مستوفاة بشكل متقدم",IF($M130&lt;=المرجع!$K$2,"مستوفاة بشكل أولي","مستوفاة بشكل جزئي")))</f>
        <v>مستوفاة بشكل جزئي</v>
      </c>
      <c r="O130" s="18" t="s">
        <v>2171</v>
      </c>
    </row>
    <row r="131" spans="1:15">
      <c r="A131" s="16" t="s">
        <v>365</v>
      </c>
      <c r="B131" s="16" t="s">
        <v>152</v>
      </c>
      <c r="C131" s="15" t="str">
        <f>IFERROR(INDEX('قائمة الوحدات'!$B$2:$B$41,MATCH($B131,'قائمة الوحدات'!$A$2:$A$41,0)),"")</f>
        <v>TOP</v>
      </c>
      <c r="D131" s="14" t="str">
        <f>IFERROR(INDEX('قائمة الوحدات'!$C$2:$C$41,MATCH($B131,'قائمة الوحدات'!$A$2:$A$41,0)),"")</f>
        <v>المرتبطة بسمو الوزير</v>
      </c>
      <c r="E131" s="14" t="str">
        <f>IFERROR(INDEX('قائمة الوحدات'!$D$2:$D$41,MATCH($B131,'قائمة الوحدات'!$A$2:$A$41,0)),"")</f>
        <v>إدارة التميز المؤسسي</v>
      </c>
      <c r="F131" s="14" t="str">
        <f>IFERROR(INDEX('قائمة الوحدات'!$F$2:$F$41,MATCH($B131,'قائمة الوحدات'!$A$2:$A$41,0)),"")</f>
        <v>إدارة التميز المؤسسي</v>
      </c>
      <c r="G131" s="16" t="s">
        <v>61</v>
      </c>
      <c r="H131" s="14" t="str">
        <f>IFERROR(INDEX(المرجع!$A$2:$A$19,MATCH($G131,المرجع!$B$2:$B$19,0)),"")</f>
        <v>البناء المؤسسي</v>
      </c>
      <c r="I131" s="16" t="s">
        <v>48</v>
      </c>
      <c r="J131" s="14" t="str">
        <f>IFERROR(INDEX(المرجع!$D$2:$D$19,MATCH($I131,المرجع!$E$2:$E$19,0)),"")</f>
        <v>الأهداف ومؤشرات الأداء</v>
      </c>
      <c r="K131" s="16" t="s">
        <v>90</v>
      </c>
      <c r="L131" s="17" t="str">
        <f>IFERROR(INDEX('نقاط التحقق'!$G$2:$G$31,MATCH($K131,'نقاط التحقق'!$A$2:$A$31,0))&amp;"","")</f>
        <v>نشر الأهداف التشغيلية على موظفي الوحدة التنظيمية</v>
      </c>
      <c r="M131" s="13">
        <v>80</v>
      </c>
      <c r="N131" s="15" t="str">
        <f>IF($M131="","غير مقيّمة",IF($M131&gt;المرجع!$K$3,"مستوفاة بشكل متقدم",IF($M131&lt;=المرجع!$K$2,"مستوفاة بشكل أولي","مستوفاة بشكل جزئي")))</f>
        <v>مستوفاة بشكل متقدم</v>
      </c>
      <c r="O131" s="18" t="s">
        <v>2171</v>
      </c>
    </row>
    <row r="132" spans="1:15">
      <c r="A132" s="16" t="s">
        <v>366</v>
      </c>
      <c r="B132" s="16" t="s">
        <v>152</v>
      </c>
      <c r="C132" s="15" t="str">
        <f>IFERROR(INDEX('قائمة الوحدات'!$B$2:$B$41,MATCH($B132,'قائمة الوحدات'!$A$2:$A$41,0)),"")</f>
        <v>TOP</v>
      </c>
      <c r="D132" s="14" t="str">
        <f>IFERROR(INDEX('قائمة الوحدات'!$C$2:$C$41,MATCH($B132,'قائمة الوحدات'!$A$2:$A$41,0)),"")</f>
        <v>المرتبطة بسمو الوزير</v>
      </c>
      <c r="E132" s="14" t="str">
        <f>IFERROR(INDEX('قائمة الوحدات'!$D$2:$D$41,MATCH($B132,'قائمة الوحدات'!$A$2:$A$41,0)),"")</f>
        <v>إدارة التميز المؤسسي</v>
      </c>
      <c r="F132" s="14" t="str">
        <f>IFERROR(INDEX('قائمة الوحدات'!$F$2:$F$41,MATCH($B132,'قائمة الوحدات'!$A$2:$A$41,0)),"")</f>
        <v>إدارة التميز المؤسسي</v>
      </c>
      <c r="G132" s="16" t="s">
        <v>61</v>
      </c>
      <c r="H132" s="14" t="str">
        <f>IFERROR(INDEX(المرجع!$A$2:$A$19,MATCH($G132,المرجع!$B$2:$B$19,0)),"")</f>
        <v>البناء المؤسسي</v>
      </c>
      <c r="I132" s="16" t="s">
        <v>51</v>
      </c>
      <c r="J132" s="14" t="str">
        <f>IFERROR(INDEX(المرجع!$D$2:$D$19,MATCH($I132,المرجع!$E$2:$E$19,0)),"")</f>
        <v>الحوكمة</v>
      </c>
      <c r="K132" s="16" t="s">
        <v>92</v>
      </c>
      <c r="L132" s="17" t="str">
        <f>IFERROR(INDEX('نقاط التحقق'!$G$2:$G$31,MATCH($K132,'نقاط التحقق'!$A$2:$A$31,0))&amp;"","")</f>
        <v>مصفوفة صلاحيات معتمدة ومعممة على أصحاب المصلحة</v>
      </c>
      <c r="M132" s="13">
        <v>65</v>
      </c>
      <c r="N132" s="15" t="str">
        <f>IF($M132="","غير مقيّمة",IF($M132&gt;المرجع!$K$3,"مستوفاة بشكل متقدم",IF($M132&lt;=المرجع!$K$2,"مستوفاة بشكل أولي","مستوفاة بشكل جزئي")))</f>
        <v>مستوفاة بشكل جزئي</v>
      </c>
      <c r="O132" s="18" t="s">
        <v>2171</v>
      </c>
    </row>
    <row r="133" spans="1:15">
      <c r="A133" s="16" t="s">
        <v>367</v>
      </c>
      <c r="B133" s="16" t="s">
        <v>152</v>
      </c>
      <c r="C133" s="15" t="str">
        <f>IFERROR(INDEX('قائمة الوحدات'!$B$2:$B$41,MATCH($B133,'قائمة الوحدات'!$A$2:$A$41,0)),"")</f>
        <v>TOP</v>
      </c>
      <c r="D133" s="14" t="str">
        <f>IFERROR(INDEX('قائمة الوحدات'!$C$2:$C$41,MATCH($B133,'قائمة الوحدات'!$A$2:$A$41,0)),"")</f>
        <v>المرتبطة بسمو الوزير</v>
      </c>
      <c r="E133" s="14" t="str">
        <f>IFERROR(INDEX('قائمة الوحدات'!$D$2:$D$41,MATCH($B133,'قائمة الوحدات'!$A$2:$A$41,0)),"")</f>
        <v>إدارة التميز المؤسسي</v>
      </c>
      <c r="F133" s="14" t="str">
        <f>IFERROR(INDEX('قائمة الوحدات'!$F$2:$F$41,MATCH($B133,'قائمة الوحدات'!$A$2:$A$41,0)),"")</f>
        <v>إدارة التميز المؤسسي</v>
      </c>
      <c r="G133" s="16" t="s">
        <v>61</v>
      </c>
      <c r="H133" s="14" t="str">
        <f>IFERROR(INDEX(المرجع!$A$2:$A$19,MATCH($G133,المرجع!$B$2:$B$19,0)),"")</f>
        <v>البناء المؤسسي</v>
      </c>
      <c r="I133" s="16" t="s">
        <v>51</v>
      </c>
      <c r="J133" s="14" t="str">
        <f>IFERROR(INDEX(المرجع!$D$2:$D$19,MATCH($I133,المرجع!$E$2:$E$19,0)),"")</f>
        <v>الحوكمة</v>
      </c>
      <c r="K133" s="16" t="s">
        <v>94</v>
      </c>
      <c r="L133" s="17" t="str">
        <f>IFERROR(INDEX('نقاط التحقق'!$G$2:$G$31,MATCH($K133,'نقاط التحقق'!$A$2:$A$31,0))&amp;"","")</f>
        <v>سياسات معتمدة للتي تملكها الوحدة التنظيمية</v>
      </c>
      <c r="M133" s="13">
        <v>55</v>
      </c>
      <c r="N133" s="15" t="str">
        <f>IF($M133="","غير مقيّمة",IF($M133&gt;المرجع!$K$3,"مستوفاة بشكل متقدم",IF($M133&lt;=المرجع!$K$2,"مستوفاة بشكل أولي","مستوفاة بشكل جزئي")))</f>
        <v>مستوفاة بشكل جزئي</v>
      </c>
      <c r="O133" s="18" t="s">
        <v>2171</v>
      </c>
    </row>
    <row r="134" spans="1:15">
      <c r="A134" s="16" t="s">
        <v>368</v>
      </c>
      <c r="B134" s="16" t="s">
        <v>152</v>
      </c>
      <c r="C134" s="15" t="str">
        <f>IFERROR(INDEX('قائمة الوحدات'!$B$2:$B$41,MATCH($B134,'قائمة الوحدات'!$A$2:$A$41,0)),"")</f>
        <v>TOP</v>
      </c>
      <c r="D134" s="14" t="str">
        <f>IFERROR(INDEX('قائمة الوحدات'!$C$2:$C$41,MATCH($B134,'قائمة الوحدات'!$A$2:$A$41,0)),"")</f>
        <v>المرتبطة بسمو الوزير</v>
      </c>
      <c r="E134" s="14" t="str">
        <f>IFERROR(INDEX('قائمة الوحدات'!$D$2:$D$41,MATCH($B134,'قائمة الوحدات'!$A$2:$A$41,0)),"")</f>
        <v>إدارة التميز المؤسسي</v>
      </c>
      <c r="F134" s="14" t="str">
        <f>IFERROR(INDEX('قائمة الوحدات'!$F$2:$F$41,MATCH($B134,'قائمة الوحدات'!$A$2:$A$41,0)),"")</f>
        <v>إدارة التميز المؤسسي</v>
      </c>
      <c r="G134" s="16" t="s">
        <v>61</v>
      </c>
      <c r="H134" s="14" t="str">
        <f>IFERROR(INDEX(المرجع!$A$2:$A$19,MATCH($G134,المرجع!$B$2:$B$19,0)),"")</f>
        <v>البناء المؤسسي</v>
      </c>
      <c r="I134" s="16" t="s">
        <v>51</v>
      </c>
      <c r="J134" s="14" t="str">
        <f>IFERROR(INDEX(المرجع!$D$2:$D$19,MATCH($I134,المرجع!$E$2:$E$19,0)),"")</f>
        <v>الحوكمة</v>
      </c>
      <c r="K134" s="16" t="s">
        <v>96</v>
      </c>
      <c r="L134" s="17" t="str">
        <f>IFERROR(INDEX('نقاط التحقق'!$G$2:$G$31,MATCH($K134,'نقاط التحقق'!$A$2:$A$31,0))&amp;"","")</f>
        <v>قرار تشكيل معتمد للجان ذات العلاقة</v>
      </c>
      <c r="M134" s="13">
        <v>60</v>
      </c>
      <c r="N134" s="15" t="str">
        <f>IF($M134="","غير مقيّمة",IF($M134&gt;المرجع!$K$3,"مستوفاة بشكل متقدم",IF($M134&lt;=المرجع!$K$2,"مستوفاة بشكل أولي","مستوفاة بشكل جزئي")))</f>
        <v>مستوفاة بشكل جزئي</v>
      </c>
      <c r="O134" s="18" t="s">
        <v>2171</v>
      </c>
    </row>
    <row r="135" spans="1:15">
      <c r="A135" s="16" t="s">
        <v>369</v>
      </c>
      <c r="B135" s="16" t="s">
        <v>152</v>
      </c>
      <c r="C135" s="15" t="str">
        <f>IFERROR(INDEX('قائمة الوحدات'!$B$2:$B$41,MATCH($B135,'قائمة الوحدات'!$A$2:$A$41,0)),"")</f>
        <v>TOP</v>
      </c>
      <c r="D135" s="14" t="str">
        <f>IFERROR(INDEX('قائمة الوحدات'!$C$2:$C$41,MATCH($B135,'قائمة الوحدات'!$A$2:$A$41,0)),"")</f>
        <v>المرتبطة بسمو الوزير</v>
      </c>
      <c r="E135" s="14" t="str">
        <f>IFERROR(INDEX('قائمة الوحدات'!$D$2:$D$41,MATCH($B135,'قائمة الوحدات'!$A$2:$A$41,0)),"")</f>
        <v>إدارة التميز المؤسسي</v>
      </c>
      <c r="F135" s="14" t="str">
        <f>IFERROR(INDEX('قائمة الوحدات'!$F$2:$F$41,MATCH($B135,'قائمة الوحدات'!$A$2:$A$41,0)),"")</f>
        <v>إدارة التميز المؤسسي</v>
      </c>
      <c r="G135" s="16" t="s">
        <v>61</v>
      </c>
      <c r="H135" s="14" t="str">
        <f>IFERROR(INDEX(المرجع!$A$2:$A$19,MATCH($G135,المرجع!$B$2:$B$19,0)),"")</f>
        <v>البناء المؤسسي</v>
      </c>
      <c r="I135" s="16" t="s">
        <v>54</v>
      </c>
      <c r="J135" s="14" t="str">
        <f>IFERROR(INDEX(المرجع!$D$2:$D$19,MATCH($I135,المرجع!$E$2:$E$19,0)),"")</f>
        <v>التنظيم</v>
      </c>
      <c r="K135" s="16" t="s">
        <v>98</v>
      </c>
      <c r="L135" s="17" t="str">
        <f>IFERROR(INDEX('نقاط التحقق'!$G$2:$G$31,MATCH($K135,'نقاط التحقق'!$A$2:$A$31,0))&amp;"","")</f>
        <v>هيكل تنظيمي معتمد من صاحب الصلاحية</v>
      </c>
      <c r="M135" s="13">
        <v>85</v>
      </c>
      <c r="N135" s="15" t="str">
        <f>IF($M135="","غير مقيّمة",IF($M135&gt;المرجع!$K$3,"مستوفاة بشكل متقدم",IF($M135&lt;=المرجع!$K$2,"مستوفاة بشكل أولي","مستوفاة بشكل جزئي")))</f>
        <v>مستوفاة بشكل متقدم</v>
      </c>
      <c r="O135" s="18" t="s">
        <v>2171</v>
      </c>
    </row>
    <row r="136" spans="1:15">
      <c r="A136" s="16" t="s">
        <v>370</v>
      </c>
      <c r="B136" s="16" t="s">
        <v>152</v>
      </c>
      <c r="C136" s="15" t="str">
        <f>IFERROR(INDEX('قائمة الوحدات'!$B$2:$B$41,MATCH($B136,'قائمة الوحدات'!$A$2:$A$41,0)),"")</f>
        <v>TOP</v>
      </c>
      <c r="D136" s="14" t="str">
        <f>IFERROR(INDEX('قائمة الوحدات'!$C$2:$C$41,MATCH($B136,'قائمة الوحدات'!$A$2:$A$41,0)),"")</f>
        <v>المرتبطة بسمو الوزير</v>
      </c>
      <c r="E136" s="14" t="str">
        <f>IFERROR(INDEX('قائمة الوحدات'!$D$2:$D$41,MATCH($B136,'قائمة الوحدات'!$A$2:$A$41,0)),"")</f>
        <v>إدارة التميز المؤسسي</v>
      </c>
      <c r="F136" s="14" t="str">
        <f>IFERROR(INDEX('قائمة الوحدات'!$F$2:$F$41,MATCH($B136,'قائمة الوحدات'!$A$2:$A$41,0)),"")</f>
        <v>إدارة التميز المؤسسي</v>
      </c>
      <c r="G136" s="16" t="s">
        <v>61</v>
      </c>
      <c r="H136" s="14" t="str">
        <f>IFERROR(INDEX(المرجع!$A$2:$A$19,MATCH($G136,المرجع!$B$2:$B$19,0)),"")</f>
        <v>البناء المؤسسي</v>
      </c>
      <c r="I136" s="16" t="s">
        <v>54</v>
      </c>
      <c r="J136" s="14" t="str">
        <f>IFERROR(INDEX(المرجع!$D$2:$D$19,MATCH($I136,المرجع!$E$2:$E$19,0)),"")</f>
        <v>التنظيم</v>
      </c>
      <c r="K136" s="16" t="s">
        <v>100</v>
      </c>
      <c r="L136" s="17" t="str">
        <f>IFERROR(INDEX('نقاط التحقق'!$G$2:$G$31,MATCH($K136,'نقاط التحقق'!$A$2:$A$31,0))&amp;"","")</f>
        <v>هيكل تنظيمي منشأ على نظام القوى العاملة</v>
      </c>
      <c r="M136" s="13">
        <v>80</v>
      </c>
      <c r="N136" s="15" t="str">
        <f>IF($M136="","غير مقيّمة",IF($M136&gt;المرجع!$K$3,"مستوفاة بشكل متقدم",IF($M136&lt;=المرجع!$K$2,"مستوفاة بشكل أولي","مستوفاة بشكل جزئي")))</f>
        <v>مستوفاة بشكل متقدم</v>
      </c>
      <c r="O136" s="18" t="s">
        <v>2171</v>
      </c>
    </row>
    <row r="137" spans="1:15">
      <c r="A137" s="16" t="s">
        <v>371</v>
      </c>
      <c r="B137" s="16" t="s">
        <v>152</v>
      </c>
      <c r="C137" s="15" t="str">
        <f>IFERROR(INDEX('قائمة الوحدات'!$B$2:$B$41,MATCH($B137,'قائمة الوحدات'!$A$2:$A$41,0)),"")</f>
        <v>TOP</v>
      </c>
      <c r="D137" s="14" t="str">
        <f>IFERROR(INDEX('قائمة الوحدات'!$C$2:$C$41,MATCH($B137,'قائمة الوحدات'!$A$2:$A$41,0)),"")</f>
        <v>المرتبطة بسمو الوزير</v>
      </c>
      <c r="E137" s="14" t="str">
        <f>IFERROR(INDEX('قائمة الوحدات'!$D$2:$D$41,MATCH($B137,'قائمة الوحدات'!$A$2:$A$41,0)),"")</f>
        <v>إدارة التميز المؤسسي</v>
      </c>
      <c r="F137" s="14" t="str">
        <f>IFERROR(INDEX('قائمة الوحدات'!$F$2:$F$41,MATCH($B137,'قائمة الوحدات'!$A$2:$A$41,0)),"")</f>
        <v>إدارة التميز المؤسسي</v>
      </c>
      <c r="G137" s="16" t="s">
        <v>61</v>
      </c>
      <c r="H137" s="14" t="str">
        <f>IFERROR(INDEX(المرجع!$A$2:$A$19,MATCH($G137,المرجع!$B$2:$B$19,0)),"")</f>
        <v>البناء المؤسسي</v>
      </c>
      <c r="I137" s="16" t="s">
        <v>54</v>
      </c>
      <c r="J137" s="14" t="str">
        <f>IFERROR(INDEX(المرجع!$D$2:$D$19,MATCH($I137,المرجع!$E$2:$E$19,0)),"")</f>
        <v>التنظيم</v>
      </c>
      <c r="K137" s="16" t="s">
        <v>102</v>
      </c>
      <c r="L137" s="17" t="str">
        <f>IFERROR(INDEX('نقاط التحقق'!$G$2:$G$31,MATCH($K137,'نقاط التحقق'!$A$2:$A$31,0))&amp;"","")</f>
        <v>الموظفون المحددون مسكّنون على الهيكل التنظيمي المستهدف</v>
      </c>
      <c r="M137" s="13">
        <v>55</v>
      </c>
      <c r="N137" s="15" t="str">
        <f>IF($M137="","غير مقيّمة",IF($M137&gt;المرجع!$K$3,"مستوفاة بشكل متقدم",IF($M137&lt;=المرجع!$K$2,"مستوفاة بشكل أولي","مستوفاة بشكل جزئي")))</f>
        <v>مستوفاة بشكل جزئي</v>
      </c>
      <c r="O137" s="18" t="s">
        <v>2171</v>
      </c>
    </row>
    <row r="138" spans="1:15">
      <c r="A138" s="16" t="s">
        <v>372</v>
      </c>
      <c r="B138" s="16" t="s">
        <v>152</v>
      </c>
      <c r="C138" s="15" t="str">
        <f>IFERROR(INDEX('قائمة الوحدات'!$B$2:$B$41,MATCH($B138,'قائمة الوحدات'!$A$2:$A$41,0)),"")</f>
        <v>TOP</v>
      </c>
      <c r="D138" s="14" t="str">
        <f>IFERROR(INDEX('قائمة الوحدات'!$C$2:$C$41,MATCH($B138,'قائمة الوحدات'!$A$2:$A$41,0)),"")</f>
        <v>المرتبطة بسمو الوزير</v>
      </c>
      <c r="E138" s="14" t="str">
        <f>IFERROR(INDEX('قائمة الوحدات'!$D$2:$D$41,MATCH($B138,'قائمة الوحدات'!$A$2:$A$41,0)),"")</f>
        <v>إدارة التميز المؤسسي</v>
      </c>
      <c r="F138" s="14" t="str">
        <f>IFERROR(INDEX('قائمة الوحدات'!$F$2:$F$41,MATCH($B138,'قائمة الوحدات'!$A$2:$A$41,0)),"")</f>
        <v>إدارة التميز المؤسسي</v>
      </c>
      <c r="G138" s="16" t="s">
        <v>61</v>
      </c>
      <c r="H138" s="14" t="str">
        <f>IFERROR(INDEX(المرجع!$A$2:$A$19,MATCH($G138,المرجع!$B$2:$B$19,0)),"")</f>
        <v>البناء المؤسسي</v>
      </c>
      <c r="I138" s="16" t="s">
        <v>56</v>
      </c>
      <c r="J138" s="14" t="str">
        <f>IFERROR(INDEX(المرجع!$D$2:$D$19,MATCH($I138,المرجع!$E$2:$E$19,0)),"")</f>
        <v>الموارد</v>
      </c>
      <c r="K138" s="16" t="s">
        <v>104</v>
      </c>
      <c r="L138" s="17" t="str">
        <f>IFERROR(INDEX('نقاط التحقق'!$G$2:$G$31,MATCH($K138,'نقاط التحقق'!$A$2:$A$31,0))&amp;"","")</f>
        <v>مدير الوحدة التنظيمية والموظفون الرئيسيون معينون/ملحقون</v>
      </c>
      <c r="M138" s="13">
        <v>75</v>
      </c>
      <c r="N138" s="15" t="str">
        <f>IF($M138="","غير مقيّمة",IF($M138&gt;المرجع!$K$3,"مستوفاة بشكل متقدم",IF($M138&lt;=المرجع!$K$2,"مستوفاة بشكل أولي","مستوفاة بشكل جزئي")))</f>
        <v>مستوفاة بشكل متقدم</v>
      </c>
      <c r="O138" s="18" t="s">
        <v>2171</v>
      </c>
    </row>
    <row r="139" spans="1:15">
      <c r="A139" s="16" t="s">
        <v>373</v>
      </c>
      <c r="B139" s="16" t="s">
        <v>152</v>
      </c>
      <c r="C139" s="15" t="str">
        <f>IFERROR(INDEX('قائمة الوحدات'!$B$2:$B$41,MATCH($B139,'قائمة الوحدات'!$A$2:$A$41,0)),"")</f>
        <v>TOP</v>
      </c>
      <c r="D139" s="14" t="str">
        <f>IFERROR(INDEX('قائمة الوحدات'!$C$2:$C$41,MATCH($B139,'قائمة الوحدات'!$A$2:$A$41,0)),"")</f>
        <v>المرتبطة بسمو الوزير</v>
      </c>
      <c r="E139" s="14" t="str">
        <f>IFERROR(INDEX('قائمة الوحدات'!$D$2:$D$41,MATCH($B139,'قائمة الوحدات'!$A$2:$A$41,0)),"")</f>
        <v>إدارة التميز المؤسسي</v>
      </c>
      <c r="F139" s="14" t="str">
        <f>IFERROR(INDEX('قائمة الوحدات'!$F$2:$F$41,MATCH($B139,'قائمة الوحدات'!$A$2:$A$41,0)),"")</f>
        <v>إدارة التميز المؤسسي</v>
      </c>
      <c r="G139" s="16" t="s">
        <v>61</v>
      </c>
      <c r="H139" s="14" t="str">
        <f>IFERROR(INDEX(المرجع!$A$2:$A$19,MATCH($G139,المرجع!$B$2:$B$19,0)),"")</f>
        <v>البناء المؤسسي</v>
      </c>
      <c r="I139" s="16" t="s">
        <v>56</v>
      </c>
      <c r="J139" s="14" t="str">
        <f>IFERROR(INDEX(المرجع!$D$2:$D$19,MATCH($I139,المرجع!$E$2:$E$19,0)),"")</f>
        <v>الموارد</v>
      </c>
      <c r="K139" s="16" t="s">
        <v>106</v>
      </c>
      <c r="L139" s="17" t="str">
        <f>IFERROR(INDEX('نقاط التحقق'!$G$2:$G$31,MATCH($K139,'نقاط التحقق'!$A$2:$A$31,0))&amp;"","")</f>
        <v>خطة توظيف وتدريب مستكملة</v>
      </c>
      <c r="M139" s="13">
        <v>60</v>
      </c>
      <c r="N139" s="15" t="str">
        <f>IF($M139="","غير مقيّمة",IF($M139&gt;المرجع!$K$3,"مستوفاة بشكل متقدم",IF($M139&lt;=المرجع!$K$2,"مستوفاة بشكل أولي","مستوفاة بشكل جزئي")))</f>
        <v>مستوفاة بشكل جزئي</v>
      </c>
      <c r="O139" s="18" t="s">
        <v>2171</v>
      </c>
    </row>
    <row r="140" spans="1:15">
      <c r="A140" s="16" t="s">
        <v>374</v>
      </c>
      <c r="B140" s="16" t="s">
        <v>152</v>
      </c>
      <c r="C140" s="15" t="str">
        <f>IFERROR(INDEX('قائمة الوحدات'!$B$2:$B$41,MATCH($B140,'قائمة الوحدات'!$A$2:$A$41,0)),"")</f>
        <v>TOP</v>
      </c>
      <c r="D140" s="14" t="str">
        <f>IFERROR(INDEX('قائمة الوحدات'!$C$2:$C$41,MATCH($B140,'قائمة الوحدات'!$A$2:$A$41,0)),"")</f>
        <v>المرتبطة بسمو الوزير</v>
      </c>
      <c r="E140" s="14" t="str">
        <f>IFERROR(INDEX('قائمة الوحدات'!$D$2:$D$41,MATCH($B140,'قائمة الوحدات'!$A$2:$A$41,0)),"")</f>
        <v>إدارة التميز المؤسسي</v>
      </c>
      <c r="F140" s="14" t="str">
        <f>IFERROR(INDEX('قائمة الوحدات'!$F$2:$F$41,MATCH($B140,'قائمة الوحدات'!$A$2:$A$41,0)),"")</f>
        <v>إدارة التميز المؤسسي</v>
      </c>
      <c r="G140" s="16" t="s">
        <v>61</v>
      </c>
      <c r="H140" s="14" t="str">
        <f>IFERROR(INDEX(المرجع!$A$2:$A$19,MATCH($G140,المرجع!$B$2:$B$19,0)),"")</f>
        <v>البناء المؤسسي</v>
      </c>
      <c r="I140" s="16" t="s">
        <v>56</v>
      </c>
      <c r="J140" s="14" t="str">
        <f>IFERROR(INDEX(المرجع!$D$2:$D$19,MATCH($I140,المرجع!$E$2:$E$19,0)),"")</f>
        <v>الموارد</v>
      </c>
      <c r="K140" s="16" t="s">
        <v>108</v>
      </c>
      <c r="L140" s="17" t="str">
        <f>IFERROR(INDEX('نقاط التحقق'!$G$2:$G$31,MATCH($K140,'نقاط التحقق'!$A$2:$A$31,0))&amp;"","")</f>
        <v>وجود مساحات مكتبية كافية</v>
      </c>
      <c r="M140" s="13">
        <v>60</v>
      </c>
      <c r="N140" s="15" t="str">
        <f>IF($M140="","غير مقيّمة",IF($M140&gt;المرجع!$K$3,"مستوفاة بشكل متقدم",IF($M140&lt;=المرجع!$K$2,"مستوفاة بشكل أولي","مستوفاة بشكل جزئي")))</f>
        <v>مستوفاة بشكل جزئي</v>
      </c>
      <c r="O140" s="18" t="s">
        <v>2171</v>
      </c>
    </row>
    <row r="141" spans="1:15">
      <c r="A141" s="16" t="s">
        <v>375</v>
      </c>
      <c r="B141" s="16" t="s">
        <v>152</v>
      </c>
      <c r="C141" s="15" t="str">
        <f>IFERROR(INDEX('قائمة الوحدات'!$B$2:$B$41,MATCH($B141,'قائمة الوحدات'!$A$2:$A$41,0)),"")</f>
        <v>TOP</v>
      </c>
      <c r="D141" s="14" t="str">
        <f>IFERROR(INDEX('قائمة الوحدات'!$C$2:$C$41,MATCH($B141,'قائمة الوحدات'!$A$2:$A$41,0)),"")</f>
        <v>المرتبطة بسمو الوزير</v>
      </c>
      <c r="E141" s="14" t="str">
        <f>IFERROR(INDEX('قائمة الوحدات'!$D$2:$D$41,MATCH($B141,'قائمة الوحدات'!$A$2:$A$41,0)),"")</f>
        <v>إدارة التميز المؤسسي</v>
      </c>
      <c r="F141" s="14" t="str">
        <f>IFERROR(INDEX('قائمة الوحدات'!$F$2:$F$41,MATCH($B141,'قائمة الوحدات'!$A$2:$A$41,0)),"")</f>
        <v>إدارة التميز المؤسسي</v>
      </c>
      <c r="G141" s="16" t="s">
        <v>61</v>
      </c>
      <c r="H141" s="14" t="str">
        <f>IFERROR(INDEX(المرجع!$A$2:$A$19,MATCH($G141,المرجع!$B$2:$B$19,0)),"")</f>
        <v>البناء المؤسسي</v>
      </c>
      <c r="I141" s="16" t="s">
        <v>56</v>
      </c>
      <c r="J141" s="14" t="str">
        <f>IFERROR(INDEX(المرجع!$D$2:$D$19,MATCH($I141,المرجع!$E$2:$E$19,0)),"")</f>
        <v>الموارد</v>
      </c>
      <c r="K141" s="16" t="s">
        <v>110</v>
      </c>
      <c r="L141" s="17" t="str">
        <f>IFERROR(INDEX('نقاط التحقق'!$G$2:$G$31,MATCH($K141,'نقاط التحقق'!$A$2:$A$31,0))&amp;"","")</f>
        <v>وجود الاحتياجات التقنية الأساسية</v>
      </c>
      <c r="M141" s="13">
        <v>70</v>
      </c>
      <c r="N141" s="15" t="str">
        <f>IF($M141="","غير مقيّمة",IF($M141&gt;المرجع!$K$3,"مستوفاة بشكل متقدم",IF($M141&lt;=المرجع!$K$2,"مستوفاة بشكل أولي","مستوفاة بشكل جزئي")))</f>
        <v>مستوفاة بشكل جزئي</v>
      </c>
      <c r="O141" s="18" t="s">
        <v>2171</v>
      </c>
    </row>
    <row r="142" spans="1:15">
      <c r="A142" s="16" t="s">
        <v>376</v>
      </c>
      <c r="B142" s="16" t="s">
        <v>152</v>
      </c>
      <c r="C142" s="15" t="str">
        <f>IFERROR(INDEX('قائمة الوحدات'!$B$2:$B$41,MATCH($B142,'قائمة الوحدات'!$A$2:$A$41,0)),"")</f>
        <v>TOP</v>
      </c>
      <c r="D142" s="14" t="str">
        <f>IFERROR(INDEX('قائمة الوحدات'!$C$2:$C$41,MATCH($B142,'قائمة الوحدات'!$A$2:$A$41,0)),"")</f>
        <v>المرتبطة بسمو الوزير</v>
      </c>
      <c r="E142" s="14" t="str">
        <f>IFERROR(INDEX('قائمة الوحدات'!$D$2:$D$41,MATCH($B142,'قائمة الوحدات'!$A$2:$A$41,0)),"")</f>
        <v>إدارة التميز المؤسسي</v>
      </c>
      <c r="F142" s="14" t="str">
        <f>IFERROR(INDEX('قائمة الوحدات'!$F$2:$F$41,MATCH($B142,'قائمة الوحدات'!$A$2:$A$41,0)),"")</f>
        <v>إدارة التميز المؤسسي</v>
      </c>
      <c r="G142" s="16" t="s">
        <v>61</v>
      </c>
      <c r="H142" s="14" t="str">
        <f>IFERROR(INDEX(المرجع!$A$2:$A$19,MATCH($G142,المرجع!$B$2:$B$19,0)),"")</f>
        <v>البناء المؤسسي</v>
      </c>
      <c r="I142" s="16" t="s">
        <v>59</v>
      </c>
      <c r="J142" s="14" t="str">
        <f>IFERROR(INDEX(المرجع!$D$2:$D$19,MATCH($I142,المرجع!$E$2:$E$19,0)),"")</f>
        <v>الإجراءات</v>
      </c>
      <c r="K142" s="16" t="s">
        <v>112</v>
      </c>
      <c r="L142" s="17" t="str">
        <f>IFERROR(INDEX('نقاط التحقق'!$G$2:$G$31,MATCH($K142,'نقاط التحقق'!$A$2:$A$31,0))&amp;"","")</f>
        <v>إجراءات معتمدة للوحدة التنظيمية</v>
      </c>
      <c r="M142" s="13">
        <v>67</v>
      </c>
      <c r="N142" s="15" t="str">
        <f>IF($M142="","غير مقيّمة",IF($M142&gt;المرجع!$K$3,"مستوفاة بشكل متقدم",IF($M142&lt;=المرجع!$K$2,"مستوفاة بشكل أولي","مستوفاة بشكل جزئي")))</f>
        <v>مستوفاة بشكل جزئي</v>
      </c>
      <c r="O142" s="18" t="s">
        <v>2171</v>
      </c>
    </row>
    <row r="143" spans="1:15">
      <c r="A143" s="16" t="s">
        <v>377</v>
      </c>
      <c r="B143" s="16" t="s">
        <v>152</v>
      </c>
      <c r="C143" s="15" t="str">
        <f>IFERROR(INDEX('قائمة الوحدات'!$B$2:$B$41,MATCH($B143,'قائمة الوحدات'!$A$2:$A$41,0)),"")</f>
        <v>TOP</v>
      </c>
      <c r="D143" s="14" t="str">
        <f>IFERROR(INDEX('قائمة الوحدات'!$C$2:$C$41,MATCH($B143,'قائمة الوحدات'!$A$2:$A$41,0)),"")</f>
        <v>المرتبطة بسمو الوزير</v>
      </c>
      <c r="E143" s="14" t="str">
        <f>IFERROR(INDEX('قائمة الوحدات'!$D$2:$D$41,MATCH($B143,'قائمة الوحدات'!$A$2:$A$41,0)),"")</f>
        <v>إدارة التميز المؤسسي</v>
      </c>
      <c r="F143" s="14" t="str">
        <f>IFERROR(INDEX('قائمة الوحدات'!$F$2:$F$41,MATCH($B143,'قائمة الوحدات'!$A$2:$A$41,0)),"")</f>
        <v>إدارة التميز المؤسسي</v>
      </c>
      <c r="G143" s="16" t="s">
        <v>61</v>
      </c>
      <c r="H143" s="14" t="str">
        <f>IFERROR(INDEX(المرجع!$A$2:$A$19,MATCH($G143,المرجع!$B$2:$B$19,0)),"")</f>
        <v>البناء المؤسسي</v>
      </c>
      <c r="I143" s="16" t="s">
        <v>63</v>
      </c>
      <c r="J143" s="14" t="str">
        <f>IFERROR(INDEX(المرجع!$D$2:$D$19,MATCH($I143,المرجع!$E$2:$E$19,0)),"")</f>
        <v>إنتاج المخرج الأول</v>
      </c>
      <c r="K143" s="16" t="s">
        <v>114</v>
      </c>
      <c r="L143" s="17" t="str">
        <f>IFERROR(INDEX('نقاط التحقق'!$G$2:$G$31,MATCH($K143,'نقاط التحقق'!$A$2:$A$31,0))&amp;"","")</f>
        <v>إنتاج المخرج الأول من قبل الوحدة التنظيمية</v>
      </c>
      <c r="M143" s="13">
        <v>43</v>
      </c>
      <c r="N143" s="15" t="str">
        <f>IF($M143="","غير مقيّمة",IF($M143&gt;المرجع!$K$3,"مستوفاة بشكل متقدم",IF($M143&lt;=المرجع!$K$2,"مستوفاة بشكل أولي","مستوفاة بشكل جزئي")))</f>
        <v>مستوفاة بشكل جزئي</v>
      </c>
      <c r="O143" s="18" t="s">
        <v>2171</v>
      </c>
    </row>
    <row r="144" spans="1:15">
      <c r="A144" s="16" t="s">
        <v>378</v>
      </c>
      <c r="B144" s="16" t="s">
        <v>152</v>
      </c>
      <c r="C144" s="15" t="str">
        <f>IFERROR(INDEX('قائمة الوحدات'!$B$2:$B$41,MATCH($B144,'قائمة الوحدات'!$A$2:$A$41,0)),"")</f>
        <v>TOP</v>
      </c>
      <c r="D144" s="14" t="str">
        <f>IFERROR(INDEX('قائمة الوحدات'!$C$2:$C$41,MATCH($B144,'قائمة الوحدات'!$A$2:$A$41,0)),"")</f>
        <v>المرتبطة بسمو الوزير</v>
      </c>
      <c r="E144" s="14" t="str">
        <f>IFERROR(INDEX('قائمة الوحدات'!$D$2:$D$41,MATCH($B144,'قائمة الوحدات'!$A$2:$A$41,0)),"")</f>
        <v>إدارة التميز المؤسسي</v>
      </c>
      <c r="F144" s="14" t="str">
        <f>IFERROR(INDEX('قائمة الوحدات'!$F$2:$F$41,MATCH($B144,'قائمة الوحدات'!$A$2:$A$41,0)),"")</f>
        <v>إدارة التميز المؤسسي</v>
      </c>
      <c r="G144" s="16" t="s">
        <v>65</v>
      </c>
      <c r="H144" s="14" t="str">
        <f>IFERROR(INDEX(المرجع!$A$2:$A$19,MATCH($G144,المرجع!$B$2:$B$19,0)),"")</f>
        <v>التشغيل</v>
      </c>
      <c r="I144" s="16" t="s">
        <v>48</v>
      </c>
      <c r="J144" s="14" t="str">
        <f>IFERROR(INDEX(المرجع!$D$2:$D$19,MATCH($I144,المرجع!$E$2:$E$19,0)),"")</f>
        <v>الأهداف ومؤشرات الأداء</v>
      </c>
      <c r="K144" s="16" t="s">
        <v>116</v>
      </c>
      <c r="L144" s="17" t="str">
        <f>IFERROR(INDEX('نقاط التحقق'!$G$2:$G$31,MATCH($K144,'نقاط التحقق'!$A$2:$A$31,0))&amp;"","")</f>
        <v>تحرك مؤشرات الأداء التشغيلي للوحدة التنظيمية بشكل إيجابي</v>
      </c>
      <c r="M144" s="13">
        <v>5</v>
      </c>
      <c r="N144" s="15" t="str">
        <f>IF($M144="","غير مقيّمة",IF($M144&gt;المرجع!$K$3,"مستوفاة بشكل متقدم",IF($M144&lt;=المرجع!$K$2,"مستوفاة بشكل أولي","مستوفاة بشكل جزئي")))</f>
        <v>مستوفاة بشكل أولي</v>
      </c>
      <c r="O144" s="18" t="s">
        <v>2171</v>
      </c>
    </row>
    <row r="145" spans="1:15">
      <c r="A145" s="16" t="s">
        <v>379</v>
      </c>
      <c r="B145" s="16" t="s">
        <v>152</v>
      </c>
      <c r="C145" s="15" t="str">
        <f>IFERROR(INDEX('قائمة الوحدات'!$B$2:$B$41,MATCH($B145,'قائمة الوحدات'!$A$2:$A$41,0)),"")</f>
        <v>TOP</v>
      </c>
      <c r="D145" s="14" t="str">
        <f>IFERROR(INDEX('قائمة الوحدات'!$C$2:$C$41,MATCH($B145,'قائمة الوحدات'!$A$2:$A$41,0)),"")</f>
        <v>المرتبطة بسمو الوزير</v>
      </c>
      <c r="E145" s="14" t="str">
        <f>IFERROR(INDEX('قائمة الوحدات'!$D$2:$D$41,MATCH($B145,'قائمة الوحدات'!$A$2:$A$41,0)),"")</f>
        <v>إدارة التميز المؤسسي</v>
      </c>
      <c r="F145" s="14" t="str">
        <f>IFERROR(INDEX('قائمة الوحدات'!$F$2:$F$41,MATCH($B145,'قائمة الوحدات'!$A$2:$A$41,0)),"")</f>
        <v>إدارة التميز المؤسسي</v>
      </c>
      <c r="G145" s="16" t="s">
        <v>65</v>
      </c>
      <c r="H145" s="14" t="str">
        <f>IFERROR(INDEX(المرجع!$A$2:$A$19,MATCH($G145,المرجع!$B$2:$B$19,0)),"")</f>
        <v>التشغيل</v>
      </c>
      <c r="I145" s="16" t="s">
        <v>48</v>
      </c>
      <c r="J145" s="14" t="str">
        <f>IFERROR(INDEX(المرجع!$D$2:$D$19,MATCH($I145,المرجع!$E$2:$E$19,0)),"")</f>
        <v>الأهداف ومؤشرات الأداء</v>
      </c>
      <c r="K145" s="16" t="s">
        <v>118</v>
      </c>
      <c r="L145" s="17" t="str">
        <f>IFERROR(INDEX('نقاط التحقق'!$G$2:$G$31,MATCH($K145,'نقاط التحقق'!$A$2:$A$31,0))&amp;"","")</f>
        <v>خطة سنوية معتمدة للوحدة التنظيمية</v>
      </c>
      <c r="M145" s="13">
        <v>5</v>
      </c>
      <c r="N145" s="15" t="str">
        <f>IF($M145="","غير مقيّمة",IF($M145&gt;المرجع!$K$3,"مستوفاة بشكل متقدم",IF($M145&lt;=المرجع!$K$2,"مستوفاة بشكل أولي","مستوفاة بشكل جزئي")))</f>
        <v>مستوفاة بشكل أولي</v>
      </c>
      <c r="O145" s="18" t="s">
        <v>2171</v>
      </c>
    </row>
    <row r="146" spans="1:15">
      <c r="A146" s="16" t="s">
        <v>380</v>
      </c>
      <c r="B146" s="16" t="s">
        <v>152</v>
      </c>
      <c r="C146" s="15" t="str">
        <f>IFERROR(INDEX('قائمة الوحدات'!$B$2:$B$41,MATCH($B146,'قائمة الوحدات'!$A$2:$A$41,0)),"")</f>
        <v>TOP</v>
      </c>
      <c r="D146" s="14" t="str">
        <f>IFERROR(INDEX('قائمة الوحدات'!$C$2:$C$41,MATCH($B146,'قائمة الوحدات'!$A$2:$A$41,0)),"")</f>
        <v>المرتبطة بسمو الوزير</v>
      </c>
      <c r="E146" s="14" t="str">
        <f>IFERROR(INDEX('قائمة الوحدات'!$D$2:$D$41,MATCH($B146,'قائمة الوحدات'!$A$2:$A$41,0)),"")</f>
        <v>إدارة التميز المؤسسي</v>
      </c>
      <c r="F146" s="14" t="str">
        <f>IFERROR(INDEX('قائمة الوحدات'!$F$2:$F$41,MATCH($B146,'قائمة الوحدات'!$A$2:$A$41,0)),"")</f>
        <v>إدارة التميز المؤسسي</v>
      </c>
      <c r="G146" s="16" t="s">
        <v>65</v>
      </c>
      <c r="H146" s="14" t="str">
        <f>IFERROR(INDEX(المرجع!$A$2:$A$19,MATCH($G146,المرجع!$B$2:$B$19,0)),"")</f>
        <v>التشغيل</v>
      </c>
      <c r="I146" s="16" t="s">
        <v>51</v>
      </c>
      <c r="J146" s="14" t="str">
        <f>IFERROR(INDEX(المرجع!$D$2:$D$19,MATCH($I146,المرجع!$E$2:$E$19,0)),"")</f>
        <v>الحوكمة</v>
      </c>
      <c r="K146" s="16" t="s">
        <v>120</v>
      </c>
      <c r="L146" s="17" t="str">
        <f>IFERROR(INDEX('نقاط التحقق'!$G$2:$G$31,MATCH($K146,'نقاط التحقق'!$A$2:$A$31,0))&amp;"","")</f>
        <v>محاضر لجان موثقة</v>
      </c>
      <c r="M146" s="13">
        <v>45</v>
      </c>
      <c r="N146" s="15" t="str">
        <f>IF($M146="","غير مقيّمة",IF($M146&gt;المرجع!$K$3,"مستوفاة بشكل متقدم",IF($M146&lt;=المرجع!$K$2,"مستوفاة بشكل أولي","مستوفاة بشكل جزئي")))</f>
        <v>مستوفاة بشكل جزئي</v>
      </c>
      <c r="O146" s="18" t="s">
        <v>2171</v>
      </c>
    </row>
    <row r="147" spans="1:15">
      <c r="A147" s="16" t="s">
        <v>381</v>
      </c>
      <c r="B147" s="16" t="s">
        <v>152</v>
      </c>
      <c r="C147" s="15" t="str">
        <f>IFERROR(INDEX('قائمة الوحدات'!$B$2:$B$41,MATCH($B147,'قائمة الوحدات'!$A$2:$A$41,0)),"")</f>
        <v>TOP</v>
      </c>
      <c r="D147" s="14" t="str">
        <f>IFERROR(INDEX('قائمة الوحدات'!$C$2:$C$41,MATCH($B147,'قائمة الوحدات'!$A$2:$A$41,0)),"")</f>
        <v>المرتبطة بسمو الوزير</v>
      </c>
      <c r="E147" s="14" t="str">
        <f>IFERROR(INDEX('قائمة الوحدات'!$D$2:$D$41,MATCH($B147,'قائمة الوحدات'!$A$2:$A$41,0)),"")</f>
        <v>إدارة التميز المؤسسي</v>
      </c>
      <c r="F147" s="14" t="str">
        <f>IFERROR(INDEX('قائمة الوحدات'!$F$2:$F$41,MATCH($B147,'قائمة الوحدات'!$A$2:$A$41,0)),"")</f>
        <v>إدارة التميز المؤسسي</v>
      </c>
      <c r="G147" s="16" t="s">
        <v>65</v>
      </c>
      <c r="H147" s="14" t="str">
        <f>IFERROR(INDEX(المرجع!$A$2:$A$19,MATCH($G147,المرجع!$B$2:$B$19,0)),"")</f>
        <v>التشغيل</v>
      </c>
      <c r="I147" s="16" t="s">
        <v>51</v>
      </c>
      <c r="J147" s="14" t="str">
        <f>IFERROR(INDEX(المرجع!$D$2:$D$19,MATCH($I147,المرجع!$E$2:$E$19,0)),"")</f>
        <v>الحوكمة</v>
      </c>
      <c r="K147" s="16" t="s">
        <v>122</v>
      </c>
      <c r="L147" s="17" t="str">
        <f>IFERROR(INDEX('نقاط التحقق'!$G$2:$G$31,MATCH($K147,'نقاط التحقق'!$A$2:$A$31,0))&amp;"","")</f>
        <v>نشر السياسات التي تملكها الوحدة التنظيمية</v>
      </c>
      <c r="M147" s="13">
        <v>45</v>
      </c>
      <c r="N147" s="15" t="str">
        <f>IF($M147="","غير مقيّمة",IF($M147&gt;المرجع!$K$3,"مستوفاة بشكل متقدم",IF($M147&lt;=المرجع!$K$2,"مستوفاة بشكل أولي","مستوفاة بشكل جزئي")))</f>
        <v>مستوفاة بشكل جزئي</v>
      </c>
      <c r="O147" s="18" t="s">
        <v>2171</v>
      </c>
    </row>
    <row r="148" spans="1:15">
      <c r="A148" s="16" t="s">
        <v>382</v>
      </c>
      <c r="B148" s="16" t="s">
        <v>152</v>
      </c>
      <c r="C148" s="15" t="str">
        <f>IFERROR(INDEX('قائمة الوحدات'!$B$2:$B$41,MATCH($B148,'قائمة الوحدات'!$A$2:$A$41,0)),"")</f>
        <v>TOP</v>
      </c>
      <c r="D148" s="14" t="str">
        <f>IFERROR(INDEX('قائمة الوحدات'!$C$2:$C$41,MATCH($B148,'قائمة الوحدات'!$A$2:$A$41,0)),"")</f>
        <v>المرتبطة بسمو الوزير</v>
      </c>
      <c r="E148" s="14" t="str">
        <f>IFERROR(INDEX('قائمة الوحدات'!$D$2:$D$41,MATCH($B148,'قائمة الوحدات'!$A$2:$A$41,0)),"")</f>
        <v>إدارة التميز المؤسسي</v>
      </c>
      <c r="F148" s="14" t="str">
        <f>IFERROR(INDEX('قائمة الوحدات'!$F$2:$F$41,MATCH($B148,'قائمة الوحدات'!$A$2:$A$41,0)),"")</f>
        <v>إدارة التميز المؤسسي</v>
      </c>
      <c r="G148" s="16" t="s">
        <v>65</v>
      </c>
      <c r="H148" s="14" t="str">
        <f>IFERROR(INDEX(المرجع!$A$2:$A$19,MATCH($G148,المرجع!$B$2:$B$19,0)),"")</f>
        <v>التشغيل</v>
      </c>
      <c r="I148" s="16" t="s">
        <v>51</v>
      </c>
      <c r="J148" s="14" t="str">
        <f>IFERROR(INDEX(المرجع!$D$2:$D$19,MATCH($I148,المرجع!$E$2:$E$19,0)),"")</f>
        <v>الحوكمة</v>
      </c>
      <c r="K148" s="16" t="s">
        <v>124</v>
      </c>
      <c r="L148" s="17" t="str">
        <f>IFERROR(INDEX('نقاط التحقق'!$G$2:$G$31,MATCH($K148,'نقاط التحقق'!$A$2:$A$31,0))&amp;"","")</f>
        <v>اتخاذ القرارات في نطاق الصلاحيات (وجود شواهد)</v>
      </c>
      <c r="M148" s="13">
        <v>40</v>
      </c>
      <c r="N148" s="15" t="str">
        <f>IF($M148="","غير مقيّمة",IF($M148&gt;المرجع!$K$3,"مستوفاة بشكل متقدم",IF($M148&lt;=المرجع!$K$2,"مستوفاة بشكل أولي","مستوفاة بشكل جزئي")))</f>
        <v>مستوفاة بشكل جزئي</v>
      </c>
      <c r="O148" s="18" t="s">
        <v>2171</v>
      </c>
    </row>
    <row r="149" spans="1:15">
      <c r="A149" s="16" t="s">
        <v>383</v>
      </c>
      <c r="B149" s="16" t="s">
        <v>152</v>
      </c>
      <c r="C149" s="15" t="str">
        <f>IFERROR(INDEX('قائمة الوحدات'!$B$2:$B$41,MATCH($B149,'قائمة الوحدات'!$A$2:$A$41,0)),"")</f>
        <v>TOP</v>
      </c>
      <c r="D149" s="14" t="str">
        <f>IFERROR(INDEX('قائمة الوحدات'!$C$2:$C$41,MATCH($B149,'قائمة الوحدات'!$A$2:$A$41,0)),"")</f>
        <v>المرتبطة بسمو الوزير</v>
      </c>
      <c r="E149" s="14" t="str">
        <f>IFERROR(INDEX('قائمة الوحدات'!$D$2:$D$41,MATCH($B149,'قائمة الوحدات'!$A$2:$A$41,0)),"")</f>
        <v>إدارة التميز المؤسسي</v>
      </c>
      <c r="F149" s="14" t="str">
        <f>IFERROR(INDEX('قائمة الوحدات'!$F$2:$F$41,MATCH($B149,'قائمة الوحدات'!$A$2:$A$41,0)),"")</f>
        <v>إدارة التميز المؤسسي</v>
      </c>
      <c r="G149" s="16" t="s">
        <v>65</v>
      </c>
      <c r="H149" s="14" t="str">
        <f>IFERROR(INDEX(المرجع!$A$2:$A$19,MATCH($G149,المرجع!$B$2:$B$19,0)),"")</f>
        <v>التشغيل</v>
      </c>
      <c r="I149" s="16" t="s">
        <v>56</v>
      </c>
      <c r="J149" s="14" t="str">
        <f>IFERROR(INDEX(المرجع!$D$2:$D$19,MATCH($I149,المرجع!$E$2:$E$19,0)),"")</f>
        <v>الموارد</v>
      </c>
      <c r="K149" s="16" t="s">
        <v>126</v>
      </c>
      <c r="L149" s="17" t="str">
        <f>IFERROR(INDEX('نقاط التحقق'!$G$2:$G$31,MATCH($K149,'نقاط التحقق'!$A$2:$A$31,0))&amp;"","")</f>
        <v>موارد مستكملة للحد الأدنى الذي يغطي كافة محاور سلسلة القيمة</v>
      </c>
      <c r="M149" s="13">
        <v>33</v>
      </c>
      <c r="N149" s="15" t="str">
        <f>IF($M149="","غير مقيّمة",IF($M149&gt;المرجع!$K$3,"مستوفاة بشكل متقدم",IF($M149&lt;=المرجع!$K$2,"مستوفاة بشكل أولي","مستوفاة بشكل جزئي")))</f>
        <v>مستوفاة بشكل جزئي</v>
      </c>
      <c r="O149" s="18" t="s">
        <v>2171</v>
      </c>
    </row>
    <row r="150" spans="1:15">
      <c r="A150" s="16" t="s">
        <v>384</v>
      </c>
      <c r="B150" s="16" t="s">
        <v>152</v>
      </c>
      <c r="C150" s="15" t="str">
        <f>IFERROR(INDEX('قائمة الوحدات'!$B$2:$B$41,MATCH($B150,'قائمة الوحدات'!$A$2:$A$41,0)),"")</f>
        <v>TOP</v>
      </c>
      <c r="D150" s="14" t="str">
        <f>IFERROR(INDEX('قائمة الوحدات'!$C$2:$C$41,MATCH($B150,'قائمة الوحدات'!$A$2:$A$41,0)),"")</f>
        <v>المرتبطة بسمو الوزير</v>
      </c>
      <c r="E150" s="14" t="str">
        <f>IFERROR(INDEX('قائمة الوحدات'!$D$2:$D$41,MATCH($B150,'قائمة الوحدات'!$A$2:$A$41,0)),"")</f>
        <v>إدارة التميز المؤسسي</v>
      </c>
      <c r="F150" s="14" t="str">
        <f>IFERROR(INDEX('قائمة الوحدات'!$F$2:$F$41,MATCH($B150,'قائمة الوحدات'!$A$2:$A$41,0)),"")</f>
        <v>إدارة التميز المؤسسي</v>
      </c>
      <c r="G150" s="16" t="s">
        <v>65</v>
      </c>
      <c r="H150" s="14" t="str">
        <f>IFERROR(INDEX(المرجع!$A$2:$A$19,MATCH($G150,المرجع!$B$2:$B$19,0)),"")</f>
        <v>التشغيل</v>
      </c>
      <c r="I150" s="16" t="s">
        <v>59</v>
      </c>
      <c r="J150" s="14" t="str">
        <f>IFERROR(INDEX(المرجع!$D$2:$D$19,MATCH($I150,المرجع!$E$2:$E$19,0)),"")</f>
        <v>الإجراءات</v>
      </c>
      <c r="K150" s="16" t="s">
        <v>128</v>
      </c>
      <c r="L150" s="17" t="str">
        <f>IFERROR(INDEX('نقاط التحقق'!$G$2:$G$31,MATCH($K150,'نقاط التحقق'!$A$2:$A$31,0))&amp;"","")</f>
        <v>تحقيق تقييم "مطبق بشكل كامل" من منهجية تقييم فعالية الإجراءات</v>
      </c>
      <c r="M150" s="13">
        <v>40</v>
      </c>
      <c r="N150" s="15" t="str">
        <f>IF($M150="","غير مقيّمة",IF($M150&gt;المرجع!$K$3,"مستوفاة بشكل متقدم",IF($M150&lt;=المرجع!$K$2,"مستوفاة بشكل أولي","مستوفاة بشكل جزئي")))</f>
        <v>مستوفاة بشكل جزئي</v>
      </c>
      <c r="O150" s="18" t="s">
        <v>2171</v>
      </c>
    </row>
    <row r="151" spans="1:15">
      <c r="A151" s="16" t="s">
        <v>385</v>
      </c>
      <c r="B151" s="16" t="s">
        <v>152</v>
      </c>
      <c r="C151" s="15" t="str">
        <f>IFERROR(INDEX('قائمة الوحدات'!$B$2:$B$41,MATCH($B151,'قائمة الوحدات'!$A$2:$A$41,0)),"")</f>
        <v>TOP</v>
      </c>
      <c r="D151" s="14" t="str">
        <f>IFERROR(INDEX('قائمة الوحدات'!$C$2:$C$41,MATCH($B151,'قائمة الوحدات'!$A$2:$A$41,0)),"")</f>
        <v>المرتبطة بسمو الوزير</v>
      </c>
      <c r="E151" s="14" t="str">
        <f>IFERROR(INDEX('قائمة الوحدات'!$D$2:$D$41,MATCH($B151,'قائمة الوحدات'!$A$2:$A$41,0)),"")</f>
        <v>إدارة التميز المؤسسي</v>
      </c>
      <c r="F151" s="14" t="str">
        <f>IFERROR(INDEX('قائمة الوحدات'!$F$2:$F$41,MATCH($B151,'قائمة الوحدات'!$A$2:$A$41,0)),"")</f>
        <v>إدارة التميز المؤسسي</v>
      </c>
      <c r="G151" s="16" t="s">
        <v>65</v>
      </c>
      <c r="H151" s="14" t="str">
        <f>IFERROR(INDEX(المرجع!$A$2:$A$19,MATCH($G151,المرجع!$B$2:$B$19,0)),"")</f>
        <v>التشغيل</v>
      </c>
      <c r="I151" s="16" t="s">
        <v>67</v>
      </c>
      <c r="J151" s="14" t="str">
        <f>IFERROR(INDEX(المرجع!$D$2:$D$19,MATCH($I151,المرجع!$E$2:$E$19,0)),"")</f>
        <v>اكتمال المخرجات المستهدفة</v>
      </c>
      <c r="K151" s="16" t="s">
        <v>130</v>
      </c>
      <c r="L151" s="17" t="str">
        <f>IFERROR(INDEX('نقاط التحقق'!$G$2:$G$31,MATCH($K151,'نقاط التحقق'!$A$2:$A$31,0))&amp;"","")</f>
        <v>اكتمال مخرجات النموذج التشغيلي المستهدف للوحدة التنظيمية</v>
      </c>
      <c r="M151" s="13">
        <v>49</v>
      </c>
      <c r="N151" s="15" t="str">
        <f>IF($M151="","غير مقيّمة",IF($M151&gt;المرجع!$K$3,"مستوفاة بشكل متقدم",IF($M151&lt;=المرجع!$K$2,"مستوفاة بشكل أولي","مستوفاة بشكل جزئي")))</f>
        <v>مستوفاة بشكل جزئي</v>
      </c>
      <c r="O151" s="18" t="s">
        <v>2171</v>
      </c>
    </row>
  </sheetData>
  <autoFilter ref="A1:O151" xr:uid="{00000000-0009-0000-0000-000004000000}"/>
  <conditionalFormatting sqref="M2:M151">
    <cfRule type="cellIs" dxfId="24" priority="2" operator="greaterThan">
      <formula>70</formula>
    </cfRule>
    <cfRule type="cellIs" dxfId="23" priority="3" operator="lessThanOrEqual">
      <formula>30</formula>
    </cfRule>
  </conditionalFormatting>
  <conditionalFormatting sqref="N2:N151">
    <cfRule type="cellIs" dxfId="22" priority="4" operator="equal">
      <formula>"مستوفاة بشكل متقدم"</formula>
    </cfRule>
    <cfRule type="cellIs" dxfId="21" priority="5" operator="equal">
      <formula>"مستوفاة بشكل جزئي"</formula>
    </cfRule>
    <cfRule type="cellIs" dxfId="20" priority="6" operator="equal">
      <formula>"مستوفاة بشكل أولي"</formula>
    </cfRule>
  </conditionalFormatting>
  <dataValidations count="1">
    <dataValidation type="whole" allowBlank="1" errorTitle="قيمة غير صحيحة" error="أدخل نسبة صحيحة بين ٠ و ١٠٠" sqref="M2:M151" xr:uid="{00000000-0002-0000-0400-000000000000}">
      <formula1>0</formula1>
      <formula2>100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21"/>
  <sheetViews>
    <sheetView rightToLeft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2" sqref="F2"/>
    </sheetView>
  </sheetViews>
  <sheetFormatPr defaultColWidth="8.73046875" defaultRowHeight="14.25"/>
  <cols>
    <col min="1" max="1" width="24" customWidth="1"/>
    <col min="2" max="3" width="13" customWidth="1"/>
    <col min="4" max="4" width="24" customWidth="1"/>
    <col min="5" max="5" width="30.86328125" customWidth="1"/>
    <col min="6" max="6" width="22" customWidth="1"/>
    <col min="7" max="7" width="13" customWidth="1"/>
    <col min="8" max="8" width="15" customWidth="1"/>
    <col min="9" max="9" width="12" customWidth="1"/>
    <col min="10" max="10" width="26" customWidth="1"/>
    <col min="11" max="11" width="16" customWidth="1"/>
    <col min="12" max="12" width="62" customWidth="1"/>
    <col min="13" max="13" width="26" customWidth="1"/>
    <col min="14" max="14" width="17" customWidth="1"/>
    <col min="15" max="15" width="16" customWidth="1"/>
    <col min="16" max="16" width="42" customWidth="1"/>
  </cols>
  <sheetData>
    <row r="1" spans="1:16" ht="36" customHeight="1">
      <c r="A1" s="4" t="s">
        <v>232</v>
      </c>
      <c r="B1" s="4" t="s">
        <v>132</v>
      </c>
      <c r="C1" s="4" t="s">
        <v>133</v>
      </c>
      <c r="D1" s="4" t="s">
        <v>2168</v>
      </c>
      <c r="E1" s="4" t="s">
        <v>135</v>
      </c>
      <c r="F1" s="4" t="s">
        <v>136</v>
      </c>
      <c r="G1" s="4" t="s">
        <v>33</v>
      </c>
      <c r="H1" s="4" t="s">
        <v>32</v>
      </c>
      <c r="I1" s="4" t="s">
        <v>36</v>
      </c>
      <c r="J1" s="4" t="s">
        <v>35</v>
      </c>
      <c r="K1" s="4" t="s">
        <v>68</v>
      </c>
      <c r="L1" s="4" t="s">
        <v>70</v>
      </c>
      <c r="M1" s="4" t="s">
        <v>71</v>
      </c>
      <c r="N1" s="11" t="s">
        <v>233</v>
      </c>
      <c r="O1" s="4" t="s">
        <v>234</v>
      </c>
      <c r="P1" s="11" t="s">
        <v>235</v>
      </c>
    </row>
    <row r="2" spans="1:16">
      <c r="A2" s="16" t="s">
        <v>386</v>
      </c>
      <c r="B2" s="16" t="s">
        <v>154</v>
      </c>
      <c r="C2" s="15" t="str">
        <f>IFERROR(INDEX('قائمة الوحدات'!$B$2:$B$41,MATCH($B2,'قائمة الوحدات'!$A$2:$A$41,0)),"")</f>
        <v>EXE</v>
      </c>
      <c r="D2" s="14" t="str">
        <f>IFERROR(INDEX('قائمة الوحدات'!$C$2:$C$41,MATCH($B2,'قائمة الوحدات'!$A$2:$A$41,0)),"")</f>
        <v>الشؤون التنفيذية</v>
      </c>
      <c r="E2" s="14" t="str">
        <f>IFERROR(INDEX('قائمة الوحدات'!$D$2:$D$41,MATCH($B2,'قائمة الوحدات'!$A$2:$A$41,0)),"")</f>
        <v>وكالة الشؤون الفنية</v>
      </c>
      <c r="F2" s="14" t="str">
        <f>IFERROR(INDEX('قائمة الوحدات'!$F$2:$F$41,MATCH($B2,'قائمة الوحدات'!$A$2:$A$41,0)),"")</f>
        <v>الإدارة العامة للتخطيط والدراسات</v>
      </c>
      <c r="G2" s="16" t="s">
        <v>43</v>
      </c>
      <c r="H2" s="14" t="str">
        <f>IFERROR(INDEX(المرجع!$A$2:$A$19,MATCH($G2,المرجع!$B$2:$B$19,0)),"")</f>
        <v>التصميم</v>
      </c>
      <c r="I2" s="16" t="s">
        <v>45</v>
      </c>
      <c r="J2" s="14" t="str">
        <f>IFERROR(INDEX(المرجع!$D$2:$D$19,MATCH($I2,المرجع!$E$2:$E$19,0)),"")</f>
        <v>الدور</v>
      </c>
      <c r="K2" s="16" t="s">
        <v>72</v>
      </c>
      <c r="L2" s="17" t="str">
        <f>IFERROR(INDEX('نقاط التحقق'!$G$2:$G$31,MATCH($K2,'نقاط التحقق'!$A$2:$A$31,0))&amp;"","")</f>
        <v>دور مفصل للوحدة التنظيمية</v>
      </c>
      <c r="M2" s="14" t="str">
        <f>IFERROR(INDEX('نقاط التحقق'!$H$2:$H$31,MATCH($K2,'نقاط التحقق'!$A$2:$A$31,0))&amp;"","")</f>
        <v/>
      </c>
      <c r="N2" s="13">
        <v>87</v>
      </c>
      <c r="O2" s="15" t="str">
        <f>IF($N2="","غير مقيّمة",IF($N2&gt;المرجع!$K$3,"مستوفاة بشكل متقدم",IF($N2&lt;=المرجع!$K$2,"مستوفاة بشكل أولي","مستوفاة بشكل جزئي")))</f>
        <v>مستوفاة بشكل متقدم</v>
      </c>
      <c r="P2" s="18"/>
    </row>
    <row r="3" spans="1:16">
      <c r="A3" s="16" t="s">
        <v>387</v>
      </c>
      <c r="B3" s="16" t="s">
        <v>154</v>
      </c>
      <c r="C3" s="15" t="str">
        <f>IFERROR(INDEX('قائمة الوحدات'!$B$2:$B$41,MATCH($B3,'قائمة الوحدات'!$A$2:$A$41,0)),"")</f>
        <v>EXE</v>
      </c>
      <c r="D3" s="14" t="str">
        <f>IFERROR(INDEX('قائمة الوحدات'!$C$2:$C$41,MATCH($B3,'قائمة الوحدات'!$A$2:$A$41,0)),"")</f>
        <v>الشؤون التنفيذية</v>
      </c>
      <c r="E3" s="14" t="str">
        <f>IFERROR(INDEX('قائمة الوحدات'!$D$2:$D$41,MATCH($B3,'قائمة الوحدات'!$A$2:$A$41,0)),"")</f>
        <v>وكالة الشؤون الفنية</v>
      </c>
      <c r="F3" s="14" t="str">
        <f>IFERROR(INDEX('قائمة الوحدات'!$F$2:$F$41,MATCH($B3,'قائمة الوحدات'!$A$2:$A$41,0)),"")</f>
        <v>الإدارة العامة للتخطيط والدراسات</v>
      </c>
      <c r="G3" s="16" t="s">
        <v>43</v>
      </c>
      <c r="H3" s="14" t="str">
        <f>IFERROR(INDEX(المرجع!$A$2:$A$19,MATCH($G3,المرجع!$B$2:$B$19,0)),"")</f>
        <v>التصميم</v>
      </c>
      <c r="I3" s="16" t="s">
        <v>48</v>
      </c>
      <c r="J3" s="14" t="str">
        <f>IFERROR(INDEX(المرجع!$D$2:$D$19,MATCH($I3,المرجع!$E$2:$E$19,0)),"")</f>
        <v>الأهداف ومؤشرات الأداء</v>
      </c>
      <c r="K3" s="16" t="s">
        <v>74</v>
      </c>
      <c r="L3" s="17" t="str">
        <f>IFERROR(INDEX('نقاط التحقق'!$G$2:$G$31,MATCH($K3,'نقاط التحقق'!$A$2:$A$31,0))&amp;"","")</f>
        <v>أهداف محددة للوحدة التنظيمية وربطها بمؤشرات أداء لقياسها</v>
      </c>
      <c r="M3" s="14" t="str">
        <f>IFERROR(INDEX('نقاط التحقق'!$H$2:$H$31,MATCH($K3,'نقاط التحقق'!$A$2:$A$31,0))&amp;"","")</f>
        <v/>
      </c>
      <c r="N3" s="13">
        <v>80</v>
      </c>
      <c r="O3" s="15" t="str">
        <f>IF($N3="","غير مقيّمة",IF($N3&gt;المرجع!$K$3,"مستوفاة بشكل متقدم",IF($N3&lt;=المرجع!$K$2,"مستوفاة بشكل أولي","مستوفاة بشكل جزئي")))</f>
        <v>مستوفاة بشكل متقدم</v>
      </c>
      <c r="P3" s="18"/>
    </row>
    <row r="4" spans="1:16">
      <c r="A4" s="16" t="s">
        <v>388</v>
      </c>
      <c r="B4" s="16" t="s">
        <v>154</v>
      </c>
      <c r="C4" s="15" t="str">
        <f>IFERROR(INDEX('قائمة الوحدات'!$B$2:$B$41,MATCH($B4,'قائمة الوحدات'!$A$2:$A$41,0)),"")</f>
        <v>EXE</v>
      </c>
      <c r="D4" s="14" t="str">
        <f>IFERROR(INDEX('قائمة الوحدات'!$C$2:$C$41,MATCH($B4,'قائمة الوحدات'!$A$2:$A$41,0)),"")</f>
        <v>الشؤون التنفيذية</v>
      </c>
      <c r="E4" s="14" t="str">
        <f>IFERROR(INDEX('قائمة الوحدات'!$D$2:$D$41,MATCH($B4,'قائمة الوحدات'!$A$2:$A$41,0)),"")</f>
        <v>وكالة الشؤون الفنية</v>
      </c>
      <c r="F4" s="14" t="str">
        <f>IFERROR(INDEX('قائمة الوحدات'!$F$2:$F$41,MATCH($B4,'قائمة الوحدات'!$A$2:$A$41,0)),"")</f>
        <v>الإدارة العامة للتخطيط والدراسات</v>
      </c>
      <c r="G4" s="16" t="s">
        <v>43</v>
      </c>
      <c r="H4" s="14" t="str">
        <f>IFERROR(INDEX(المرجع!$A$2:$A$19,MATCH($G4,المرجع!$B$2:$B$19,0)),"")</f>
        <v>التصميم</v>
      </c>
      <c r="I4" s="16" t="s">
        <v>48</v>
      </c>
      <c r="J4" s="14" t="str">
        <f>IFERROR(INDEX(المرجع!$D$2:$D$19,MATCH($I4,المرجع!$E$2:$E$19,0)),"")</f>
        <v>الأهداف ومؤشرات الأداء</v>
      </c>
      <c r="K4" s="16" t="s">
        <v>76</v>
      </c>
      <c r="L4" s="17" t="str">
        <f>IFERROR(INDEX('نقاط التحقق'!$G$2:$G$31,MATCH($K4,'نقاط التحقق'!$A$2:$A$31,0))&amp;"","")</f>
        <v>مؤشرات أداء الوحدة التنظيمية</v>
      </c>
      <c r="M4" s="14" t="str">
        <f>IFERROR(INDEX('نقاط التحقق'!$H$2:$H$31,MATCH($K4,'نقاط التحقق'!$A$2:$A$31,0))&amp;"","")</f>
        <v/>
      </c>
      <c r="N4" s="13">
        <v>85</v>
      </c>
      <c r="O4" s="15" t="str">
        <f>IF($N4="","غير مقيّمة",IF($N4&gt;المرجع!$K$3,"مستوفاة بشكل متقدم",IF($N4&lt;=المرجع!$K$2,"مستوفاة بشكل أولي","مستوفاة بشكل جزئي")))</f>
        <v>مستوفاة بشكل متقدم</v>
      </c>
      <c r="P4" s="18"/>
    </row>
    <row r="5" spans="1:16">
      <c r="A5" s="16" t="s">
        <v>389</v>
      </c>
      <c r="B5" s="16" t="s">
        <v>154</v>
      </c>
      <c r="C5" s="15" t="str">
        <f>IFERROR(INDEX('قائمة الوحدات'!$B$2:$B$41,MATCH($B5,'قائمة الوحدات'!$A$2:$A$41,0)),"")</f>
        <v>EXE</v>
      </c>
      <c r="D5" s="14" t="str">
        <f>IFERROR(INDEX('قائمة الوحدات'!$C$2:$C$41,MATCH($B5,'قائمة الوحدات'!$A$2:$A$41,0)),"")</f>
        <v>الشؤون التنفيذية</v>
      </c>
      <c r="E5" s="14" t="str">
        <f>IFERROR(INDEX('قائمة الوحدات'!$D$2:$D$41,MATCH($B5,'قائمة الوحدات'!$A$2:$A$41,0)),"")</f>
        <v>وكالة الشؤون الفنية</v>
      </c>
      <c r="F5" s="14" t="str">
        <f>IFERROR(INDEX('قائمة الوحدات'!$F$2:$F$41,MATCH($B5,'قائمة الوحدات'!$A$2:$A$41,0)),"")</f>
        <v>الإدارة العامة للتخطيط والدراسات</v>
      </c>
      <c r="G5" s="16" t="s">
        <v>43</v>
      </c>
      <c r="H5" s="14" t="str">
        <f>IFERROR(INDEX(المرجع!$A$2:$A$19,MATCH($G5,المرجع!$B$2:$B$19,0)),"")</f>
        <v>التصميم</v>
      </c>
      <c r="I5" s="16" t="s">
        <v>51</v>
      </c>
      <c r="J5" s="14" t="str">
        <f>IFERROR(INDEX(المرجع!$D$2:$D$19,MATCH($I5,المرجع!$E$2:$E$19,0)),"")</f>
        <v>الحوكمة</v>
      </c>
      <c r="K5" s="16" t="s">
        <v>78</v>
      </c>
      <c r="L5" s="17" t="str">
        <f>IFERROR(INDEX('نقاط التحقق'!$G$2:$G$31,MATCH($K5,'نقاط التحقق'!$A$2:$A$31,0))&amp;"","")</f>
        <v>تفصيل القرارات ومصفوفة الصلاحيات واللجان ذات العلاقة لاعتماد مخرجات الوحدة التنظيمية</v>
      </c>
      <c r="M5" s="14" t="str">
        <f>IFERROR(INDEX('نقاط التحقق'!$H$2:$H$31,MATCH($K5,'نقاط التحقق'!$A$2:$A$31,0))&amp;"","")</f>
        <v/>
      </c>
      <c r="N5" s="13">
        <v>93</v>
      </c>
      <c r="O5" s="15" t="str">
        <f>IF($N5="","غير مقيّمة",IF($N5&gt;المرجع!$K$3,"مستوفاة بشكل متقدم",IF($N5&lt;=المرجع!$K$2,"مستوفاة بشكل أولي","مستوفاة بشكل جزئي")))</f>
        <v>مستوفاة بشكل متقدم</v>
      </c>
      <c r="P5" s="18"/>
    </row>
    <row r="6" spans="1:16">
      <c r="A6" s="16" t="s">
        <v>390</v>
      </c>
      <c r="B6" s="16" t="s">
        <v>154</v>
      </c>
      <c r="C6" s="15" t="str">
        <f>IFERROR(INDEX('قائمة الوحدات'!$B$2:$B$41,MATCH($B6,'قائمة الوحدات'!$A$2:$A$41,0)),"")</f>
        <v>EXE</v>
      </c>
      <c r="D6" s="14" t="str">
        <f>IFERROR(INDEX('قائمة الوحدات'!$C$2:$C$41,MATCH($B6,'قائمة الوحدات'!$A$2:$A$41,0)),"")</f>
        <v>الشؤون التنفيذية</v>
      </c>
      <c r="E6" s="14" t="str">
        <f>IFERROR(INDEX('قائمة الوحدات'!$D$2:$D$41,MATCH($B6,'قائمة الوحدات'!$A$2:$A$41,0)),"")</f>
        <v>وكالة الشؤون الفنية</v>
      </c>
      <c r="F6" s="14" t="str">
        <f>IFERROR(INDEX('قائمة الوحدات'!$F$2:$F$41,MATCH($B6,'قائمة الوحدات'!$A$2:$A$41,0)),"")</f>
        <v>الإدارة العامة للتخطيط والدراسات</v>
      </c>
      <c r="G6" s="16" t="s">
        <v>43</v>
      </c>
      <c r="H6" s="14" t="str">
        <f>IFERROR(INDEX(المرجع!$A$2:$A$19,MATCH($G6,المرجع!$B$2:$B$19,0)),"")</f>
        <v>التصميم</v>
      </c>
      <c r="I6" s="16" t="s">
        <v>54</v>
      </c>
      <c r="J6" s="14" t="str">
        <f>IFERROR(INDEX(المرجع!$D$2:$D$19,MATCH($I6,المرجع!$E$2:$E$19,0)),"")</f>
        <v>التنظيم</v>
      </c>
      <c r="K6" s="16" t="s">
        <v>80</v>
      </c>
      <c r="L6" s="17" t="str">
        <f>IFERROR(INDEX('نقاط التحقق'!$G$2:$G$31,MATCH($K6,'نقاط التحقق'!$A$2:$A$31,0))&amp;"","")</f>
        <v>تطوير الأدوار والمسؤوليات للوحدة التنظيمية وتفصيل الهيكل التنظيمي</v>
      </c>
      <c r="M6" s="14" t="str">
        <f>IFERROR(INDEX('نقاط التحقق'!$H$2:$H$31,MATCH($K6,'نقاط التحقق'!$A$2:$A$31,0))&amp;"","")</f>
        <v/>
      </c>
      <c r="N6" s="13">
        <v>74</v>
      </c>
      <c r="O6" s="15" t="str">
        <f>IF($N6="","غير مقيّمة",IF($N6&gt;المرجع!$K$3,"مستوفاة بشكل متقدم",IF($N6&lt;=المرجع!$K$2,"مستوفاة بشكل أولي","مستوفاة بشكل جزئي")))</f>
        <v>مستوفاة بشكل متقدم</v>
      </c>
      <c r="P6" s="18"/>
    </row>
    <row r="7" spans="1:16">
      <c r="A7" s="16" t="s">
        <v>391</v>
      </c>
      <c r="B7" s="16" t="s">
        <v>154</v>
      </c>
      <c r="C7" s="15" t="str">
        <f>IFERROR(INDEX('قائمة الوحدات'!$B$2:$B$41,MATCH($B7,'قائمة الوحدات'!$A$2:$A$41,0)),"")</f>
        <v>EXE</v>
      </c>
      <c r="D7" s="14" t="str">
        <f>IFERROR(INDEX('قائمة الوحدات'!$C$2:$C$41,MATCH($B7,'قائمة الوحدات'!$A$2:$A$41,0)),"")</f>
        <v>الشؤون التنفيذية</v>
      </c>
      <c r="E7" s="14" t="str">
        <f>IFERROR(INDEX('قائمة الوحدات'!$D$2:$D$41,MATCH($B7,'قائمة الوحدات'!$A$2:$A$41,0)),"")</f>
        <v>وكالة الشؤون الفنية</v>
      </c>
      <c r="F7" s="14" t="str">
        <f>IFERROR(INDEX('قائمة الوحدات'!$F$2:$F$41,MATCH($B7,'قائمة الوحدات'!$A$2:$A$41,0)),"")</f>
        <v>الإدارة العامة للتخطيط والدراسات</v>
      </c>
      <c r="G7" s="16" t="s">
        <v>43</v>
      </c>
      <c r="H7" s="14" t="str">
        <f>IFERROR(INDEX(المرجع!$A$2:$A$19,MATCH($G7,المرجع!$B$2:$B$19,0)),"")</f>
        <v>التصميم</v>
      </c>
      <c r="I7" s="16" t="s">
        <v>56</v>
      </c>
      <c r="J7" s="14" t="str">
        <f>IFERROR(INDEX(المرجع!$D$2:$D$19,MATCH($I7,المرجع!$E$2:$E$19,0)),"")</f>
        <v>الموارد</v>
      </c>
      <c r="K7" s="16" t="s">
        <v>82</v>
      </c>
      <c r="L7" s="17" t="str">
        <f>IFERROR(INDEX('نقاط التحقق'!$G$2:$G$31,MATCH($K7,'نقاط التحقق'!$A$2:$A$31,0))&amp;"","")</f>
        <v>تفصيل احتياج الموارد البشرية للوحدة التنظيمية</v>
      </c>
      <c r="M7" s="14" t="str">
        <f>IFERROR(INDEX('نقاط التحقق'!$H$2:$H$31,MATCH($K7,'نقاط التحقق'!$A$2:$A$31,0))&amp;"","")</f>
        <v/>
      </c>
      <c r="N7" s="13">
        <v>68</v>
      </c>
      <c r="O7" s="15" t="str">
        <f>IF($N7="","غير مقيّمة",IF($N7&gt;المرجع!$K$3,"مستوفاة بشكل متقدم",IF($N7&lt;=المرجع!$K$2,"مستوفاة بشكل أولي","مستوفاة بشكل جزئي")))</f>
        <v>مستوفاة بشكل جزئي</v>
      </c>
      <c r="P7" s="18"/>
    </row>
    <row r="8" spans="1:16">
      <c r="A8" s="16" t="s">
        <v>392</v>
      </c>
      <c r="B8" s="16" t="s">
        <v>154</v>
      </c>
      <c r="C8" s="15" t="str">
        <f>IFERROR(INDEX('قائمة الوحدات'!$B$2:$B$41,MATCH($B8,'قائمة الوحدات'!$A$2:$A$41,0)),"")</f>
        <v>EXE</v>
      </c>
      <c r="D8" s="14" t="str">
        <f>IFERROR(INDEX('قائمة الوحدات'!$C$2:$C$41,MATCH($B8,'قائمة الوحدات'!$A$2:$A$41,0)),"")</f>
        <v>الشؤون التنفيذية</v>
      </c>
      <c r="E8" s="14" t="str">
        <f>IFERROR(INDEX('قائمة الوحدات'!$D$2:$D$41,MATCH($B8,'قائمة الوحدات'!$A$2:$A$41,0)),"")</f>
        <v>وكالة الشؤون الفنية</v>
      </c>
      <c r="F8" s="14" t="str">
        <f>IFERROR(INDEX('قائمة الوحدات'!$F$2:$F$41,MATCH($B8,'قائمة الوحدات'!$A$2:$A$41,0)),"")</f>
        <v>الإدارة العامة للتخطيط والدراسات</v>
      </c>
      <c r="G8" s="16" t="s">
        <v>43</v>
      </c>
      <c r="H8" s="14" t="str">
        <f>IFERROR(INDEX(المرجع!$A$2:$A$19,MATCH($G8,المرجع!$B$2:$B$19,0)),"")</f>
        <v>التصميم</v>
      </c>
      <c r="I8" s="16" t="s">
        <v>59</v>
      </c>
      <c r="J8" s="14" t="str">
        <f>IFERROR(INDEX(المرجع!$D$2:$D$19,MATCH($I8,المرجع!$E$2:$E$19,0)),"")</f>
        <v>الإجراءات</v>
      </c>
      <c r="K8" s="16" t="s">
        <v>84</v>
      </c>
      <c r="L8" s="17" t="str">
        <f>IFERROR(INDEX('نقاط التحقق'!$G$2:$G$31,MATCH($K8,'نقاط التحقق'!$A$2:$A$31,0))&amp;"","")</f>
        <v>تفصيل المخرجات إلى إجراءات عالية المستوى</v>
      </c>
      <c r="M8" s="14" t="str">
        <f>IFERROR(INDEX('نقاط التحقق'!$H$2:$H$31,MATCH($K8,'نقاط التحقق'!$A$2:$A$31,0))&amp;"","")</f>
        <v/>
      </c>
      <c r="N8" s="13">
        <v>91</v>
      </c>
      <c r="O8" s="15" t="str">
        <f>IF($N8="","غير مقيّمة",IF($N8&gt;المرجع!$K$3,"مستوفاة بشكل متقدم",IF($N8&lt;=المرجع!$K$2,"مستوفاة بشكل أولي","مستوفاة بشكل جزئي")))</f>
        <v>مستوفاة بشكل متقدم</v>
      </c>
      <c r="P8" s="18"/>
    </row>
    <row r="9" spans="1:16">
      <c r="A9" s="16" t="s">
        <v>393</v>
      </c>
      <c r="B9" s="16" t="s">
        <v>154</v>
      </c>
      <c r="C9" s="15" t="str">
        <f>IFERROR(INDEX('قائمة الوحدات'!$B$2:$B$41,MATCH($B9,'قائمة الوحدات'!$A$2:$A$41,0)),"")</f>
        <v>EXE</v>
      </c>
      <c r="D9" s="14" t="str">
        <f>IFERROR(INDEX('قائمة الوحدات'!$C$2:$C$41,MATCH($B9,'قائمة الوحدات'!$A$2:$A$41,0)),"")</f>
        <v>الشؤون التنفيذية</v>
      </c>
      <c r="E9" s="14" t="str">
        <f>IFERROR(INDEX('قائمة الوحدات'!$D$2:$D$41,MATCH($B9,'قائمة الوحدات'!$A$2:$A$41,0)),"")</f>
        <v>وكالة الشؤون الفنية</v>
      </c>
      <c r="F9" s="14" t="str">
        <f>IFERROR(INDEX('قائمة الوحدات'!$F$2:$F$41,MATCH($B9,'قائمة الوحدات'!$A$2:$A$41,0)),"")</f>
        <v>الإدارة العامة للتخطيط والدراسات</v>
      </c>
      <c r="G9" s="16" t="s">
        <v>61</v>
      </c>
      <c r="H9" s="14" t="str">
        <f>IFERROR(INDEX(المرجع!$A$2:$A$19,MATCH($G9,المرجع!$B$2:$B$19,0)),"")</f>
        <v>البناء المؤسسي</v>
      </c>
      <c r="I9" s="16" t="s">
        <v>45</v>
      </c>
      <c r="J9" s="14" t="str">
        <f>IFERROR(INDEX(المرجع!$D$2:$D$19,MATCH($I9,المرجع!$E$2:$E$19,0)),"")</f>
        <v>الدور</v>
      </c>
      <c r="K9" s="16" t="s">
        <v>86</v>
      </c>
      <c r="L9" s="17" t="str">
        <f>IFERROR(INDEX('نقاط التحقق'!$G$2:$G$31,MATCH($K9,'نقاط التحقق'!$A$2:$A$31,0))&amp;"","")</f>
        <v>دور معتمد للوحدة التنظيمية</v>
      </c>
      <c r="M9" s="14" t="str">
        <f>IFERROR(INDEX('نقاط التحقق'!$H$2:$H$31,MATCH($K9,'نقاط التحقق'!$A$2:$A$31,0))&amp;"","")</f>
        <v/>
      </c>
      <c r="N9" s="13">
        <v>49</v>
      </c>
      <c r="O9" s="15" t="str">
        <f>IF($N9="","غير مقيّمة",IF($N9&gt;المرجع!$K$3,"مستوفاة بشكل متقدم",IF($N9&lt;=المرجع!$K$2,"مستوفاة بشكل أولي","مستوفاة بشكل جزئي")))</f>
        <v>مستوفاة بشكل جزئي</v>
      </c>
      <c r="P9" s="18"/>
    </row>
    <row r="10" spans="1:16">
      <c r="A10" s="16" t="s">
        <v>394</v>
      </c>
      <c r="B10" s="16" t="s">
        <v>154</v>
      </c>
      <c r="C10" s="15" t="str">
        <f>IFERROR(INDEX('قائمة الوحدات'!$B$2:$B$41,MATCH($B10,'قائمة الوحدات'!$A$2:$A$41,0)),"")</f>
        <v>EXE</v>
      </c>
      <c r="D10" s="14" t="str">
        <f>IFERROR(INDEX('قائمة الوحدات'!$C$2:$C$41,MATCH($B10,'قائمة الوحدات'!$A$2:$A$41,0)),"")</f>
        <v>الشؤون التنفيذية</v>
      </c>
      <c r="E10" s="14" t="str">
        <f>IFERROR(INDEX('قائمة الوحدات'!$D$2:$D$41,MATCH($B10,'قائمة الوحدات'!$A$2:$A$41,0)),"")</f>
        <v>وكالة الشؤون الفنية</v>
      </c>
      <c r="F10" s="14" t="str">
        <f>IFERROR(INDEX('قائمة الوحدات'!$F$2:$F$41,MATCH($B10,'قائمة الوحدات'!$A$2:$A$41,0)),"")</f>
        <v>الإدارة العامة للتخطيط والدراسات</v>
      </c>
      <c r="G10" s="16" t="s">
        <v>61</v>
      </c>
      <c r="H10" s="14" t="str">
        <f>IFERROR(INDEX(المرجع!$A$2:$A$19,MATCH($G10,المرجع!$B$2:$B$19,0)),"")</f>
        <v>البناء المؤسسي</v>
      </c>
      <c r="I10" s="16" t="s">
        <v>48</v>
      </c>
      <c r="J10" s="14" t="str">
        <f>IFERROR(INDEX(المرجع!$D$2:$D$19,MATCH($I10,المرجع!$E$2:$E$19,0)),"")</f>
        <v>الأهداف ومؤشرات الأداء</v>
      </c>
      <c r="K10" s="16" t="s">
        <v>88</v>
      </c>
      <c r="L10" s="17" t="str">
        <f>IFERROR(INDEX('نقاط التحقق'!$G$2:$G$31,MATCH($K10,'نقاط التحقق'!$A$2:$A$31,0))&amp;"","")</f>
        <v>أهداف تشغيلية معتمدة من صاحب الصلاحية</v>
      </c>
      <c r="M10" s="14" t="str">
        <f>IFERROR(INDEX('نقاط التحقق'!$H$2:$H$31,MATCH($K10,'نقاط التحقق'!$A$2:$A$31,0))&amp;"","")</f>
        <v/>
      </c>
      <c r="N10" s="13">
        <v>80</v>
      </c>
      <c r="O10" s="15" t="str">
        <f>IF($N10="","غير مقيّمة",IF($N10&gt;المرجع!$K$3,"مستوفاة بشكل متقدم",IF($N10&lt;=المرجع!$K$2,"مستوفاة بشكل أولي","مستوفاة بشكل جزئي")))</f>
        <v>مستوفاة بشكل متقدم</v>
      </c>
      <c r="P10" s="18"/>
    </row>
    <row r="11" spans="1:16">
      <c r="A11" s="16" t="s">
        <v>395</v>
      </c>
      <c r="B11" s="16" t="s">
        <v>154</v>
      </c>
      <c r="C11" s="15" t="str">
        <f>IFERROR(INDEX('قائمة الوحدات'!$B$2:$B$41,MATCH($B11,'قائمة الوحدات'!$A$2:$A$41,0)),"")</f>
        <v>EXE</v>
      </c>
      <c r="D11" s="14" t="str">
        <f>IFERROR(INDEX('قائمة الوحدات'!$C$2:$C$41,MATCH($B11,'قائمة الوحدات'!$A$2:$A$41,0)),"")</f>
        <v>الشؤون التنفيذية</v>
      </c>
      <c r="E11" s="14" t="str">
        <f>IFERROR(INDEX('قائمة الوحدات'!$D$2:$D$41,MATCH($B11,'قائمة الوحدات'!$A$2:$A$41,0)),"")</f>
        <v>وكالة الشؤون الفنية</v>
      </c>
      <c r="F11" s="14" t="str">
        <f>IFERROR(INDEX('قائمة الوحدات'!$F$2:$F$41,MATCH($B11,'قائمة الوحدات'!$A$2:$A$41,0)),"")</f>
        <v>الإدارة العامة للتخطيط والدراسات</v>
      </c>
      <c r="G11" s="16" t="s">
        <v>61</v>
      </c>
      <c r="H11" s="14" t="str">
        <f>IFERROR(INDEX(المرجع!$A$2:$A$19,MATCH($G11,المرجع!$B$2:$B$19,0)),"")</f>
        <v>البناء المؤسسي</v>
      </c>
      <c r="I11" s="16" t="s">
        <v>48</v>
      </c>
      <c r="J11" s="14" t="str">
        <f>IFERROR(INDEX(المرجع!$D$2:$D$19,MATCH($I11,المرجع!$E$2:$E$19,0)),"")</f>
        <v>الأهداف ومؤشرات الأداء</v>
      </c>
      <c r="K11" s="16" t="s">
        <v>90</v>
      </c>
      <c r="L11" s="17" t="str">
        <f>IFERROR(INDEX('نقاط التحقق'!$G$2:$G$31,MATCH($K11,'نقاط التحقق'!$A$2:$A$31,0))&amp;"","")</f>
        <v>نشر الأهداف التشغيلية على موظفي الوحدة التنظيمية</v>
      </c>
      <c r="M11" s="14" t="str">
        <f>IFERROR(INDEX('نقاط التحقق'!$H$2:$H$31,MATCH($K11,'نقاط التحقق'!$A$2:$A$31,0))&amp;"","")</f>
        <v/>
      </c>
      <c r="N11" s="13">
        <v>60</v>
      </c>
      <c r="O11" s="15" t="str">
        <f>IF($N11="","غير مقيّمة",IF($N11&gt;المرجع!$K$3,"مستوفاة بشكل متقدم",IF($N11&lt;=المرجع!$K$2,"مستوفاة بشكل أولي","مستوفاة بشكل جزئي")))</f>
        <v>مستوفاة بشكل جزئي</v>
      </c>
      <c r="P11" s="18"/>
    </row>
    <row r="12" spans="1:16">
      <c r="A12" s="16" t="s">
        <v>396</v>
      </c>
      <c r="B12" s="16" t="s">
        <v>154</v>
      </c>
      <c r="C12" s="15" t="str">
        <f>IFERROR(INDEX('قائمة الوحدات'!$B$2:$B$41,MATCH($B12,'قائمة الوحدات'!$A$2:$A$41,0)),"")</f>
        <v>EXE</v>
      </c>
      <c r="D12" s="14" t="str">
        <f>IFERROR(INDEX('قائمة الوحدات'!$C$2:$C$41,MATCH($B12,'قائمة الوحدات'!$A$2:$A$41,0)),"")</f>
        <v>الشؤون التنفيذية</v>
      </c>
      <c r="E12" s="14" t="str">
        <f>IFERROR(INDEX('قائمة الوحدات'!$D$2:$D$41,MATCH($B12,'قائمة الوحدات'!$A$2:$A$41,0)),"")</f>
        <v>وكالة الشؤون الفنية</v>
      </c>
      <c r="F12" s="14" t="str">
        <f>IFERROR(INDEX('قائمة الوحدات'!$F$2:$F$41,MATCH($B12,'قائمة الوحدات'!$A$2:$A$41,0)),"")</f>
        <v>الإدارة العامة للتخطيط والدراسات</v>
      </c>
      <c r="G12" s="16" t="s">
        <v>61</v>
      </c>
      <c r="H12" s="14" t="str">
        <f>IFERROR(INDEX(المرجع!$A$2:$A$19,MATCH($G12,المرجع!$B$2:$B$19,0)),"")</f>
        <v>البناء المؤسسي</v>
      </c>
      <c r="I12" s="16" t="s">
        <v>51</v>
      </c>
      <c r="J12" s="14" t="str">
        <f>IFERROR(INDEX(المرجع!$D$2:$D$19,MATCH($I12,المرجع!$E$2:$E$19,0)),"")</f>
        <v>الحوكمة</v>
      </c>
      <c r="K12" s="16" t="s">
        <v>92</v>
      </c>
      <c r="L12" s="17" t="str">
        <f>IFERROR(INDEX('نقاط التحقق'!$G$2:$G$31,MATCH($K12,'نقاط التحقق'!$A$2:$A$31,0))&amp;"","")</f>
        <v>مصفوفة صلاحيات معتمدة ومعممة على أصحاب المصلحة</v>
      </c>
      <c r="M12" s="14" t="str">
        <f>IFERROR(INDEX('نقاط التحقق'!$H$2:$H$31,MATCH($K12,'نقاط التحقق'!$A$2:$A$31,0))&amp;"","")</f>
        <v/>
      </c>
      <c r="N12" s="13">
        <v>90</v>
      </c>
      <c r="O12" s="15" t="str">
        <f>IF($N12="","غير مقيّمة",IF($N12&gt;المرجع!$K$3,"مستوفاة بشكل متقدم",IF($N12&lt;=المرجع!$K$2,"مستوفاة بشكل أولي","مستوفاة بشكل جزئي")))</f>
        <v>مستوفاة بشكل متقدم</v>
      </c>
      <c r="P12" s="18"/>
    </row>
    <row r="13" spans="1:16">
      <c r="A13" s="16" t="s">
        <v>397</v>
      </c>
      <c r="B13" s="16" t="s">
        <v>154</v>
      </c>
      <c r="C13" s="15" t="str">
        <f>IFERROR(INDEX('قائمة الوحدات'!$B$2:$B$41,MATCH($B13,'قائمة الوحدات'!$A$2:$A$41,0)),"")</f>
        <v>EXE</v>
      </c>
      <c r="D13" s="14" t="str">
        <f>IFERROR(INDEX('قائمة الوحدات'!$C$2:$C$41,MATCH($B13,'قائمة الوحدات'!$A$2:$A$41,0)),"")</f>
        <v>الشؤون التنفيذية</v>
      </c>
      <c r="E13" s="14" t="str">
        <f>IFERROR(INDEX('قائمة الوحدات'!$D$2:$D$41,MATCH($B13,'قائمة الوحدات'!$A$2:$A$41,0)),"")</f>
        <v>وكالة الشؤون الفنية</v>
      </c>
      <c r="F13" s="14" t="str">
        <f>IFERROR(INDEX('قائمة الوحدات'!$F$2:$F$41,MATCH($B13,'قائمة الوحدات'!$A$2:$A$41,0)),"")</f>
        <v>الإدارة العامة للتخطيط والدراسات</v>
      </c>
      <c r="G13" s="16" t="s">
        <v>61</v>
      </c>
      <c r="H13" s="14" t="str">
        <f>IFERROR(INDEX(المرجع!$A$2:$A$19,MATCH($G13,المرجع!$B$2:$B$19,0)),"")</f>
        <v>البناء المؤسسي</v>
      </c>
      <c r="I13" s="16" t="s">
        <v>51</v>
      </c>
      <c r="J13" s="14" t="str">
        <f>IFERROR(INDEX(المرجع!$D$2:$D$19,MATCH($I13,المرجع!$E$2:$E$19,0)),"")</f>
        <v>الحوكمة</v>
      </c>
      <c r="K13" s="16" t="s">
        <v>94</v>
      </c>
      <c r="L13" s="17" t="str">
        <f>IFERROR(INDEX('نقاط التحقق'!$G$2:$G$31,MATCH($K13,'نقاط التحقق'!$A$2:$A$31,0))&amp;"","")</f>
        <v>سياسات معتمدة للتي تملكها الوحدة التنظيمية</v>
      </c>
      <c r="M13" s="14" t="str">
        <f>IFERROR(INDEX('نقاط التحقق'!$H$2:$H$31,MATCH($K13,'نقاط التحقق'!$A$2:$A$31,0))&amp;"","")</f>
        <v/>
      </c>
      <c r="N13" s="13">
        <v>80</v>
      </c>
      <c r="O13" s="15" t="str">
        <f>IF($N13="","غير مقيّمة",IF($N13&gt;المرجع!$K$3,"مستوفاة بشكل متقدم",IF($N13&lt;=المرجع!$K$2,"مستوفاة بشكل أولي","مستوفاة بشكل جزئي")))</f>
        <v>مستوفاة بشكل متقدم</v>
      </c>
      <c r="P13" s="18"/>
    </row>
    <row r="14" spans="1:16">
      <c r="A14" s="16" t="s">
        <v>398</v>
      </c>
      <c r="B14" s="16" t="s">
        <v>154</v>
      </c>
      <c r="C14" s="15" t="str">
        <f>IFERROR(INDEX('قائمة الوحدات'!$B$2:$B$41,MATCH($B14,'قائمة الوحدات'!$A$2:$A$41,0)),"")</f>
        <v>EXE</v>
      </c>
      <c r="D14" s="14" t="str">
        <f>IFERROR(INDEX('قائمة الوحدات'!$C$2:$C$41,MATCH($B14,'قائمة الوحدات'!$A$2:$A$41,0)),"")</f>
        <v>الشؤون التنفيذية</v>
      </c>
      <c r="E14" s="14" t="str">
        <f>IFERROR(INDEX('قائمة الوحدات'!$D$2:$D$41,MATCH($B14,'قائمة الوحدات'!$A$2:$A$41,0)),"")</f>
        <v>وكالة الشؤون الفنية</v>
      </c>
      <c r="F14" s="14" t="str">
        <f>IFERROR(INDEX('قائمة الوحدات'!$F$2:$F$41,MATCH($B14,'قائمة الوحدات'!$A$2:$A$41,0)),"")</f>
        <v>الإدارة العامة للتخطيط والدراسات</v>
      </c>
      <c r="G14" s="16" t="s">
        <v>61</v>
      </c>
      <c r="H14" s="14" t="str">
        <f>IFERROR(INDEX(المرجع!$A$2:$A$19,MATCH($G14,المرجع!$B$2:$B$19,0)),"")</f>
        <v>البناء المؤسسي</v>
      </c>
      <c r="I14" s="16" t="s">
        <v>51</v>
      </c>
      <c r="J14" s="14" t="str">
        <f>IFERROR(INDEX(المرجع!$D$2:$D$19,MATCH($I14,المرجع!$E$2:$E$19,0)),"")</f>
        <v>الحوكمة</v>
      </c>
      <c r="K14" s="16" t="s">
        <v>96</v>
      </c>
      <c r="L14" s="17" t="str">
        <f>IFERROR(INDEX('نقاط التحقق'!$G$2:$G$31,MATCH($K14,'نقاط التحقق'!$A$2:$A$31,0))&amp;"","")</f>
        <v>قرار تشكيل معتمد للجان ذات العلاقة</v>
      </c>
      <c r="M14" s="14" t="str">
        <f>IFERROR(INDEX('نقاط التحقق'!$H$2:$H$31,MATCH($K14,'نقاط التحقق'!$A$2:$A$31,0))&amp;"","")</f>
        <v/>
      </c>
      <c r="N14" s="13">
        <v>75</v>
      </c>
      <c r="O14" s="15" t="str">
        <f>IF($N14="","غير مقيّمة",IF($N14&gt;المرجع!$K$3,"مستوفاة بشكل متقدم",IF($N14&lt;=المرجع!$K$2,"مستوفاة بشكل أولي","مستوفاة بشكل جزئي")))</f>
        <v>مستوفاة بشكل متقدم</v>
      </c>
      <c r="P14" s="18"/>
    </row>
    <row r="15" spans="1:16">
      <c r="A15" s="16" t="s">
        <v>399</v>
      </c>
      <c r="B15" s="16" t="s">
        <v>154</v>
      </c>
      <c r="C15" s="15" t="str">
        <f>IFERROR(INDEX('قائمة الوحدات'!$B$2:$B$41,MATCH($B15,'قائمة الوحدات'!$A$2:$A$41,0)),"")</f>
        <v>EXE</v>
      </c>
      <c r="D15" s="14" t="str">
        <f>IFERROR(INDEX('قائمة الوحدات'!$C$2:$C$41,MATCH($B15,'قائمة الوحدات'!$A$2:$A$41,0)),"")</f>
        <v>الشؤون التنفيذية</v>
      </c>
      <c r="E15" s="14" t="str">
        <f>IFERROR(INDEX('قائمة الوحدات'!$D$2:$D$41,MATCH($B15,'قائمة الوحدات'!$A$2:$A$41,0)),"")</f>
        <v>وكالة الشؤون الفنية</v>
      </c>
      <c r="F15" s="14" t="str">
        <f>IFERROR(INDEX('قائمة الوحدات'!$F$2:$F$41,MATCH($B15,'قائمة الوحدات'!$A$2:$A$41,0)),"")</f>
        <v>الإدارة العامة للتخطيط والدراسات</v>
      </c>
      <c r="G15" s="16" t="s">
        <v>61</v>
      </c>
      <c r="H15" s="14" t="str">
        <f>IFERROR(INDEX(المرجع!$A$2:$A$19,MATCH($G15,المرجع!$B$2:$B$19,0)),"")</f>
        <v>البناء المؤسسي</v>
      </c>
      <c r="I15" s="16" t="s">
        <v>54</v>
      </c>
      <c r="J15" s="14" t="str">
        <f>IFERROR(INDEX(المرجع!$D$2:$D$19,MATCH($I15,المرجع!$E$2:$E$19,0)),"")</f>
        <v>التنظيم</v>
      </c>
      <c r="K15" s="16" t="s">
        <v>98</v>
      </c>
      <c r="L15" s="17" t="str">
        <f>IFERROR(INDEX('نقاط التحقق'!$G$2:$G$31,MATCH($K15,'نقاط التحقق'!$A$2:$A$31,0))&amp;"","")</f>
        <v>هيكل تنظيمي معتمد من صاحب الصلاحية</v>
      </c>
      <c r="M15" s="14" t="str">
        <f>IFERROR(INDEX('نقاط التحقق'!$H$2:$H$31,MATCH($K15,'نقاط التحقق'!$A$2:$A$31,0))&amp;"","")</f>
        <v/>
      </c>
      <c r="N15" s="13">
        <v>70</v>
      </c>
      <c r="O15" s="15" t="str">
        <f>IF($N15="","غير مقيّمة",IF($N15&gt;المرجع!$K$3,"مستوفاة بشكل متقدم",IF($N15&lt;=المرجع!$K$2,"مستوفاة بشكل أولي","مستوفاة بشكل جزئي")))</f>
        <v>مستوفاة بشكل جزئي</v>
      </c>
      <c r="P15" s="18"/>
    </row>
    <row r="16" spans="1:16">
      <c r="A16" s="16" t="s">
        <v>400</v>
      </c>
      <c r="B16" s="16" t="s">
        <v>154</v>
      </c>
      <c r="C16" s="15" t="str">
        <f>IFERROR(INDEX('قائمة الوحدات'!$B$2:$B$41,MATCH($B16,'قائمة الوحدات'!$A$2:$A$41,0)),"")</f>
        <v>EXE</v>
      </c>
      <c r="D16" s="14" t="str">
        <f>IFERROR(INDEX('قائمة الوحدات'!$C$2:$C$41,MATCH($B16,'قائمة الوحدات'!$A$2:$A$41,0)),"")</f>
        <v>الشؤون التنفيذية</v>
      </c>
      <c r="E16" s="14" t="str">
        <f>IFERROR(INDEX('قائمة الوحدات'!$D$2:$D$41,MATCH($B16,'قائمة الوحدات'!$A$2:$A$41,0)),"")</f>
        <v>وكالة الشؤون الفنية</v>
      </c>
      <c r="F16" s="14" t="str">
        <f>IFERROR(INDEX('قائمة الوحدات'!$F$2:$F$41,MATCH($B16,'قائمة الوحدات'!$A$2:$A$41,0)),"")</f>
        <v>الإدارة العامة للتخطيط والدراسات</v>
      </c>
      <c r="G16" s="16" t="s">
        <v>61</v>
      </c>
      <c r="H16" s="14" t="str">
        <f>IFERROR(INDEX(المرجع!$A$2:$A$19,MATCH($G16,المرجع!$B$2:$B$19,0)),"")</f>
        <v>البناء المؤسسي</v>
      </c>
      <c r="I16" s="16" t="s">
        <v>54</v>
      </c>
      <c r="J16" s="14" t="str">
        <f>IFERROR(INDEX(المرجع!$D$2:$D$19,MATCH($I16,المرجع!$E$2:$E$19,0)),"")</f>
        <v>التنظيم</v>
      </c>
      <c r="K16" s="16" t="s">
        <v>100</v>
      </c>
      <c r="L16" s="17" t="str">
        <f>IFERROR(INDEX('نقاط التحقق'!$G$2:$G$31,MATCH($K16,'نقاط التحقق'!$A$2:$A$31,0))&amp;"","")</f>
        <v>هيكل تنظيمي منشأ على نظام القوى العاملة</v>
      </c>
      <c r="M16" s="14" t="str">
        <f>IFERROR(INDEX('نقاط التحقق'!$H$2:$H$31,MATCH($K16,'نقاط التحقق'!$A$2:$A$31,0))&amp;"","")</f>
        <v/>
      </c>
      <c r="N16" s="13">
        <v>75</v>
      </c>
      <c r="O16" s="15" t="str">
        <f>IF($N16="","غير مقيّمة",IF($N16&gt;المرجع!$K$3,"مستوفاة بشكل متقدم",IF($N16&lt;=المرجع!$K$2,"مستوفاة بشكل أولي","مستوفاة بشكل جزئي")))</f>
        <v>مستوفاة بشكل متقدم</v>
      </c>
      <c r="P16" s="18"/>
    </row>
    <row r="17" spans="1:16">
      <c r="A17" s="16" t="s">
        <v>401</v>
      </c>
      <c r="B17" s="16" t="s">
        <v>154</v>
      </c>
      <c r="C17" s="15" t="str">
        <f>IFERROR(INDEX('قائمة الوحدات'!$B$2:$B$41,MATCH($B17,'قائمة الوحدات'!$A$2:$A$41,0)),"")</f>
        <v>EXE</v>
      </c>
      <c r="D17" s="14" t="str">
        <f>IFERROR(INDEX('قائمة الوحدات'!$C$2:$C$41,MATCH($B17,'قائمة الوحدات'!$A$2:$A$41,0)),"")</f>
        <v>الشؤون التنفيذية</v>
      </c>
      <c r="E17" s="14" t="str">
        <f>IFERROR(INDEX('قائمة الوحدات'!$D$2:$D$41,MATCH($B17,'قائمة الوحدات'!$A$2:$A$41,0)),"")</f>
        <v>وكالة الشؤون الفنية</v>
      </c>
      <c r="F17" s="14" t="str">
        <f>IFERROR(INDEX('قائمة الوحدات'!$F$2:$F$41,MATCH($B17,'قائمة الوحدات'!$A$2:$A$41,0)),"")</f>
        <v>الإدارة العامة للتخطيط والدراسات</v>
      </c>
      <c r="G17" s="16" t="s">
        <v>61</v>
      </c>
      <c r="H17" s="14" t="str">
        <f>IFERROR(INDEX(المرجع!$A$2:$A$19,MATCH($G17,المرجع!$B$2:$B$19,0)),"")</f>
        <v>البناء المؤسسي</v>
      </c>
      <c r="I17" s="16" t="s">
        <v>54</v>
      </c>
      <c r="J17" s="14" t="str">
        <f>IFERROR(INDEX(المرجع!$D$2:$D$19,MATCH($I17,المرجع!$E$2:$E$19,0)),"")</f>
        <v>التنظيم</v>
      </c>
      <c r="K17" s="16" t="s">
        <v>102</v>
      </c>
      <c r="L17" s="17" t="str">
        <f>IFERROR(INDEX('نقاط التحقق'!$G$2:$G$31,MATCH($K17,'نقاط التحقق'!$A$2:$A$31,0))&amp;"","")</f>
        <v>الموظفون المحددون مسكّنون على الهيكل التنظيمي المستهدف</v>
      </c>
      <c r="M17" s="14" t="str">
        <f>IFERROR(INDEX('نقاط التحقق'!$H$2:$H$31,MATCH($K17,'نقاط التحقق'!$A$2:$A$31,0))&amp;"","")</f>
        <v/>
      </c>
      <c r="N17" s="13">
        <v>100</v>
      </c>
      <c r="O17" s="15" t="str">
        <f>IF($N17="","غير مقيّمة",IF($N17&gt;المرجع!$K$3,"مستوفاة بشكل متقدم",IF($N17&lt;=المرجع!$K$2,"مستوفاة بشكل أولي","مستوفاة بشكل جزئي")))</f>
        <v>مستوفاة بشكل متقدم</v>
      </c>
      <c r="P17" s="18"/>
    </row>
    <row r="18" spans="1:16">
      <c r="A18" s="16" t="s">
        <v>402</v>
      </c>
      <c r="B18" s="16" t="s">
        <v>154</v>
      </c>
      <c r="C18" s="15" t="str">
        <f>IFERROR(INDEX('قائمة الوحدات'!$B$2:$B$41,MATCH($B18,'قائمة الوحدات'!$A$2:$A$41,0)),"")</f>
        <v>EXE</v>
      </c>
      <c r="D18" s="14" t="str">
        <f>IFERROR(INDEX('قائمة الوحدات'!$C$2:$C$41,MATCH($B18,'قائمة الوحدات'!$A$2:$A$41,0)),"")</f>
        <v>الشؤون التنفيذية</v>
      </c>
      <c r="E18" s="14" t="str">
        <f>IFERROR(INDEX('قائمة الوحدات'!$D$2:$D$41,MATCH($B18,'قائمة الوحدات'!$A$2:$A$41,0)),"")</f>
        <v>وكالة الشؤون الفنية</v>
      </c>
      <c r="F18" s="14" t="str">
        <f>IFERROR(INDEX('قائمة الوحدات'!$F$2:$F$41,MATCH($B18,'قائمة الوحدات'!$A$2:$A$41,0)),"")</f>
        <v>الإدارة العامة للتخطيط والدراسات</v>
      </c>
      <c r="G18" s="16" t="s">
        <v>61</v>
      </c>
      <c r="H18" s="14" t="str">
        <f>IFERROR(INDEX(المرجع!$A$2:$A$19,MATCH($G18,المرجع!$B$2:$B$19,0)),"")</f>
        <v>البناء المؤسسي</v>
      </c>
      <c r="I18" s="16" t="s">
        <v>56</v>
      </c>
      <c r="J18" s="14" t="str">
        <f>IFERROR(INDEX(المرجع!$D$2:$D$19,MATCH($I18,المرجع!$E$2:$E$19,0)),"")</f>
        <v>الموارد</v>
      </c>
      <c r="K18" s="16" t="s">
        <v>104</v>
      </c>
      <c r="L18" s="17" t="str">
        <f>IFERROR(INDEX('نقاط التحقق'!$G$2:$G$31,MATCH($K18,'نقاط التحقق'!$A$2:$A$31,0))&amp;"","")</f>
        <v>مدير الوحدة التنظيمية والموظفون الرئيسيون معينون/ملحقون</v>
      </c>
      <c r="M18" s="14" t="str">
        <f>IFERROR(INDEX('نقاط التحقق'!$H$2:$H$31,MATCH($K18,'نقاط التحقق'!$A$2:$A$31,0))&amp;"","")</f>
        <v/>
      </c>
      <c r="N18" s="13">
        <v>35</v>
      </c>
      <c r="O18" s="15" t="str">
        <f>IF($N18="","غير مقيّمة",IF($N18&gt;المرجع!$K$3,"مستوفاة بشكل متقدم",IF($N18&lt;=المرجع!$K$2,"مستوفاة بشكل أولي","مستوفاة بشكل جزئي")))</f>
        <v>مستوفاة بشكل جزئي</v>
      </c>
      <c r="P18" s="18"/>
    </row>
    <row r="19" spans="1:16">
      <c r="A19" s="16" t="s">
        <v>403</v>
      </c>
      <c r="B19" s="16" t="s">
        <v>154</v>
      </c>
      <c r="C19" s="15" t="str">
        <f>IFERROR(INDEX('قائمة الوحدات'!$B$2:$B$41,MATCH($B19,'قائمة الوحدات'!$A$2:$A$41,0)),"")</f>
        <v>EXE</v>
      </c>
      <c r="D19" s="14" t="str">
        <f>IFERROR(INDEX('قائمة الوحدات'!$C$2:$C$41,MATCH($B19,'قائمة الوحدات'!$A$2:$A$41,0)),"")</f>
        <v>الشؤون التنفيذية</v>
      </c>
      <c r="E19" s="14" t="str">
        <f>IFERROR(INDEX('قائمة الوحدات'!$D$2:$D$41,MATCH($B19,'قائمة الوحدات'!$A$2:$A$41,0)),"")</f>
        <v>وكالة الشؤون الفنية</v>
      </c>
      <c r="F19" s="14" t="str">
        <f>IFERROR(INDEX('قائمة الوحدات'!$F$2:$F$41,MATCH($B19,'قائمة الوحدات'!$A$2:$A$41,0)),"")</f>
        <v>الإدارة العامة للتخطيط والدراسات</v>
      </c>
      <c r="G19" s="16" t="s">
        <v>61</v>
      </c>
      <c r="H19" s="14" t="str">
        <f>IFERROR(INDEX(المرجع!$A$2:$A$19,MATCH($G19,المرجع!$B$2:$B$19,0)),"")</f>
        <v>البناء المؤسسي</v>
      </c>
      <c r="I19" s="16" t="s">
        <v>56</v>
      </c>
      <c r="J19" s="14" t="str">
        <f>IFERROR(INDEX(المرجع!$D$2:$D$19,MATCH($I19,المرجع!$E$2:$E$19,0)),"")</f>
        <v>الموارد</v>
      </c>
      <c r="K19" s="16" t="s">
        <v>106</v>
      </c>
      <c r="L19" s="17" t="str">
        <f>IFERROR(INDEX('نقاط التحقق'!$G$2:$G$31,MATCH($K19,'نقاط التحقق'!$A$2:$A$31,0))&amp;"","")</f>
        <v>خطة توظيف وتدريب مستكملة</v>
      </c>
      <c r="M19" s="14" t="str">
        <f>IFERROR(INDEX('نقاط التحقق'!$H$2:$H$31,MATCH($K19,'نقاط التحقق'!$A$2:$A$31,0))&amp;"","")</f>
        <v/>
      </c>
      <c r="N19" s="13">
        <v>55</v>
      </c>
      <c r="O19" s="15" t="str">
        <f>IF($N19="","غير مقيّمة",IF($N19&gt;المرجع!$K$3,"مستوفاة بشكل متقدم",IF($N19&lt;=المرجع!$K$2,"مستوفاة بشكل أولي","مستوفاة بشكل جزئي")))</f>
        <v>مستوفاة بشكل جزئي</v>
      </c>
      <c r="P19" s="18"/>
    </row>
    <row r="20" spans="1:16">
      <c r="A20" s="16" t="s">
        <v>404</v>
      </c>
      <c r="B20" s="16" t="s">
        <v>154</v>
      </c>
      <c r="C20" s="15" t="str">
        <f>IFERROR(INDEX('قائمة الوحدات'!$B$2:$B$41,MATCH($B20,'قائمة الوحدات'!$A$2:$A$41,0)),"")</f>
        <v>EXE</v>
      </c>
      <c r="D20" s="14" t="str">
        <f>IFERROR(INDEX('قائمة الوحدات'!$C$2:$C$41,MATCH($B20,'قائمة الوحدات'!$A$2:$A$41,0)),"")</f>
        <v>الشؤون التنفيذية</v>
      </c>
      <c r="E20" s="14" t="str">
        <f>IFERROR(INDEX('قائمة الوحدات'!$D$2:$D$41,MATCH($B20,'قائمة الوحدات'!$A$2:$A$41,0)),"")</f>
        <v>وكالة الشؤون الفنية</v>
      </c>
      <c r="F20" s="14" t="str">
        <f>IFERROR(INDEX('قائمة الوحدات'!$F$2:$F$41,MATCH($B20,'قائمة الوحدات'!$A$2:$A$41,0)),"")</f>
        <v>الإدارة العامة للتخطيط والدراسات</v>
      </c>
      <c r="G20" s="16" t="s">
        <v>61</v>
      </c>
      <c r="H20" s="14" t="str">
        <f>IFERROR(INDEX(المرجع!$A$2:$A$19,MATCH($G20,المرجع!$B$2:$B$19,0)),"")</f>
        <v>البناء المؤسسي</v>
      </c>
      <c r="I20" s="16" t="s">
        <v>56</v>
      </c>
      <c r="J20" s="14" t="str">
        <f>IFERROR(INDEX(المرجع!$D$2:$D$19,MATCH($I20,المرجع!$E$2:$E$19,0)),"")</f>
        <v>الموارد</v>
      </c>
      <c r="K20" s="16" t="s">
        <v>108</v>
      </c>
      <c r="L20" s="17" t="str">
        <f>IFERROR(INDEX('نقاط التحقق'!$G$2:$G$31,MATCH($K20,'نقاط التحقق'!$A$2:$A$31,0))&amp;"","")</f>
        <v>وجود مساحات مكتبية كافية</v>
      </c>
      <c r="M20" s="14" t="str">
        <f>IFERROR(INDEX('نقاط التحقق'!$H$2:$H$31,MATCH($K20,'نقاط التحقق'!$A$2:$A$31,0))&amp;"","")</f>
        <v/>
      </c>
      <c r="N20" s="13">
        <v>55</v>
      </c>
      <c r="O20" s="15" t="str">
        <f>IF($N20="","غير مقيّمة",IF($N20&gt;المرجع!$K$3,"مستوفاة بشكل متقدم",IF($N20&lt;=المرجع!$K$2,"مستوفاة بشكل أولي","مستوفاة بشكل جزئي")))</f>
        <v>مستوفاة بشكل جزئي</v>
      </c>
      <c r="P20" s="18"/>
    </row>
    <row r="21" spans="1:16">
      <c r="A21" s="16" t="s">
        <v>405</v>
      </c>
      <c r="B21" s="16" t="s">
        <v>154</v>
      </c>
      <c r="C21" s="15" t="str">
        <f>IFERROR(INDEX('قائمة الوحدات'!$B$2:$B$41,MATCH($B21,'قائمة الوحدات'!$A$2:$A$41,0)),"")</f>
        <v>EXE</v>
      </c>
      <c r="D21" s="14" t="str">
        <f>IFERROR(INDEX('قائمة الوحدات'!$C$2:$C$41,MATCH($B21,'قائمة الوحدات'!$A$2:$A$41,0)),"")</f>
        <v>الشؤون التنفيذية</v>
      </c>
      <c r="E21" s="14" t="str">
        <f>IFERROR(INDEX('قائمة الوحدات'!$D$2:$D$41,MATCH($B21,'قائمة الوحدات'!$A$2:$A$41,0)),"")</f>
        <v>وكالة الشؤون الفنية</v>
      </c>
      <c r="F21" s="14" t="str">
        <f>IFERROR(INDEX('قائمة الوحدات'!$F$2:$F$41,MATCH($B21,'قائمة الوحدات'!$A$2:$A$41,0)),"")</f>
        <v>الإدارة العامة للتخطيط والدراسات</v>
      </c>
      <c r="G21" s="16" t="s">
        <v>61</v>
      </c>
      <c r="H21" s="14" t="str">
        <f>IFERROR(INDEX(المرجع!$A$2:$A$19,MATCH($G21,المرجع!$B$2:$B$19,0)),"")</f>
        <v>البناء المؤسسي</v>
      </c>
      <c r="I21" s="16" t="s">
        <v>56</v>
      </c>
      <c r="J21" s="14" t="str">
        <f>IFERROR(INDEX(المرجع!$D$2:$D$19,MATCH($I21,المرجع!$E$2:$E$19,0)),"")</f>
        <v>الموارد</v>
      </c>
      <c r="K21" s="16" t="s">
        <v>110</v>
      </c>
      <c r="L21" s="17" t="str">
        <f>IFERROR(INDEX('نقاط التحقق'!$G$2:$G$31,MATCH($K21,'نقاط التحقق'!$A$2:$A$31,0))&amp;"","")</f>
        <v>وجود الاحتياجات التقنية الأساسية</v>
      </c>
      <c r="M21" s="14" t="str">
        <f>IFERROR(INDEX('نقاط التحقق'!$H$2:$H$31,MATCH($K21,'نقاط التحقق'!$A$2:$A$31,0))&amp;"","")</f>
        <v/>
      </c>
      <c r="N21" s="13">
        <v>65</v>
      </c>
      <c r="O21" s="15" t="str">
        <f>IF($N21="","غير مقيّمة",IF($N21&gt;المرجع!$K$3,"مستوفاة بشكل متقدم",IF($N21&lt;=المرجع!$K$2,"مستوفاة بشكل أولي","مستوفاة بشكل جزئي")))</f>
        <v>مستوفاة بشكل جزئي</v>
      </c>
      <c r="P21" s="18"/>
    </row>
    <row r="22" spans="1:16">
      <c r="A22" s="16" t="s">
        <v>406</v>
      </c>
      <c r="B22" s="16" t="s">
        <v>154</v>
      </c>
      <c r="C22" s="15" t="str">
        <f>IFERROR(INDEX('قائمة الوحدات'!$B$2:$B$41,MATCH($B22,'قائمة الوحدات'!$A$2:$A$41,0)),"")</f>
        <v>EXE</v>
      </c>
      <c r="D22" s="14" t="str">
        <f>IFERROR(INDEX('قائمة الوحدات'!$C$2:$C$41,MATCH($B22,'قائمة الوحدات'!$A$2:$A$41,0)),"")</f>
        <v>الشؤون التنفيذية</v>
      </c>
      <c r="E22" s="14" t="str">
        <f>IFERROR(INDEX('قائمة الوحدات'!$D$2:$D$41,MATCH($B22,'قائمة الوحدات'!$A$2:$A$41,0)),"")</f>
        <v>وكالة الشؤون الفنية</v>
      </c>
      <c r="F22" s="14" t="str">
        <f>IFERROR(INDEX('قائمة الوحدات'!$F$2:$F$41,MATCH($B22,'قائمة الوحدات'!$A$2:$A$41,0)),"")</f>
        <v>الإدارة العامة للتخطيط والدراسات</v>
      </c>
      <c r="G22" s="16" t="s">
        <v>61</v>
      </c>
      <c r="H22" s="14" t="str">
        <f>IFERROR(INDEX(المرجع!$A$2:$A$19,MATCH($G22,المرجع!$B$2:$B$19,0)),"")</f>
        <v>البناء المؤسسي</v>
      </c>
      <c r="I22" s="16" t="s">
        <v>59</v>
      </c>
      <c r="J22" s="14" t="str">
        <f>IFERROR(INDEX(المرجع!$D$2:$D$19,MATCH($I22,المرجع!$E$2:$E$19,0)),"")</f>
        <v>الإجراءات</v>
      </c>
      <c r="K22" s="16" t="s">
        <v>112</v>
      </c>
      <c r="L22" s="17" t="str">
        <f>IFERROR(INDEX('نقاط التحقق'!$G$2:$G$31,MATCH($K22,'نقاط التحقق'!$A$2:$A$31,0))&amp;"","")</f>
        <v>إجراءات معتمدة للوحدة التنظيمية</v>
      </c>
      <c r="M22" s="14" t="str">
        <f>IFERROR(INDEX('نقاط التحقق'!$H$2:$H$31,MATCH($K22,'نقاط التحقق'!$A$2:$A$31,0))&amp;"","")</f>
        <v/>
      </c>
      <c r="N22" s="13">
        <v>59</v>
      </c>
      <c r="O22" s="15" t="str">
        <f>IF($N22="","غير مقيّمة",IF($N22&gt;المرجع!$K$3,"مستوفاة بشكل متقدم",IF($N22&lt;=المرجع!$K$2,"مستوفاة بشكل أولي","مستوفاة بشكل جزئي")))</f>
        <v>مستوفاة بشكل جزئي</v>
      </c>
      <c r="P22" s="18"/>
    </row>
    <row r="23" spans="1:16">
      <c r="A23" s="16" t="s">
        <v>407</v>
      </c>
      <c r="B23" s="16" t="s">
        <v>154</v>
      </c>
      <c r="C23" s="15" t="str">
        <f>IFERROR(INDEX('قائمة الوحدات'!$B$2:$B$41,MATCH($B23,'قائمة الوحدات'!$A$2:$A$41,0)),"")</f>
        <v>EXE</v>
      </c>
      <c r="D23" s="14" t="str">
        <f>IFERROR(INDEX('قائمة الوحدات'!$C$2:$C$41,MATCH($B23,'قائمة الوحدات'!$A$2:$A$41,0)),"")</f>
        <v>الشؤون التنفيذية</v>
      </c>
      <c r="E23" s="14" t="str">
        <f>IFERROR(INDEX('قائمة الوحدات'!$D$2:$D$41,MATCH($B23,'قائمة الوحدات'!$A$2:$A$41,0)),"")</f>
        <v>وكالة الشؤون الفنية</v>
      </c>
      <c r="F23" s="14" t="str">
        <f>IFERROR(INDEX('قائمة الوحدات'!$F$2:$F$41,MATCH($B23,'قائمة الوحدات'!$A$2:$A$41,0)),"")</f>
        <v>الإدارة العامة للتخطيط والدراسات</v>
      </c>
      <c r="G23" s="16" t="s">
        <v>61</v>
      </c>
      <c r="H23" s="14" t="str">
        <f>IFERROR(INDEX(المرجع!$A$2:$A$19,MATCH($G23,المرجع!$B$2:$B$19,0)),"")</f>
        <v>البناء المؤسسي</v>
      </c>
      <c r="I23" s="16" t="s">
        <v>63</v>
      </c>
      <c r="J23" s="14" t="str">
        <f>IFERROR(INDEX(المرجع!$D$2:$D$19,MATCH($I23,المرجع!$E$2:$E$19,0)),"")</f>
        <v>إنتاج المخرج الأول</v>
      </c>
      <c r="K23" s="16" t="s">
        <v>114</v>
      </c>
      <c r="L23" s="17" t="str">
        <f>IFERROR(INDEX('نقاط التحقق'!$G$2:$G$31,MATCH($K23,'نقاط التحقق'!$A$2:$A$31,0))&amp;"","")</f>
        <v>إنتاج المخرج الأول من قبل الوحدة التنظيمية</v>
      </c>
      <c r="M23" s="14" t="str">
        <f>IFERROR(INDEX('نقاط التحقق'!$H$2:$H$31,MATCH($K23,'نقاط التحقق'!$A$2:$A$31,0))&amp;"","")</f>
        <v/>
      </c>
      <c r="N23" s="13">
        <v>56</v>
      </c>
      <c r="O23" s="15" t="str">
        <f>IF($N23="","غير مقيّمة",IF($N23&gt;المرجع!$K$3,"مستوفاة بشكل متقدم",IF($N23&lt;=المرجع!$K$2,"مستوفاة بشكل أولي","مستوفاة بشكل جزئي")))</f>
        <v>مستوفاة بشكل جزئي</v>
      </c>
      <c r="P23" s="18"/>
    </row>
    <row r="24" spans="1:16">
      <c r="A24" s="16" t="s">
        <v>408</v>
      </c>
      <c r="B24" s="16" t="s">
        <v>154</v>
      </c>
      <c r="C24" s="15" t="str">
        <f>IFERROR(INDEX('قائمة الوحدات'!$B$2:$B$41,MATCH($B24,'قائمة الوحدات'!$A$2:$A$41,0)),"")</f>
        <v>EXE</v>
      </c>
      <c r="D24" s="14" t="str">
        <f>IFERROR(INDEX('قائمة الوحدات'!$C$2:$C$41,MATCH($B24,'قائمة الوحدات'!$A$2:$A$41,0)),"")</f>
        <v>الشؤون التنفيذية</v>
      </c>
      <c r="E24" s="14" t="str">
        <f>IFERROR(INDEX('قائمة الوحدات'!$D$2:$D$41,MATCH($B24,'قائمة الوحدات'!$A$2:$A$41,0)),"")</f>
        <v>وكالة الشؤون الفنية</v>
      </c>
      <c r="F24" s="14" t="str">
        <f>IFERROR(INDEX('قائمة الوحدات'!$F$2:$F$41,MATCH($B24,'قائمة الوحدات'!$A$2:$A$41,0)),"")</f>
        <v>الإدارة العامة للتخطيط والدراسات</v>
      </c>
      <c r="G24" s="16" t="s">
        <v>65</v>
      </c>
      <c r="H24" s="14" t="str">
        <f>IFERROR(INDEX(المرجع!$A$2:$A$19,MATCH($G24,المرجع!$B$2:$B$19,0)),"")</f>
        <v>التشغيل</v>
      </c>
      <c r="I24" s="16" t="s">
        <v>48</v>
      </c>
      <c r="J24" s="14" t="str">
        <f>IFERROR(INDEX(المرجع!$D$2:$D$19,MATCH($I24,المرجع!$E$2:$E$19,0)),"")</f>
        <v>الأهداف ومؤشرات الأداء</v>
      </c>
      <c r="K24" s="16" t="s">
        <v>116</v>
      </c>
      <c r="L24" s="17" t="str">
        <f>IFERROR(INDEX('نقاط التحقق'!$G$2:$G$31,MATCH($K24,'نقاط التحقق'!$A$2:$A$31,0))&amp;"","")</f>
        <v>تحرك مؤشرات الأداء التشغيلي للوحدة التنظيمية بشكل إيجابي</v>
      </c>
      <c r="M24" s="14" t="str">
        <f>IFERROR(INDEX('نقاط التحقق'!$H$2:$H$31,MATCH($K24,'نقاط التحقق'!$A$2:$A$31,0))&amp;"","")</f>
        <v/>
      </c>
      <c r="N24" s="13">
        <v>55</v>
      </c>
      <c r="O24" s="15" t="str">
        <f>IF($N24="","غير مقيّمة",IF($N24&gt;المرجع!$K$3,"مستوفاة بشكل متقدم",IF($N24&lt;=المرجع!$K$2,"مستوفاة بشكل أولي","مستوفاة بشكل جزئي")))</f>
        <v>مستوفاة بشكل جزئي</v>
      </c>
      <c r="P24" s="18"/>
    </row>
    <row r="25" spans="1:16">
      <c r="A25" s="16" t="s">
        <v>409</v>
      </c>
      <c r="B25" s="16" t="s">
        <v>154</v>
      </c>
      <c r="C25" s="15" t="str">
        <f>IFERROR(INDEX('قائمة الوحدات'!$B$2:$B$41,MATCH($B25,'قائمة الوحدات'!$A$2:$A$41,0)),"")</f>
        <v>EXE</v>
      </c>
      <c r="D25" s="14" t="str">
        <f>IFERROR(INDEX('قائمة الوحدات'!$C$2:$C$41,MATCH($B25,'قائمة الوحدات'!$A$2:$A$41,0)),"")</f>
        <v>الشؤون التنفيذية</v>
      </c>
      <c r="E25" s="14" t="str">
        <f>IFERROR(INDEX('قائمة الوحدات'!$D$2:$D$41,MATCH($B25,'قائمة الوحدات'!$A$2:$A$41,0)),"")</f>
        <v>وكالة الشؤون الفنية</v>
      </c>
      <c r="F25" s="14" t="str">
        <f>IFERROR(INDEX('قائمة الوحدات'!$F$2:$F$41,MATCH($B25,'قائمة الوحدات'!$A$2:$A$41,0)),"")</f>
        <v>الإدارة العامة للتخطيط والدراسات</v>
      </c>
      <c r="G25" s="16" t="s">
        <v>65</v>
      </c>
      <c r="H25" s="14" t="str">
        <f>IFERROR(INDEX(المرجع!$A$2:$A$19,MATCH($G25,المرجع!$B$2:$B$19,0)),"")</f>
        <v>التشغيل</v>
      </c>
      <c r="I25" s="16" t="s">
        <v>48</v>
      </c>
      <c r="J25" s="14" t="str">
        <f>IFERROR(INDEX(المرجع!$D$2:$D$19,MATCH($I25,المرجع!$E$2:$E$19,0)),"")</f>
        <v>الأهداف ومؤشرات الأداء</v>
      </c>
      <c r="K25" s="16" t="s">
        <v>118</v>
      </c>
      <c r="L25" s="17" t="str">
        <f>IFERROR(INDEX('نقاط التحقق'!$G$2:$G$31,MATCH($K25,'نقاط التحقق'!$A$2:$A$31,0))&amp;"","")</f>
        <v>خطة سنوية معتمدة للوحدة التنظيمية</v>
      </c>
      <c r="M25" s="14" t="str">
        <f>IFERROR(INDEX('نقاط التحقق'!$H$2:$H$31,MATCH($K25,'نقاط التحقق'!$A$2:$A$31,0))&amp;"","")</f>
        <v/>
      </c>
      <c r="N25" s="13">
        <v>60</v>
      </c>
      <c r="O25" s="15" t="str">
        <f>IF($N25="","غير مقيّمة",IF($N25&gt;المرجع!$K$3,"مستوفاة بشكل متقدم",IF($N25&lt;=المرجع!$K$2,"مستوفاة بشكل أولي","مستوفاة بشكل جزئي")))</f>
        <v>مستوفاة بشكل جزئي</v>
      </c>
      <c r="P25" s="18"/>
    </row>
    <row r="26" spans="1:16">
      <c r="A26" s="16" t="s">
        <v>410</v>
      </c>
      <c r="B26" s="16" t="s">
        <v>154</v>
      </c>
      <c r="C26" s="15" t="str">
        <f>IFERROR(INDEX('قائمة الوحدات'!$B$2:$B$41,MATCH($B26,'قائمة الوحدات'!$A$2:$A$41,0)),"")</f>
        <v>EXE</v>
      </c>
      <c r="D26" s="14" t="str">
        <f>IFERROR(INDEX('قائمة الوحدات'!$C$2:$C$41,MATCH($B26,'قائمة الوحدات'!$A$2:$A$41,0)),"")</f>
        <v>الشؤون التنفيذية</v>
      </c>
      <c r="E26" s="14" t="str">
        <f>IFERROR(INDEX('قائمة الوحدات'!$D$2:$D$41,MATCH($B26,'قائمة الوحدات'!$A$2:$A$41,0)),"")</f>
        <v>وكالة الشؤون الفنية</v>
      </c>
      <c r="F26" s="14" t="str">
        <f>IFERROR(INDEX('قائمة الوحدات'!$F$2:$F$41,MATCH($B26,'قائمة الوحدات'!$A$2:$A$41,0)),"")</f>
        <v>الإدارة العامة للتخطيط والدراسات</v>
      </c>
      <c r="G26" s="16" t="s">
        <v>65</v>
      </c>
      <c r="H26" s="14" t="str">
        <f>IFERROR(INDEX(المرجع!$A$2:$A$19,MATCH($G26,المرجع!$B$2:$B$19,0)),"")</f>
        <v>التشغيل</v>
      </c>
      <c r="I26" s="16" t="s">
        <v>51</v>
      </c>
      <c r="J26" s="14" t="str">
        <f>IFERROR(INDEX(المرجع!$D$2:$D$19,MATCH($I26,المرجع!$E$2:$E$19,0)),"")</f>
        <v>الحوكمة</v>
      </c>
      <c r="K26" s="16" t="s">
        <v>120</v>
      </c>
      <c r="L26" s="17" t="str">
        <f>IFERROR(INDEX('نقاط التحقق'!$G$2:$G$31,MATCH($K26,'نقاط التحقق'!$A$2:$A$31,0))&amp;"","")</f>
        <v>محاضر لجان موثقة</v>
      </c>
      <c r="M26" s="14" t="str">
        <f>IFERROR(INDEX('نقاط التحقق'!$H$2:$H$31,MATCH($K26,'نقاط التحقق'!$A$2:$A$31,0))&amp;"","")</f>
        <v/>
      </c>
      <c r="N26" s="13">
        <v>30</v>
      </c>
      <c r="O26" s="15" t="str">
        <f>IF($N26="","غير مقيّمة",IF($N26&gt;المرجع!$K$3,"مستوفاة بشكل متقدم",IF($N26&lt;=المرجع!$K$2,"مستوفاة بشكل أولي","مستوفاة بشكل جزئي")))</f>
        <v>مستوفاة بشكل أولي</v>
      </c>
      <c r="P26" s="18"/>
    </row>
    <row r="27" spans="1:16">
      <c r="A27" s="16" t="s">
        <v>411</v>
      </c>
      <c r="B27" s="16" t="s">
        <v>154</v>
      </c>
      <c r="C27" s="15" t="str">
        <f>IFERROR(INDEX('قائمة الوحدات'!$B$2:$B$41,MATCH($B27,'قائمة الوحدات'!$A$2:$A$41,0)),"")</f>
        <v>EXE</v>
      </c>
      <c r="D27" s="14" t="str">
        <f>IFERROR(INDEX('قائمة الوحدات'!$C$2:$C$41,MATCH($B27,'قائمة الوحدات'!$A$2:$A$41,0)),"")</f>
        <v>الشؤون التنفيذية</v>
      </c>
      <c r="E27" s="14" t="str">
        <f>IFERROR(INDEX('قائمة الوحدات'!$D$2:$D$41,MATCH($B27,'قائمة الوحدات'!$A$2:$A$41,0)),"")</f>
        <v>وكالة الشؤون الفنية</v>
      </c>
      <c r="F27" s="14" t="str">
        <f>IFERROR(INDEX('قائمة الوحدات'!$F$2:$F$41,MATCH($B27,'قائمة الوحدات'!$A$2:$A$41,0)),"")</f>
        <v>الإدارة العامة للتخطيط والدراسات</v>
      </c>
      <c r="G27" s="16" t="s">
        <v>65</v>
      </c>
      <c r="H27" s="14" t="str">
        <f>IFERROR(INDEX(المرجع!$A$2:$A$19,MATCH($G27,المرجع!$B$2:$B$19,0)),"")</f>
        <v>التشغيل</v>
      </c>
      <c r="I27" s="16" t="s">
        <v>51</v>
      </c>
      <c r="J27" s="14" t="str">
        <f>IFERROR(INDEX(المرجع!$D$2:$D$19,MATCH($I27,المرجع!$E$2:$E$19,0)),"")</f>
        <v>الحوكمة</v>
      </c>
      <c r="K27" s="16" t="s">
        <v>122</v>
      </c>
      <c r="L27" s="17" t="str">
        <f>IFERROR(INDEX('نقاط التحقق'!$G$2:$G$31,MATCH($K27,'نقاط التحقق'!$A$2:$A$31,0))&amp;"","")</f>
        <v>نشر السياسات التي تملكها الوحدة التنظيمية</v>
      </c>
      <c r="M27" s="14" t="str">
        <f>IFERROR(INDEX('نقاط التحقق'!$H$2:$H$31,MATCH($K27,'نقاط التحقق'!$A$2:$A$31,0))&amp;"","")</f>
        <v/>
      </c>
      <c r="N27" s="13">
        <v>35</v>
      </c>
      <c r="O27" s="15" t="str">
        <f>IF($N27="","غير مقيّمة",IF($N27&gt;المرجع!$K$3,"مستوفاة بشكل متقدم",IF($N27&lt;=المرجع!$K$2,"مستوفاة بشكل أولي","مستوفاة بشكل جزئي")))</f>
        <v>مستوفاة بشكل جزئي</v>
      </c>
      <c r="P27" s="18"/>
    </row>
    <row r="28" spans="1:16">
      <c r="A28" s="16" t="s">
        <v>412</v>
      </c>
      <c r="B28" s="16" t="s">
        <v>154</v>
      </c>
      <c r="C28" s="15" t="str">
        <f>IFERROR(INDEX('قائمة الوحدات'!$B$2:$B$41,MATCH($B28,'قائمة الوحدات'!$A$2:$A$41,0)),"")</f>
        <v>EXE</v>
      </c>
      <c r="D28" s="14" t="str">
        <f>IFERROR(INDEX('قائمة الوحدات'!$C$2:$C$41,MATCH($B28,'قائمة الوحدات'!$A$2:$A$41,0)),"")</f>
        <v>الشؤون التنفيذية</v>
      </c>
      <c r="E28" s="14" t="str">
        <f>IFERROR(INDEX('قائمة الوحدات'!$D$2:$D$41,MATCH($B28,'قائمة الوحدات'!$A$2:$A$41,0)),"")</f>
        <v>وكالة الشؤون الفنية</v>
      </c>
      <c r="F28" s="14" t="str">
        <f>IFERROR(INDEX('قائمة الوحدات'!$F$2:$F$41,MATCH($B28,'قائمة الوحدات'!$A$2:$A$41,0)),"")</f>
        <v>الإدارة العامة للتخطيط والدراسات</v>
      </c>
      <c r="G28" s="16" t="s">
        <v>65</v>
      </c>
      <c r="H28" s="14" t="str">
        <f>IFERROR(INDEX(المرجع!$A$2:$A$19,MATCH($G28,المرجع!$B$2:$B$19,0)),"")</f>
        <v>التشغيل</v>
      </c>
      <c r="I28" s="16" t="s">
        <v>51</v>
      </c>
      <c r="J28" s="14" t="str">
        <f>IFERROR(INDEX(المرجع!$D$2:$D$19,MATCH($I28,المرجع!$E$2:$E$19,0)),"")</f>
        <v>الحوكمة</v>
      </c>
      <c r="K28" s="16" t="s">
        <v>124</v>
      </c>
      <c r="L28" s="17" t="str">
        <f>IFERROR(INDEX('نقاط التحقق'!$G$2:$G$31,MATCH($K28,'نقاط التحقق'!$A$2:$A$31,0))&amp;"","")</f>
        <v>اتخاذ القرارات في نطاق الصلاحيات (وجود شواهد)</v>
      </c>
      <c r="M28" s="14" t="str">
        <f>IFERROR(INDEX('نقاط التحقق'!$H$2:$H$31,MATCH($K28,'نقاط التحقق'!$A$2:$A$31,0))&amp;"","")</f>
        <v/>
      </c>
      <c r="N28" s="13">
        <v>35</v>
      </c>
      <c r="O28" s="15" t="str">
        <f>IF($N28="","غير مقيّمة",IF($N28&gt;المرجع!$K$3,"مستوفاة بشكل متقدم",IF($N28&lt;=المرجع!$K$2,"مستوفاة بشكل أولي","مستوفاة بشكل جزئي")))</f>
        <v>مستوفاة بشكل جزئي</v>
      </c>
      <c r="P28" s="18"/>
    </row>
    <row r="29" spans="1:16">
      <c r="A29" s="16" t="s">
        <v>413</v>
      </c>
      <c r="B29" s="16" t="s">
        <v>154</v>
      </c>
      <c r="C29" s="15" t="str">
        <f>IFERROR(INDEX('قائمة الوحدات'!$B$2:$B$41,MATCH($B29,'قائمة الوحدات'!$A$2:$A$41,0)),"")</f>
        <v>EXE</v>
      </c>
      <c r="D29" s="14" t="str">
        <f>IFERROR(INDEX('قائمة الوحدات'!$C$2:$C$41,MATCH($B29,'قائمة الوحدات'!$A$2:$A$41,0)),"")</f>
        <v>الشؤون التنفيذية</v>
      </c>
      <c r="E29" s="14" t="str">
        <f>IFERROR(INDEX('قائمة الوحدات'!$D$2:$D$41,MATCH($B29,'قائمة الوحدات'!$A$2:$A$41,0)),"")</f>
        <v>وكالة الشؤون الفنية</v>
      </c>
      <c r="F29" s="14" t="str">
        <f>IFERROR(INDEX('قائمة الوحدات'!$F$2:$F$41,MATCH($B29,'قائمة الوحدات'!$A$2:$A$41,0)),"")</f>
        <v>الإدارة العامة للتخطيط والدراسات</v>
      </c>
      <c r="G29" s="16" t="s">
        <v>65</v>
      </c>
      <c r="H29" s="14" t="str">
        <f>IFERROR(INDEX(المرجع!$A$2:$A$19,MATCH($G29,المرجع!$B$2:$B$19,0)),"")</f>
        <v>التشغيل</v>
      </c>
      <c r="I29" s="16" t="s">
        <v>56</v>
      </c>
      <c r="J29" s="14" t="str">
        <f>IFERROR(INDEX(المرجع!$D$2:$D$19,MATCH($I29,المرجع!$E$2:$E$19,0)),"")</f>
        <v>الموارد</v>
      </c>
      <c r="K29" s="16" t="s">
        <v>126</v>
      </c>
      <c r="L29" s="17" t="str">
        <f>IFERROR(INDEX('نقاط التحقق'!$G$2:$G$31,MATCH($K29,'نقاط التحقق'!$A$2:$A$31,0))&amp;"","")</f>
        <v>موارد مستكملة للحد الأدنى الذي يغطي كافة محاور سلسلة القيمة</v>
      </c>
      <c r="M29" s="14" t="str">
        <f>IFERROR(INDEX('نقاط التحقق'!$H$2:$H$31,MATCH($K29,'نقاط التحقق'!$A$2:$A$31,0))&amp;"","")</f>
        <v/>
      </c>
      <c r="N29" s="13">
        <v>24</v>
      </c>
      <c r="O29" s="15" t="str">
        <f>IF($N29="","غير مقيّمة",IF($N29&gt;المرجع!$K$3,"مستوفاة بشكل متقدم",IF($N29&lt;=المرجع!$K$2,"مستوفاة بشكل أولي","مستوفاة بشكل جزئي")))</f>
        <v>مستوفاة بشكل أولي</v>
      </c>
      <c r="P29" s="18"/>
    </row>
    <row r="30" spans="1:16">
      <c r="A30" s="16" t="s">
        <v>414</v>
      </c>
      <c r="B30" s="16" t="s">
        <v>154</v>
      </c>
      <c r="C30" s="15" t="str">
        <f>IFERROR(INDEX('قائمة الوحدات'!$B$2:$B$41,MATCH($B30,'قائمة الوحدات'!$A$2:$A$41,0)),"")</f>
        <v>EXE</v>
      </c>
      <c r="D30" s="14" t="str">
        <f>IFERROR(INDEX('قائمة الوحدات'!$C$2:$C$41,MATCH($B30,'قائمة الوحدات'!$A$2:$A$41,0)),"")</f>
        <v>الشؤون التنفيذية</v>
      </c>
      <c r="E30" s="14" t="str">
        <f>IFERROR(INDEX('قائمة الوحدات'!$D$2:$D$41,MATCH($B30,'قائمة الوحدات'!$A$2:$A$41,0)),"")</f>
        <v>وكالة الشؤون الفنية</v>
      </c>
      <c r="F30" s="14" t="str">
        <f>IFERROR(INDEX('قائمة الوحدات'!$F$2:$F$41,MATCH($B30,'قائمة الوحدات'!$A$2:$A$41,0)),"")</f>
        <v>الإدارة العامة للتخطيط والدراسات</v>
      </c>
      <c r="G30" s="16" t="s">
        <v>65</v>
      </c>
      <c r="H30" s="14" t="str">
        <f>IFERROR(INDEX(المرجع!$A$2:$A$19,MATCH($G30,المرجع!$B$2:$B$19,0)),"")</f>
        <v>التشغيل</v>
      </c>
      <c r="I30" s="16" t="s">
        <v>59</v>
      </c>
      <c r="J30" s="14" t="str">
        <f>IFERROR(INDEX(المرجع!$D$2:$D$19,MATCH($I30,المرجع!$E$2:$E$19,0)),"")</f>
        <v>الإجراءات</v>
      </c>
      <c r="K30" s="16" t="s">
        <v>128</v>
      </c>
      <c r="L30" s="17" t="str">
        <f>IFERROR(INDEX('نقاط التحقق'!$G$2:$G$31,MATCH($K30,'نقاط التحقق'!$A$2:$A$31,0))&amp;"","")</f>
        <v>تحقيق تقييم "مطبق بشكل كامل" من منهجية تقييم فعالية الإجراءات</v>
      </c>
      <c r="M30" s="14" t="str">
        <f>IFERROR(INDEX('نقاط التحقق'!$H$2:$H$31,MATCH($K30,'نقاط التحقق'!$A$2:$A$31,0))&amp;"","")</f>
        <v/>
      </c>
      <c r="N30" s="13">
        <v>37</v>
      </c>
      <c r="O30" s="15" t="str">
        <f>IF($N30="","غير مقيّمة",IF($N30&gt;المرجع!$K$3,"مستوفاة بشكل متقدم",IF($N30&lt;=المرجع!$K$2,"مستوفاة بشكل أولي","مستوفاة بشكل جزئي")))</f>
        <v>مستوفاة بشكل جزئي</v>
      </c>
      <c r="P30" s="18"/>
    </row>
    <row r="31" spans="1:16">
      <c r="A31" s="16" t="s">
        <v>415</v>
      </c>
      <c r="B31" s="16" t="s">
        <v>154</v>
      </c>
      <c r="C31" s="15" t="str">
        <f>IFERROR(INDEX('قائمة الوحدات'!$B$2:$B$41,MATCH($B31,'قائمة الوحدات'!$A$2:$A$41,0)),"")</f>
        <v>EXE</v>
      </c>
      <c r="D31" s="14" t="str">
        <f>IFERROR(INDEX('قائمة الوحدات'!$C$2:$C$41,MATCH($B31,'قائمة الوحدات'!$A$2:$A$41,0)),"")</f>
        <v>الشؤون التنفيذية</v>
      </c>
      <c r="E31" s="14" t="str">
        <f>IFERROR(INDEX('قائمة الوحدات'!$D$2:$D$41,MATCH($B31,'قائمة الوحدات'!$A$2:$A$41,0)),"")</f>
        <v>وكالة الشؤون الفنية</v>
      </c>
      <c r="F31" s="14" t="str">
        <f>IFERROR(INDEX('قائمة الوحدات'!$F$2:$F$41,MATCH($B31,'قائمة الوحدات'!$A$2:$A$41,0)),"")</f>
        <v>الإدارة العامة للتخطيط والدراسات</v>
      </c>
      <c r="G31" s="16" t="s">
        <v>65</v>
      </c>
      <c r="H31" s="14" t="str">
        <f>IFERROR(INDEX(المرجع!$A$2:$A$19,MATCH($G31,المرجع!$B$2:$B$19,0)),"")</f>
        <v>التشغيل</v>
      </c>
      <c r="I31" s="16" t="s">
        <v>67</v>
      </c>
      <c r="J31" s="14" t="str">
        <f>IFERROR(INDEX(المرجع!$D$2:$D$19,MATCH($I31,المرجع!$E$2:$E$19,0)),"")</f>
        <v>اكتمال المخرجات المستهدفة</v>
      </c>
      <c r="K31" s="16" t="s">
        <v>130</v>
      </c>
      <c r="L31" s="17" t="str">
        <f>IFERROR(INDEX('نقاط التحقق'!$G$2:$G$31,MATCH($K31,'نقاط التحقق'!$A$2:$A$31,0))&amp;"","")</f>
        <v>اكتمال مخرجات النموذج التشغيلي المستهدف للوحدة التنظيمية</v>
      </c>
      <c r="M31" s="14" t="str">
        <f>IFERROR(INDEX('نقاط التحقق'!$H$2:$H$31,MATCH($K31,'نقاط التحقق'!$A$2:$A$31,0))&amp;"","")</f>
        <v/>
      </c>
      <c r="N31" s="13">
        <v>46</v>
      </c>
      <c r="O31" s="15" t="str">
        <f>IF($N31="","غير مقيّمة",IF($N31&gt;المرجع!$K$3,"مستوفاة بشكل متقدم",IF($N31&lt;=المرجع!$K$2,"مستوفاة بشكل أولي","مستوفاة بشكل جزئي")))</f>
        <v>مستوفاة بشكل جزئي</v>
      </c>
      <c r="P31" s="18"/>
    </row>
    <row r="32" spans="1:16">
      <c r="A32" s="16" t="s">
        <v>416</v>
      </c>
      <c r="B32" s="16" t="s">
        <v>160</v>
      </c>
      <c r="C32" s="15" t="str">
        <f>IFERROR(INDEX('قائمة الوحدات'!$B$2:$B$41,MATCH($B32,'قائمة الوحدات'!$A$2:$A$41,0)),"")</f>
        <v>EXE</v>
      </c>
      <c r="D32" s="14" t="str">
        <f>IFERROR(INDEX('قائمة الوحدات'!$C$2:$C$41,MATCH($B32,'قائمة الوحدات'!$A$2:$A$41,0)),"")</f>
        <v>الشؤون التنفيذية</v>
      </c>
      <c r="E32" s="14" t="str">
        <f>IFERROR(INDEX('قائمة الوحدات'!$D$2:$D$41,MATCH($B32,'قائمة الوحدات'!$A$2:$A$41,0)),"")</f>
        <v>وكالة الشؤون الفنية</v>
      </c>
      <c r="F32" s="14" t="str">
        <f>IFERROR(INDEX('قائمة الوحدات'!$F$2:$F$41,MATCH($B32,'قائمة الوحدات'!$A$2:$A$41,0)),"")</f>
        <v>الإدارة العامة للجودة والتطوير</v>
      </c>
      <c r="G32" s="16" t="s">
        <v>43</v>
      </c>
      <c r="H32" s="14" t="str">
        <f>IFERROR(INDEX(المرجع!$A$2:$A$19,MATCH($G32,المرجع!$B$2:$B$19,0)),"")</f>
        <v>التصميم</v>
      </c>
      <c r="I32" s="16" t="s">
        <v>45</v>
      </c>
      <c r="J32" s="14" t="str">
        <f>IFERROR(INDEX(المرجع!$D$2:$D$19,MATCH($I32,المرجع!$E$2:$E$19,0)),"")</f>
        <v>الدور</v>
      </c>
      <c r="K32" s="16" t="s">
        <v>72</v>
      </c>
      <c r="L32" s="17" t="str">
        <f>IFERROR(INDEX('نقاط التحقق'!$G$2:$G$31,MATCH($K32,'نقاط التحقق'!$A$2:$A$31,0))&amp;"","")</f>
        <v>دور مفصل للوحدة التنظيمية</v>
      </c>
      <c r="M32" s="14" t="str">
        <f>IFERROR(INDEX('نقاط التحقق'!$H$2:$H$31,MATCH($K32,'نقاط التحقق'!$A$2:$A$31,0))&amp;"","")</f>
        <v/>
      </c>
      <c r="N32" s="13">
        <v>76</v>
      </c>
      <c r="O32" s="15" t="str">
        <f>IF($N32="","غير مقيّمة",IF($N32&gt;المرجع!$K$3,"مستوفاة بشكل متقدم",IF($N32&lt;=المرجع!$K$2,"مستوفاة بشكل أولي","مستوفاة بشكل جزئي")))</f>
        <v>مستوفاة بشكل متقدم</v>
      </c>
      <c r="P32" s="18"/>
    </row>
    <row r="33" spans="1:16">
      <c r="A33" s="16" t="s">
        <v>417</v>
      </c>
      <c r="B33" s="16" t="s">
        <v>160</v>
      </c>
      <c r="C33" s="15" t="str">
        <f>IFERROR(INDEX('قائمة الوحدات'!$B$2:$B$41,MATCH($B33,'قائمة الوحدات'!$A$2:$A$41,0)),"")</f>
        <v>EXE</v>
      </c>
      <c r="D33" s="14" t="str">
        <f>IFERROR(INDEX('قائمة الوحدات'!$C$2:$C$41,MATCH($B33,'قائمة الوحدات'!$A$2:$A$41,0)),"")</f>
        <v>الشؤون التنفيذية</v>
      </c>
      <c r="E33" s="14" t="str">
        <f>IFERROR(INDEX('قائمة الوحدات'!$D$2:$D$41,MATCH($B33,'قائمة الوحدات'!$A$2:$A$41,0)),"")</f>
        <v>وكالة الشؤون الفنية</v>
      </c>
      <c r="F33" s="14" t="str">
        <f>IFERROR(INDEX('قائمة الوحدات'!$F$2:$F$41,MATCH($B33,'قائمة الوحدات'!$A$2:$A$41,0)),"")</f>
        <v>الإدارة العامة للجودة والتطوير</v>
      </c>
      <c r="G33" s="16" t="s">
        <v>43</v>
      </c>
      <c r="H33" s="14" t="str">
        <f>IFERROR(INDEX(المرجع!$A$2:$A$19,MATCH($G33,المرجع!$B$2:$B$19,0)),"")</f>
        <v>التصميم</v>
      </c>
      <c r="I33" s="16" t="s">
        <v>48</v>
      </c>
      <c r="J33" s="14" t="str">
        <f>IFERROR(INDEX(المرجع!$D$2:$D$19,MATCH($I33,المرجع!$E$2:$E$19,0)),"")</f>
        <v>الأهداف ومؤشرات الأداء</v>
      </c>
      <c r="K33" s="16" t="s">
        <v>74</v>
      </c>
      <c r="L33" s="17" t="str">
        <f>IFERROR(INDEX('نقاط التحقق'!$G$2:$G$31,MATCH($K33,'نقاط التحقق'!$A$2:$A$31,0))&amp;"","")</f>
        <v>أهداف محددة للوحدة التنظيمية وربطها بمؤشرات أداء لقياسها</v>
      </c>
      <c r="M33" s="14" t="str">
        <f>IFERROR(INDEX('نقاط التحقق'!$H$2:$H$31,MATCH($K33,'نقاط التحقق'!$A$2:$A$31,0))&amp;"","")</f>
        <v/>
      </c>
      <c r="N33" s="13">
        <v>95</v>
      </c>
      <c r="O33" s="15" t="str">
        <f>IF($N33="","غير مقيّمة",IF($N33&gt;المرجع!$K$3,"مستوفاة بشكل متقدم",IF($N33&lt;=المرجع!$K$2,"مستوفاة بشكل أولي","مستوفاة بشكل جزئي")))</f>
        <v>مستوفاة بشكل متقدم</v>
      </c>
      <c r="P33" s="18"/>
    </row>
    <row r="34" spans="1:16">
      <c r="A34" s="16" t="s">
        <v>418</v>
      </c>
      <c r="B34" s="16" t="s">
        <v>160</v>
      </c>
      <c r="C34" s="15" t="str">
        <f>IFERROR(INDEX('قائمة الوحدات'!$B$2:$B$41,MATCH($B34,'قائمة الوحدات'!$A$2:$A$41,0)),"")</f>
        <v>EXE</v>
      </c>
      <c r="D34" s="14" t="str">
        <f>IFERROR(INDEX('قائمة الوحدات'!$C$2:$C$41,MATCH($B34,'قائمة الوحدات'!$A$2:$A$41,0)),"")</f>
        <v>الشؤون التنفيذية</v>
      </c>
      <c r="E34" s="14" t="str">
        <f>IFERROR(INDEX('قائمة الوحدات'!$D$2:$D$41,MATCH($B34,'قائمة الوحدات'!$A$2:$A$41,0)),"")</f>
        <v>وكالة الشؤون الفنية</v>
      </c>
      <c r="F34" s="14" t="str">
        <f>IFERROR(INDEX('قائمة الوحدات'!$F$2:$F$41,MATCH($B34,'قائمة الوحدات'!$A$2:$A$41,0)),"")</f>
        <v>الإدارة العامة للجودة والتطوير</v>
      </c>
      <c r="G34" s="16" t="s">
        <v>43</v>
      </c>
      <c r="H34" s="14" t="str">
        <f>IFERROR(INDEX(المرجع!$A$2:$A$19,MATCH($G34,المرجع!$B$2:$B$19,0)),"")</f>
        <v>التصميم</v>
      </c>
      <c r="I34" s="16" t="s">
        <v>48</v>
      </c>
      <c r="J34" s="14" t="str">
        <f>IFERROR(INDEX(المرجع!$D$2:$D$19,MATCH($I34,المرجع!$E$2:$E$19,0)),"")</f>
        <v>الأهداف ومؤشرات الأداء</v>
      </c>
      <c r="K34" s="16" t="s">
        <v>76</v>
      </c>
      <c r="L34" s="17" t="str">
        <f>IFERROR(INDEX('نقاط التحقق'!$G$2:$G$31,MATCH($K34,'نقاط التحقق'!$A$2:$A$31,0))&amp;"","")</f>
        <v>مؤشرات أداء الوحدة التنظيمية</v>
      </c>
      <c r="M34" s="14" t="str">
        <f>IFERROR(INDEX('نقاط التحقق'!$H$2:$H$31,MATCH($K34,'نقاط التحقق'!$A$2:$A$31,0))&amp;"","")</f>
        <v/>
      </c>
      <c r="N34" s="13">
        <v>80</v>
      </c>
      <c r="O34" s="15" t="str">
        <f>IF($N34="","غير مقيّمة",IF($N34&gt;المرجع!$K$3,"مستوفاة بشكل متقدم",IF($N34&lt;=المرجع!$K$2,"مستوفاة بشكل أولي","مستوفاة بشكل جزئي")))</f>
        <v>مستوفاة بشكل متقدم</v>
      </c>
      <c r="P34" s="18"/>
    </row>
    <row r="35" spans="1:16">
      <c r="A35" s="16" t="s">
        <v>419</v>
      </c>
      <c r="B35" s="16" t="s">
        <v>160</v>
      </c>
      <c r="C35" s="15" t="str">
        <f>IFERROR(INDEX('قائمة الوحدات'!$B$2:$B$41,MATCH($B35,'قائمة الوحدات'!$A$2:$A$41,0)),"")</f>
        <v>EXE</v>
      </c>
      <c r="D35" s="14" t="str">
        <f>IFERROR(INDEX('قائمة الوحدات'!$C$2:$C$41,MATCH($B35,'قائمة الوحدات'!$A$2:$A$41,0)),"")</f>
        <v>الشؤون التنفيذية</v>
      </c>
      <c r="E35" s="14" t="str">
        <f>IFERROR(INDEX('قائمة الوحدات'!$D$2:$D$41,MATCH($B35,'قائمة الوحدات'!$A$2:$A$41,0)),"")</f>
        <v>وكالة الشؤون الفنية</v>
      </c>
      <c r="F35" s="14" t="str">
        <f>IFERROR(INDEX('قائمة الوحدات'!$F$2:$F$41,MATCH($B35,'قائمة الوحدات'!$A$2:$A$41,0)),"")</f>
        <v>الإدارة العامة للجودة والتطوير</v>
      </c>
      <c r="G35" s="16" t="s">
        <v>43</v>
      </c>
      <c r="H35" s="14" t="str">
        <f>IFERROR(INDEX(المرجع!$A$2:$A$19,MATCH($G35,المرجع!$B$2:$B$19,0)),"")</f>
        <v>التصميم</v>
      </c>
      <c r="I35" s="16" t="s">
        <v>51</v>
      </c>
      <c r="J35" s="14" t="str">
        <f>IFERROR(INDEX(المرجع!$D$2:$D$19,MATCH($I35,المرجع!$E$2:$E$19,0)),"")</f>
        <v>الحوكمة</v>
      </c>
      <c r="K35" s="16" t="s">
        <v>78</v>
      </c>
      <c r="L35" s="17" t="str">
        <f>IFERROR(INDEX('نقاط التحقق'!$G$2:$G$31,MATCH($K35,'نقاط التحقق'!$A$2:$A$31,0))&amp;"","")</f>
        <v>تفصيل القرارات ومصفوفة الصلاحيات واللجان ذات العلاقة لاعتماد مخرجات الوحدة التنظيمية</v>
      </c>
      <c r="M35" s="14" t="str">
        <f>IFERROR(INDEX('نقاط التحقق'!$H$2:$H$31,MATCH($K35,'نقاط التحقق'!$A$2:$A$31,0))&amp;"","")</f>
        <v/>
      </c>
      <c r="N35" s="13">
        <v>85</v>
      </c>
      <c r="O35" s="15" t="str">
        <f>IF($N35="","غير مقيّمة",IF($N35&gt;المرجع!$K$3,"مستوفاة بشكل متقدم",IF($N35&lt;=المرجع!$K$2,"مستوفاة بشكل أولي","مستوفاة بشكل جزئي")))</f>
        <v>مستوفاة بشكل متقدم</v>
      </c>
      <c r="P35" s="18"/>
    </row>
    <row r="36" spans="1:16">
      <c r="A36" s="16" t="s">
        <v>420</v>
      </c>
      <c r="B36" s="16" t="s">
        <v>160</v>
      </c>
      <c r="C36" s="15" t="str">
        <f>IFERROR(INDEX('قائمة الوحدات'!$B$2:$B$41,MATCH($B36,'قائمة الوحدات'!$A$2:$A$41,0)),"")</f>
        <v>EXE</v>
      </c>
      <c r="D36" s="14" t="str">
        <f>IFERROR(INDEX('قائمة الوحدات'!$C$2:$C$41,MATCH($B36,'قائمة الوحدات'!$A$2:$A$41,0)),"")</f>
        <v>الشؤون التنفيذية</v>
      </c>
      <c r="E36" s="14" t="str">
        <f>IFERROR(INDEX('قائمة الوحدات'!$D$2:$D$41,MATCH($B36,'قائمة الوحدات'!$A$2:$A$41,0)),"")</f>
        <v>وكالة الشؤون الفنية</v>
      </c>
      <c r="F36" s="14" t="str">
        <f>IFERROR(INDEX('قائمة الوحدات'!$F$2:$F$41,MATCH($B36,'قائمة الوحدات'!$A$2:$A$41,0)),"")</f>
        <v>الإدارة العامة للجودة والتطوير</v>
      </c>
      <c r="G36" s="16" t="s">
        <v>43</v>
      </c>
      <c r="H36" s="14" t="str">
        <f>IFERROR(INDEX(المرجع!$A$2:$A$19,MATCH($G36,المرجع!$B$2:$B$19,0)),"")</f>
        <v>التصميم</v>
      </c>
      <c r="I36" s="16" t="s">
        <v>54</v>
      </c>
      <c r="J36" s="14" t="str">
        <f>IFERROR(INDEX(المرجع!$D$2:$D$19,MATCH($I36,المرجع!$E$2:$E$19,0)),"")</f>
        <v>التنظيم</v>
      </c>
      <c r="K36" s="16" t="s">
        <v>80</v>
      </c>
      <c r="L36" s="17" t="str">
        <f>IFERROR(INDEX('نقاط التحقق'!$G$2:$G$31,MATCH($K36,'نقاط التحقق'!$A$2:$A$31,0))&amp;"","")</f>
        <v>تطوير الأدوار والمسؤوليات للوحدة التنظيمية وتفصيل الهيكل التنظيمي</v>
      </c>
      <c r="M36" s="14" t="str">
        <f>IFERROR(INDEX('نقاط التحقق'!$H$2:$H$31,MATCH($K36,'نقاط التحقق'!$A$2:$A$31,0))&amp;"","")</f>
        <v/>
      </c>
      <c r="N36" s="13">
        <v>74</v>
      </c>
      <c r="O36" s="15" t="str">
        <f>IF($N36="","غير مقيّمة",IF($N36&gt;المرجع!$K$3,"مستوفاة بشكل متقدم",IF($N36&lt;=المرجع!$K$2,"مستوفاة بشكل أولي","مستوفاة بشكل جزئي")))</f>
        <v>مستوفاة بشكل متقدم</v>
      </c>
      <c r="P36" s="18"/>
    </row>
    <row r="37" spans="1:16">
      <c r="A37" s="16" t="s">
        <v>421</v>
      </c>
      <c r="B37" s="16" t="s">
        <v>160</v>
      </c>
      <c r="C37" s="15" t="str">
        <f>IFERROR(INDEX('قائمة الوحدات'!$B$2:$B$41,MATCH($B37,'قائمة الوحدات'!$A$2:$A$41,0)),"")</f>
        <v>EXE</v>
      </c>
      <c r="D37" s="14" t="str">
        <f>IFERROR(INDEX('قائمة الوحدات'!$C$2:$C$41,MATCH($B37,'قائمة الوحدات'!$A$2:$A$41,0)),"")</f>
        <v>الشؤون التنفيذية</v>
      </c>
      <c r="E37" s="14" t="str">
        <f>IFERROR(INDEX('قائمة الوحدات'!$D$2:$D$41,MATCH($B37,'قائمة الوحدات'!$A$2:$A$41,0)),"")</f>
        <v>وكالة الشؤون الفنية</v>
      </c>
      <c r="F37" s="14" t="str">
        <f>IFERROR(INDEX('قائمة الوحدات'!$F$2:$F$41,MATCH($B37,'قائمة الوحدات'!$A$2:$A$41,0)),"")</f>
        <v>الإدارة العامة للجودة والتطوير</v>
      </c>
      <c r="G37" s="16" t="s">
        <v>43</v>
      </c>
      <c r="H37" s="14" t="str">
        <f>IFERROR(INDEX(المرجع!$A$2:$A$19,MATCH($G37,المرجع!$B$2:$B$19,0)),"")</f>
        <v>التصميم</v>
      </c>
      <c r="I37" s="16" t="s">
        <v>56</v>
      </c>
      <c r="J37" s="14" t="str">
        <f>IFERROR(INDEX(المرجع!$D$2:$D$19,MATCH($I37,المرجع!$E$2:$E$19,0)),"")</f>
        <v>الموارد</v>
      </c>
      <c r="K37" s="16" t="s">
        <v>82</v>
      </c>
      <c r="L37" s="17" t="str">
        <f>IFERROR(INDEX('نقاط التحقق'!$G$2:$G$31,MATCH($K37,'نقاط التحقق'!$A$2:$A$31,0))&amp;"","")</f>
        <v>تفصيل احتياج الموارد البشرية للوحدة التنظيمية</v>
      </c>
      <c r="M37" s="14" t="str">
        <f>IFERROR(INDEX('نقاط التحقق'!$H$2:$H$31,MATCH($K37,'نقاط التحقق'!$A$2:$A$31,0))&amp;"","")</f>
        <v/>
      </c>
      <c r="N37" s="13">
        <v>90</v>
      </c>
      <c r="O37" s="15" t="str">
        <f>IF($N37="","غير مقيّمة",IF($N37&gt;المرجع!$K$3,"مستوفاة بشكل متقدم",IF($N37&lt;=المرجع!$K$2,"مستوفاة بشكل أولي","مستوفاة بشكل جزئي")))</f>
        <v>مستوفاة بشكل متقدم</v>
      </c>
      <c r="P37" s="18"/>
    </row>
    <row r="38" spans="1:16">
      <c r="A38" s="16" t="s">
        <v>422</v>
      </c>
      <c r="B38" s="16" t="s">
        <v>160</v>
      </c>
      <c r="C38" s="15" t="str">
        <f>IFERROR(INDEX('قائمة الوحدات'!$B$2:$B$41,MATCH($B38,'قائمة الوحدات'!$A$2:$A$41,0)),"")</f>
        <v>EXE</v>
      </c>
      <c r="D38" s="14" t="str">
        <f>IFERROR(INDEX('قائمة الوحدات'!$C$2:$C$41,MATCH($B38,'قائمة الوحدات'!$A$2:$A$41,0)),"")</f>
        <v>الشؤون التنفيذية</v>
      </c>
      <c r="E38" s="14" t="str">
        <f>IFERROR(INDEX('قائمة الوحدات'!$D$2:$D$41,MATCH($B38,'قائمة الوحدات'!$A$2:$A$41,0)),"")</f>
        <v>وكالة الشؤون الفنية</v>
      </c>
      <c r="F38" s="14" t="str">
        <f>IFERROR(INDEX('قائمة الوحدات'!$F$2:$F$41,MATCH($B38,'قائمة الوحدات'!$A$2:$A$41,0)),"")</f>
        <v>الإدارة العامة للجودة والتطوير</v>
      </c>
      <c r="G38" s="16" t="s">
        <v>43</v>
      </c>
      <c r="H38" s="14" t="str">
        <f>IFERROR(INDEX(المرجع!$A$2:$A$19,MATCH($G38,المرجع!$B$2:$B$19,0)),"")</f>
        <v>التصميم</v>
      </c>
      <c r="I38" s="16" t="s">
        <v>59</v>
      </c>
      <c r="J38" s="14" t="str">
        <f>IFERROR(INDEX(المرجع!$D$2:$D$19,MATCH($I38,المرجع!$E$2:$E$19,0)),"")</f>
        <v>الإجراءات</v>
      </c>
      <c r="K38" s="16" t="s">
        <v>84</v>
      </c>
      <c r="L38" s="17" t="str">
        <f>IFERROR(INDEX('نقاط التحقق'!$G$2:$G$31,MATCH($K38,'نقاط التحقق'!$A$2:$A$31,0))&amp;"","")</f>
        <v>تفصيل المخرجات إلى إجراءات عالية المستوى</v>
      </c>
      <c r="M38" s="14" t="str">
        <f>IFERROR(INDEX('نقاط التحقق'!$H$2:$H$31,MATCH($K38,'نقاط التحقق'!$A$2:$A$31,0))&amp;"","")</f>
        <v/>
      </c>
      <c r="N38" s="13">
        <v>83</v>
      </c>
      <c r="O38" s="15" t="str">
        <f>IF($N38="","غير مقيّمة",IF($N38&gt;المرجع!$K$3,"مستوفاة بشكل متقدم",IF($N38&lt;=المرجع!$K$2,"مستوفاة بشكل أولي","مستوفاة بشكل جزئي")))</f>
        <v>مستوفاة بشكل متقدم</v>
      </c>
      <c r="P38" s="18"/>
    </row>
    <row r="39" spans="1:16">
      <c r="A39" s="16" t="s">
        <v>423</v>
      </c>
      <c r="B39" s="16" t="s">
        <v>160</v>
      </c>
      <c r="C39" s="15" t="str">
        <f>IFERROR(INDEX('قائمة الوحدات'!$B$2:$B$41,MATCH($B39,'قائمة الوحدات'!$A$2:$A$41,0)),"")</f>
        <v>EXE</v>
      </c>
      <c r="D39" s="14" t="str">
        <f>IFERROR(INDEX('قائمة الوحدات'!$C$2:$C$41,MATCH($B39,'قائمة الوحدات'!$A$2:$A$41,0)),"")</f>
        <v>الشؤون التنفيذية</v>
      </c>
      <c r="E39" s="14" t="str">
        <f>IFERROR(INDEX('قائمة الوحدات'!$D$2:$D$41,MATCH($B39,'قائمة الوحدات'!$A$2:$A$41,0)),"")</f>
        <v>وكالة الشؤون الفنية</v>
      </c>
      <c r="F39" s="14" t="str">
        <f>IFERROR(INDEX('قائمة الوحدات'!$F$2:$F$41,MATCH($B39,'قائمة الوحدات'!$A$2:$A$41,0)),"")</f>
        <v>الإدارة العامة للجودة والتطوير</v>
      </c>
      <c r="G39" s="16" t="s">
        <v>61</v>
      </c>
      <c r="H39" s="14" t="str">
        <f>IFERROR(INDEX(المرجع!$A$2:$A$19,MATCH($G39,المرجع!$B$2:$B$19,0)),"")</f>
        <v>البناء المؤسسي</v>
      </c>
      <c r="I39" s="16" t="s">
        <v>45</v>
      </c>
      <c r="J39" s="14" t="str">
        <f>IFERROR(INDEX(المرجع!$D$2:$D$19,MATCH($I39,المرجع!$E$2:$E$19,0)),"")</f>
        <v>الدور</v>
      </c>
      <c r="K39" s="16" t="s">
        <v>86</v>
      </c>
      <c r="L39" s="17" t="str">
        <f>IFERROR(INDEX('نقاط التحقق'!$G$2:$G$31,MATCH($K39,'نقاط التحقق'!$A$2:$A$31,0))&amp;"","")</f>
        <v>دور معتمد للوحدة التنظيمية</v>
      </c>
      <c r="M39" s="14" t="str">
        <f>IFERROR(INDEX('نقاط التحقق'!$H$2:$H$31,MATCH($K39,'نقاط التحقق'!$A$2:$A$31,0))&amp;"","")</f>
        <v/>
      </c>
      <c r="N39" s="13">
        <v>73</v>
      </c>
      <c r="O39" s="15" t="str">
        <f>IF($N39="","غير مقيّمة",IF($N39&gt;المرجع!$K$3,"مستوفاة بشكل متقدم",IF($N39&lt;=المرجع!$K$2,"مستوفاة بشكل أولي","مستوفاة بشكل جزئي")))</f>
        <v>مستوفاة بشكل متقدم</v>
      </c>
      <c r="P39" s="18"/>
    </row>
    <row r="40" spans="1:16">
      <c r="A40" s="16" t="s">
        <v>424</v>
      </c>
      <c r="B40" s="16" t="s">
        <v>160</v>
      </c>
      <c r="C40" s="15" t="str">
        <f>IFERROR(INDEX('قائمة الوحدات'!$B$2:$B$41,MATCH($B40,'قائمة الوحدات'!$A$2:$A$41,0)),"")</f>
        <v>EXE</v>
      </c>
      <c r="D40" s="14" t="str">
        <f>IFERROR(INDEX('قائمة الوحدات'!$C$2:$C$41,MATCH($B40,'قائمة الوحدات'!$A$2:$A$41,0)),"")</f>
        <v>الشؤون التنفيذية</v>
      </c>
      <c r="E40" s="14" t="str">
        <f>IFERROR(INDEX('قائمة الوحدات'!$D$2:$D$41,MATCH($B40,'قائمة الوحدات'!$A$2:$A$41,0)),"")</f>
        <v>وكالة الشؤون الفنية</v>
      </c>
      <c r="F40" s="14" t="str">
        <f>IFERROR(INDEX('قائمة الوحدات'!$F$2:$F$41,MATCH($B40,'قائمة الوحدات'!$A$2:$A$41,0)),"")</f>
        <v>الإدارة العامة للجودة والتطوير</v>
      </c>
      <c r="G40" s="16" t="s">
        <v>61</v>
      </c>
      <c r="H40" s="14" t="str">
        <f>IFERROR(INDEX(المرجع!$A$2:$A$19,MATCH($G40,المرجع!$B$2:$B$19,0)),"")</f>
        <v>البناء المؤسسي</v>
      </c>
      <c r="I40" s="16" t="s">
        <v>48</v>
      </c>
      <c r="J40" s="14" t="str">
        <f>IFERROR(INDEX(المرجع!$D$2:$D$19,MATCH($I40,المرجع!$E$2:$E$19,0)),"")</f>
        <v>الأهداف ومؤشرات الأداء</v>
      </c>
      <c r="K40" s="16" t="s">
        <v>88</v>
      </c>
      <c r="L40" s="17" t="str">
        <f>IFERROR(INDEX('نقاط التحقق'!$G$2:$G$31,MATCH($K40,'نقاط التحقق'!$A$2:$A$31,0))&amp;"","")</f>
        <v>أهداف تشغيلية معتمدة من صاحب الصلاحية</v>
      </c>
      <c r="M40" s="14" t="str">
        <f>IFERROR(INDEX('نقاط التحقق'!$H$2:$H$31,MATCH($K40,'نقاط التحقق'!$A$2:$A$31,0))&amp;"","")</f>
        <v/>
      </c>
      <c r="N40" s="13">
        <v>75</v>
      </c>
      <c r="O40" s="15" t="str">
        <f>IF($N40="","غير مقيّمة",IF($N40&gt;المرجع!$K$3,"مستوفاة بشكل متقدم",IF($N40&lt;=المرجع!$K$2,"مستوفاة بشكل أولي","مستوفاة بشكل جزئي")))</f>
        <v>مستوفاة بشكل متقدم</v>
      </c>
      <c r="P40" s="18"/>
    </row>
    <row r="41" spans="1:16">
      <c r="A41" s="16" t="s">
        <v>425</v>
      </c>
      <c r="B41" s="16" t="s">
        <v>160</v>
      </c>
      <c r="C41" s="15" t="str">
        <f>IFERROR(INDEX('قائمة الوحدات'!$B$2:$B$41,MATCH($B41,'قائمة الوحدات'!$A$2:$A$41,0)),"")</f>
        <v>EXE</v>
      </c>
      <c r="D41" s="14" t="str">
        <f>IFERROR(INDEX('قائمة الوحدات'!$C$2:$C$41,MATCH($B41,'قائمة الوحدات'!$A$2:$A$41,0)),"")</f>
        <v>الشؤون التنفيذية</v>
      </c>
      <c r="E41" s="14" t="str">
        <f>IFERROR(INDEX('قائمة الوحدات'!$D$2:$D$41,MATCH($B41,'قائمة الوحدات'!$A$2:$A$41,0)),"")</f>
        <v>وكالة الشؤون الفنية</v>
      </c>
      <c r="F41" s="14" t="str">
        <f>IFERROR(INDEX('قائمة الوحدات'!$F$2:$F$41,MATCH($B41,'قائمة الوحدات'!$A$2:$A$41,0)),"")</f>
        <v>الإدارة العامة للجودة والتطوير</v>
      </c>
      <c r="G41" s="16" t="s">
        <v>61</v>
      </c>
      <c r="H41" s="14" t="str">
        <f>IFERROR(INDEX(المرجع!$A$2:$A$19,MATCH($G41,المرجع!$B$2:$B$19,0)),"")</f>
        <v>البناء المؤسسي</v>
      </c>
      <c r="I41" s="16" t="s">
        <v>48</v>
      </c>
      <c r="J41" s="14" t="str">
        <f>IFERROR(INDEX(المرجع!$D$2:$D$19,MATCH($I41,المرجع!$E$2:$E$19,0)),"")</f>
        <v>الأهداف ومؤشرات الأداء</v>
      </c>
      <c r="K41" s="16" t="s">
        <v>90</v>
      </c>
      <c r="L41" s="17" t="str">
        <f>IFERROR(INDEX('نقاط التحقق'!$G$2:$G$31,MATCH($K41,'نقاط التحقق'!$A$2:$A$31,0))&amp;"","")</f>
        <v>نشر الأهداف التشغيلية على موظفي الوحدة التنظيمية</v>
      </c>
      <c r="M41" s="14" t="str">
        <f>IFERROR(INDEX('نقاط التحقق'!$H$2:$H$31,MATCH($K41,'نقاط التحقق'!$A$2:$A$31,0))&amp;"","")</f>
        <v/>
      </c>
      <c r="N41" s="13">
        <v>65</v>
      </c>
      <c r="O41" s="15" t="str">
        <f>IF($N41="","غير مقيّمة",IF($N41&gt;المرجع!$K$3,"مستوفاة بشكل متقدم",IF($N41&lt;=المرجع!$K$2,"مستوفاة بشكل أولي","مستوفاة بشكل جزئي")))</f>
        <v>مستوفاة بشكل جزئي</v>
      </c>
      <c r="P41" s="18"/>
    </row>
    <row r="42" spans="1:16">
      <c r="A42" s="16" t="s">
        <v>426</v>
      </c>
      <c r="B42" s="16" t="s">
        <v>160</v>
      </c>
      <c r="C42" s="15" t="str">
        <f>IFERROR(INDEX('قائمة الوحدات'!$B$2:$B$41,MATCH($B42,'قائمة الوحدات'!$A$2:$A$41,0)),"")</f>
        <v>EXE</v>
      </c>
      <c r="D42" s="14" t="str">
        <f>IFERROR(INDEX('قائمة الوحدات'!$C$2:$C$41,MATCH($B42,'قائمة الوحدات'!$A$2:$A$41,0)),"")</f>
        <v>الشؤون التنفيذية</v>
      </c>
      <c r="E42" s="14" t="str">
        <f>IFERROR(INDEX('قائمة الوحدات'!$D$2:$D$41,MATCH($B42,'قائمة الوحدات'!$A$2:$A$41,0)),"")</f>
        <v>وكالة الشؤون الفنية</v>
      </c>
      <c r="F42" s="14" t="str">
        <f>IFERROR(INDEX('قائمة الوحدات'!$F$2:$F$41,MATCH($B42,'قائمة الوحدات'!$A$2:$A$41,0)),"")</f>
        <v>الإدارة العامة للجودة والتطوير</v>
      </c>
      <c r="G42" s="16" t="s">
        <v>61</v>
      </c>
      <c r="H42" s="14" t="str">
        <f>IFERROR(INDEX(المرجع!$A$2:$A$19,MATCH($G42,المرجع!$B$2:$B$19,0)),"")</f>
        <v>البناء المؤسسي</v>
      </c>
      <c r="I42" s="16" t="s">
        <v>51</v>
      </c>
      <c r="J42" s="14" t="str">
        <f>IFERROR(INDEX(المرجع!$D$2:$D$19,MATCH($I42,المرجع!$E$2:$E$19,0)),"")</f>
        <v>الحوكمة</v>
      </c>
      <c r="K42" s="16" t="s">
        <v>92</v>
      </c>
      <c r="L42" s="17" t="str">
        <f>IFERROR(INDEX('نقاط التحقق'!$G$2:$G$31,MATCH($K42,'نقاط التحقق'!$A$2:$A$31,0))&amp;"","")</f>
        <v>مصفوفة صلاحيات معتمدة ومعممة على أصحاب المصلحة</v>
      </c>
      <c r="M42" s="14" t="str">
        <f>IFERROR(INDEX('نقاط التحقق'!$H$2:$H$31,MATCH($K42,'نقاط التحقق'!$A$2:$A$31,0))&amp;"","")</f>
        <v/>
      </c>
      <c r="N42" s="13">
        <v>80</v>
      </c>
      <c r="O42" s="15" t="str">
        <f>IF($N42="","غير مقيّمة",IF($N42&gt;المرجع!$K$3,"مستوفاة بشكل متقدم",IF($N42&lt;=المرجع!$K$2,"مستوفاة بشكل أولي","مستوفاة بشكل جزئي")))</f>
        <v>مستوفاة بشكل متقدم</v>
      </c>
      <c r="P42" s="18"/>
    </row>
    <row r="43" spans="1:16">
      <c r="A43" s="16" t="s">
        <v>427</v>
      </c>
      <c r="B43" s="16" t="s">
        <v>160</v>
      </c>
      <c r="C43" s="15" t="str">
        <f>IFERROR(INDEX('قائمة الوحدات'!$B$2:$B$41,MATCH($B43,'قائمة الوحدات'!$A$2:$A$41,0)),"")</f>
        <v>EXE</v>
      </c>
      <c r="D43" s="14" t="str">
        <f>IFERROR(INDEX('قائمة الوحدات'!$C$2:$C$41,MATCH($B43,'قائمة الوحدات'!$A$2:$A$41,0)),"")</f>
        <v>الشؤون التنفيذية</v>
      </c>
      <c r="E43" s="14" t="str">
        <f>IFERROR(INDEX('قائمة الوحدات'!$D$2:$D$41,MATCH($B43,'قائمة الوحدات'!$A$2:$A$41,0)),"")</f>
        <v>وكالة الشؤون الفنية</v>
      </c>
      <c r="F43" s="14" t="str">
        <f>IFERROR(INDEX('قائمة الوحدات'!$F$2:$F$41,MATCH($B43,'قائمة الوحدات'!$A$2:$A$41,0)),"")</f>
        <v>الإدارة العامة للجودة والتطوير</v>
      </c>
      <c r="G43" s="16" t="s">
        <v>61</v>
      </c>
      <c r="H43" s="14" t="str">
        <f>IFERROR(INDEX(المرجع!$A$2:$A$19,MATCH($G43,المرجع!$B$2:$B$19,0)),"")</f>
        <v>البناء المؤسسي</v>
      </c>
      <c r="I43" s="16" t="s">
        <v>51</v>
      </c>
      <c r="J43" s="14" t="str">
        <f>IFERROR(INDEX(المرجع!$D$2:$D$19,MATCH($I43,المرجع!$E$2:$E$19,0)),"")</f>
        <v>الحوكمة</v>
      </c>
      <c r="K43" s="16" t="s">
        <v>94</v>
      </c>
      <c r="L43" s="17" t="str">
        <f>IFERROR(INDEX('نقاط التحقق'!$G$2:$G$31,MATCH($K43,'نقاط التحقق'!$A$2:$A$31,0))&amp;"","")</f>
        <v>سياسات معتمدة للتي تملكها الوحدة التنظيمية</v>
      </c>
      <c r="M43" s="14" t="str">
        <f>IFERROR(INDEX('نقاط التحقق'!$H$2:$H$31,MATCH($K43,'نقاط التحقق'!$A$2:$A$31,0))&amp;"","")</f>
        <v/>
      </c>
      <c r="N43" s="13">
        <v>75</v>
      </c>
      <c r="O43" s="15" t="str">
        <f>IF($N43="","غير مقيّمة",IF($N43&gt;المرجع!$K$3,"مستوفاة بشكل متقدم",IF($N43&lt;=المرجع!$K$2,"مستوفاة بشكل أولي","مستوفاة بشكل جزئي")))</f>
        <v>مستوفاة بشكل متقدم</v>
      </c>
      <c r="P43" s="18"/>
    </row>
    <row r="44" spans="1:16">
      <c r="A44" s="16" t="s">
        <v>428</v>
      </c>
      <c r="B44" s="16" t="s">
        <v>160</v>
      </c>
      <c r="C44" s="15" t="str">
        <f>IFERROR(INDEX('قائمة الوحدات'!$B$2:$B$41,MATCH($B44,'قائمة الوحدات'!$A$2:$A$41,0)),"")</f>
        <v>EXE</v>
      </c>
      <c r="D44" s="14" t="str">
        <f>IFERROR(INDEX('قائمة الوحدات'!$C$2:$C$41,MATCH($B44,'قائمة الوحدات'!$A$2:$A$41,0)),"")</f>
        <v>الشؤون التنفيذية</v>
      </c>
      <c r="E44" s="14" t="str">
        <f>IFERROR(INDEX('قائمة الوحدات'!$D$2:$D$41,MATCH($B44,'قائمة الوحدات'!$A$2:$A$41,0)),"")</f>
        <v>وكالة الشؤون الفنية</v>
      </c>
      <c r="F44" s="14" t="str">
        <f>IFERROR(INDEX('قائمة الوحدات'!$F$2:$F$41,MATCH($B44,'قائمة الوحدات'!$A$2:$A$41,0)),"")</f>
        <v>الإدارة العامة للجودة والتطوير</v>
      </c>
      <c r="G44" s="16" t="s">
        <v>61</v>
      </c>
      <c r="H44" s="14" t="str">
        <f>IFERROR(INDEX(المرجع!$A$2:$A$19,MATCH($G44,المرجع!$B$2:$B$19,0)),"")</f>
        <v>البناء المؤسسي</v>
      </c>
      <c r="I44" s="16" t="s">
        <v>51</v>
      </c>
      <c r="J44" s="14" t="str">
        <f>IFERROR(INDEX(المرجع!$D$2:$D$19,MATCH($I44,المرجع!$E$2:$E$19,0)),"")</f>
        <v>الحوكمة</v>
      </c>
      <c r="K44" s="16" t="s">
        <v>96</v>
      </c>
      <c r="L44" s="17" t="str">
        <f>IFERROR(INDEX('نقاط التحقق'!$G$2:$G$31,MATCH($K44,'نقاط التحقق'!$A$2:$A$31,0))&amp;"","")</f>
        <v>قرار تشكيل معتمد للجان ذات العلاقة</v>
      </c>
      <c r="M44" s="14" t="str">
        <f>IFERROR(INDEX('نقاط التحقق'!$H$2:$H$31,MATCH($K44,'نقاط التحقق'!$A$2:$A$31,0))&amp;"","")</f>
        <v/>
      </c>
      <c r="N44" s="13">
        <v>75</v>
      </c>
      <c r="O44" s="15" t="str">
        <f>IF($N44="","غير مقيّمة",IF($N44&gt;المرجع!$K$3,"مستوفاة بشكل متقدم",IF($N44&lt;=المرجع!$K$2,"مستوفاة بشكل أولي","مستوفاة بشكل جزئي")))</f>
        <v>مستوفاة بشكل متقدم</v>
      </c>
      <c r="P44" s="18"/>
    </row>
    <row r="45" spans="1:16">
      <c r="A45" s="16" t="s">
        <v>429</v>
      </c>
      <c r="B45" s="16" t="s">
        <v>160</v>
      </c>
      <c r="C45" s="15" t="str">
        <f>IFERROR(INDEX('قائمة الوحدات'!$B$2:$B$41,MATCH($B45,'قائمة الوحدات'!$A$2:$A$41,0)),"")</f>
        <v>EXE</v>
      </c>
      <c r="D45" s="14" t="str">
        <f>IFERROR(INDEX('قائمة الوحدات'!$C$2:$C$41,MATCH($B45,'قائمة الوحدات'!$A$2:$A$41,0)),"")</f>
        <v>الشؤون التنفيذية</v>
      </c>
      <c r="E45" s="14" t="str">
        <f>IFERROR(INDEX('قائمة الوحدات'!$D$2:$D$41,MATCH($B45,'قائمة الوحدات'!$A$2:$A$41,0)),"")</f>
        <v>وكالة الشؤون الفنية</v>
      </c>
      <c r="F45" s="14" t="str">
        <f>IFERROR(INDEX('قائمة الوحدات'!$F$2:$F$41,MATCH($B45,'قائمة الوحدات'!$A$2:$A$41,0)),"")</f>
        <v>الإدارة العامة للجودة والتطوير</v>
      </c>
      <c r="G45" s="16" t="s">
        <v>61</v>
      </c>
      <c r="H45" s="14" t="str">
        <f>IFERROR(INDEX(المرجع!$A$2:$A$19,MATCH($G45,المرجع!$B$2:$B$19,0)),"")</f>
        <v>البناء المؤسسي</v>
      </c>
      <c r="I45" s="16" t="s">
        <v>54</v>
      </c>
      <c r="J45" s="14" t="str">
        <f>IFERROR(INDEX(المرجع!$D$2:$D$19,MATCH($I45,المرجع!$E$2:$E$19,0)),"")</f>
        <v>التنظيم</v>
      </c>
      <c r="K45" s="16" t="s">
        <v>98</v>
      </c>
      <c r="L45" s="17" t="str">
        <f>IFERROR(INDEX('نقاط التحقق'!$G$2:$G$31,MATCH($K45,'نقاط التحقق'!$A$2:$A$31,0))&amp;"","")</f>
        <v>هيكل تنظيمي معتمد من صاحب الصلاحية</v>
      </c>
      <c r="M45" s="14" t="str">
        <f>IFERROR(INDEX('نقاط التحقق'!$H$2:$H$31,MATCH($K45,'نقاط التحقق'!$A$2:$A$31,0))&amp;"","")</f>
        <v/>
      </c>
      <c r="N45" s="13">
        <v>45</v>
      </c>
      <c r="O45" s="15" t="str">
        <f>IF($N45="","غير مقيّمة",IF($N45&gt;المرجع!$K$3,"مستوفاة بشكل متقدم",IF($N45&lt;=المرجع!$K$2,"مستوفاة بشكل أولي","مستوفاة بشكل جزئي")))</f>
        <v>مستوفاة بشكل جزئي</v>
      </c>
      <c r="P45" s="18"/>
    </row>
    <row r="46" spans="1:16">
      <c r="A46" s="16" t="s">
        <v>430</v>
      </c>
      <c r="B46" s="16" t="s">
        <v>160</v>
      </c>
      <c r="C46" s="15" t="str">
        <f>IFERROR(INDEX('قائمة الوحدات'!$B$2:$B$41,MATCH($B46,'قائمة الوحدات'!$A$2:$A$41,0)),"")</f>
        <v>EXE</v>
      </c>
      <c r="D46" s="14" t="str">
        <f>IFERROR(INDEX('قائمة الوحدات'!$C$2:$C$41,MATCH($B46,'قائمة الوحدات'!$A$2:$A$41,0)),"")</f>
        <v>الشؤون التنفيذية</v>
      </c>
      <c r="E46" s="14" t="str">
        <f>IFERROR(INDEX('قائمة الوحدات'!$D$2:$D$41,MATCH($B46,'قائمة الوحدات'!$A$2:$A$41,0)),"")</f>
        <v>وكالة الشؤون الفنية</v>
      </c>
      <c r="F46" s="14" t="str">
        <f>IFERROR(INDEX('قائمة الوحدات'!$F$2:$F$41,MATCH($B46,'قائمة الوحدات'!$A$2:$A$41,0)),"")</f>
        <v>الإدارة العامة للجودة والتطوير</v>
      </c>
      <c r="G46" s="16" t="s">
        <v>61</v>
      </c>
      <c r="H46" s="14" t="str">
        <f>IFERROR(INDEX(المرجع!$A$2:$A$19,MATCH($G46,المرجع!$B$2:$B$19,0)),"")</f>
        <v>البناء المؤسسي</v>
      </c>
      <c r="I46" s="16" t="s">
        <v>54</v>
      </c>
      <c r="J46" s="14" t="str">
        <f>IFERROR(INDEX(المرجع!$D$2:$D$19,MATCH($I46,المرجع!$E$2:$E$19,0)),"")</f>
        <v>التنظيم</v>
      </c>
      <c r="K46" s="16" t="s">
        <v>100</v>
      </c>
      <c r="L46" s="17" t="str">
        <f>IFERROR(INDEX('نقاط التحقق'!$G$2:$G$31,MATCH($K46,'نقاط التحقق'!$A$2:$A$31,0))&amp;"","")</f>
        <v>هيكل تنظيمي منشأ على نظام القوى العاملة</v>
      </c>
      <c r="M46" s="14" t="str">
        <f>IFERROR(INDEX('نقاط التحقق'!$H$2:$H$31,MATCH($K46,'نقاط التحقق'!$A$2:$A$31,0))&amp;"","")</f>
        <v/>
      </c>
      <c r="N46" s="13">
        <v>75</v>
      </c>
      <c r="O46" s="15" t="str">
        <f>IF($N46="","غير مقيّمة",IF($N46&gt;المرجع!$K$3,"مستوفاة بشكل متقدم",IF($N46&lt;=المرجع!$K$2,"مستوفاة بشكل أولي","مستوفاة بشكل جزئي")))</f>
        <v>مستوفاة بشكل متقدم</v>
      </c>
      <c r="P46" s="18"/>
    </row>
    <row r="47" spans="1:16">
      <c r="A47" s="16" t="s">
        <v>431</v>
      </c>
      <c r="B47" s="16" t="s">
        <v>160</v>
      </c>
      <c r="C47" s="15" t="str">
        <f>IFERROR(INDEX('قائمة الوحدات'!$B$2:$B$41,MATCH($B47,'قائمة الوحدات'!$A$2:$A$41,0)),"")</f>
        <v>EXE</v>
      </c>
      <c r="D47" s="14" t="str">
        <f>IFERROR(INDEX('قائمة الوحدات'!$C$2:$C$41,MATCH($B47,'قائمة الوحدات'!$A$2:$A$41,0)),"")</f>
        <v>الشؤون التنفيذية</v>
      </c>
      <c r="E47" s="14" t="str">
        <f>IFERROR(INDEX('قائمة الوحدات'!$D$2:$D$41,MATCH($B47,'قائمة الوحدات'!$A$2:$A$41,0)),"")</f>
        <v>وكالة الشؤون الفنية</v>
      </c>
      <c r="F47" s="14" t="str">
        <f>IFERROR(INDEX('قائمة الوحدات'!$F$2:$F$41,MATCH($B47,'قائمة الوحدات'!$A$2:$A$41,0)),"")</f>
        <v>الإدارة العامة للجودة والتطوير</v>
      </c>
      <c r="G47" s="16" t="s">
        <v>61</v>
      </c>
      <c r="H47" s="14" t="str">
        <f>IFERROR(INDEX(المرجع!$A$2:$A$19,MATCH($G47,المرجع!$B$2:$B$19,0)),"")</f>
        <v>البناء المؤسسي</v>
      </c>
      <c r="I47" s="16" t="s">
        <v>54</v>
      </c>
      <c r="J47" s="14" t="str">
        <f>IFERROR(INDEX(المرجع!$D$2:$D$19,MATCH($I47,المرجع!$E$2:$E$19,0)),"")</f>
        <v>التنظيم</v>
      </c>
      <c r="K47" s="16" t="s">
        <v>102</v>
      </c>
      <c r="L47" s="17" t="str">
        <f>IFERROR(INDEX('نقاط التحقق'!$G$2:$G$31,MATCH($K47,'نقاط التحقق'!$A$2:$A$31,0))&amp;"","")</f>
        <v>الموظفون المحددون مسكّنون على الهيكل التنظيمي المستهدف</v>
      </c>
      <c r="M47" s="14" t="str">
        <f>IFERROR(INDEX('نقاط التحقق'!$H$2:$H$31,MATCH($K47,'نقاط التحقق'!$A$2:$A$31,0))&amp;"","")</f>
        <v/>
      </c>
      <c r="N47" s="13">
        <v>55</v>
      </c>
      <c r="O47" s="15" t="str">
        <f>IF($N47="","غير مقيّمة",IF($N47&gt;المرجع!$K$3,"مستوفاة بشكل متقدم",IF($N47&lt;=المرجع!$K$2,"مستوفاة بشكل أولي","مستوفاة بشكل جزئي")))</f>
        <v>مستوفاة بشكل جزئي</v>
      </c>
      <c r="P47" s="18"/>
    </row>
    <row r="48" spans="1:16">
      <c r="A48" s="16" t="s">
        <v>432</v>
      </c>
      <c r="B48" s="16" t="s">
        <v>160</v>
      </c>
      <c r="C48" s="15" t="str">
        <f>IFERROR(INDEX('قائمة الوحدات'!$B$2:$B$41,MATCH($B48,'قائمة الوحدات'!$A$2:$A$41,0)),"")</f>
        <v>EXE</v>
      </c>
      <c r="D48" s="14" t="str">
        <f>IFERROR(INDEX('قائمة الوحدات'!$C$2:$C$41,MATCH($B48,'قائمة الوحدات'!$A$2:$A$41,0)),"")</f>
        <v>الشؤون التنفيذية</v>
      </c>
      <c r="E48" s="14" t="str">
        <f>IFERROR(INDEX('قائمة الوحدات'!$D$2:$D$41,MATCH($B48,'قائمة الوحدات'!$A$2:$A$41,0)),"")</f>
        <v>وكالة الشؤون الفنية</v>
      </c>
      <c r="F48" s="14" t="str">
        <f>IFERROR(INDEX('قائمة الوحدات'!$F$2:$F$41,MATCH($B48,'قائمة الوحدات'!$A$2:$A$41,0)),"")</f>
        <v>الإدارة العامة للجودة والتطوير</v>
      </c>
      <c r="G48" s="16" t="s">
        <v>61</v>
      </c>
      <c r="H48" s="14" t="str">
        <f>IFERROR(INDEX(المرجع!$A$2:$A$19,MATCH($G48,المرجع!$B$2:$B$19,0)),"")</f>
        <v>البناء المؤسسي</v>
      </c>
      <c r="I48" s="16" t="s">
        <v>56</v>
      </c>
      <c r="J48" s="14" t="str">
        <f>IFERROR(INDEX(المرجع!$D$2:$D$19,MATCH($I48,المرجع!$E$2:$E$19,0)),"")</f>
        <v>الموارد</v>
      </c>
      <c r="K48" s="16" t="s">
        <v>104</v>
      </c>
      <c r="L48" s="17" t="str">
        <f>IFERROR(INDEX('نقاط التحقق'!$G$2:$G$31,MATCH($K48,'نقاط التحقق'!$A$2:$A$31,0))&amp;"","")</f>
        <v>مدير الوحدة التنظيمية والموظفون الرئيسيون معينون/ملحقون</v>
      </c>
      <c r="M48" s="14" t="str">
        <f>IFERROR(INDEX('نقاط التحقق'!$H$2:$H$31,MATCH($K48,'نقاط التحقق'!$A$2:$A$31,0))&amp;"","")</f>
        <v/>
      </c>
      <c r="N48" s="13">
        <v>65</v>
      </c>
      <c r="O48" s="15" t="str">
        <f>IF($N48="","غير مقيّمة",IF($N48&gt;المرجع!$K$3,"مستوفاة بشكل متقدم",IF($N48&lt;=المرجع!$K$2,"مستوفاة بشكل أولي","مستوفاة بشكل جزئي")))</f>
        <v>مستوفاة بشكل جزئي</v>
      </c>
      <c r="P48" s="18"/>
    </row>
    <row r="49" spans="1:16">
      <c r="A49" s="16" t="s">
        <v>433</v>
      </c>
      <c r="B49" s="16" t="s">
        <v>160</v>
      </c>
      <c r="C49" s="15" t="str">
        <f>IFERROR(INDEX('قائمة الوحدات'!$B$2:$B$41,MATCH($B49,'قائمة الوحدات'!$A$2:$A$41,0)),"")</f>
        <v>EXE</v>
      </c>
      <c r="D49" s="14" t="str">
        <f>IFERROR(INDEX('قائمة الوحدات'!$C$2:$C$41,MATCH($B49,'قائمة الوحدات'!$A$2:$A$41,0)),"")</f>
        <v>الشؤون التنفيذية</v>
      </c>
      <c r="E49" s="14" t="str">
        <f>IFERROR(INDEX('قائمة الوحدات'!$D$2:$D$41,MATCH($B49,'قائمة الوحدات'!$A$2:$A$41,0)),"")</f>
        <v>وكالة الشؤون الفنية</v>
      </c>
      <c r="F49" s="14" t="str">
        <f>IFERROR(INDEX('قائمة الوحدات'!$F$2:$F$41,MATCH($B49,'قائمة الوحدات'!$A$2:$A$41,0)),"")</f>
        <v>الإدارة العامة للجودة والتطوير</v>
      </c>
      <c r="G49" s="16" t="s">
        <v>61</v>
      </c>
      <c r="H49" s="14" t="str">
        <f>IFERROR(INDEX(المرجع!$A$2:$A$19,MATCH($G49,المرجع!$B$2:$B$19,0)),"")</f>
        <v>البناء المؤسسي</v>
      </c>
      <c r="I49" s="16" t="s">
        <v>56</v>
      </c>
      <c r="J49" s="14" t="str">
        <f>IFERROR(INDEX(المرجع!$D$2:$D$19,MATCH($I49,المرجع!$E$2:$E$19,0)),"")</f>
        <v>الموارد</v>
      </c>
      <c r="K49" s="16" t="s">
        <v>106</v>
      </c>
      <c r="L49" s="17" t="str">
        <f>IFERROR(INDEX('نقاط التحقق'!$G$2:$G$31,MATCH($K49,'نقاط التحقق'!$A$2:$A$31,0))&amp;"","")</f>
        <v>خطة توظيف وتدريب مستكملة</v>
      </c>
      <c r="M49" s="14" t="str">
        <f>IFERROR(INDEX('نقاط التحقق'!$H$2:$H$31,MATCH($K49,'نقاط التحقق'!$A$2:$A$31,0))&amp;"","")</f>
        <v/>
      </c>
      <c r="N49" s="13">
        <v>45</v>
      </c>
      <c r="O49" s="15" t="str">
        <f>IF($N49="","غير مقيّمة",IF($N49&gt;المرجع!$K$3,"مستوفاة بشكل متقدم",IF($N49&lt;=المرجع!$K$2,"مستوفاة بشكل أولي","مستوفاة بشكل جزئي")))</f>
        <v>مستوفاة بشكل جزئي</v>
      </c>
      <c r="P49" s="18"/>
    </row>
    <row r="50" spans="1:16">
      <c r="A50" s="16" t="s">
        <v>434</v>
      </c>
      <c r="B50" s="16" t="s">
        <v>160</v>
      </c>
      <c r="C50" s="15" t="str">
        <f>IFERROR(INDEX('قائمة الوحدات'!$B$2:$B$41,MATCH($B50,'قائمة الوحدات'!$A$2:$A$41,0)),"")</f>
        <v>EXE</v>
      </c>
      <c r="D50" s="14" t="str">
        <f>IFERROR(INDEX('قائمة الوحدات'!$C$2:$C$41,MATCH($B50,'قائمة الوحدات'!$A$2:$A$41,0)),"")</f>
        <v>الشؤون التنفيذية</v>
      </c>
      <c r="E50" s="14" t="str">
        <f>IFERROR(INDEX('قائمة الوحدات'!$D$2:$D$41,MATCH($B50,'قائمة الوحدات'!$A$2:$A$41,0)),"")</f>
        <v>وكالة الشؤون الفنية</v>
      </c>
      <c r="F50" s="14" t="str">
        <f>IFERROR(INDEX('قائمة الوحدات'!$F$2:$F$41,MATCH($B50,'قائمة الوحدات'!$A$2:$A$41,0)),"")</f>
        <v>الإدارة العامة للجودة والتطوير</v>
      </c>
      <c r="G50" s="16" t="s">
        <v>61</v>
      </c>
      <c r="H50" s="14" t="str">
        <f>IFERROR(INDEX(المرجع!$A$2:$A$19,MATCH($G50,المرجع!$B$2:$B$19,0)),"")</f>
        <v>البناء المؤسسي</v>
      </c>
      <c r="I50" s="16" t="s">
        <v>56</v>
      </c>
      <c r="J50" s="14" t="str">
        <f>IFERROR(INDEX(المرجع!$D$2:$D$19,MATCH($I50,المرجع!$E$2:$E$19,0)),"")</f>
        <v>الموارد</v>
      </c>
      <c r="K50" s="16" t="s">
        <v>108</v>
      </c>
      <c r="L50" s="17" t="str">
        <f>IFERROR(INDEX('نقاط التحقق'!$G$2:$G$31,MATCH($K50,'نقاط التحقق'!$A$2:$A$31,0))&amp;"","")</f>
        <v>وجود مساحات مكتبية كافية</v>
      </c>
      <c r="M50" s="14" t="str">
        <f>IFERROR(INDEX('نقاط التحقق'!$H$2:$H$31,MATCH($K50,'نقاط التحقق'!$A$2:$A$31,0))&amp;"","")</f>
        <v/>
      </c>
      <c r="N50" s="13">
        <v>35</v>
      </c>
      <c r="O50" s="15" t="str">
        <f>IF($N50="","غير مقيّمة",IF($N50&gt;المرجع!$K$3,"مستوفاة بشكل متقدم",IF($N50&lt;=المرجع!$K$2,"مستوفاة بشكل أولي","مستوفاة بشكل جزئي")))</f>
        <v>مستوفاة بشكل جزئي</v>
      </c>
      <c r="P50" s="18"/>
    </row>
    <row r="51" spans="1:16">
      <c r="A51" s="16" t="s">
        <v>435</v>
      </c>
      <c r="B51" s="16" t="s">
        <v>160</v>
      </c>
      <c r="C51" s="15" t="str">
        <f>IFERROR(INDEX('قائمة الوحدات'!$B$2:$B$41,MATCH($B51,'قائمة الوحدات'!$A$2:$A$41,0)),"")</f>
        <v>EXE</v>
      </c>
      <c r="D51" s="14" t="str">
        <f>IFERROR(INDEX('قائمة الوحدات'!$C$2:$C$41,MATCH($B51,'قائمة الوحدات'!$A$2:$A$41,0)),"")</f>
        <v>الشؤون التنفيذية</v>
      </c>
      <c r="E51" s="14" t="str">
        <f>IFERROR(INDEX('قائمة الوحدات'!$D$2:$D$41,MATCH($B51,'قائمة الوحدات'!$A$2:$A$41,0)),"")</f>
        <v>وكالة الشؤون الفنية</v>
      </c>
      <c r="F51" s="14" t="str">
        <f>IFERROR(INDEX('قائمة الوحدات'!$F$2:$F$41,MATCH($B51,'قائمة الوحدات'!$A$2:$A$41,0)),"")</f>
        <v>الإدارة العامة للجودة والتطوير</v>
      </c>
      <c r="G51" s="16" t="s">
        <v>61</v>
      </c>
      <c r="H51" s="14" t="str">
        <f>IFERROR(INDEX(المرجع!$A$2:$A$19,MATCH($G51,المرجع!$B$2:$B$19,0)),"")</f>
        <v>البناء المؤسسي</v>
      </c>
      <c r="I51" s="16" t="s">
        <v>56</v>
      </c>
      <c r="J51" s="14" t="str">
        <f>IFERROR(INDEX(المرجع!$D$2:$D$19,MATCH($I51,المرجع!$E$2:$E$19,0)),"")</f>
        <v>الموارد</v>
      </c>
      <c r="K51" s="16" t="s">
        <v>110</v>
      </c>
      <c r="L51" s="17" t="str">
        <f>IFERROR(INDEX('نقاط التحقق'!$G$2:$G$31,MATCH($K51,'نقاط التحقق'!$A$2:$A$31,0))&amp;"","")</f>
        <v>وجود الاحتياجات التقنية الأساسية</v>
      </c>
      <c r="M51" s="14" t="str">
        <f>IFERROR(INDEX('نقاط التحقق'!$H$2:$H$31,MATCH($K51,'نقاط التحقق'!$A$2:$A$31,0))&amp;"","")</f>
        <v/>
      </c>
      <c r="N51" s="13">
        <v>55</v>
      </c>
      <c r="O51" s="15" t="str">
        <f>IF($N51="","غير مقيّمة",IF($N51&gt;المرجع!$K$3,"مستوفاة بشكل متقدم",IF($N51&lt;=المرجع!$K$2,"مستوفاة بشكل أولي","مستوفاة بشكل جزئي")))</f>
        <v>مستوفاة بشكل جزئي</v>
      </c>
      <c r="P51" s="18"/>
    </row>
    <row r="52" spans="1:16">
      <c r="A52" s="16" t="s">
        <v>436</v>
      </c>
      <c r="B52" s="16" t="s">
        <v>160</v>
      </c>
      <c r="C52" s="15" t="str">
        <f>IFERROR(INDEX('قائمة الوحدات'!$B$2:$B$41,MATCH($B52,'قائمة الوحدات'!$A$2:$A$41,0)),"")</f>
        <v>EXE</v>
      </c>
      <c r="D52" s="14" t="str">
        <f>IFERROR(INDEX('قائمة الوحدات'!$C$2:$C$41,MATCH($B52,'قائمة الوحدات'!$A$2:$A$41,0)),"")</f>
        <v>الشؤون التنفيذية</v>
      </c>
      <c r="E52" s="14" t="str">
        <f>IFERROR(INDEX('قائمة الوحدات'!$D$2:$D$41,MATCH($B52,'قائمة الوحدات'!$A$2:$A$41,0)),"")</f>
        <v>وكالة الشؤون الفنية</v>
      </c>
      <c r="F52" s="14" t="str">
        <f>IFERROR(INDEX('قائمة الوحدات'!$F$2:$F$41,MATCH($B52,'قائمة الوحدات'!$A$2:$A$41,0)),"")</f>
        <v>الإدارة العامة للجودة والتطوير</v>
      </c>
      <c r="G52" s="16" t="s">
        <v>61</v>
      </c>
      <c r="H52" s="14" t="str">
        <f>IFERROR(INDEX(المرجع!$A$2:$A$19,MATCH($G52,المرجع!$B$2:$B$19,0)),"")</f>
        <v>البناء المؤسسي</v>
      </c>
      <c r="I52" s="16" t="s">
        <v>59</v>
      </c>
      <c r="J52" s="14" t="str">
        <f>IFERROR(INDEX(المرجع!$D$2:$D$19,MATCH($I52,المرجع!$E$2:$E$19,0)),"")</f>
        <v>الإجراءات</v>
      </c>
      <c r="K52" s="16" t="s">
        <v>112</v>
      </c>
      <c r="L52" s="17" t="str">
        <f>IFERROR(INDEX('نقاط التحقق'!$G$2:$G$31,MATCH($K52,'نقاط التحقق'!$A$2:$A$31,0))&amp;"","")</f>
        <v>إجراءات معتمدة للوحدة التنظيمية</v>
      </c>
      <c r="M52" s="14" t="str">
        <f>IFERROR(INDEX('نقاط التحقق'!$H$2:$H$31,MATCH($K52,'نقاط التحقق'!$A$2:$A$31,0))&amp;"","")</f>
        <v/>
      </c>
      <c r="N52" s="13">
        <v>50</v>
      </c>
      <c r="O52" s="15" t="str">
        <f>IF($N52="","غير مقيّمة",IF($N52&gt;المرجع!$K$3,"مستوفاة بشكل متقدم",IF($N52&lt;=المرجع!$K$2,"مستوفاة بشكل أولي","مستوفاة بشكل جزئي")))</f>
        <v>مستوفاة بشكل جزئي</v>
      </c>
      <c r="P52" s="18"/>
    </row>
    <row r="53" spans="1:16">
      <c r="A53" s="16" t="s">
        <v>437</v>
      </c>
      <c r="B53" s="16" t="s">
        <v>160</v>
      </c>
      <c r="C53" s="15" t="str">
        <f>IFERROR(INDEX('قائمة الوحدات'!$B$2:$B$41,MATCH($B53,'قائمة الوحدات'!$A$2:$A$41,0)),"")</f>
        <v>EXE</v>
      </c>
      <c r="D53" s="14" t="str">
        <f>IFERROR(INDEX('قائمة الوحدات'!$C$2:$C$41,MATCH($B53,'قائمة الوحدات'!$A$2:$A$41,0)),"")</f>
        <v>الشؤون التنفيذية</v>
      </c>
      <c r="E53" s="14" t="str">
        <f>IFERROR(INDEX('قائمة الوحدات'!$D$2:$D$41,MATCH($B53,'قائمة الوحدات'!$A$2:$A$41,0)),"")</f>
        <v>وكالة الشؤون الفنية</v>
      </c>
      <c r="F53" s="14" t="str">
        <f>IFERROR(INDEX('قائمة الوحدات'!$F$2:$F$41,MATCH($B53,'قائمة الوحدات'!$A$2:$A$41,0)),"")</f>
        <v>الإدارة العامة للجودة والتطوير</v>
      </c>
      <c r="G53" s="16" t="s">
        <v>61</v>
      </c>
      <c r="H53" s="14" t="str">
        <f>IFERROR(INDEX(المرجع!$A$2:$A$19,MATCH($G53,المرجع!$B$2:$B$19,0)),"")</f>
        <v>البناء المؤسسي</v>
      </c>
      <c r="I53" s="16" t="s">
        <v>63</v>
      </c>
      <c r="J53" s="14" t="str">
        <f>IFERROR(INDEX(المرجع!$D$2:$D$19,MATCH($I53,المرجع!$E$2:$E$19,0)),"")</f>
        <v>إنتاج المخرج الأول</v>
      </c>
      <c r="K53" s="16" t="s">
        <v>114</v>
      </c>
      <c r="L53" s="17" t="str">
        <f>IFERROR(INDEX('نقاط التحقق'!$G$2:$G$31,MATCH($K53,'نقاط التحقق'!$A$2:$A$31,0))&amp;"","")</f>
        <v>إنتاج المخرج الأول من قبل الوحدة التنظيمية</v>
      </c>
      <c r="M53" s="14" t="str">
        <f>IFERROR(INDEX('نقاط التحقق'!$H$2:$H$31,MATCH($K53,'نقاط التحقق'!$A$2:$A$31,0))&amp;"","")</f>
        <v/>
      </c>
      <c r="N53" s="13">
        <v>81</v>
      </c>
      <c r="O53" s="15" t="str">
        <f>IF($N53="","غير مقيّمة",IF($N53&gt;المرجع!$K$3,"مستوفاة بشكل متقدم",IF($N53&lt;=المرجع!$K$2,"مستوفاة بشكل أولي","مستوفاة بشكل جزئي")))</f>
        <v>مستوفاة بشكل متقدم</v>
      </c>
      <c r="P53" s="18"/>
    </row>
    <row r="54" spans="1:16">
      <c r="A54" s="16" t="s">
        <v>438</v>
      </c>
      <c r="B54" s="16" t="s">
        <v>160</v>
      </c>
      <c r="C54" s="15" t="str">
        <f>IFERROR(INDEX('قائمة الوحدات'!$B$2:$B$41,MATCH($B54,'قائمة الوحدات'!$A$2:$A$41,0)),"")</f>
        <v>EXE</v>
      </c>
      <c r="D54" s="14" t="str">
        <f>IFERROR(INDEX('قائمة الوحدات'!$C$2:$C$41,MATCH($B54,'قائمة الوحدات'!$A$2:$A$41,0)),"")</f>
        <v>الشؤون التنفيذية</v>
      </c>
      <c r="E54" s="14" t="str">
        <f>IFERROR(INDEX('قائمة الوحدات'!$D$2:$D$41,MATCH($B54,'قائمة الوحدات'!$A$2:$A$41,0)),"")</f>
        <v>وكالة الشؤون الفنية</v>
      </c>
      <c r="F54" s="14" t="str">
        <f>IFERROR(INDEX('قائمة الوحدات'!$F$2:$F$41,MATCH($B54,'قائمة الوحدات'!$A$2:$A$41,0)),"")</f>
        <v>الإدارة العامة للجودة والتطوير</v>
      </c>
      <c r="G54" s="16" t="s">
        <v>65</v>
      </c>
      <c r="H54" s="14" t="str">
        <f>IFERROR(INDEX(المرجع!$A$2:$A$19,MATCH($G54,المرجع!$B$2:$B$19,0)),"")</f>
        <v>التشغيل</v>
      </c>
      <c r="I54" s="16" t="s">
        <v>48</v>
      </c>
      <c r="J54" s="14" t="str">
        <f>IFERROR(INDEX(المرجع!$D$2:$D$19,MATCH($I54,المرجع!$E$2:$E$19,0)),"")</f>
        <v>الأهداف ومؤشرات الأداء</v>
      </c>
      <c r="K54" s="16" t="s">
        <v>116</v>
      </c>
      <c r="L54" s="17" t="str">
        <f>IFERROR(INDEX('نقاط التحقق'!$G$2:$G$31,MATCH($K54,'نقاط التحقق'!$A$2:$A$31,0))&amp;"","")</f>
        <v>تحرك مؤشرات الأداء التشغيلي للوحدة التنظيمية بشكل إيجابي</v>
      </c>
      <c r="M54" s="14" t="str">
        <f>IFERROR(INDEX('نقاط التحقق'!$H$2:$H$31,MATCH($K54,'نقاط التحقق'!$A$2:$A$31,0))&amp;"","")</f>
        <v/>
      </c>
      <c r="N54" s="13">
        <v>15</v>
      </c>
      <c r="O54" s="15" t="str">
        <f>IF($N54="","غير مقيّمة",IF($N54&gt;المرجع!$K$3,"مستوفاة بشكل متقدم",IF($N54&lt;=المرجع!$K$2,"مستوفاة بشكل أولي","مستوفاة بشكل جزئي")))</f>
        <v>مستوفاة بشكل أولي</v>
      </c>
      <c r="P54" s="18"/>
    </row>
    <row r="55" spans="1:16">
      <c r="A55" s="16" t="s">
        <v>439</v>
      </c>
      <c r="B55" s="16" t="s">
        <v>160</v>
      </c>
      <c r="C55" s="15" t="str">
        <f>IFERROR(INDEX('قائمة الوحدات'!$B$2:$B$41,MATCH($B55,'قائمة الوحدات'!$A$2:$A$41,0)),"")</f>
        <v>EXE</v>
      </c>
      <c r="D55" s="14" t="str">
        <f>IFERROR(INDEX('قائمة الوحدات'!$C$2:$C$41,MATCH($B55,'قائمة الوحدات'!$A$2:$A$41,0)),"")</f>
        <v>الشؤون التنفيذية</v>
      </c>
      <c r="E55" s="14" t="str">
        <f>IFERROR(INDEX('قائمة الوحدات'!$D$2:$D$41,MATCH($B55,'قائمة الوحدات'!$A$2:$A$41,0)),"")</f>
        <v>وكالة الشؤون الفنية</v>
      </c>
      <c r="F55" s="14" t="str">
        <f>IFERROR(INDEX('قائمة الوحدات'!$F$2:$F$41,MATCH($B55,'قائمة الوحدات'!$A$2:$A$41,0)),"")</f>
        <v>الإدارة العامة للجودة والتطوير</v>
      </c>
      <c r="G55" s="16" t="s">
        <v>65</v>
      </c>
      <c r="H55" s="14" t="str">
        <f>IFERROR(INDEX(المرجع!$A$2:$A$19,MATCH($G55,المرجع!$B$2:$B$19,0)),"")</f>
        <v>التشغيل</v>
      </c>
      <c r="I55" s="16" t="s">
        <v>48</v>
      </c>
      <c r="J55" s="14" t="str">
        <f>IFERROR(INDEX(المرجع!$D$2:$D$19,MATCH($I55,المرجع!$E$2:$E$19,0)),"")</f>
        <v>الأهداف ومؤشرات الأداء</v>
      </c>
      <c r="K55" s="16" t="s">
        <v>118</v>
      </c>
      <c r="L55" s="17" t="str">
        <f>IFERROR(INDEX('نقاط التحقق'!$G$2:$G$31,MATCH($K55,'نقاط التحقق'!$A$2:$A$31,0))&amp;"","")</f>
        <v>خطة سنوية معتمدة للوحدة التنظيمية</v>
      </c>
      <c r="M55" s="14" t="str">
        <f>IFERROR(INDEX('نقاط التحقق'!$H$2:$H$31,MATCH($K55,'نقاط التحقق'!$A$2:$A$31,0))&amp;"","")</f>
        <v/>
      </c>
      <c r="N55" s="13">
        <v>25</v>
      </c>
      <c r="O55" s="15" t="str">
        <f>IF($N55="","غير مقيّمة",IF($N55&gt;المرجع!$K$3,"مستوفاة بشكل متقدم",IF($N55&lt;=المرجع!$K$2,"مستوفاة بشكل أولي","مستوفاة بشكل جزئي")))</f>
        <v>مستوفاة بشكل أولي</v>
      </c>
      <c r="P55" s="18"/>
    </row>
    <row r="56" spans="1:16">
      <c r="A56" s="16" t="s">
        <v>440</v>
      </c>
      <c r="B56" s="16" t="s">
        <v>160</v>
      </c>
      <c r="C56" s="15" t="str">
        <f>IFERROR(INDEX('قائمة الوحدات'!$B$2:$B$41,MATCH($B56,'قائمة الوحدات'!$A$2:$A$41,0)),"")</f>
        <v>EXE</v>
      </c>
      <c r="D56" s="14" t="str">
        <f>IFERROR(INDEX('قائمة الوحدات'!$C$2:$C$41,MATCH($B56,'قائمة الوحدات'!$A$2:$A$41,0)),"")</f>
        <v>الشؤون التنفيذية</v>
      </c>
      <c r="E56" s="14" t="str">
        <f>IFERROR(INDEX('قائمة الوحدات'!$D$2:$D$41,MATCH($B56,'قائمة الوحدات'!$A$2:$A$41,0)),"")</f>
        <v>وكالة الشؤون الفنية</v>
      </c>
      <c r="F56" s="14" t="str">
        <f>IFERROR(INDEX('قائمة الوحدات'!$F$2:$F$41,MATCH($B56,'قائمة الوحدات'!$A$2:$A$41,0)),"")</f>
        <v>الإدارة العامة للجودة والتطوير</v>
      </c>
      <c r="G56" s="16" t="s">
        <v>65</v>
      </c>
      <c r="H56" s="14" t="str">
        <f>IFERROR(INDEX(المرجع!$A$2:$A$19,MATCH($G56,المرجع!$B$2:$B$19,0)),"")</f>
        <v>التشغيل</v>
      </c>
      <c r="I56" s="16" t="s">
        <v>51</v>
      </c>
      <c r="J56" s="14" t="str">
        <f>IFERROR(INDEX(المرجع!$D$2:$D$19,MATCH($I56,المرجع!$E$2:$E$19,0)),"")</f>
        <v>الحوكمة</v>
      </c>
      <c r="K56" s="16" t="s">
        <v>120</v>
      </c>
      <c r="L56" s="17" t="str">
        <f>IFERROR(INDEX('نقاط التحقق'!$G$2:$G$31,MATCH($K56,'نقاط التحقق'!$A$2:$A$31,0))&amp;"","")</f>
        <v>محاضر لجان موثقة</v>
      </c>
      <c r="M56" s="14" t="str">
        <f>IFERROR(INDEX('نقاط التحقق'!$H$2:$H$31,MATCH($K56,'نقاط التحقق'!$A$2:$A$31,0))&amp;"","")</f>
        <v/>
      </c>
      <c r="N56" s="13">
        <v>40</v>
      </c>
      <c r="O56" s="15" t="str">
        <f>IF($N56="","غير مقيّمة",IF($N56&gt;المرجع!$K$3,"مستوفاة بشكل متقدم",IF($N56&lt;=المرجع!$K$2,"مستوفاة بشكل أولي","مستوفاة بشكل جزئي")))</f>
        <v>مستوفاة بشكل جزئي</v>
      </c>
      <c r="P56" s="18"/>
    </row>
    <row r="57" spans="1:16">
      <c r="A57" s="16" t="s">
        <v>441</v>
      </c>
      <c r="B57" s="16" t="s">
        <v>160</v>
      </c>
      <c r="C57" s="15" t="str">
        <f>IFERROR(INDEX('قائمة الوحدات'!$B$2:$B$41,MATCH($B57,'قائمة الوحدات'!$A$2:$A$41,0)),"")</f>
        <v>EXE</v>
      </c>
      <c r="D57" s="14" t="str">
        <f>IFERROR(INDEX('قائمة الوحدات'!$C$2:$C$41,MATCH($B57,'قائمة الوحدات'!$A$2:$A$41,0)),"")</f>
        <v>الشؤون التنفيذية</v>
      </c>
      <c r="E57" s="14" t="str">
        <f>IFERROR(INDEX('قائمة الوحدات'!$D$2:$D$41,MATCH($B57,'قائمة الوحدات'!$A$2:$A$41,0)),"")</f>
        <v>وكالة الشؤون الفنية</v>
      </c>
      <c r="F57" s="14" t="str">
        <f>IFERROR(INDEX('قائمة الوحدات'!$F$2:$F$41,MATCH($B57,'قائمة الوحدات'!$A$2:$A$41,0)),"")</f>
        <v>الإدارة العامة للجودة والتطوير</v>
      </c>
      <c r="G57" s="16" t="s">
        <v>65</v>
      </c>
      <c r="H57" s="14" t="str">
        <f>IFERROR(INDEX(المرجع!$A$2:$A$19,MATCH($G57,المرجع!$B$2:$B$19,0)),"")</f>
        <v>التشغيل</v>
      </c>
      <c r="I57" s="16" t="s">
        <v>51</v>
      </c>
      <c r="J57" s="14" t="str">
        <f>IFERROR(INDEX(المرجع!$D$2:$D$19,MATCH($I57,المرجع!$E$2:$E$19,0)),"")</f>
        <v>الحوكمة</v>
      </c>
      <c r="K57" s="16" t="s">
        <v>122</v>
      </c>
      <c r="L57" s="17" t="str">
        <f>IFERROR(INDEX('نقاط التحقق'!$G$2:$G$31,MATCH($K57,'نقاط التحقق'!$A$2:$A$31,0))&amp;"","")</f>
        <v>نشر السياسات التي تملكها الوحدة التنظيمية</v>
      </c>
      <c r="M57" s="14" t="str">
        <f>IFERROR(INDEX('نقاط التحقق'!$H$2:$H$31,MATCH($K57,'نقاط التحقق'!$A$2:$A$31,0))&amp;"","")</f>
        <v/>
      </c>
      <c r="N57" s="13">
        <v>45</v>
      </c>
      <c r="O57" s="15" t="str">
        <f>IF($N57="","غير مقيّمة",IF($N57&gt;المرجع!$K$3,"مستوفاة بشكل متقدم",IF($N57&lt;=المرجع!$K$2,"مستوفاة بشكل أولي","مستوفاة بشكل جزئي")))</f>
        <v>مستوفاة بشكل جزئي</v>
      </c>
      <c r="P57" s="18"/>
    </row>
    <row r="58" spans="1:16">
      <c r="A58" s="16" t="s">
        <v>442</v>
      </c>
      <c r="B58" s="16" t="s">
        <v>160</v>
      </c>
      <c r="C58" s="15" t="str">
        <f>IFERROR(INDEX('قائمة الوحدات'!$B$2:$B$41,MATCH($B58,'قائمة الوحدات'!$A$2:$A$41,0)),"")</f>
        <v>EXE</v>
      </c>
      <c r="D58" s="14" t="str">
        <f>IFERROR(INDEX('قائمة الوحدات'!$C$2:$C$41,MATCH($B58,'قائمة الوحدات'!$A$2:$A$41,0)),"")</f>
        <v>الشؤون التنفيذية</v>
      </c>
      <c r="E58" s="14" t="str">
        <f>IFERROR(INDEX('قائمة الوحدات'!$D$2:$D$41,MATCH($B58,'قائمة الوحدات'!$A$2:$A$41,0)),"")</f>
        <v>وكالة الشؤون الفنية</v>
      </c>
      <c r="F58" s="14" t="str">
        <f>IFERROR(INDEX('قائمة الوحدات'!$F$2:$F$41,MATCH($B58,'قائمة الوحدات'!$A$2:$A$41,0)),"")</f>
        <v>الإدارة العامة للجودة والتطوير</v>
      </c>
      <c r="G58" s="16" t="s">
        <v>65</v>
      </c>
      <c r="H58" s="14" t="str">
        <f>IFERROR(INDEX(المرجع!$A$2:$A$19,MATCH($G58,المرجع!$B$2:$B$19,0)),"")</f>
        <v>التشغيل</v>
      </c>
      <c r="I58" s="16" t="s">
        <v>51</v>
      </c>
      <c r="J58" s="14" t="str">
        <f>IFERROR(INDEX(المرجع!$D$2:$D$19,MATCH($I58,المرجع!$E$2:$E$19,0)),"")</f>
        <v>الحوكمة</v>
      </c>
      <c r="K58" s="16" t="s">
        <v>124</v>
      </c>
      <c r="L58" s="17" t="str">
        <f>IFERROR(INDEX('نقاط التحقق'!$G$2:$G$31,MATCH($K58,'نقاط التحقق'!$A$2:$A$31,0))&amp;"","")</f>
        <v>اتخاذ القرارات في نطاق الصلاحيات (وجود شواهد)</v>
      </c>
      <c r="M58" s="14" t="str">
        <f>IFERROR(INDEX('نقاط التحقق'!$H$2:$H$31,MATCH($K58,'نقاط التحقق'!$A$2:$A$31,0))&amp;"","")</f>
        <v/>
      </c>
      <c r="N58" s="13">
        <v>40</v>
      </c>
      <c r="O58" s="15" t="str">
        <f>IF($N58="","غير مقيّمة",IF($N58&gt;المرجع!$K$3,"مستوفاة بشكل متقدم",IF($N58&lt;=المرجع!$K$2,"مستوفاة بشكل أولي","مستوفاة بشكل جزئي")))</f>
        <v>مستوفاة بشكل جزئي</v>
      </c>
      <c r="P58" s="18"/>
    </row>
    <row r="59" spans="1:16">
      <c r="A59" s="16" t="s">
        <v>443</v>
      </c>
      <c r="B59" s="16" t="s">
        <v>160</v>
      </c>
      <c r="C59" s="15" t="str">
        <f>IFERROR(INDEX('قائمة الوحدات'!$B$2:$B$41,MATCH($B59,'قائمة الوحدات'!$A$2:$A$41,0)),"")</f>
        <v>EXE</v>
      </c>
      <c r="D59" s="14" t="str">
        <f>IFERROR(INDEX('قائمة الوحدات'!$C$2:$C$41,MATCH($B59,'قائمة الوحدات'!$A$2:$A$41,0)),"")</f>
        <v>الشؤون التنفيذية</v>
      </c>
      <c r="E59" s="14" t="str">
        <f>IFERROR(INDEX('قائمة الوحدات'!$D$2:$D$41,MATCH($B59,'قائمة الوحدات'!$A$2:$A$41,0)),"")</f>
        <v>وكالة الشؤون الفنية</v>
      </c>
      <c r="F59" s="14" t="str">
        <f>IFERROR(INDEX('قائمة الوحدات'!$F$2:$F$41,MATCH($B59,'قائمة الوحدات'!$A$2:$A$41,0)),"")</f>
        <v>الإدارة العامة للجودة والتطوير</v>
      </c>
      <c r="G59" s="16" t="s">
        <v>65</v>
      </c>
      <c r="H59" s="14" t="str">
        <f>IFERROR(INDEX(المرجع!$A$2:$A$19,MATCH($G59,المرجع!$B$2:$B$19,0)),"")</f>
        <v>التشغيل</v>
      </c>
      <c r="I59" s="16" t="s">
        <v>56</v>
      </c>
      <c r="J59" s="14" t="str">
        <f>IFERROR(INDEX(المرجع!$D$2:$D$19,MATCH($I59,المرجع!$E$2:$E$19,0)),"")</f>
        <v>الموارد</v>
      </c>
      <c r="K59" s="16" t="s">
        <v>126</v>
      </c>
      <c r="L59" s="17" t="str">
        <f>IFERROR(INDEX('نقاط التحقق'!$G$2:$G$31,MATCH($K59,'نقاط التحقق'!$A$2:$A$31,0))&amp;"","")</f>
        <v>موارد مستكملة للحد الأدنى الذي يغطي كافة محاور سلسلة القيمة</v>
      </c>
      <c r="M59" s="14" t="str">
        <f>IFERROR(INDEX('نقاط التحقق'!$H$2:$H$31,MATCH($K59,'نقاط التحقق'!$A$2:$A$31,0))&amp;"","")</f>
        <v/>
      </c>
      <c r="N59" s="13">
        <v>54</v>
      </c>
      <c r="O59" s="15" t="str">
        <f>IF($N59="","غير مقيّمة",IF($N59&gt;المرجع!$K$3,"مستوفاة بشكل متقدم",IF($N59&lt;=المرجع!$K$2,"مستوفاة بشكل أولي","مستوفاة بشكل جزئي")))</f>
        <v>مستوفاة بشكل جزئي</v>
      </c>
      <c r="P59" s="18"/>
    </row>
    <row r="60" spans="1:16">
      <c r="A60" s="16" t="s">
        <v>444</v>
      </c>
      <c r="B60" s="16" t="s">
        <v>160</v>
      </c>
      <c r="C60" s="15" t="str">
        <f>IFERROR(INDEX('قائمة الوحدات'!$B$2:$B$41,MATCH($B60,'قائمة الوحدات'!$A$2:$A$41,0)),"")</f>
        <v>EXE</v>
      </c>
      <c r="D60" s="14" t="str">
        <f>IFERROR(INDEX('قائمة الوحدات'!$C$2:$C$41,MATCH($B60,'قائمة الوحدات'!$A$2:$A$41,0)),"")</f>
        <v>الشؤون التنفيذية</v>
      </c>
      <c r="E60" s="14" t="str">
        <f>IFERROR(INDEX('قائمة الوحدات'!$D$2:$D$41,MATCH($B60,'قائمة الوحدات'!$A$2:$A$41,0)),"")</f>
        <v>وكالة الشؤون الفنية</v>
      </c>
      <c r="F60" s="14" t="str">
        <f>IFERROR(INDEX('قائمة الوحدات'!$F$2:$F$41,MATCH($B60,'قائمة الوحدات'!$A$2:$A$41,0)),"")</f>
        <v>الإدارة العامة للجودة والتطوير</v>
      </c>
      <c r="G60" s="16" t="s">
        <v>65</v>
      </c>
      <c r="H60" s="14" t="str">
        <f>IFERROR(INDEX(المرجع!$A$2:$A$19,MATCH($G60,المرجع!$B$2:$B$19,0)),"")</f>
        <v>التشغيل</v>
      </c>
      <c r="I60" s="16" t="s">
        <v>59</v>
      </c>
      <c r="J60" s="14" t="str">
        <f>IFERROR(INDEX(المرجع!$D$2:$D$19,MATCH($I60,المرجع!$E$2:$E$19,0)),"")</f>
        <v>الإجراءات</v>
      </c>
      <c r="K60" s="16" t="s">
        <v>128</v>
      </c>
      <c r="L60" s="17" t="str">
        <f>IFERROR(INDEX('نقاط التحقق'!$G$2:$G$31,MATCH($K60,'نقاط التحقق'!$A$2:$A$31,0))&amp;"","")</f>
        <v>تحقيق تقييم "مطبق بشكل كامل" من منهجية تقييم فعالية الإجراءات</v>
      </c>
      <c r="M60" s="14" t="str">
        <f>IFERROR(INDEX('نقاط التحقق'!$H$2:$H$31,MATCH($K60,'نقاط التحقق'!$A$2:$A$31,0))&amp;"","")</f>
        <v/>
      </c>
      <c r="N60" s="13">
        <v>61</v>
      </c>
      <c r="O60" s="15" t="str">
        <f>IF($N60="","غير مقيّمة",IF($N60&gt;المرجع!$K$3,"مستوفاة بشكل متقدم",IF($N60&lt;=المرجع!$K$2,"مستوفاة بشكل أولي","مستوفاة بشكل جزئي")))</f>
        <v>مستوفاة بشكل جزئي</v>
      </c>
      <c r="P60" s="18"/>
    </row>
    <row r="61" spans="1:16">
      <c r="A61" s="16" t="s">
        <v>445</v>
      </c>
      <c r="B61" s="16" t="s">
        <v>160</v>
      </c>
      <c r="C61" s="15" t="str">
        <f>IFERROR(INDEX('قائمة الوحدات'!$B$2:$B$41,MATCH($B61,'قائمة الوحدات'!$A$2:$A$41,0)),"")</f>
        <v>EXE</v>
      </c>
      <c r="D61" s="14" t="str">
        <f>IFERROR(INDEX('قائمة الوحدات'!$C$2:$C$41,MATCH($B61,'قائمة الوحدات'!$A$2:$A$41,0)),"")</f>
        <v>الشؤون التنفيذية</v>
      </c>
      <c r="E61" s="14" t="str">
        <f>IFERROR(INDEX('قائمة الوحدات'!$D$2:$D$41,MATCH($B61,'قائمة الوحدات'!$A$2:$A$41,0)),"")</f>
        <v>وكالة الشؤون الفنية</v>
      </c>
      <c r="F61" s="14" t="str">
        <f>IFERROR(INDEX('قائمة الوحدات'!$F$2:$F$41,MATCH($B61,'قائمة الوحدات'!$A$2:$A$41,0)),"")</f>
        <v>الإدارة العامة للجودة والتطوير</v>
      </c>
      <c r="G61" s="16" t="s">
        <v>65</v>
      </c>
      <c r="H61" s="14" t="str">
        <f>IFERROR(INDEX(المرجع!$A$2:$A$19,MATCH($G61,المرجع!$B$2:$B$19,0)),"")</f>
        <v>التشغيل</v>
      </c>
      <c r="I61" s="16" t="s">
        <v>67</v>
      </c>
      <c r="J61" s="14" t="str">
        <f>IFERROR(INDEX(المرجع!$D$2:$D$19,MATCH($I61,المرجع!$E$2:$E$19,0)),"")</f>
        <v>اكتمال المخرجات المستهدفة</v>
      </c>
      <c r="K61" s="16" t="s">
        <v>130</v>
      </c>
      <c r="L61" s="17" t="str">
        <f>IFERROR(INDEX('نقاط التحقق'!$G$2:$G$31,MATCH($K61,'نقاط التحقق'!$A$2:$A$31,0))&amp;"","")</f>
        <v>اكتمال مخرجات النموذج التشغيلي المستهدف للوحدة التنظيمية</v>
      </c>
      <c r="M61" s="14" t="str">
        <f>IFERROR(INDEX('نقاط التحقق'!$H$2:$H$31,MATCH($K61,'نقاط التحقق'!$A$2:$A$31,0))&amp;"","")</f>
        <v/>
      </c>
      <c r="N61" s="13">
        <v>38</v>
      </c>
      <c r="O61" s="15" t="str">
        <f>IF($N61="","غير مقيّمة",IF($N61&gt;المرجع!$K$3,"مستوفاة بشكل متقدم",IF($N61&lt;=المرجع!$K$2,"مستوفاة بشكل أولي","مستوفاة بشكل جزئي")))</f>
        <v>مستوفاة بشكل جزئي</v>
      </c>
      <c r="P61" s="18"/>
    </row>
    <row r="62" spans="1:16">
      <c r="A62" s="16" t="s">
        <v>446</v>
      </c>
      <c r="B62" s="16" t="s">
        <v>162</v>
      </c>
      <c r="C62" s="15" t="str">
        <f>IFERROR(INDEX('قائمة الوحدات'!$B$2:$B$41,MATCH($B62,'قائمة الوحدات'!$A$2:$A$41,0)),"")</f>
        <v>EXE</v>
      </c>
      <c r="D62" s="14" t="str">
        <f>IFERROR(INDEX('قائمة الوحدات'!$C$2:$C$41,MATCH($B62,'قائمة الوحدات'!$A$2:$A$41,0)),"")</f>
        <v>الشؤون التنفيذية</v>
      </c>
      <c r="E62" s="14" t="str">
        <f>IFERROR(INDEX('قائمة الوحدات'!$D$2:$D$41,MATCH($B62,'قائمة الوحدات'!$A$2:$A$41,0)),"")</f>
        <v>وكالة الشؤون الفنية</v>
      </c>
      <c r="F62" s="14" t="str">
        <f>IFERROR(INDEX('قائمة الوحدات'!$F$2:$F$41,MATCH($B62,'قائمة الوحدات'!$A$2:$A$41,0)),"")</f>
        <v>الإدارة العامة للمشاريع</v>
      </c>
      <c r="G62" s="16" t="s">
        <v>43</v>
      </c>
      <c r="H62" s="14" t="str">
        <f>IFERROR(INDEX(المرجع!$A$2:$A$19,MATCH($G62,المرجع!$B$2:$B$19,0)),"")</f>
        <v>التصميم</v>
      </c>
      <c r="I62" s="16" t="s">
        <v>45</v>
      </c>
      <c r="J62" s="14" t="str">
        <f>IFERROR(INDEX(المرجع!$D$2:$D$19,MATCH($I62,المرجع!$E$2:$E$19,0)),"")</f>
        <v>الدور</v>
      </c>
      <c r="K62" s="16" t="s">
        <v>72</v>
      </c>
      <c r="L62" s="17" t="str">
        <f>IFERROR(INDEX('نقاط التحقق'!$G$2:$G$31,MATCH($K62,'نقاط التحقق'!$A$2:$A$31,0))&amp;"","")</f>
        <v>دور مفصل للوحدة التنظيمية</v>
      </c>
      <c r="M62" s="14" t="str">
        <f>IFERROR(INDEX('نقاط التحقق'!$H$2:$H$31,MATCH($K62,'نقاط التحقق'!$A$2:$A$31,0))&amp;"","")</f>
        <v/>
      </c>
      <c r="N62" s="13">
        <v>94</v>
      </c>
      <c r="O62" s="15" t="str">
        <f>IF($N62="","غير مقيّمة",IF($N62&gt;المرجع!$K$3,"مستوفاة بشكل متقدم",IF($N62&lt;=المرجع!$K$2,"مستوفاة بشكل أولي","مستوفاة بشكل جزئي")))</f>
        <v>مستوفاة بشكل متقدم</v>
      </c>
      <c r="P62" s="18"/>
    </row>
    <row r="63" spans="1:16">
      <c r="A63" s="16" t="s">
        <v>447</v>
      </c>
      <c r="B63" s="16" t="s">
        <v>162</v>
      </c>
      <c r="C63" s="15" t="str">
        <f>IFERROR(INDEX('قائمة الوحدات'!$B$2:$B$41,MATCH($B63,'قائمة الوحدات'!$A$2:$A$41,0)),"")</f>
        <v>EXE</v>
      </c>
      <c r="D63" s="14" t="str">
        <f>IFERROR(INDEX('قائمة الوحدات'!$C$2:$C$41,MATCH($B63,'قائمة الوحدات'!$A$2:$A$41,0)),"")</f>
        <v>الشؤون التنفيذية</v>
      </c>
      <c r="E63" s="14" t="str">
        <f>IFERROR(INDEX('قائمة الوحدات'!$D$2:$D$41,MATCH($B63,'قائمة الوحدات'!$A$2:$A$41,0)),"")</f>
        <v>وكالة الشؤون الفنية</v>
      </c>
      <c r="F63" s="14" t="str">
        <f>IFERROR(INDEX('قائمة الوحدات'!$F$2:$F$41,MATCH($B63,'قائمة الوحدات'!$A$2:$A$41,0)),"")</f>
        <v>الإدارة العامة للمشاريع</v>
      </c>
      <c r="G63" s="16" t="s">
        <v>43</v>
      </c>
      <c r="H63" s="14" t="str">
        <f>IFERROR(INDEX(المرجع!$A$2:$A$19,MATCH($G63,المرجع!$B$2:$B$19,0)),"")</f>
        <v>التصميم</v>
      </c>
      <c r="I63" s="16" t="s">
        <v>48</v>
      </c>
      <c r="J63" s="14" t="str">
        <f>IFERROR(INDEX(المرجع!$D$2:$D$19,MATCH($I63,المرجع!$E$2:$E$19,0)),"")</f>
        <v>الأهداف ومؤشرات الأداء</v>
      </c>
      <c r="K63" s="16" t="s">
        <v>74</v>
      </c>
      <c r="L63" s="17" t="str">
        <f>IFERROR(INDEX('نقاط التحقق'!$G$2:$G$31,MATCH($K63,'نقاط التحقق'!$A$2:$A$31,0))&amp;"","")</f>
        <v>أهداف محددة للوحدة التنظيمية وربطها بمؤشرات أداء لقياسها</v>
      </c>
      <c r="M63" s="14" t="str">
        <f>IFERROR(INDEX('نقاط التحقق'!$H$2:$H$31,MATCH($K63,'نقاط التحقق'!$A$2:$A$31,0))&amp;"","")</f>
        <v/>
      </c>
      <c r="N63" s="13">
        <v>85</v>
      </c>
      <c r="O63" s="15" t="str">
        <f>IF($N63="","غير مقيّمة",IF($N63&gt;المرجع!$K$3,"مستوفاة بشكل متقدم",IF($N63&lt;=المرجع!$K$2,"مستوفاة بشكل أولي","مستوفاة بشكل جزئي")))</f>
        <v>مستوفاة بشكل متقدم</v>
      </c>
      <c r="P63" s="18"/>
    </row>
    <row r="64" spans="1:16">
      <c r="A64" s="16" t="s">
        <v>448</v>
      </c>
      <c r="B64" s="16" t="s">
        <v>162</v>
      </c>
      <c r="C64" s="15" t="str">
        <f>IFERROR(INDEX('قائمة الوحدات'!$B$2:$B$41,MATCH($B64,'قائمة الوحدات'!$A$2:$A$41,0)),"")</f>
        <v>EXE</v>
      </c>
      <c r="D64" s="14" t="str">
        <f>IFERROR(INDEX('قائمة الوحدات'!$C$2:$C$41,MATCH($B64,'قائمة الوحدات'!$A$2:$A$41,0)),"")</f>
        <v>الشؤون التنفيذية</v>
      </c>
      <c r="E64" s="14" t="str">
        <f>IFERROR(INDEX('قائمة الوحدات'!$D$2:$D$41,MATCH($B64,'قائمة الوحدات'!$A$2:$A$41,0)),"")</f>
        <v>وكالة الشؤون الفنية</v>
      </c>
      <c r="F64" s="14" t="str">
        <f>IFERROR(INDEX('قائمة الوحدات'!$F$2:$F$41,MATCH($B64,'قائمة الوحدات'!$A$2:$A$41,0)),"")</f>
        <v>الإدارة العامة للمشاريع</v>
      </c>
      <c r="G64" s="16" t="s">
        <v>43</v>
      </c>
      <c r="H64" s="14" t="str">
        <f>IFERROR(INDEX(المرجع!$A$2:$A$19,MATCH($G64,المرجع!$B$2:$B$19,0)),"")</f>
        <v>التصميم</v>
      </c>
      <c r="I64" s="16" t="s">
        <v>48</v>
      </c>
      <c r="J64" s="14" t="str">
        <f>IFERROR(INDEX(المرجع!$D$2:$D$19,MATCH($I64,المرجع!$E$2:$E$19,0)),"")</f>
        <v>الأهداف ومؤشرات الأداء</v>
      </c>
      <c r="K64" s="16" t="s">
        <v>76</v>
      </c>
      <c r="L64" s="17" t="str">
        <f>IFERROR(INDEX('نقاط التحقق'!$G$2:$G$31,MATCH($K64,'نقاط التحقق'!$A$2:$A$31,0))&amp;"","")</f>
        <v>مؤشرات أداء الوحدة التنظيمية</v>
      </c>
      <c r="M64" s="14" t="str">
        <f>IFERROR(INDEX('نقاط التحقق'!$H$2:$H$31,MATCH($K64,'نقاط التحقق'!$A$2:$A$31,0))&amp;"","")</f>
        <v/>
      </c>
      <c r="N64" s="13">
        <v>100</v>
      </c>
      <c r="O64" s="15" t="str">
        <f>IF($N64="","غير مقيّمة",IF($N64&gt;المرجع!$K$3,"مستوفاة بشكل متقدم",IF($N64&lt;=المرجع!$K$2,"مستوفاة بشكل أولي","مستوفاة بشكل جزئي")))</f>
        <v>مستوفاة بشكل متقدم</v>
      </c>
      <c r="P64" s="18"/>
    </row>
    <row r="65" spans="1:16">
      <c r="A65" s="16" t="s">
        <v>449</v>
      </c>
      <c r="B65" s="16" t="s">
        <v>162</v>
      </c>
      <c r="C65" s="15" t="str">
        <f>IFERROR(INDEX('قائمة الوحدات'!$B$2:$B$41,MATCH($B65,'قائمة الوحدات'!$A$2:$A$41,0)),"")</f>
        <v>EXE</v>
      </c>
      <c r="D65" s="14" t="str">
        <f>IFERROR(INDEX('قائمة الوحدات'!$C$2:$C$41,MATCH($B65,'قائمة الوحدات'!$A$2:$A$41,0)),"")</f>
        <v>الشؤون التنفيذية</v>
      </c>
      <c r="E65" s="14" t="str">
        <f>IFERROR(INDEX('قائمة الوحدات'!$D$2:$D$41,MATCH($B65,'قائمة الوحدات'!$A$2:$A$41,0)),"")</f>
        <v>وكالة الشؤون الفنية</v>
      </c>
      <c r="F65" s="14" t="str">
        <f>IFERROR(INDEX('قائمة الوحدات'!$F$2:$F$41,MATCH($B65,'قائمة الوحدات'!$A$2:$A$41,0)),"")</f>
        <v>الإدارة العامة للمشاريع</v>
      </c>
      <c r="G65" s="16" t="s">
        <v>43</v>
      </c>
      <c r="H65" s="14" t="str">
        <f>IFERROR(INDEX(المرجع!$A$2:$A$19,MATCH($G65,المرجع!$B$2:$B$19,0)),"")</f>
        <v>التصميم</v>
      </c>
      <c r="I65" s="16" t="s">
        <v>51</v>
      </c>
      <c r="J65" s="14" t="str">
        <f>IFERROR(INDEX(المرجع!$D$2:$D$19,MATCH($I65,المرجع!$E$2:$E$19,0)),"")</f>
        <v>الحوكمة</v>
      </c>
      <c r="K65" s="16" t="s">
        <v>78</v>
      </c>
      <c r="L65" s="17" t="str">
        <f>IFERROR(INDEX('نقاط التحقق'!$G$2:$G$31,MATCH($K65,'نقاط التحقق'!$A$2:$A$31,0))&amp;"","")</f>
        <v>تفصيل القرارات ومصفوفة الصلاحيات واللجان ذات العلاقة لاعتماد مخرجات الوحدة التنظيمية</v>
      </c>
      <c r="M65" s="14" t="str">
        <f>IFERROR(INDEX('نقاط التحقق'!$H$2:$H$31,MATCH($K65,'نقاط التحقق'!$A$2:$A$31,0))&amp;"","")</f>
        <v/>
      </c>
      <c r="N65" s="13">
        <v>81</v>
      </c>
      <c r="O65" s="15" t="str">
        <f>IF($N65="","غير مقيّمة",IF($N65&gt;المرجع!$K$3,"مستوفاة بشكل متقدم",IF($N65&lt;=المرجع!$K$2,"مستوفاة بشكل أولي","مستوفاة بشكل جزئي")))</f>
        <v>مستوفاة بشكل متقدم</v>
      </c>
      <c r="P65" s="18"/>
    </row>
    <row r="66" spans="1:16">
      <c r="A66" s="16" t="s">
        <v>450</v>
      </c>
      <c r="B66" s="16" t="s">
        <v>162</v>
      </c>
      <c r="C66" s="15" t="str">
        <f>IFERROR(INDEX('قائمة الوحدات'!$B$2:$B$41,MATCH($B66,'قائمة الوحدات'!$A$2:$A$41,0)),"")</f>
        <v>EXE</v>
      </c>
      <c r="D66" s="14" t="str">
        <f>IFERROR(INDEX('قائمة الوحدات'!$C$2:$C$41,MATCH($B66,'قائمة الوحدات'!$A$2:$A$41,0)),"")</f>
        <v>الشؤون التنفيذية</v>
      </c>
      <c r="E66" s="14" t="str">
        <f>IFERROR(INDEX('قائمة الوحدات'!$D$2:$D$41,MATCH($B66,'قائمة الوحدات'!$A$2:$A$41,0)),"")</f>
        <v>وكالة الشؤون الفنية</v>
      </c>
      <c r="F66" s="14" t="str">
        <f>IFERROR(INDEX('قائمة الوحدات'!$F$2:$F$41,MATCH($B66,'قائمة الوحدات'!$A$2:$A$41,0)),"")</f>
        <v>الإدارة العامة للمشاريع</v>
      </c>
      <c r="G66" s="16" t="s">
        <v>43</v>
      </c>
      <c r="H66" s="14" t="str">
        <f>IFERROR(INDEX(المرجع!$A$2:$A$19,MATCH($G66,المرجع!$B$2:$B$19,0)),"")</f>
        <v>التصميم</v>
      </c>
      <c r="I66" s="16" t="s">
        <v>54</v>
      </c>
      <c r="J66" s="14" t="str">
        <f>IFERROR(INDEX(المرجع!$D$2:$D$19,MATCH($I66,المرجع!$E$2:$E$19,0)),"")</f>
        <v>التنظيم</v>
      </c>
      <c r="K66" s="16" t="s">
        <v>80</v>
      </c>
      <c r="L66" s="17" t="str">
        <f>IFERROR(INDEX('نقاط التحقق'!$G$2:$G$31,MATCH($K66,'نقاط التحقق'!$A$2:$A$31,0))&amp;"","")</f>
        <v>تطوير الأدوار والمسؤوليات للوحدة التنظيمية وتفصيل الهيكل التنظيمي</v>
      </c>
      <c r="M66" s="14" t="str">
        <f>IFERROR(INDEX('نقاط التحقق'!$H$2:$H$31,MATCH($K66,'نقاط التحقق'!$A$2:$A$31,0))&amp;"","")</f>
        <v/>
      </c>
      <c r="N66" s="13">
        <v>91</v>
      </c>
      <c r="O66" s="15" t="str">
        <f>IF($N66="","غير مقيّمة",IF($N66&gt;المرجع!$K$3,"مستوفاة بشكل متقدم",IF($N66&lt;=المرجع!$K$2,"مستوفاة بشكل أولي","مستوفاة بشكل جزئي")))</f>
        <v>مستوفاة بشكل متقدم</v>
      </c>
      <c r="P66" s="18"/>
    </row>
    <row r="67" spans="1:16">
      <c r="A67" s="16" t="s">
        <v>451</v>
      </c>
      <c r="B67" s="16" t="s">
        <v>162</v>
      </c>
      <c r="C67" s="15" t="str">
        <f>IFERROR(INDEX('قائمة الوحدات'!$B$2:$B$41,MATCH($B67,'قائمة الوحدات'!$A$2:$A$41,0)),"")</f>
        <v>EXE</v>
      </c>
      <c r="D67" s="14" t="str">
        <f>IFERROR(INDEX('قائمة الوحدات'!$C$2:$C$41,MATCH($B67,'قائمة الوحدات'!$A$2:$A$41,0)),"")</f>
        <v>الشؤون التنفيذية</v>
      </c>
      <c r="E67" s="14" t="str">
        <f>IFERROR(INDEX('قائمة الوحدات'!$D$2:$D$41,MATCH($B67,'قائمة الوحدات'!$A$2:$A$41,0)),"")</f>
        <v>وكالة الشؤون الفنية</v>
      </c>
      <c r="F67" s="14" t="str">
        <f>IFERROR(INDEX('قائمة الوحدات'!$F$2:$F$41,MATCH($B67,'قائمة الوحدات'!$A$2:$A$41,0)),"")</f>
        <v>الإدارة العامة للمشاريع</v>
      </c>
      <c r="G67" s="16" t="s">
        <v>43</v>
      </c>
      <c r="H67" s="14" t="str">
        <f>IFERROR(INDEX(المرجع!$A$2:$A$19,MATCH($G67,المرجع!$B$2:$B$19,0)),"")</f>
        <v>التصميم</v>
      </c>
      <c r="I67" s="16" t="s">
        <v>56</v>
      </c>
      <c r="J67" s="14" t="str">
        <f>IFERROR(INDEX(المرجع!$D$2:$D$19,MATCH($I67,المرجع!$E$2:$E$19,0)),"")</f>
        <v>الموارد</v>
      </c>
      <c r="K67" s="16" t="s">
        <v>82</v>
      </c>
      <c r="L67" s="17" t="str">
        <f>IFERROR(INDEX('نقاط التحقق'!$G$2:$G$31,MATCH($K67,'نقاط التحقق'!$A$2:$A$31,0))&amp;"","")</f>
        <v>تفصيل احتياج الموارد البشرية للوحدة التنظيمية</v>
      </c>
      <c r="M67" s="14" t="str">
        <f>IFERROR(INDEX('نقاط التحقق'!$H$2:$H$31,MATCH($K67,'نقاط التحقق'!$A$2:$A$31,0))&amp;"","")</f>
        <v/>
      </c>
      <c r="N67" s="13">
        <v>71</v>
      </c>
      <c r="O67" s="15" t="str">
        <f>IF($N67="","غير مقيّمة",IF($N67&gt;المرجع!$K$3,"مستوفاة بشكل متقدم",IF($N67&lt;=المرجع!$K$2,"مستوفاة بشكل أولي","مستوفاة بشكل جزئي")))</f>
        <v>مستوفاة بشكل متقدم</v>
      </c>
      <c r="P67" s="18"/>
    </row>
    <row r="68" spans="1:16">
      <c r="A68" s="16" t="s">
        <v>452</v>
      </c>
      <c r="B68" s="16" t="s">
        <v>162</v>
      </c>
      <c r="C68" s="15" t="str">
        <f>IFERROR(INDEX('قائمة الوحدات'!$B$2:$B$41,MATCH($B68,'قائمة الوحدات'!$A$2:$A$41,0)),"")</f>
        <v>EXE</v>
      </c>
      <c r="D68" s="14" t="str">
        <f>IFERROR(INDEX('قائمة الوحدات'!$C$2:$C$41,MATCH($B68,'قائمة الوحدات'!$A$2:$A$41,0)),"")</f>
        <v>الشؤون التنفيذية</v>
      </c>
      <c r="E68" s="14" t="str">
        <f>IFERROR(INDEX('قائمة الوحدات'!$D$2:$D$41,MATCH($B68,'قائمة الوحدات'!$A$2:$A$41,0)),"")</f>
        <v>وكالة الشؤون الفنية</v>
      </c>
      <c r="F68" s="14" t="str">
        <f>IFERROR(INDEX('قائمة الوحدات'!$F$2:$F$41,MATCH($B68,'قائمة الوحدات'!$A$2:$A$41,0)),"")</f>
        <v>الإدارة العامة للمشاريع</v>
      </c>
      <c r="G68" s="16" t="s">
        <v>43</v>
      </c>
      <c r="H68" s="14" t="str">
        <f>IFERROR(INDEX(المرجع!$A$2:$A$19,MATCH($G68,المرجع!$B$2:$B$19,0)),"")</f>
        <v>التصميم</v>
      </c>
      <c r="I68" s="16" t="s">
        <v>59</v>
      </c>
      <c r="J68" s="14" t="str">
        <f>IFERROR(INDEX(المرجع!$D$2:$D$19,MATCH($I68,المرجع!$E$2:$E$19,0)),"")</f>
        <v>الإجراءات</v>
      </c>
      <c r="K68" s="16" t="s">
        <v>84</v>
      </c>
      <c r="L68" s="17" t="str">
        <f>IFERROR(INDEX('نقاط التحقق'!$G$2:$G$31,MATCH($K68,'نقاط التحقق'!$A$2:$A$31,0))&amp;"","")</f>
        <v>تفصيل المخرجات إلى إجراءات عالية المستوى</v>
      </c>
      <c r="M68" s="14" t="str">
        <f>IFERROR(INDEX('نقاط التحقق'!$H$2:$H$31,MATCH($K68,'نقاط التحقق'!$A$2:$A$31,0))&amp;"","")</f>
        <v/>
      </c>
      <c r="N68" s="13">
        <v>98</v>
      </c>
      <c r="O68" s="15" t="str">
        <f>IF($N68="","غير مقيّمة",IF($N68&gt;المرجع!$K$3,"مستوفاة بشكل متقدم",IF($N68&lt;=المرجع!$K$2,"مستوفاة بشكل أولي","مستوفاة بشكل جزئي")))</f>
        <v>مستوفاة بشكل متقدم</v>
      </c>
      <c r="P68" s="18"/>
    </row>
    <row r="69" spans="1:16">
      <c r="A69" s="16" t="s">
        <v>453</v>
      </c>
      <c r="B69" s="16" t="s">
        <v>162</v>
      </c>
      <c r="C69" s="15" t="str">
        <f>IFERROR(INDEX('قائمة الوحدات'!$B$2:$B$41,MATCH($B69,'قائمة الوحدات'!$A$2:$A$41,0)),"")</f>
        <v>EXE</v>
      </c>
      <c r="D69" s="14" t="str">
        <f>IFERROR(INDEX('قائمة الوحدات'!$C$2:$C$41,MATCH($B69,'قائمة الوحدات'!$A$2:$A$41,0)),"")</f>
        <v>الشؤون التنفيذية</v>
      </c>
      <c r="E69" s="14" t="str">
        <f>IFERROR(INDEX('قائمة الوحدات'!$D$2:$D$41,MATCH($B69,'قائمة الوحدات'!$A$2:$A$41,0)),"")</f>
        <v>وكالة الشؤون الفنية</v>
      </c>
      <c r="F69" s="14" t="str">
        <f>IFERROR(INDEX('قائمة الوحدات'!$F$2:$F$41,MATCH($B69,'قائمة الوحدات'!$A$2:$A$41,0)),"")</f>
        <v>الإدارة العامة للمشاريع</v>
      </c>
      <c r="G69" s="16" t="s">
        <v>61</v>
      </c>
      <c r="H69" s="14" t="str">
        <f>IFERROR(INDEX(المرجع!$A$2:$A$19,MATCH($G69,المرجع!$B$2:$B$19,0)),"")</f>
        <v>البناء المؤسسي</v>
      </c>
      <c r="I69" s="16" t="s">
        <v>45</v>
      </c>
      <c r="J69" s="14" t="str">
        <f>IFERROR(INDEX(المرجع!$D$2:$D$19,MATCH($I69,المرجع!$E$2:$E$19,0)),"")</f>
        <v>الدور</v>
      </c>
      <c r="K69" s="16" t="s">
        <v>86</v>
      </c>
      <c r="L69" s="17" t="str">
        <f>IFERROR(INDEX('نقاط التحقق'!$G$2:$G$31,MATCH($K69,'نقاط التحقق'!$A$2:$A$31,0))&amp;"","")</f>
        <v>دور معتمد للوحدة التنظيمية</v>
      </c>
      <c r="M69" s="14" t="str">
        <f>IFERROR(INDEX('نقاط التحقق'!$H$2:$H$31,MATCH($K69,'نقاط التحقق'!$A$2:$A$31,0))&amp;"","")</f>
        <v/>
      </c>
      <c r="N69" s="13">
        <v>80</v>
      </c>
      <c r="O69" s="15" t="str">
        <f>IF($N69="","غير مقيّمة",IF($N69&gt;المرجع!$K$3,"مستوفاة بشكل متقدم",IF($N69&lt;=المرجع!$K$2,"مستوفاة بشكل أولي","مستوفاة بشكل جزئي")))</f>
        <v>مستوفاة بشكل متقدم</v>
      </c>
      <c r="P69" s="18"/>
    </row>
    <row r="70" spans="1:16">
      <c r="A70" s="16" t="s">
        <v>454</v>
      </c>
      <c r="B70" s="16" t="s">
        <v>162</v>
      </c>
      <c r="C70" s="15" t="str">
        <f>IFERROR(INDEX('قائمة الوحدات'!$B$2:$B$41,MATCH($B70,'قائمة الوحدات'!$A$2:$A$41,0)),"")</f>
        <v>EXE</v>
      </c>
      <c r="D70" s="14" t="str">
        <f>IFERROR(INDEX('قائمة الوحدات'!$C$2:$C$41,MATCH($B70,'قائمة الوحدات'!$A$2:$A$41,0)),"")</f>
        <v>الشؤون التنفيذية</v>
      </c>
      <c r="E70" s="14" t="str">
        <f>IFERROR(INDEX('قائمة الوحدات'!$D$2:$D$41,MATCH($B70,'قائمة الوحدات'!$A$2:$A$41,0)),"")</f>
        <v>وكالة الشؤون الفنية</v>
      </c>
      <c r="F70" s="14" t="str">
        <f>IFERROR(INDEX('قائمة الوحدات'!$F$2:$F$41,MATCH($B70,'قائمة الوحدات'!$A$2:$A$41,0)),"")</f>
        <v>الإدارة العامة للمشاريع</v>
      </c>
      <c r="G70" s="16" t="s">
        <v>61</v>
      </c>
      <c r="H70" s="14" t="str">
        <f>IFERROR(INDEX(المرجع!$A$2:$A$19,MATCH($G70,المرجع!$B$2:$B$19,0)),"")</f>
        <v>البناء المؤسسي</v>
      </c>
      <c r="I70" s="16" t="s">
        <v>48</v>
      </c>
      <c r="J70" s="14" t="str">
        <f>IFERROR(INDEX(المرجع!$D$2:$D$19,MATCH($I70,المرجع!$E$2:$E$19,0)),"")</f>
        <v>الأهداف ومؤشرات الأداء</v>
      </c>
      <c r="K70" s="16" t="s">
        <v>88</v>
      </c>
      <c r="L70" s="17" t="str">
        <f>IFERROR(INDEX('نقاط التحقق'!$G$2:$G$31,MATCH($K70,'نقاط التحقق'!$A$2:$A$31,0))&amp;"","")</f>
        <v>أهداف تشغيلية معتمدة من صاحب الصلاحية</v>
      </c>
      <c r="M70" s="14" t="str">
        <f>IFERROR(INDEX('نقاط التحقق'!$H$2:$H$31,MATCH($K70,'نقاط التحقق'!$A$2:$A$31,0))&amp;"","")</f>
        <v/>
      </c>
      <c r="N70" s="13">
        <v>35</v>
      </c>
      <c r="O70" s="15" t="str">
        <f>IF($N70="","غير مقيّمة",IF($N70&gt;المرجع!$K$3,"مستوفاة بشكل متقدم",IF($N70&lt;=المرجع!$K$2,"مستوفاة بشكل أولي","مستوفاة بشكل جزئي")))</f>
        <v>مستوفاة بشكل جزئي</v>
      </c>
      <c r="P70" s="18"/>
    </row>
    <row r="71" spans="1:16">
      <c r="A71" s="16" t="s">
        <v>455</v>
      </c>
      <c r="B71" s="16" t="s">
        <v>162</v>
      </c>
      <c r="C71" s="15" t="str">
        <f>IFERROR(INDEX('قائمة الوحدات'!$B$2:$B$41,MATCH($B71,'قائمة الوحدات'!$A$2:$A$41,0)),"")</f>
        <v>EXE</v>
      </c>
      <c r="D71" s="14" t="str">
        <f>IFERROR(INDEX('قائمة الوحدات'!$C$2:$C$41,MATCH($B71,'قائمة الوحدات'!$A$2:$A$41,0)),"")</f>
        <v>الشؤون التنفيذية</v>
      </c>
      <c r="E71" s="14" t="str">
        <f>IFERROR(INDEX('قائمة الوحدات'!$D$2:$D$41,MATCH($B71,'قائمة الوحدات'!$A$2:$A$41,0)),"")</f>
        <v>وكالة الشؤون الفنية</v>
      </c>
      <c r="F71" s="14" t="str">
        <f>IFERROR(INDEX('قائمة الوحدات'!$F$2:$F$41,MATCH($B71,'قائمة الوحدات'!$A$2:$A$41,0)),"")</f>
        <v>الإدارة العامة للمشاريع</v>
      </c>
      <c r="G71" s="16" t="s">
        <v>61</v>
      </c>
      <c r="H71" s="14" t="str">
        <f>IFERROR(INDEX(المرجع!$A$2:$A$19,MATCH($G71,المرجع!$B$2:$B$19,0)),"")</f>
        <v>البناء المؤسسي</v>
      </c>
      <c r="I71" s="16" t="s">
        <v>48</v>
      </c>
      <c r="J71" s="14" t="str">
        <f>IFERROR(INDEX(المرجع!$D$2:$D$19,MATCH($I71,المرجع!$E$2:$E$19,0)),"")</f>
        <v>الأهداف ومؤشرات الأداء</v>
      </c>
      <c r="K71" s="16" t="s">
        <v>90</v>
      </c>
      <c r="L71" s="17" t="str">
        <f>IFERROR(INDEX('نقاط التحقق'!$G$2:$G$31,MATCH($K71,'نقاط التحقق'!$A$2:$A$31,0))&amp;"","")</f>
        <v>نشر الأهداف التشغيلية على موظفي الوحدة التنظيمية</v>
      </c>
      <c r="M71" s="14" t="str">
        <f>IFERROR(INDEX('نقاط التحقق'!$H$2:$H$31,MATCH($K71,'نقاط التحقق'!$A$2:$A$31,0))&amp;"","")</f>
        <v/>
      </c>
      <c r="N71" s="13">
        <v>50</v>
      </c>
      <c r="O71" s="15" t="str">
        <f>IF($N71="","غير مقيّمة",IF($N71&gt;المرجع!$K$3,"مستوفاة بشكل متقدم",IF($N71&lt;=المرجع!$K$2,"مستوفاة بشكل أولي","مستوفاة بشكل جزئي")))</f>
        <v>مستوفاة بشكل جزئي</v>
      </c>
      <c r="P71" s="18"/>
    </row>
    <row r="72" spans="1:16">
      <c r="A72" s="16" t="s">
        <v>456</v>
      </c>
      <c r="B72" s="16" t="s">
        <v>162</v>
      </c>
      <c r="C72" s="15" t="str">
        <f>IFERROR(INDEX('قائمة الوحدات'!$B$2:$B$41,MATCH($B72,'قائمة الوحدات'!$A$2:$A$41,0)),"")</f>
        <v>EXE</v>
      </c>
      <c r="D72" s="14" t="str">
        <f>IFERROR(INDEX('قائمة الوحدات'!$C$2:$C$41,MATCH($B72,'قائمة الوحدات'!$A$2:$A$41,0)),"")</f>
        <v>الشؤون التنفيذية</v>
      </c>
      <c r="E72" s="14" t="str">
        <f>IFERROR(INDEX('قائمة الوحدات'!$D$2:$D$41,MATCH($B72,'قائمة الوحدات'!$A$2:$A$41,0)),"")</f>
        <v>وكالة الشؤون الفنية</v>
      </c>
      <c r="F72" s="14" t="str">
        <f>IFERROR(INDEX('قائمة الوحدات'!$F$2:$F$41,MATCH($B72,'قائمة الوحدات'!$A$2:$A$41,0)),"")</f>
        <v>الإدارة العامة للمشاريع</v>
      </c>
      <c r="G72" s="16" t="s">
        <v>61</v>
      </c>
      <c r="H72" s="14" t="str">
        <f>IFERROR(INDEX(المرجع!$A$2:$A$19,MATCH($G72,المرجع!$B$2:$B$19,0)),"")</f>
        <v>البناء المؤسسي</v>
      </c>
      <c r="I72" s="16" t="s">
        <v>51</v>
      </c>
      <c r="J72" s="14" t="str">
        <f>IFERROR(INDEX(المرجع!$D$2:$D$19,MATCH($I72,المرجع!$E$2:$E$19,0)),"")</f>
        <v>الحوكمة</v>
      </c>
      <c r="K72" s="16" t="s">
        <v>92</v>
      </c>
      <c r="L72" s="17" t="str">
        <f>IFERROR(INDEX('نقاط التحقق'!$G$2:$G$31,MATCH($K72,'نقاط التحقق'!$A$2:$A$31,0))&amp;"","")</f>
        <v>مصفوفة صلاحيات معتمدة ومعممة على أصحاب المصلحة</v>
      </c>
      <c r="M72" s="14" t="str">
        <f>IFERROR(INDEX('نقاط التحقق'!$H$2:$H$31,MATCH($K72,'نقاط التحقق'!$A$2:$A$31,0))&amp;"","")</f>
        <v/>
      </c>
      <c r="N72" s="13">
        <v>80</v>
      </c>
      <c r="O72" s="15" t="str">
        <f>IF($N72="","غير مقيّمة",IF($N72&gt;المرجع!$K$3,"مستوفاة بشكل متقدم",IF($N72&lt;=المرجع!$K$2,"مستوفاة بشكل أولي","مستوفاة بشكل جزئي")))</f>
        <v>مستوفاة بشكل متقدم</v>
      </c>
      <c r="P72" s="18"/>
    </row>
    <row r="73" spans="1:16">
      <c r="A73" s="16" t="s">
        <v>457</v>
      </c>
      <c r="B73" s="16" t="s">
        <v>162</v>
      </c>
      <c r="C73" s="15" t="str">
        <f>IFERROR(INDEX('قائمة الوحدات'!$B$2:$B$41,MATCH($B73,'قائمة الوحدات'!$A$2:$A$41,0)),"")</f>
        <v>EXE</v>
      </c>
      <c r="D73" s="14" t="str">
        <f>IFERROR(INDEX('قائمة الوحدات'!$C$2:$C$41,MATCH($B73,'قائمة الوحدات'!$A$2:$A$41,0)),"")</f>
        <v>الشؤون التنفيذية</v>
      </c>
      <c r="E73" s="14" t="str">
        <f>IFERROR(INDEX('قائمة الوحدات'!$D$2:$D$41,MATCH($B73,'قائمة الوحدات'!$A$2:$A$41,0)),"")</f>
        <v>وكالة الشؤون الفنية</v>
      </c>
      <c r="F73" s="14" t="str">
        <f>IFERROR(INDEX('قائمة الوحدات'!$F$2:$F$41,MATCH($B73,'قائمة الوحدات'!$A$2:$A$41,0)),"")</f>
        <v>الإدارة العامة للمشاريع</v>
      </c>
      <c r="G73" s="16" t="s">
        <v>61</v>
      </c>
      <c r="H73" s="14" t="str">
        <f>IFERROR(INDEX(المرجع!$A$2:$A$19,MATCH($G73,المرجع!$B$2:$B$19,0)),"")</f>
        <v>البناء المؤسسي</v>
      </c>
      <c r="I73" s="16" t="s">
        <v>51</v>
      </c>
      <c r="J73" s="14" t="str">
        <f>IFERROR(INDEX(المرجع!$D$2:$D$19,MATCH($I73,المرجع!$E$2:$E$19,0)),"")</f>
        <v>الحوكمة</v>
      </c>
      <c r="K73" s="16" t="s">
        <v>94</v>
      </c>
      <c r="L73" s="17" t="str">
        <f>IFERROR(INDEX('نقاط التحقق'!$G$2:$G$31,MATCH($K73,'نقاط التحقق'!$A$2:$A$31,0))&amp;"","")</f>
        <v>سياسات معتمدة للتي تملكها الوحدة التنظيمية</v>
      </c>
      <c r="M73" s="14" t="str">
        <f>IFERROR(INDEX('نقاط التحقق'!$H$2:$H$31,MATCH($K73,'نقاط التحقق'!$A$2:$A$31,0))&amp;"","")</f>
        <v/>
      </c>
      <c r="N73" s="13">
        <v>55</v>
      </c>
      <c r="O73" s="15" t="str">
        <f>IF($N73="","غير مقيّمة",IF($N73&gt;المرجع!$K$3,"مستوفاة بشكل متقدم",IF($N73&lt;=المرجع!$K$2,"مستوفاة بشكل أولي","مستوفاة بشكل جزئي")))</f>
        <v>مستوفاة بشكل جزئي</v>
      </c>
      <c r="P73" s="18"/>
    </row>
    <row r="74" spans="1:16">
      <c r="A74" s="16" t="s">
        <v>458</v>
      </c>
      <c r="B74" s="16" t="s">
        <v>162</v>
      </c>
      <c r="C74" s="15" t="str">
        <f>IFERROR(INDEX('قائمة الوحدات'!$B$2:$B$41,MATCH($B74,'قائمة الوحدات'!$A$2:$A$41,0)),"")</f>
        <v>EXE</v>
      </c>
      <c r="D74" s="14" t="str">
        <f>IFERROR(INDEX('قائمة الوحدات'!$C$2:$C$41,MATCH($B74,'قائمة الوحدات'!$A$2:$A$41,0)),"")</f>
        <v>الشؤون التنفيذية</v>
      </c>
      <c r="E74" s="14" t="str">
        <f>IFERROR(INDEX('قائمة الوحدات'!$D$2:$D$41,MATCH($B74,'قائمة الوحدات'!$A$2:$A$41,0)),"")</f>
        <v>وكالة الشؤون الفنية</v>
      </c>
      <c r="F74" s="14" t="str">
        <f>IFERROR(INDEX('قائمة الوحدات'!$F$2:$F$41,MATCH($B74,'قائمة الوحدات'!$A$2:$A$41,0)),"")</f>
        <v>الإدارة العامة للمشاريع</v>
      </c>
      <c r="G74" s="16" t="s">
        <v>61</v>
      </c>
      <c r="H74" s="14" t="str">
        <f>IFERROR(INDEX(المرجع!$A$2:$A$19,MATCH($G74,المرجع!$B$2:$B$19,0)),"")</f>
        <v>البناء المؤسسي</v>
      </c>
      <c r="I74" s="16" t="s">
        <v>51</v>
      </c>
      <c r="J74" s="14" t="str">
        <f>IFERROR(INDEX(المرجع!$D$2:$D$19,MATCH($I74,المرجع!$E$2:$E$19,0)),"")</f>
        <v>الحوكمة</v>
      </c>
      <c r="K74" s="16" t="s">
        <v>96</v>
      </c>
      <c r="L74" s="17" t="str">
        <f>IFERROR(INDEX('نقاط التحقق'!$G$2:$G$31,MATCH($K74,'نقاط التحقق'!$A$2:$A$31,0))&amp;"","")</f>
        <v>قرار تشكيل معتمد للجان ذات العلاقة</v>
      </c>
      <c r="M74" s="14" t="str">
        <f>IFERROR(INDEX('نقاط التحقق'!$H$2:$H$31,MATCH($K74,'نقاط التحقق'!$A$2:$A$31,0))&amp;"","")</f>
        <v/>
      </c>
      <c r="N74" s="13">
        <v>75</v>
      </c>
      <c r="O74" s="15" t="str">
        <f>IF($N74="","غير مقيّمة",IF($N74&gt;المرجع!$K$3,"مستوفاة بشكل متقدم",IF($N74&lt;=المرجع!$K$2,"مستوفاة بشكل أولي","مستوفاة بشكل جزئي")))</f>
        <v>مستوفاة بشكل متقدم</v>
      </c>
      <c r="P74" s="18"/>
    </row>
    <row r="75" spans="1:16">
      <c r="A75" s="16" t="s">
        <v>459</v>
      </c>
      <c r="B75" s="16" t="s">
        <v>162</v>
      </c>
      <c r="C75" s="15" t="str">
        <f>IFERROR(INDEX('قائمة الوحدات'!$B$2:$B$41,MATCH($B75,'قائمة الوحدات'!$A$2:$A$41,0)),"")</f>
        <v>EXE</v>
      </c>
      <c r="D75" s="14" t="str">
        <f>IFERROR(INDEX('قائمة الوحدات'!$C$2:$C$41,MATCH($B75,'قائمة الوحدات'!$A$2:$A$41,0)),"")</f>
        <v>الشؤون التنفيذية</v>
      </c>
      <c r="E75" s="14" t="str">
        <f>IFERROR(INDEX('قائمة الوحدات'!$D$2:$D$41,MATCH($B75,'قائمة الوحدات'!$A$2:$A$41,0)),"")</f>
        <v>وكالة الشؤون الفنية</v>
      </c>
      <c r="F75" s="14" t="str">
        <f>IFERROR(INDEX('قائمة الوحدات'!$F$2:$F$41,MATCH($B75,'قائمة الوحدات'!$A$2:$A$41,0)),"")</f>
        <v>الإدارة العامة للمشاريع</v>
      </c>
      <c r="G75" s="16" t="s">
        <v>61</v>
      </c>
      <c r="H75" s="14" t="str">
        <f>IFERROR(INDEX(المرجع!$A$2:$A$19,MATCH($G75,المرجع!$B$2:$B$19,0)),"")</f>
        <v>البناء المؤسسي</v>
      </c>
      <c r="I75" s="16" t="s">
        <v>54</v>
      </c>
      <c r="J75" s="14" t="str">
        <f>IFERROR(INDEX(المرجع!$D$2:$D$19,MATCH($I75,المرجع!$E$2:$E$19,0)),"")</f>
        <v>التنظيم</v>
      </c>
      <c r="K75" s="16" t="s">
        <v>98</v>
      </c>
      <c r="L75" s="17" t="str">
        <f>IFERROR(INDEX('نقاط التحقق'!$G$2:$G$31,MATCH($K75,'نقاط التحقق'!$A$2:$A$31,0))&amp;"","")</f>
        <v>هيكل تنظيمي معتمد من صاحب الصلاحية</v>
      </c>
      <c r="M75" s="14" t="str">
        <f>IFERROR(INDEX('نقاط التحقق'!$H$2:$H$31,MATCH($K75,'نقاط التحقق'!$A$2:$A$31,0))&amp;"","")</f>
        <v/>
      </c>
      <c r="N75" s="13">
        <v>85</v>
      </c>
      <c r="O75" s="15" t="str">
        <f>IF($N75="","غير مقيّمة",IF($N75&gt;المرجع!$K$3,"مستوفاة بشكل متقدم",IF($N75&lt;=المرجع!$K$2,"مستوفاة بشكل أولي","مستوفاة بشكل جزئي")))</f>
        <v>مستوفاة بشكل متقدم</v>
      </c>
      <c r="P75" s="18"/>
    </row>
    <row r="76" spans="1:16">
      <c r="A76" s="16" t="s">
        <v>460</v>
      </c>
      <c r="B76" s="16" t="s">
        <v>162</v>
      </c>
      <c r="C76" s="15" t="str">
        <f>IFERROR(INDEX('قائمة الوحدات'!$B$2:$B$41,MATCH($B76,'قائمة الوحدات'!$A$2:$A$41,0)),"")</f>
        <v>EXE</v>
      </c>
      <c r="D76" s="14" t="str">
        <f>IFERROR(INDEX('قائمة الوحدات'!$C$2:$C$41,MATCH($B76,'قائمة الوحدات'!$A$2:$A$41,0)),"")</f>
        <v>الشؤون التنفيذية</v>
      </c>
      <c r="E76" s="14" t="str">
        <f>IFERROR(INDEX('قائمة الوحدات'!$D$2:$D$41,MATCH($B76,'قائمة الوحدات'!$A$2:$A$41,0)),"")</f>
        <v>وكالة الشؤون الفنية</v>
      </c>
      <c r="F76" s="14" t="str">
        <f>IFERROR(INDEX('قائمة الوحدات'!$F$2:$F$41,MATCH($B76,'قائمة الوحدات'!$A$2:$A$41,0)),"")</f>
        <v>الإدارة العامة للمشاريع</v>
      </c>
      <c r="G76" s="16" t="s">
        <v>61</v>
      </c>
      <c r="H76" s="14" t="str">
        <f>IFERROR(INDEX(المرجع!$A$2:$A$19,MATCH($G76,المرجع!$B$2:$B$19,0)),"")</f>
        <v>البناء المؤسسي</v>
      </c>
      <c r="I76" s="16" t="s">
        <v>54</v>
      </c>
      <c r="J76" s="14" t="str">
        <f>IFERROR(INDEX(المرجع!$D$2:$D$19,MATCH($I76,المرجع!$E$2:$E$19,0)),"")</f>
        <v>التنظيم</v>
      </c>
      <c r="K76" s="16" t="s">
        <v>100</v>
      </c>
      <c r="L76" s="17" t="str">
        <f>IFERROR(INDEX('نقاط التحقق'!$G$2:$G$31,MATCH($K76,'نقاط التحقق'!$A$2:$A$31,0))&amp;"","")</f>
        <v>هيكل تنظيمي منشأ على نظام القوى العاملة</v>
      </c>
      <c r="M76" s="14" t="str">
        <f>IFERROR(INDEX('نقاط التحقق'!$H$2:$H$31,MATCH($K76,'نقاط التحقق'!$A$2:$A$31,0))&amp;"","")</f>
        <v/>
      </c>
      <c r="N76" s="13">
        <v>100</v>
      </c>
      <c r="O76" s="15" t="str">
        <f>IF($N76="","غير مقيّمة",IF($N76&gt;المرجع!$K$3,"مستوفاة بشكل متقدم",IF($N76&lt;=المرجع!$K$2,"مستوفاة بشكل أولي","مستوفاة بشكل جزئي")))</f>
        <v>مستوفاة بشكل متقدم</v>
      </c>
      <c r="P76" s="18"/>
    </row>
    <row r="77" spans="1:16">
      <c r="A77" s="16" t="s">
        <v>461</v>
      </c>
      <c r="B77" s="16" t="s">
        <v>162</v>
      </c>
      <c r="C77" s="15" t="str">
        <f>IFERROR(INDEX('قائمة الوحدات'!$B$2:$B$41,MATCH($B77,'قائمة الوحدات'!$A$2:$A$41,0)),"")</f>
        <v>EXE</v>
      </c>
      <c r="D77" s="14" t="str">
        <f>IFERROR(INDEX('قائمة الوحدات'!$C$2:$C$41,MATCH($B77,'قائمة الوحدات'!$A$2:$A$41,0)),"")</f>
        <v>الشؤون التنفيذية</v>
      </c>
      <c r="E77" s="14" t="str">
        <f>IFERROR(INDEX('قائمة الوحدات'!$D$2:$D$41,MATCH($B77,'قائمة الوحدات'!$A$2:$A$41,0)),"")</f>
        <v>وكالة الشؤون الفنية</v>
      </c>
      <c r="F77" s="14" t="str">
        <f>IFERROR(INDEX('قائمة الوحدات'!$F$2:$F$41,MATCH($B77,'قائمة الوحدات'!$A$2:$A$41,0)),"")</f>
        <v>الإدارة العامة للمشاريع</v>
      </c>
      <c r="G77" s="16" t="s">
        <v>61</v>
      </c>
      <c r="H77" s="14" t="str">
        <f>IFERROR(INDEX(المرجع!$A$2:$A$19,MATCH($G77,المرجع!$B$2:$B$19,0)),"")</f>
        <v>البناء المؤسسي</v>
      </c>
      <c r="I77" s="16" t="s">
        <v>54</v>
      </c>
      <c r="J77" s="14" t="str">
        <f>IFERROR(INDEX(المرجع!$D$2:$D$19,MATCH($I77,المرجع!$E$2:$E$19,0)),"")</f>
        <v>التنظيم</v>
      </c>
      <c r="K77" s="16" t="s">
        <v>102</v>
      </c>
      <c r="L77" s="17" t="str">
        <f>IFERROR(INDEX('نقاط التحقق'!$G$2:$G$31,MATCH($K77,'نقاط التحقق'!$A$2:$A$31,0))&amp;"","")</f>
        <v>الموظفون المحددون مسكّنون على الهيكل التنظيمي المستهدف</v>
      </c>
      <c r="M77" s="14" t="str">
        <f>IFERROR(INDEX('نقاط التحقق'!$H$2:$H$31,MATCH($K77,'نقاط التحقق'!$A$2:$A$31,0))&amp;"","")</f>
        <v/>
      </c>
      <c r="N77" s="13">
        <v>100</v>
      </c>
      <c r="O77" s="15" t="str">
        <f>IF($N77="","غير مقيّمة",IF($N77&gt;المرجع!$K$3,"مستوفاة بشكل متقدم",IF($N77&lt;=المرجع!$K$2,"مستوفاة بشكل أولي","مستوفاة بشكل جزئي")))</f>
        <v>مستوفاة بشكل متقدم</v>
      </c>
      <c r="P77" s="18"/>
    </row>
    <row r="78" spans="1:16">
      <c r="A78" s="16" t="s">
        <v>462</v>
      </c>
      <c r="B78" s="16" t="s">
        <v>162</v>
      </c>
      <c r="C78" s="15" t="str">
        <f>IFERROR(INDEX('قائمة الوحدات'!$B$2:$B$41,MATCH($B78,'قائمة الوحدات'!$A$2:$A$41,0)),"")</f>
        <v>EXE</v>
      </c>
      <c r="D78" s="14" t="str">
        <f>IFERROR(INDEX('قائمة الوحدات'!$C$2:$C$41,MATCH($B78,'قائمة الوحدات'!$A$2:$A$41,0)),"")</f>
        <v>الشؤون التنفيذية</v>
      </c>
      <c r="E78" s="14" t="str">
        <f>IFERROR(INDEX('قائمة الوحدات'!$D$2:$D$41,MATCH($B78,'قائمة الوحدات'!$A$2:$A$41,0)),"")</f>
        <v>وكالة الشؤون الفنية</v>
      </c>
      <c r="F78" s="14" t="str">
        <f>IFERROR(INDEX('قائمة الوحدات'!$F$2:$F$41,MATCH($B78,'قائمة الوحدات'!$A$2:$A$41,0)),"")</f>
        <v>الإدارة العامة للمشاريع</v>
      </c>
      <c r="G78" s="16" t="s">
        <v>61</v>
      </c>
      <c r="H78" s="14" t="str">
        <f>IFERROR(INDEX(المرجع!$A$2:$A$19,MATCH($G78,المرجع!$B$2:$B$19,0)),"")</f>
        <v>البناء المؤسسي</v>
      </c>
      <c r="I78" s="16" t="s">
        <v>56</v>
      </c>
      <c r="J78" s="14" t="str">
        <f>IFERROR(INDEX(المرجع!$D$2:$D$19,MATCH($I78,المرجع!$E$2:$E$19,0)),"")</f>
        <v>الموارد</v>
      </c>
      <c r="K78" s="16" t="s">
        <v>104</v>
      </c>
      <c r="L78" s="17" t="str">
        <f>IFERROR(INDEX('نقاط التحقق'!$G$2:$G$31,MATCH($K78,'نقاط التحقق'!$A$2:$A$31,0))&amp;"","")</f>
        <v>مدير الوحدة التنظيمية والموظفون الرئيسيون معينون/ملحقون</v>
      </c>
      <c r="M78" s="14" t="str">
        <f>IFERROR(INDEX('نقاط التحقق'!$H$2:$H$31,MATCH($K78,'نقاط التحقق'!$A$2:$A$31,0))&amp;"","")</f>
        <v/>
      </c>
      <c r="N78" s="13">
        <v>65</v>
      </c>
      <c r="O78" s="15" t="str">
        <f>IF($N78="","غير مقيّمة",IF($N78&gt;المرجع!$K$3,"مستوفاة بشكل متقدم",IF($N78&lt;=المرجع!$K$2,"مستوفاة بشكل أولي","مستوفاة بشكل جزئي")))</f>
        <v>مستوفاة بشكل جزئي</v>
      </c>
      <c r="P78" s="18"/>
    </row>
    <row r="79" spans="1:16">
      <c r="A79" s="16" t="s">
        <v>463</v>
      </c>
      <c r="B79" s="16" t="s">
        <v>162</v>
      </c>
      <c r="C79" s="15" t="str">
        <f>IFERROR(INDEX('قائمة الوحدات'!$B$2:$B$41,MATCH($B79,'قائمة الوحدات'!$A$2:$A$41,0)),"")</f>
        <v>EXE</v>
      </c>
      <c r="D79" s="14" t="str">
        <f>IFERROR(INDEX('قائمة الوحدات'!$C$2:$C$41,MATCH($B79,'قائمة الوحدات'!$A$2:$A$41,0)),"")</f>
        <v>الشؤون التنفيذية</v>
      </c>
      <c r="E79" s="14" t="str">
        <f>IFERROR(INDEX('قائمة الوحدات'!$D$2:$D$41,MATCH($B79,'قائمة الوحدات'!$A$2:$A$41,0)),"")</f>
        <v>وكالة الشؤون الفنية</v>
      </c>
      <c r="F79" s="14" t="str">
        <f>IFERROR(INDEX('قائمة الوحدات'!$F$2:$F$41,MATCH($B79,'قائمة الوحدات'!$A$2:$A$41,0)),"")</f>
        <v>الإدارة العامة للمشاريع</v>
      </c>
      <c r="G79" s="16" t="s">
        <v>61</v>
      </c>
      <c r="H79" s="14" t="str">
        <f>IFERROR(INDEX(المرجع!$A$2:$A$19,MATCH($G79,المرجع!$B$2:$B$19,0)),"")</f>
        <v>البناء المؤسسي</v>
      </c>
      <c r="I79" s="16" t="s">
        <v>56</v>
      </c>
      <c r="J79" s="14" t="str">
        <f>IFERROR(INDEX(المرجع!$D$2:$D$19,MATCH($I79,المرجع!$E$2:$E$19,0)),"")</f>
        <v>الموارد</v>
      </c>
      <c r="K79" s="16" t="s">
        <v>106</v>
      </c>
      <c r="L79" s="17" t="str">
        <f>IFERROR(INDEX('نقاط التحقق'!$G$2:$G$31,MATCH($K79,'نقاط التحقق'!$A$2:$A$31,0))&amp;"","")</f>
        <v>خطة توظيف وتدريب مستكملة</v>
      </c>
      <c r="M79" s="14" t="str">
        <f>IFERROR(INDEX('نقاط التحقق'!$H$2:$H$31,MATCH($K79,'نقاط التحقق'!$A$2:$A$31,0))&amp;"","")</f>
        <v/>
      </c>
      <c r="N79" s="13">
        <v>70</v>
      </c>
      <c r="O79" s="15" t="str">
        <f>IF($N79="","غير مقيّمة",IF($N79&gt;المرجع!$K$3,"مستوفاة بشكل متقدم",IF($N79&lt;=المرجع!$K$2,"مستوفاة بشكل أولي","مستوفاة بشكل جزئي")))</f>
        <v>مستوفاة بشكل جزئي</v>
      </c>
      <c r="P79" s="18"/>
    </row>
    <row r="80" spans="1:16">
      <c r="A80" s="16" t="s">
        <v>464</v>
      </c>
      <c r="B80" s="16" t="s">
        <v>162</v>
      </c>
      <c r="C80" s="15" t="str">
        <f>IFERROR(INDEX('قائمة الوحدات'!$B$2:$B$41,MATCH($B80,'قائمة الوحدات'!$A$2:$A$41,0)),"")</f>
        <v>EXE</v>
      </c>
      <c r="D80" s="14" t="str">
        <f>IFERROR(INDEX('قائمة الوحدات'!$C$2:$C$41,MATCH($B80,'قائمة الوحدات'!$A$2:$A$41,0)),"")</f>
        <v>الشؤون التنفيذية</v>
      </c>
      <c r="E80" s="14" t="str">
        <f>IFERROR(INDEX('قائمة الوحدات'!$D$2:$D$41,MATCH($B80,'قائمة الوحدات'!$A$2:$A$41,0)),"")</f>
        <v>وكالة الشؤون الفنية</v>
      </c>
      <c r="F80" s="14" t="str">
        <f>IFERROR(INDEX('قائمة الوحدات'!$F$2:$F$41,MATCH($B80,'قائمة الوحدات'!$A$2:$A$41,0)),"")</f>
        <v>الإدارة العامة للمشاريع</v>
      </c>
      <c r="G80" s="16" t="s">
        <v>61</v>
      </c>
      <c r="H80" s="14" t="str">
        <f>IFERROR(INDEX(المرجع!$A$2:$A$19,MATCH($G80,المرجع!$B$2:$B$19,0)),"")</f>
        <v>البناء المؤسسي</v>
      </c>
      <c r="I80" s="16" t="s">
        <v>56</v>
      </c>
      <c r="J80" s="14" t="str">
        <f>IFERROR(INDEX(المرجع!$D$2:$D$19,MATCH($I80,المرجع!$E$2:$E$19,0)),"")</f>
        <v>الموارد</v>
      </c>
      <c r="K80" s="16" t="s">
        <v>108</v>
      </c>
      <c r="L80" s="17" t="str">
        <f>IFERROR(INDEX('نقاط التحقق'!$G$2:$G$31,MATCH($K80,'نقاط التحقق'!$A$2:$A$31,0))&amp;"","")</f>
        <v>وجود مساحات مكتبية كافية</v>
      </c>
      <c r="M80" s="14" t="str">
        <f>IFERROR(INDEX('نقاط التحقق'!$H$2:$H$31,MATCH($K80,'نقاط التحقق'!$A$2:$A$31,0))&amp;"","")</f>
        <v/>
      </c>
      <c r="N80" s="13">
        <v>45</v>
      </c>
      <c r="O80" s="15" t="str">
        <f>IF($N80="","غير مقيّمة",IF($N80&gt;المرجع!$K$3,"مستوفاة بشكل متقدم",IF($N80&lt;=المرجع!$K$2,"مستوفاة بشكل أولي","مستوفاة بشكل جزئي")))</f>
        <v>مستوفاة بشكل جزئي</v>
      </c>
      <c r="P80" s="18"/>
    </row>
    <row r="81" spans="1:16">
      <c r="A81" s="16" t="s">
        <v>465</v>
      </c>
      <c r="B81" s="16" t="s">
        <v>162</v>
      </c>
      <c r="C81" s="15" t="str">
        <f>IFERROR(INDEX('قائمة الوحدات'!$B$2:$B$41,MATCH($B81,'قائمة الوحدات'!$A$2:$A$41,0)),"")</f>
        <v>EXE</v>
      </c>
      <c r="D81" s="14" t="str">
        <f>IFERROR(INDEX('قائمة الوحدات'!$C$2:$C$41,MATCH($B81,'قائمة الوحدات'!$A$2:$A$41,0)),"")</f>
        <v>الشؤون التنفيذية</v>
      </c>
      <c r="E81" s="14" t="str">
        <f>IFERROR(INDEX('قائمة الوحدات'!$D$2:$D$41,MATCH($B81,'قائمة الوحدات'!$A$2:$A$41,0)),"")</f>
        <v>وكالة الشؤون الفنية</v>
      </c>
      <c r="F81" s="14" t="str">
        <f>IFERROR(INDEX('قائمة الوحدات'!$F$2:$F$41,MATCH($B81,'قائمة الوحدات'!$A$2:$A$41,0)),"")</f>
        <v>الإدارة العامة للمشاريع</v>
      </c>
      <c r="G81" s="16" t="s">
        <v>61</v>
      </c>
      <c r="H81" s="14" t="str">
        <f>IFERROR(INDEX(المرجع!$A$2:$A$19,MATCH($G81,المرجع!$B$2:$B$19,0)),"")</f>
        <v>البناء المؤسسي</v>
      </c>
      <c r="I81" s="16" t="s">
        <v>56</v>
      </c>
      <c r="J81" s="14" t="str">
        <f>IFERROR(INDEX(المرجع!$D$2:$D$19,MATCH($I81,المرجع!$E$2:$E$19,0)),"")</f>
        <v>الموارد</v>
      </c>
      <c r="K81" s="16" t="s">
        <v>110</v>
      </c>
      <c r="L81" s="17" t="str">
        <f>IFERROR(INDEX('نقاط التحقق'!$G$2:$G$31,MATCH($K81,'نقاط التحقق'!$A$2:$A$31,0))&amp;"","")</f>
        <v>وجود الاحتياجات التقنية الأساسية</v>
      </c>
      <c r="M81" s="14" t="str">
        <f>IFERROR(INDEX('نقاط التحقق'!$H$2:$H$31,MATCH($K81,'نقاط التحقق'!$A$2:$A$31,0))&amp;"","")</f>
        <v/>
      </c>
      <c r="N81" s="13">
        <v>50</v>
      </c>
      <c r="O81" s="15" t="str">
        <f>IF($N81="","غير مقيّمة",IF($N81&gt;المرجع!$K$3,"مستوفاة بشكل متقدم",IF($N81&lt;=المرجع!$K$2,"مستوفاة بشكل أولي","مستوفاة بشكل جزئي")))</f>
        <v>مستوفاة بشكل جزئي</v>
      </c>
      <c r="P81" s="18"/>
    </row>
    <row r="82" spans="1:16">
      <c r="A82" s="16" t="s">
        <v>466</v>
      </c>
      <c r="B82" s="16" t="s">
        <v>162</v>
      </c>
      <c r="C82" s="15" t="str">
        <f>IFERROR(INDEX('قائمة الوحدات'!$B$2:$B$41,MATCH($B82,'قائمة الوحدات'!$A$2:$A$41,0)),"")</f>
        <v>EXE</v>
      </c>
      <c r="D82" s="14" t="str">
        <f>IFERROR(INDEX('قائمة الوحدات'!$C$2:$C$41,MATCH($B82,'قائمة الوحدات'!$A$2:$A$41,0)),"")</f>
        <v>الشؤون التنفيذية</v>
      </c>
      <c r="E82" s="14" t="str">
        <f>IFERROR(INDEX('قائمة الوحدات'!$D$2:$D$41,MATCH($B82,'قائمة الوحدات'!$A$2:$A$41,0)),"")</f>
        <v>وكالة الشؤون الفنية</v>
      </c>
      <c r="F82" s="14" t="str">
        <f>IFERROR(INDEX('قائمة الوحدات'!$F$2:$F$41,MATCH($B82,'قائمة الوحدات'!$A$2:$A$41,0)),"")</f>
        <v>الإدارة العامة للمشاريع</v>
      </c>
      <c r="G82" s="16" t="s">
        <v>61</v>
      </c>
      <c r="H82" s="14" t="str">
        <f>IFERROR(INDEX(المرجع!$A$2:$A$19,MATCH($G82,المرجع!$B$2:$B$19,0)),"")</f>
        <v>البناء المؤسسي</v>
      </c>
      <c r="I82" s="16" t="s">
        <v>59</v>
      </c>
      <c r="J82" s="14" t="str">
        <f>IFERROR(INDEX(المرجع!$D$2:$D$19,MATCH($I82,المرجع!$E$2:$E$19,0)),"")</f>
        <v>الإجراءات</v>
      </c>
      <c r="K82" s="16" t="s">
        <v>112</v>
      </c>
      <c r="L82" s="17" t="str">
        <f>IFERROR(INDEX('نقاط التحقق'!$G$2:$G$31,MATCH($K82,'نقاط التحقق'!$A$2:$A$31,0))&amp;"","")</f>
        <v>إجراءات معتمدة للوحدة التنظيمية</v>
      </c>
      <c r="M82" s="14" t="str">
        <f>IFERROR(INDEX('نقاط التحقق'!$H$2:$H$31,MATCH($K82,'نقاط التحقق'!$A$2:$A$31,0))&amp;"","")</f>
        <v/>
      </c>
      <c r="N82" s="13">
        <v>84</v>
      </c>
      <c r="O82" s="15" t="str">
        <f>IF($N82="","غير مقيّمة",IF($N82&gt;المرجع!$K$3,"مستوفاة بشكل متقدم",IF($N82&lt;=المرجع!$K$2,"مستوفاة بشكل أولي","مستوفاة بشكل جزئي")))</f>
        <v>مستوفاة بشكل متقدم</v>
      </c>
      <c r="P82" s="18"/>
    </row>
    <row r="83" spans="1:16">
      <c r="A83" s="16" t="s">
        <v>467</v>
      </c>
      <c r="B83" s="16" t="s">
        <v>162</v>
      </c>
      <c r="C83" s="15" t="str">
        <f>IFERROR(INDEX('قائمة الوحدات'!$B$2:$B$41,MATCH($B83,'قائمة الوحدات'!$A$2:$A$41,0)),"")</f>
        <v>EXE</v>
      </c>
      <c r="D83" s="14" t="str">
        <f>IFERROR(INDEX('قائمة الوحدات'!$C$2:$C$41,MATCH($B83,'قائمة الوحدات'!$A$2:$A$41,0)),"")</f>
        <v>الشؤون التنفيذية</v>
      </c>
      <c r="E83" s="14" t="str">
        <f>IFERROR(INDEX('قائمة الوحدات'!$D$2:$D$41,MATCH($B83,'قائمة الوحدات'!$A$2:$A$41,0)),"")</f>
        <v>وكالة الشؤون الفنية</v>
      </c>
      <c r="F83" s="14" t="str">
        <f>IFERROR(INDEX('قائمة الوحدات'!$F$2:$F$41,MATCH($B83,'قائمة الوحدات'!$A$2:$A$41,0)),"")</f>
        <v>الإدارة العامة للمشاريع</v>
      </c>
      <c r="G83" s="16" t="s">
        <v>61</v>
      </c>
      <c r="H83" s="14" t="str">
        <f>IFERROR(INDEX(المرجع!$A$2:$A$19,MATCH($G83,المرجع!$B$2:$B$19,0)),"")</f>
        <v>البناء المؤسسي</v>
      </c>
      <c r="I83" s="16" t="s">
        <v>63</v>
      </c>
      <c r="J83" s="14" t="str">
        <f>IFERROR(INDEX(المرجع!$D$2:$D$19,MATCH($I83,المرجع!$E$2:$E$19,0)),"")</f>
        <v>إنتاج المخرج الأول</v>
      </c>
      <c r="K83" s="16" t="s">
        <v>114</v>
      </c>
      <c r="L83" s="17" t="str">
        <f>IFERROR(INDEX('نقاط التحقق'!$G$2:$G$31,MATCH($K83,'نقاط التحقق'!$A$2:$A$31,0))&amp;"","")</f>
        <v>إنتاج المخرج الأول من قبل الوحدة التنظيمية</v>
      </c>
      <c r="M83" s="14" t="str">
        <f>IFERROR(INDEX('نقاط التحقق'!$H$2:$H$31,MATCH($K83,'نقاط التحقق'!$A$2:$A$31,0))&amp;"","")</f>
        <v/>
      </c>
      <c r="N83" s="13">
        <v>52</v>
      </c>
      <c r="O83" s="15" t="str">
        <f>IF($N83="","غير مقيّمة",IF($N83&gt;المرجع!$K$3,"مستوفاة بشكل متقدم",IF($N83&lt;=المرجع!$K$2,"مستوفاة بشكل أولي","مستوفاة بشكل جزئي")))</f>
        <v>مستوفاة بشكل جزئي</v>
      </c>
      <c r="P83" s="18"/>
    </row>
    <row r="84" spans="1:16">
      <c r="A84" s="16" t="s">
        <v>468</v>
      </c>
      <c r="B84" s="16" t="s">
        <v>162</v>
      </c>
      <c r="C84" s="15" t="str">
        <f>IFERROR(INDEX('قائمة الوحدات'!$B$2:$B$41,MATCH($B84,'قائمة الوحدات'!$A$2:$A$41,0)),"")</f>
        <v>EXE</v>
      </c>
      <c r="D84" s="14" t="str">
        <f>IFERROR(INDEX('قائمة الوحدات'!$C$2:$C$41,MATCH($B84,'قائمة الوحدات'!$A$2:$A$41,0)),"")</f>
        <v>الشؤون التنفيذية</v>
      </c>
      <c r="E84" s="14" t="str">
        <f>IFERROR(INDEX('قائمة الوحدات'!$D$2:$D$41,MATCH($B84,'قائمة الوحدات'!$A$2:$A$41,0)),"")</f>
        <v>وكالة الشؤون الفنية</v>
      </c>
      <c r="F84" s="14" t="str">
        <f>IFERROR(INDEX('قائمة الوحدات'!$F$2:$F$41,MATCH($B84,'قائمة الوحدات'!$A$2:$A$41,0)),"")</f>
        <v>الإدارة العامة للمشاريع</v>
      </c>
      <c r="G84" s="16" t="s">
        <v>65</v>
      </c>
      <c r="H84" s="14" t="str">
        <f>IFERROR(INDEX(المرجع!$A$2:$A$19,MATCH($G84,المرجع!$B$2:$B$19,0)),"")</f>
        <v>التشغيل</v>
      </c>
      <c r="I84" s="16" t="s">
        <v>48</v>
      </c>
      <c r="J84" s="14" t="str">
        <f>IFERROR(INDEX(المرجع!$D$2:$D$19,MATCH($I84,المرجع!$E$2:$E$19,0)),"")</f>
        <v>الأهداف ومؤشرات الأداء</v>
      </c>
      <c r="K84" s="16" t="s">
        <v>116</v>
      </c>
      <c r="L84" s="17" t="str">
        <f>IFERROR(INDEX('نقاط التحقق'!$G$2:$G$31,MATCH($K84,'نقاط التحقق'!$A$2:$A$31,0))&amp;"","")</f>
        <v>تحرك مؤشرات الأداء التشغيلي للوحدة التنظيمية بشكل إيجابي</v>
      </c>
      <c r="M84" s="14" t="str">
        <f>IFERROR(INDEX('نقاط التحقق'!$H$2:$H$31,MATCH($K84,'نقاط التحقق'!$A$2:$A$31,0))&amp;"","")</f>
        <v/>
      </c>
      <c r="N84" s="13">
        <v>45</v>
      </c>
      <c r="O84" s="15" t="str">
        <f>IF($N84="","غير مقيّمة",IF($N84&gt;المرجع!$K$3,"مستوفاة بشكل متقدم",IF($N84&lt;=المرجع!$K$2,"مستوفاة بشكل أولي","مستوفاة بشكل جزئي")))</f>
        <v>مستوفاة بشكل جزئي</v>
      </c>
      <c r="P84" s="18"/>
    </row>
    <row r="85" spans="1:16">
      <c r="A85" s="16" t="s">
        <v>469</v>
      </c>
      <c r="B85" s="16" t="s">
        <v>162</v>
      </c>
      <c r="C85" s="15" t="str">
        <f>IFERROR(INDEX('قائمة الوحدات'!$B$2:$B$41,MATCH($B85,'قائمة الوحدات'!$A$2:$A$41,0)),"")</f>
        <v>EXE</v>
      </c>
      <c r="D85" s="14" t="str">
        <f>IFERROR(INDEX('قائمة الوحدات'!$C$2:$C$41,MATCH($B85,'قائمة الوحدات'!$A$2:$A$41,0)),"")</f>
        <v>الشؤون التنفيذية</v>
      </c>
      <c r="E85" s="14" t="str">
        <f>IFERROR(INDEX('قائمة الوحدات'!$D$2:$D$41,MATCH($B85,'قائمة الوحدات'!$A$2:$A$41,0)),"")</f>
        <v>وكالة الشؤون الفنية</v>
      </c>
      <c r="F85" s="14" t="str">
        <f>IFERROR(INDEX('قائمة الوحدات'!$F$2:$F$41,MATCH($B85,'قائمة الوحدات'!$A$2:$A$41,0)),"")</f>
        <v>الإدارة العامة للمشاريع</v>
      </c>
      <c r="G85" s="16" t="s">
        <v>65</v>
      </c>
      <c r="H85" s="14" t="str">
        <f>IFERROR(INDEX(المرجع!$A$2:$A$19,MATCH($G85,المرجع!$B$2:$B$19,0)),"")</f>
        <v>التشغيل</v>
      </c>
      <c r="I85" s="16" t="s">
        <v>48</v>
      </c>
      <c r="J85" s="14" t="str">
        <f>IFERROR(INDEX(المرجع!$D$2:$D$19,MATCH($I85,المرجع!$E$2:$E$19,0)),"")</f>
        <v>الأهداف ومؤشرات الأداء</v>
      </c>
      <c r="K85" s="16" t="s">
        <v>118</v>
      </c>
      <c r="L85" s="17" t="str">
        <f>IFERROR(INDEX('نقاط التحقق'!$G$2:$G$31,MATCH($K85,'نقاط التحقق'!$A$2:$A$31,0))&amp;"","")</f>
        <v>خطة سنوية معتمدة للوحدة التنظيمية</v>
      </c>
      <c r="M85" s="14" t="str">
        <f>IFERROR(INDEX('نقاط التحقق'!$H$2:$H$31,MATCH($K85,'نقاط التحقق'!$A$2:$A$31,0))&amp;"","")</f>
        <v/>
      </c>
      <c r="N85" s="13">
        <v>35</v>
      </c>
      <c r="O85" s="15" t="str">
        <f>IF($N85="","غير مقيّمة",IF($N85&gt;المرجع!$K$3,"مستوفاة بشكل متقدم",IF($N85&lt;=المرجع!$K$2,"مستوفاة بشكل أولي","مستوفاة بشكل جزئي")))</f>
        <v>مستوفاة بشكل جزئي</v>
      </c>
      <c r="P85" s="18"/>
    </row>
    <row r="86" spans="1:16">
      <c r="A86" s="16" t="s">
        <v>470</v>
      </c>
      <c r="B86" s="16" t="s">
        <v>162</v>
      </c>
      <c r="C86" s="15" t="str">
        <f>IFERROR(INDEX('قائمة الوحدات'!$B$2:$B$41,MATCH($B86,'قائمة الوحدات'!$A$2:$A$41,0)),"")</f>
        <v>EXE</v>
      </c>
      <c r="D86" s="14" t="str">
        <f>IFERROR(INDEX('قائمة الوحدات'!$C$2:$C$41,MATCH($B86,'قائمة الوحدات'!$A$2:$A$41,0)),"")</f>
        <v>الشؤون التنفيذية</v>
      </c>
      <c r="E86" s="14" t="str">
        <f>IFERROR(INDEX('قائمة الوحدات'!$D$2:$D$41,MATCH($B86,'قائمة الوحدات'!$A$2:$A$41,0)),"")</f>
        <v>وكالة الشؤون الفنية</v>
      </c>
      <c r="F86" s="14" t="str">
        <f>IFERROR(INDEX('قائمة الوحدات'!$F$2:$F$41,MATCH($B86,'قائمة الوحدات'!$A$2:$A$41,0)),"")</f>
        <v>الإدارة العامة للمشاريع</v>
      </c>
      <c r="G86" s="16" t="s">
        <v>65</v>
      </c>
      <c r="H86" s="14" t="str">
        <f>IFERROR(INDEX(المرجع!$A$2:$A$19,MATCH($G86,المرجع!$B$2:$B$19,0)),"")</f>
        <v>التشغيل</v>
      </c>
      <c r="I86" s="16" t="s">
        <v>51</v>
      </c>
      <c r="J86" s="14" t="str">
        <f>IFERROR(INDEX(المرجع!$D$2:$D$19,MATCH($I86,المرجع!$E$2:$E$19,0)),"")</f>
        <v>الحوكمة</v>
      </c>
      <c r="K86" s="16" t="s">
        <v>120</v>
      </c>
      <c r="L86" s="17" t="str">
        <f>IFERROR(INDEX('نقاط التحقق'!$G$2:$G$31,MATCH($K86,'نقاط التحقق'!$A$2:$A$31,0))&amp;"","")</f>
        <v>محاضر لجان موثقة</v>
      </c>
      <c r="M86" s="14" t="str">
        <f>IFERROR(INDEX('نقاط التحقق'!$H$2:$H$31,MATCH($K86,'نقاط التحقق'!$A$2:$A$31,0))&amp;"","")</f>
        <v/>
      </c>
      <c r="N86" s="13">
        <v>15</v>
      </c>
      <c r="O86" s="15" t="str">
        <f>IF($N86="","غير مقيّمة",IF($N86&gt;المرجع!$K$3,"مستوفاة بشكل متقدم",IF($N86&lt;=المرجع!$K$2,"مستوفاة بشكل أولي","مستوفاة بشكل جزئي")))</f>
        <v>مستوفاة بشكل أولي</v>
      </c>
      <c r="P86" s="18"/>
    </row>
    <row r="87" spans="1:16">
      <c r="A87" s="16" t="s">
        <v>471</v>
      </c>
      <c r="B87" s="16" t="s">
        <v>162</v>
      </c>
      <c r="C87" s="15" t="str">
        <f>IFERROR(INDEX('قائمة الوحدات'!$B$2:$B$41,MATCH($B87,'قائمة الوحدات'!$A$2:$A$41,0)),"")</f>
        <v>EXE</v>
      </c>
      <c r="D87" s="14" t="str">
        <f>IFERROR(INDEX('قائمة الوحدات'!$C$2:$C$41,MATCH($B87,'قائمة الوحدات'!$A$2:$A$41,0)),"")</f>
        <v>الشؤون التنفيذية</v>
      </c>
      <c r="E87" s="14" t="str">
        <f>IFERROR(INDEX('قائمة الوحدات'!$D$2:$D$41,MATCH($B87,'قائمة الوحدات'!$A$2:$A$41,0)),"")</f>
        <v>وكالة الشؤون الفنية</v>
      </c>
      <c r="F87" s="14" t="str">
        <f>IFERROR(INDEX('قائمة الوحدات'!$F$2:$F$41,MATCH($B87,'قائمة الوحدات'!$A$2:$A$41,0)),"")</f>
        <v>الإدارة العامة للمشاريع</v>
      </c>
      <c r="G87" s="16" t="s">
        <v>65</v>
      </c>
      <c r="H87" s="14" t="str">
        <f>IFERROR(INDEX(المرجع!$A$2:$A$19,MATCH($G87,المرجع!$B$2:$B$19,0)),"")</f>
        <v>التشغيل</v>
      </c>
      <c r="I87" s="16" t="s">
        <v>51</v>
      </c>
      <c r="J87" s="14" t="str">
        <f>IFERROR(INDEX(المرجع!$D$2:$D$19,MATCH($I87,المرجع!$E$2:$E$19,0)),"")</f>
        <v>الحوكمة</v>
      </c>
      <c r="K87" s="16" t="s">
        <v>122</v>
      </c>
      <c r="L87" s="17" t="str">
        <f>IFERROR(INDEX('نقاط التحقق'!$G$2:$G$31,MATCH($K87,'نقاط التحقق'!$A$2:$A$31,0))&amp;"","")</f>
        <v>نشر السياسات التي تملكها الوحدة التنظيمية</v>
      </c>
      <c r="M87" s="14" t="str">
        <f>IFERROR(INDEX('نقاط التحقق'!$H$2:$H$31,MATCH($K87,'نقاط التحقق'!$A$2:$A$31,0))&amp;"","")</f>
        <v/>
      </c>
      <c r="N87" s="13">
        <v>30</v>
      </c>
      <c r="O87" s="15" t="str">
        <f>IF($N87="","غير مقيّمة",IF($N87&gt;المرجع!$K$3,"مستوفاة بشكل متقدم",IF($N87&lt;=المرجع!$K$2,"مستوفاة بشكل أولي","مستوفاة بشكل جزئي")))</f>
        <v>مستوفاة بشكل أولي</v>
      </c>
      <c r="P87" s="18"/>
    </row>
    <row r="88" spans="1:16">
      <c r="A88" s="16" t="s">
        <v>472</v>
      </c>
      <c r="B88" s="16" t="s">
        <v>162</v>
      </c>
      <c r="C88" s="15" t="str">
        <f>IFERROR(INDEX('قائمة الوحدات'!$B$2:$B$41,MATCH($B88,'قائمة الوحدات'!$A$2:$A$41,0)),"")</f>
        <v>EXE</v>
      </c>
      <c r="D88" s="14" t="str">
        <f>IFERROR(INDEX('قائمة الوحدات'!$C$2:$C$41,MATCH($B88,'قائمة الوحدات'!$A$2:$A$41,0)),"")</f>
        <v>الشؤون التنفيذية</v>
      </c>
      <c r="E88" s="14" t="str">
        <f>IFERROR(INDEX('قائمة الوحدات'!$D$2:$D$41,MATCH($B88,'قائمة الوحدات'!$A$2:$A$41,0)),"")</f>
        <v>وكالة الشؤون الفنية</v>
      </c>
      <c r="F88" s="14" t="str">
        <f>IFERROR(INDEX('قائمة الوحدات'!$F$2:$F$41,MATCH($B88,'قائمة الوحدات'!$A$2:$A$41,0)),"")</f>
        <v>الإدارة العامة للمشاريع</v>
      </c>
      <c r="G88" s="16" t="s">
        <v>65</v>
      </c>
      <c r="H88" s="14" t="str">
        <f>IFERROR(INDEX(المرجع!$A$2:$A$19,MATCH($G88,المرجع!$B$2:$B$19,0)),"")</f>
        <v>التشغيل</v>
      </c>
      <c r="I88" s="16" t="s">
        <v>51</v>
      </c>
      <c r="J88" s="14" t="str">
        <f>IFERROR(INDEX(المرجع!$D$2:$D$19,MATCH($I88,المرجع!$E$2:$E$19,0)),"")</f>
        <v>الحوكمة</v>
      </c>
      <c r="K88" s="16" t="s">
        <v>124</v>
      </c>
      <c r="L88" s="17" t="str">
        <f>IFERROR(INDEX('نقاط التحقق'!$G$2:$G$31,MATCH($K88,'نقاط التحقق'!$A$2:$A$31,0))&amp;"","")</f>
        <v>اتخاذ القرارات في نطاق الصلاحيات (وجود شواهد)</v>
      </c>
      <c r="M88" s="14" t="str">
        <f>IFERROR(INDEX('نقاط التحقق'!$H$2:$H$31,MATCH($K88,'نقاط التحقق'!$A$2:$A$31,0))&amp;"","")</f>
        <v/>
      </c>
      <c r="N88" s="13">
        <v>35</v>
      </c>
      <c r="O88" s="15" t="str">
        <f>IF($N88="","غير مقيّمة",IF($N88&gt;المرجع!$K$3,"مستوفاة بشكل متقدم",IF($N88&lt;=المرجع!$K$2,"مستوفاة بشكل أولي","مستوفاة بشكل جزئي")))</f>
        <v>مستوفاة بشكل جزئي</v>
      </c>
      <c r="P88" s="18"/>
    </row>
    <row r="89" spans="1:16">
      <c r="A89" s="16" t="s">
        <v>473</v>
      </c>
      <c r="B89" s="16" t="s">
        <v>162</v>
      </c>
      <c r="C89" s="15" t="str">
        <f>IFERROR(INDEX('قائمة الوحدات'!$B$2:$B$41,MATCH($B89,'قائمة الوحدات'!$A$2:$A$41,0)),"")</f>
        <v>EXE</v>
      </c>
      <c r="D89" s="14" t="str">
        <f>IFERROR(INDEX('قائمة الوحدات'!$C$2:$C$41,MATCH($B89,'قائمة الوحدات'!$A$2:$A$41,0)),"")</f>
        <v>الشؤون التنفيذية</v>
      </c>
      <c r="E89" s="14" t="str">
        <f>IFERROR(INDEX('قائمة الوحدات'!$D$2:$D$41,MATCH($B89,'قائمة الوحدات'!$A$2:$A$41,0)),"")</f>
        <v>وكالة الشؤون الفنية</v>
      </c>
      <c r="F89" s="14" t="str">
        <f>IFERROR(INDEX('قائمة الوحدات'!$F$2:$F$41,MATCH($B89,'قائمة الوحدات'!$A$2:$A$41,0)),"")</f>
        <v>الإدارة العامة للمشاريع</v>
      </c>
      <c r="G89" s="16" t="s">
        <v>65</v>
      </c>
      <c r="H89" s="14" t="str">
        <f>IFERROR(INDEX(المرجع!$A$2:$A$19,MATCH($G89,المرجع!$B$2:$B$19,0)),"")</f>
        <v>التشغيل</v>
      </c>
      <c r="I89" s="16" t="s">
        <v>56</v>
      </c>
      <c r="J89" s="14" t="str">
        <f>IFERROR(INDEX(المرجع!$D$2:$D$19,MATCH($I89,المرجع!$E$2:$E$19,0)),"")</f>
        <v>الموارد</v>
      </c>
      <c r="K89" s="16" t="s">
        <v>126</v>
      </c>
      <c r="L89" s="17" t="str">
        <f>IFERROR(INDEX('نقاط التحقق'!$G$2:$G$31,MATCH($K89,'نقاط التحقق'!$A$2:$A$31,0))&amp;"","")</f>
        <v>موارد مستكملة للحد الأدنى الذي يغطي كافة محاور سلسلة القيمة</v>
      </c>
      <c r="M89" s="14" t="str">
        <f>IFERROR(INDEX('نقاط التحقق'!$H$2:$H$31,MATCH($K89,'نقاط التحقق'!$A$2:$A$31,0))&amp;"","")</f>
        <v/>
      </c>
      <c r="N89" s="13">
        <v>59</v>
      </c>
      <c r="O89" s="15" t="str">
        <f>IF($N89="","غير مقيّمة",IF($N89&gt;المرجع!$K$3,"مستوفاة بشكل متقدم",IF($N89&lt;=المرجع!$K$2,"مستوفاة بشكل أولي","مستوفاة بشكل جزئي")))</f>
        <v>مستوفاة بشكل جزئي</v>
      </c>
      <c r="P89" s="18"/>
    </row>
    <row r="90" spans="1:16">
      <c r="A90" s="16" t="s">
        <v>474</v>
      </c>
      <c r="B90" s="16" t="s">
        <v>162</v>
      </c>
      <c r="C90" s="15" t="str">
        <f>IFERROR(INDEX('قائمة الوحدات'!$B$2:$B$41,MATCH($B90,'قائمة الوحدات'!$A$2:$A$41,0)),"")</f>
        <v>EXE</v>
      </c>
      <c r="D90" s="14" t="str">
        <f>IFERROR(INDEX('قائمة الوحدات'!$C$2:$C$41,MATCH($B90,'قائمة الوحدات'!$A$2:$A$41,0)),"")</f>
        <v>الشؤون التنفيذية</v>
      </c>
      <c r="E90" s="14" t="str">
        <f>IFERROR(INDEX('قائمة الوحدات'!$D$2:$D$41,MATCH($B90,'قائمة الوحدات'!$A$2:$A$41,0)),"")</f>
        <v>وكالة الشؤون الفنية</v>
      </c>
      <c r="F90" s="14" t="str">
        <f>IFERROR(INDEX('قائمة الوحدات'!$F$2:$F$41,MATCH($B90,'قائمة الوحدات'!$A$2:$A$41,0)),"")</f>
        <v>الإدارة العامة للمشاريع</v>
      </c>
      <c r="G90" s="16" t="s">
        <v>65</v>
      </c>
      <c r="H90" s="14" t="str">
        <f>IFERROR(INDEX(المرجع!$A$2:$A$19,MATCH($G90,المرجع!$B$2:$B$19,0)),"")</f>
        <v>التشغيل</v>
      </c>
      <c r="I90" s="16" t="s">
        <v>59</v>
      </c>
      <c r="J90" s="14" t="str">
        <f>IFERROR(INDEX(المرجع!$D$2:$D$19,MATCH($I90,المرجع!$E$2:$E$19,0)),"")</f>
        <v>الإجراءات</v>
      </c>
      <c r="K90" s="16" t="s">
        <v>128</v>
      </c>
      <c r="L90" s="17" t="str">
        <f>IFERROR(INDEX('نقاط التحقق'!$G$2:$G$31,MATCH($K90,'نقاط التحقق'!$A$2:$A$31,0))&amp;"","")</f>
        <v>تحقيق تقييم "مطبق بشكل كامل" من منهجية تقييم فعالية الإجراءات</v>
      </c>
      <c r="M90" s="14" t="str">
        <f>IFERROR(INDEX('نقاط التحقق'!$H$2:$H$31,MATCH($K90,'نقاط التحقق'!$A$2:$A$31,0))&amp;"","")</f>
        <v/>
      </c>
      <c r="N90" s="13">
        <v>42</v>
      </c>
      <c r="O90" s="15" t="str">
        <f>IF($N90="","غير مقيّمة",IF($N90&gt;المرجع!$K$3,"مستوفاة بشكل متقدم",IF($N90&lt;=المرجع!$K$2,"مستوفاة بشكل أولي","مستوفاة بشكل جزئي")))</f>
        <v>مستوفاة بشكل جزئي</v>
      </c>
      <c r="P90" s="18"/>
    </row>
    <row r="91" spans="1:16">
      <c r="A91" s="16" t="s">
        <v>475</v>
      </c>
      <c r="B91" s="16" t="s">
        <v>162</v>
      </c>
      <c r="C91" s="15" t="str">
        <f>IFERROR(INDEX('قائمة الوحدات'!$B$2:$B$41,MATCH($B91,'قائمة الوحدات'!$A$2:$A$41,0)),"")</f>
        <v>EXE</v>
      </c>
      <c r="D91" s="14" t="str">
        <f>IFERROR(INDEX('قائمة الوحدات'!$C$2:$C$41,MATCH($B91,'قائمة الوحدات'!$A$2:$A$41,0)),"")</f>
        <v>الشؤون التنفيذية</v>
      </c>
      <c r="E91" s="14" t="str">
        <f>IFERROR(INDEX('قائمة الوحدات'!$D$2:$D$41,MATCH($B91,'قائمة الوحدات'!$A$2:$A$41,0)),"")</f>
        <v>وكالة الشؤون الفنية</v>
      </c>
      <c r="F91" s="14" t="str">
        <f>IFERROR(INDEX('قائمة الوحدات'!$F$2:$F$41,MATCH($B91,'قائمة الوحدات'!$A$2:$A$41,0)),"")</f>
        <v>الإدارة العامة للمشاريع</v>
      </c>
      <c r="G91" s="16" t="s">
        <v>65</v>
      </c>
      <c r="H91" s="14" t="str">
        <f>IFERROR(INDEX(المرجع!$A$2:$A$19,MATCH($G91,المرجع!$B$2:$B$19,0)),"")</f>
        <v>التشغيل</v>
      </c>
      <c r="I91" s="16" t="s">
        <v>67</v>
      </c>
      <c r="J91" s="14" t="str">
        <f>IFERROR(INDEX(المرجع!$D$2:$D$19,MATCH($I91,المرجع!$E$2:$E$19,0)),"")</f>
        <v>اكتمال المخرجات المستهدفة</v>
      </c>
      <c r="K91" s="16" t="s">
        <v>130</v>
      </c>
      <c r="L91" s="17" t="str">
        <f>IFERROR(INDEX('نقاط التحقق'!$G$2:$G$31,MATCH($K91,'نقاط التحقق'!$A$2:$A$31,0))&amp;"","")</f>
        <v>اكتمال مخرجات النموذج التشغيلي المستهدف للوحدة التنظيمية</v>
      </c>
      <c r="M91" s="14" t="str">
        <f>IFERROR(INDEX('نقاط التحقق'!$H$2:$H$31,MATCH($K91,'نقاط التحقق'!$A$2:$A$31,0))&amp;"","")</f>
        <v/>
      </c>
      <c r="N91" s="13">
        <v>46</v>
      </c>
      <c r="O91" s="15" t="str">
        <f>IF($N91="","غير مقيّمة",IF($N91&gt;المرجع!$K$3,"مستوفاة بشكل متقدم",IF($N91&lt;=المرجع!$K$2,"مستوفاة بشكل أولي","مستوفاة بشكل جزئي")))</f>
        <v>مستوفاة بشكل جزئي</v>
      </c>
      <c r="P91" s="18"/>
    </row>
    <row r="92" spans="1:16">
      <c r="A92" s="16" t="s">
        <v>476</v>
      </c>
      <c r="B92" s="16" t="s">
        <v>164</v>
      </c>
      <c r="C92" s="15" t="str">
        <f>IFERROR(INDEX('قائمة الوحدات'!$B$2:$B$41,MATCH($B92,'قائمة الوحدات'!$A$2:$A$41,0)),"")</f>
        <v>EXE</v>
      </c>
      <c r="D92" s="14" t="str">
        <f>IFERROR(INDEX('قائمة الوحدات'!$C$2:$C$41,MATCH($B92,'قائمة الوحدات'!$A$2:$A$41,0)),"")</f>
        <v>الشؤون التنفيذية</v>
      </c>
      <c r="E92" s="14" t="str">
        <f>IFERROR(INDEX('قائمة الوحدات'!$D$2:$D$41,MATCH($B92,'قائمة الوحدات'!$A$2:$A$41,0)),"")</f>
        <v>وكالة الشؤون الفنية</v>
      </c>
      <c r="F92" s="14" t="str">
        <f>IFERROR(INDEX('قائمة الوحدات'!$F$2:$F$41,MATCH($B92,'قائمة الوحدات'!$A$2:$A$41,0)),"")</f>
        <v>الإدارة العامة للتشغيل والصيانة</v>
      </c>
      <c r="G92" s="16" t="s">
        <v>43</v>
      </c>
      <c r="H92" s="14" t="str">
        <f>IFERROR(INDEX(المرجع!$A$2:$A$19,MATCH($G92,المرجع!$B$2:$B$19,0)),"")</f>
        <v>التصميم</v>
      </c>
      <c r="I92" s="16" t="s">
        <v>45</v>
      </c>
      <c r="J92" s="14" t="str">
        <f>IFERROR(INDEX(المرجع!$D$2:$D$19,MATCH($I92,المرجع!$E$2:$E$19,0)),"")</f>
        <v>الدور</v>
      </c>
      <c r="K92" s="16" t="s">
        <v>72</v>
      </c>
      <c r="L92" s="17" t="str">
        <f>IFERROR(INDEX('نقاط التحقق'!$G$2:$G$31,MATCH($K92,'نقاط التحقق'!$A$2:$A$31,0))&amp;"","")</f>
        <v>دور مفصل للوحدة التنظيمية</v>
      </c>
      <c r="M92" s="14" t="str">
        <f>IFERROR(INDEX('نقاط التحقق'!$H$2:$H$31,MATCH($K92,'نقاط التحقق'!$A$2:$A$31,0))&amp;"","")</f>
        <v/>
      </c>
      <c r="N92" s="13">
        <v>83</v>
      </c>
      <c r="O92" s="15" t="str">
        <f>IF($N92="","غير مقيّمة",IF($N92&gt;المرجع!$K$3,"مستوفاة بشكل متقدم",IF($N92&lt;=المرجع!$K$2,"مستوفاة بشكل أولي","مستوفاة بشكل جزئي")))</f>
        <v>مستوفاة بشكل متقدم</v>
      </c>
      <c r="P92" s="18"/>
    </row>
    <row r="93" spans="1:16">
      <c r="A93" s="16" t="s">
        <v>477</v>
      </c>
      <c r="B93" s="16" t="s">
        <v>164</v>
      </c>
      <c r="C93" s="15" t="str">
        <f>IFERROR(INDEX('قائمة الوحدات'!$B$2:$B$41,MATCH($B93,'قائمة الوحدات'!$A$2:$A$41,0)),"")</f>
        <v>EXE</v>
      </c>
      <c r="D93" s="14" t="str">
        <f>IFERROR(INDEX('قائمة الوحدات'!$C$2:$C$41,MATCH($B93,'قائمة الوحدات'!$A$2:$A$41,0)),"")</f>
        <v>الشؤون التنفيذية</v>
      </c>
      <c r="E93" s="14" t="str">
        <f>IFERROR(INDEX('قائمة الوحدات'!$D$2:$D$41,MATCH($B93,'قائمة الوحدات'!$A$2:$A$41,0)),"")</f>
        <v>وكالة الشؤون الفنية</v>
      </c>
      <c r="F93" s="14" t="str">
        <f>IFERROR(INDEX('قائمة الوحدات'!$F$2:$F$41,MATCH($B93,'قائمة الوحدات'!$A$2:$A$41,0)),"")</f>
        <v>الإدارة العامة للتشغيل والصيانة</v>
      </c>
      <c r="G93" s="16" t="s">
        <v>43</v>
      </c>
      <c r="H93" s="14" t="str">
        <f>IFERROR(INDEX(المرجع!$A$2:$A$19,MATCH($G93,المرجع!$B$2:$B$19,0)),"")</f>
        <v>التصميم</v>
      </c>
      <c r="I93" s="16" t="s">
        <v>48</v>
      </c>
      <c r="J93" s="14" t="str">
        <f>IFERROR(INDEX(المرجع!$D$2:$D$19,MATCH($I93,المرجع!$E$2:$E$19,0)),"")</f>
        <v>الأهداف ومؤشرات الأداء</v>
      </c>
      <c r="K93" s="16" t="s">
        <v>74</v>
      </c>
      <c r="L93" s="17" t="str">
        <f>IFERROR(INDEX('نقاط التحقق'!$G$2:$G$31,MATCH($K93,'نقاط التحقق'!$A$2:$A$31,0))&amp;"","")</f>
        <v>أهداف محددة للوحدة التنظيمية وربطها بمؤشرات أداء لقياسها</v>
      </c>
      <c r="M93" s="14" t="str">
        <f>IFERROR(INDEX('نقاط التحقق'!$H$2:$H$31,MATCH($K93,'نقاط التحقق'!$A$2:$A$31,0))&amp;"","")</f>
        <v/>
      </c>
      <c r="N93" s="13">
        <v>70</v>
      </c>
      <c r="O93" s="15" t="str">
        <f>IF($N93="","غير مقيّمة",IF($N93&gt;المرجع!$K$3,"مستوفاة بشكل متقدم",IF($N93&lt;=المرجع!$K$2,"مستوفاة بشكل أولي","مستوفاة بشكل جزئي")))</f>
        <v>مستوفاة بشكل جزئي</v>
      </c>
      <c r="P93" s="18"/>
    </row>
    <row r="94" spans="1:16">
      <c r="A94" s="16" t="s">
        <v>478</v>
      </c>
      <c r="B94" s="16" t="s">
        <v>164</v>
      </c>
      <c r="C94" s="15" t="str">
        <f>IFERROR(INDEX('قائمة الوحدات'!$B$2:$B$41,MATCH($B94,'قائمة الوحدات'!$A$2:$A$41,0)),"")</f>
        <v>EXE</v>
      </c>
      <c r="D94" s="14" t="str">
        <f>IFERROR(INDEX('قائمة الوحدات'!$C$2:$C$41,MATCH($B94,'قائمة الوحدات'!$A$2:$A$41,0)),"")</f>
        <v>الشؤون التنفيذية</v>
      </c>
      <c r="E94" s="14" t="str">
        <f>IFERROR(INDEX('قائمة الوحدات'!$D$2:$D$41,MATCH($B94,'قائمة الوحدات'!$A$2:$A$41,0)),"")</f>
        <v>وكالة الشؤون الفنية</v>
      </c>
      <c r="F94" s="14" t="str">
        <f>IFERROR(INDEX('قائمة الوحدات'!$F$2:$F$41,MATCH($B94,'قائمة الوحدات'!$A$2:$A$41,0)),"")</f>
        <v>الإدارة العامة للتشغيل والصيانة</v>
      </c>
      <c r="G94" s="16" t="s">
        <v>43</v>
      </c>
      <c r="H94" s="14" t="str">
        <f>IFERROR(INDEX(المرجع!$A$2:$A$19,MATCH($G94,المرجع!$B$2:$B$19,0)),"")</f>
        <v>التصميم</v>
      </c>
      <c r="I94" s="16" t="s">
        <v>48</v>
      </c>
      <c r="J94" s="14" t="str">
        <f>IFERROR(INDEX(المرجع!$D$2:$D$19,MATCH($I94,المرجع!$E$2:$E$19,0)),"")</f>
        <v>الأهداف ومؤشرات الأداء</v>
      </c>
      <c r="K94" s="16" t="s">
        <v>76</v>
      </c>
      <c r="L94" s="17" t="str">
        <f>IFERROR(INDEX('نقاط التحقق'!$G$2:$G$31,MATCH($K94,'نقاط التحقق'!$A$2:$A$31,0))&amp;"","")</f>
        <v>مؤشرات أداء الوحدة التنظيمية</v>
      </c>
      <c r="M94" s="14" t="str">
        <f>IFERROR(INDEX('نقاط التحقق'!$H$2:$H$31,MATCH($K94,'نقاط التحقق'!$A$2:$A$31,0))&amp;"","")</f>
        <v/>
      </c>
      <c r="N94" s="13">
        <v>80</v>
      </c>
      <c r="O94" s="15" t="str">
        <f>IF($N94="","غير مقيّمة",IF($N94&gt;المرجع!$K$3,"مستوفاة بشكل متقدم",IF($N94&lt;=المرجع!$K$2,"مستوفاة بشكل أولي","مستوفاة بشكل جزئي")))</f>
        <v>مستوفاة بشكل متقدم</v>
      </c>
      <c r="P94" s="18"/>
    </row>
    <row r="95" spans="1:16">
      <c r="A95" s="16" t="s">
        <v>479</v>
      </c>
      <c r="B95" s="16" t="s">
        <v>164</v>
      </c>
      <c r="C95" s="15" t="str">
        <f>IFERROR(INDEX('قائمة الوحدات'!$B$2:$B$41,MATCH($B95,'قائمة الوحدات'!$A$2:$A$41,0)),"")</f>
        <v>EXE</v>
      </c>
      <c r="D95" s="14" t="str">
        <f>IFERROR(INDEX('قائمة الوحدات'!$C$2:$C$41,MATCH($B95,'قائمة الوحدات'!$A$2:$A$41,0)),"")</f>
        <v>الشؤون التنفيذية</v>
      </c>
      <c r="E95" s="14" t="str">
        <f>IFERROR(INDEX('قائمة الوحدات'!$D$2:$D$41,MATCH($B95,'قائمة الوحدات'!$A$2:$A$41,0)),"")</f>
        <v>وكالة الشؤون الفنية</v>
      </c>
      <c r="F95" s="14" t="str">
        <f>IFERROR(INDEX('قائمة الوحدات'!$F$2:$F$41,MATCH($B95,'قائمة الوحدات'!$A$2:$A$41,0)),"")</f>
        <v>الإدارة العامة للتشغيل والصيانة</v>
      </c>
      <c r="G95" s="16" t="s">
        <v>43</v>
      </c>
      <c r="H95" s="14" t="str">
        <f>IFERROR(INDEX(المرجع!$A$2:$A$19,MATCH($G95,المرجع!$B$2:$B$19,0)),"")</f>
        <v>التصميم</v>
      </c>
      <c r="I95" s="16" t="s">
        <v>51</v>
      </c>
      <c r="J95" s="14" t="str">
        <f>IFERROR(INDEX(المرجع!$D$2:$D$19,MATCH($I95,المرجع!$E$2:$E$19,0)),"")</f>
        <v>الحوكمة</v>
      </c>
      <c r="K95" s="16" t="s">
        <v>78</v>
      </c>
      <c r="L95" s="17" t="str">
        <f>IFERROR(INDEX('نقاط التحقق'!$G$2:$G$31,MATCH($K95,'نقاط التحقق'!$A$2:$A$31,0))&amp;"","")</f>
        <v>تفصيل القرارات ومصفوفة الصلاحيات واللجان ذات العلاقة لاعتماد مخرجات الوحدة التنظيمية</v>
      </c>
      <c r="M95" s="14" t="str">
        <f>IFERROR(INDEX('نقاط التحقق'!$H$2:$H$31,MATCH($K95,'نقاط التحقق'!$A$2:$A$31,0))&amp;"","")</f>
        <v/>
      </c>
      <c r="N95" s="13">
        <v>80</v>
      </c>
      <c r="O95" s="15" t="str">
        <f>IF($N95="","غير مقيّمة",IF($N95&gt;المرجع!$K$3,"مستوفاة بشكل متقدم",IF($N95&lt;=المرجع!$K$2,"مستوفاة بشكل أولي","مستوفاة بشكل جزئي")))</f>
        <v>مستوفاة بشكل متقدم</v>
      </c>
      <c r="P95" s="18"/>
    </row>
    <row r="96" spans="1:16">
      <c r="A96" s="16" t="s">
        <v>480</v>
      </c>
      <c r="B96" s="16" t="s">
        <v>164</v>
      </c>
      <c r="C96" s="15" t="str">
        <f>IFERROR(INDEX('قائمة الوحدات'!$B$2:$B$41,MATCH($B96,'قائمة الوحدات'!$A$2:$A$41,0)),"")</f>
        <v>EXE</v>
      </c>
      <c r="D96" s="14" t="str">
        <f>IFERROR(INDEX('قائمة الوحدات'!$C$2:$C$41,MATCH($B96,'قائمة الوحدات'!$A$2:$A$41,0)),"")</f>
        <v>الشؤون التنفيذية</v>
      </c>
      <c r="E96" s="14" t="str">
        <f>IFERROR(INDEX('قائمة الوحدات'!$D$2:$D$41,MATCH($B96,'قائمة الوحدات'!$A$2:$A$41,0)),"")</f>
        <v>وكالة الشؤون الفنية</v>
      </c>
      <c r="F96" s="14" t="str">
        <f>IFERROR(INDEX('قائمة الوحدات'!$F$2:$F$41,MATCH($B96,'قائمة الوحدات'!$A$2:$A$41,0)),"")</f>
        <v>الإدارة العامة للتشغيل والصيانة</v>
      </c>
      <c r="G96" s="16" t="s">
        <v>43</v>
      </c>
      <c r="H96" s="14" t="str">
        <f>IFERROR(INDEX(المرجع!$A$2:$A$19,MATCH($G96,المرجع!$B$2:$B$19,0)),"")</f>
        <v>التصميم</v>
      </c>
      <c r="I96" s="16" t="s">
        <v>54</v>
      </c>
      <c r="J96" s="14" t="str">
        <f>IFERROR(INDEX(المرجع!$D$2:$D$19,MATCH($I96,المرجع!$E$2:$E$19,0)),"")</f>
        <v>التنظيم</v>
      </c>
      <c r="K96" s="16" t="s">
        <v>80</v>
      </c>
      <c r="L96" s="17" t="str">
        <f>IFERROR(INDEX('نقاط التحقق'!$G$2:$G$31,MATCH($K96,'نقاط التحقق'!$A$2:$A$31,0))&amp;"","")</f>
        <v>تطوير الأدوار والمسؤوليات للوحدة التنظيمية وتفصيل الهيكل التنظيمي</v>
      </c>
      <c r="M96" s="14" t="str">
        <f>IFERROR(INDEX('نقاط التحقق'!$H$2:$H$31,MATCH($K96,'نقاط التحقق'!$A$2:$A$31,0))&amp;"","")</f>
        <v/>
      </c>
      <c r="N96" s="13">
        <v>93</v>
      </c>
      <c r="O96" s="15" t="str">
        <f>IF($N96="","غير مقيّمة",IF($N96&gt;المرجع!$K$3,"مستوفاة بشكل متقدم",IF($N96&lt;=المرجع!$K$2,"مستوفاة بشكل أولي","مستوفاة بشكل جزئي")))</f>
        <v>مستوفاة بشكل متقدم</v>
      </c>
      <c r="P96" s="18"/>
    </row>
    <row r="97" spans="1:16">
      <c r="A97" s="16" t="s">
        <v>481</v>
      </c>
      <c r="B97" s="16" t="s">
        <v>164</v>
      </c>
      <c r="C97" s="15" t="str">
        <f>IFERROR(INDEX('قائمة الوحدات'!$B$2:$B$41,MATCH($B97,'قائمة الوحدات'!$A$2:$A$41,0)),"")</f>
        <v>EXE</v>
      </c>
      <c r="D97" s="14" t="str">
        <f>IFERROR(INDEX('قائمة الوحدات'!$C$2:$C$41,MATCH($B97,'قائمة الوحدات'!$A$2:$A$41,0)),"")</f>
        <v>الشؤون التنفيذية</v>
      </c>
      <c r="E97" s="14" t="str">
        <f>IFERROR(INDEX('قائمة الوحدات'!$D$2:$D$41,MATCH($B97,'قائمة الوحدات'!$A$2:$A$41,0)),"")</f>
        <v>وكالة الشؤون الفنية</v>
      </c>
      <c r="F97" s="14" t="str">
        <f>IFERROR(INDEX('قائمة الوحدات'!$F$2:$F$41,MATCH($B97,'قائمة الوحدات'!$A$2:$A$41,0)),"")</f>
        <v>الإدارة العامة للتشغيل والصيانة</v>
      </c>
      <c r="G97" s="16" t="s">
        <v>43</v>
      </c>
      <c r="H97" s="14" t="str">
        <f>IFERROR(INDEX(المرجع!$A$2:$A$19,MATCH($G97,المرجع!$B$2:$B$19,0)),"")</f>
        <v>التصميم</v>
      </c>
      <c r="I97" s="16" t="s">
        <v>56</v>
      </c>
      <c r="J97" s="14" t="str">
        <f>IFERROR(INDEX(المرجع!$D$2:$D$19,MATCH($I97,المرجع!$E$2:$E$19,0)),"")</f>
        <v>الموارد</v>
      </c>
      <c r="K97" s="16" t="s">
        <v>82</v>
      </c>
      <c r="L97" s="17" t="str">
        <f>IFERROR(INDEX('نقاط التحقق'!$G$2:$G$31,MATCH($K97,'نقاط التحقق'!$A$2:$A$31,0))&amp;"","")</f>
        <v>تفصيل احتياج الموارد البشرية للوحدة التنظيمية</v>
      </c>
      <c r="M97" s="14" t="str">
        <f>IFERROR(INDEX('نقاط التحقق'!$H$2:$H$31,MATCH($K97,'نقاط التحقق'!$A$2:$A$31,0))&amp;"","")</f>
        <v/>
      </c>
      <c r="N97" s="13">
        <v>68</v>
      </c>
      <c r="O97" s="15" t="str">
        <f>IF($N97="","غير مقيّمة",IF($N97&gt;المرجع!$K$3,"مستوفاة بشكل متقدم",IF($N97&lt;=المرجع!$K$2,"مستوفاة بشكل أولي","مستوفاة بشكل جزئي")))</f>
        <v>مستوفاة بشكل جزئي</v>
      </c>
      <c r="P97" s="18"/>
    </row>
    <row r="98" spans="1:16">
      <c r="A98" s="16" t="s">
        <v>482</v>
      </c>
      <c r="B98" s="16" t="s">
        <v>164</v>
      </c>
      <c r="C98" s="15" t="str">
        <f>IFERROR(INDEX('قائمة الوحدات'!$B$2:$B$41,MATCH($B98,'قائمة الوحدات'!$A$2:$A$41,0)),"")</f>
        <v>EXE</v>
      </c>
      <c r="D98" s="14" t="str">
        <f>IFERROR(INDEX('قائمة الوحدات'!$C$2:$C$41,MATCH($B98,'قائمة الوحدات'!$A$2:$A$41,0)),"")</f>
        <v>الشؤون التنفيذية</v>
      </c>
      <c r="E98" s="14" t="str">
        <f>IFERROR(INDEX('قائمة الوحدات'!$D$2:$D$41,MATCH($B98,'قائمة الوحدات'!$A$2:$A$41,0)),"")</f>
        <v>وكالة الشؤون الفنية</v>
      </c>
      <c r="F98" s="14" t="str">
        <f>IFERROR(INDEX('قائمة الوحدات'!$F$2:$F$41,MATCH($B98,'قائمة الوحدات'!$A$2:$A$41,0)),"")</f>
        <v>الإدارة العامة للتشغيل والصيانة</v>
      </c>
      <c r="G98" s="16" t="s">
        <v>43</v>
      </c>
      <c r="H98" s="14" t="str">
        <f>IFERROR(INDEX(المرجع!$A$2:$A$19,MATCH($G98,المرجع!$B$2:$B$19,0)),"")</f>
        <v>التصميم</v>
      </c>
      <c r="I98" s="16" t="s">
        <v>59</v>
      </c>
      <c r="J98" s="14" t="str">
        <f>IFERROR(INDEX(المرجع!$D$2:$D$19,MATCH($I98,المرجع!$E$2:$E$19,0)),"")</f>
        <v>الإجراءات</v>
      </c>
      <c r="K98" s="16" t="s">
        <v>84</v>
      </c>
      <c r="L98" s="17" t="str">
        <f>IFERROR(INDEX('نقاط التحقق'!$G$2:$G$31,MATCH($K98,'نقاط التحقق'!$A$2:$A$31,0))&amp;"","")</f>
        <v>تفصيل المخرجات إلى إجراءات عالية المستوى</v>
      </c>
      <c r="M98" s="14" t="str">
        <f>IFERROR(INDEX('نقاط التحقق'!$H$2:$H$31,MATCH($K98,'نقاط التحقق'!$A$2:$A$31,0))&amp;"","")</f>
        <v/>
      </c>
      <c r="N98" s="13">
        <v>95</v>
      </c>
      <c r="O98" s="15" t="str">
        <f>IF($N98="","غير مقيّمة",IF($N98&gt;المرجع!$K$3,"مستوفاة بشكل متقدم",IF($N98&lt;=المرجع!$K$2,"مستوفاة بشكل أولي","مستوفاة بشكل جزئي")))</f>
        <v>مستوفاة بشكل متقدم</v>
      </c>
      <c r="P98" s="18"/>
    </row>
    <row r="99" spans="1:16">
      <c r="A99" s="16" t="s">
        <v>483</v>
      </c>
      <c r="B99" s="16" t="s">
        <v>164</v>
      </c>
      <c r="C99" s="15" t="str">
        <f>IFERROR(INDEX('قائمة الوحدات'!$B$2:$B$41,MATCH($B99,'قائمة الوحدات'!$A$2:$A$41,0)),"")</f>
        <v>EXE</v>
      </c>
      <c r="D99" s="14" t="str">
        <f>IFERROR(INDEX('قائمة الوحدات'!$C$2:$C$41,MATCH($B99,'قائمة الوحدات'!$A$2:$A$41,0)),"")</f>
        <v>الشؤون التنفيذية</v>
      </c>
      <c r="E99" s="14" t="str">
        <f>IFERROR(INDEX('قائمة الوحدات'!$D$2:$D$41,MATCH($B99,'قائمة الوحدات'!$A$2:$A$41,0)),"")</f>
        <v>وكالة الشؤون الفنية</v>
      </c>
      <c r="F99" s="14" t="str">
        <f>IFERROR(INDEX('قائمة الوحدات'!$F$2:$F$41,MATCH($B99,'قائمة الوحدات'!$A$2:$A$41,0)),"")</f>
        <v>الإدارة العامة للتشغيل والصيانة</v>
      </c>
      <c r="G99" s="16" t="s">
        <v>61</v>
      </c>
      <c r="H99" s="14" t="str">
        <f>IFERROR(INDEX(المرجع!$A$2:$A$19,MATCH($G99,المرجع!$B$2:$B$19,0)),"")</f>
        <v>البناء المؤسسي</v>
      </c>
      <c r="I99" s="16" t="s">
        <v>45</v>
      </c>
      <c r="J99" s="14" t="str">
        <f>IFERROR(INDEX(المرجع!$D$2:$D$19,MATCH($I99,المرجع!$E$2:$E$19,0)),"")</f>
        <v>الدور</v>
      </c>
      <c r="K99" s="16" t="s">
        <v>86</v>
      </c>
      <c r="L99" s="17" t="str">
        <f>IFERROR(INDEX('نقاط التحقق'!$G$2:$G$31,MATCH($K99,'نقاط التحقق'!$A$2:$A$31,0))&amp;"","")</f>
        <v>دور معتمد للوحدة التنظيمية</v>
      </c>
      <c r="M99" s="14" t="str">
        <f>IFERROR(INDEX('نقاط التحقق'!$H$2:$H$31,MATCH($K99,'نقاط التحقق'!$A$2:$A$31,0))&amp;"","")</f>
        <v/>
      </c>
      <c r="N99" s="13">
        <v>60</v>
      </c>
      <c r="O99" s="15" t="str">
        <f>IF($N99="","غير مقيّمة",IF($N99&gt;المرجع!$K$3,"مستوفاة بشكل متقدم",IF($N99&lt;=المرجع!$K$2,"مستوفاة بشكل أولي","مستوفاة بشكل جزئي")))</f>
        <v>مستوفاة بشكل جزئي</v>
      </c>
      <c r="P99" s="18"/>
    </row>
    <row r="100" spans="1:16">
      <c r="A100" s="16" t="s">
        <v>484</v>
      </c>
      <c r="B100" s="16" t="s">
        <v>164</v>
      </c>
      <c r="C100" s="15" t="str">
        <f>IFERROR(INDEX('قائمة الوحدات'!$B$2:$B$41,MATCH($B100,'قائمة الوحدات'!$A$2:$A$41,0)),"")</f>
        <v>EXE</v>
      </c>
      <c r="D100" s="14" t="str">
        <f>IFERROR(INDEX('قائمة الوحدات'!$C$2:$C$41,MATCH($B100,'قائمة الوحدات'!$A$2:$A$41,0)),"")</f>
        <v>الشؤون التنفيذية</v>
      </c>
      <c r="E100" s="14" t="str">
        <f>IFERROR(INDEX('قائمة الوحدات'!$D$2:$D$41,MATCH($B100,'قائمة الوحدات'!$A$2:$A$41,0)),"")</f>
        <v>وكالة الشؤون الفنية</v>
      </c>
      <c r="F100" s="14" t="str">
        <f>IFERROR(INDEX('قائمة الوحدات'!$F$2:$F$41,MATCH($B100,'قائمة الوحدات'!$A$2:$A$41,0)),"")</f>
        <v>الإدارة العامة للتشغيل والصيانة</v>
      </c>
      <c r="G100" s="16" t="s">
        <v>61</v>
      </c>
      <c r="H100" s="14" t="str">
        <f>IFERROR(INDEX(المرجع!$A$2:$A$19,MATCH($G100,المرجع!$B$2:$B$19,0)),"")</f>
        <v>البناء المؤسسي</v>
      </c>
      <c r="I100" s="16" t="s">
        <v>48</v>
      </c>
      <c r="J100" s="14" t="str">
        <f>IFERROR(INDEX(المرجع!$D$2:$D$19,MATCH($I100,المرجع!$E$2:$E$19,0)),"")</f>
        <v>الأهداف ومؤشرات الأداء</v>
      </c>
      <c r="K100" s="16" t="s">
        <v>88</v>
      </c>
      <c r="L100" s="17" t="str">
        <f>IFERROR(INDEX('نقاط التحقق'!$G$2:$G$31,MATCH($K100,'نقاط التحقق'!$A$2:$A$31,0))&amp;"","")</f>
        <v>أهداف تشغيلية معتمدة من صاحب الصلاحية</v>
      </c>
      <c r="M100" s="14" t="str">
        <f>IFERROR(INDEX('نقاط التحقق'!$H$2:$H$31,MATCH($K100,'نقاط التحقق'!$A$2:$A$31,0))&amp;"","")</f>
        <v/>
      </c>
      <c r="N100" s="13">
        <v>60</v>
      </c>
      <c r="O100" s="15" t="str">
        <f>IF($N100="","غير مقيّمة",IF($N100&gt;المرجع!$K$3,"مستوفاة بشكل متقدم",IF($N100&lt;=المرجع!$K$2,"مستوفاة بشكل أولي","مستوفاة بشكل جزئي")))</f>
        <v>مستوفاة بشكل جزئي</v>
      </c>
      <c r="P100" s="18"/>
    </row>
    <row r="101" spans="1:16">
      <c r="A101" s="16" t="s">
        <v>485</v>
      </c>
      <c r="B101" s="16" t="s">
        <v>164</v>
      </c>
      <c r="C101" s="15" t="str">
        <f>IFERROR(INDEX('قائمة الوحدات'!$B$2:$B$41,MATCH($B101,'قائمة الوحدات'!$A$2:$A$41,0)),"")</f>
        <v>EXE</v>
      </c>
      <c r="D101" s="14" t="str">
        <f>IFERROR(INDEX('قائمة الوحدات'!$C$2:$C$41,MATCH($B101,'قائمة الوحدات'!$A$2:$A$41,0)),"")</f>
        <v>الشؤون التنفيذية</v>
      </c>
      <c r="E101" s="14" t="str">
        <f>IFERROR(INDEX('قائمة الوحدات'!$D$2:$D$41,MATCH($B101,'قائمة الوحدات'!$A$2:$A$41,0)),"")</f>
        <v>وكالة الشؤون الفنية</v>
      </c>
      <c r="F101" s="14" t="str">
        <f>IFERROR(INDEX('قائمة الوحدات'!$F$2:$F$41,MATCH($B101,'قائمة الوحدات'!$A$2:$A$41,0)),"")</f>
        <v>الإدارة العامة للتشغيل والصيانة</v>
      </c>
      <c r="G101" s="16" t="s">
        <v>61</v>
      </c>
      <c r="H101" s="14" t="str">
        <f>IFERROR(INDEX(المرجع!$A$2:$A$19,MATCH($G101,المرجع!$B$2:$B$19,0)),"")</f>
        <v>البناء المؤسسي</v>
      </c>
      <c r="I101" s="16" t="s">
        <v>48</v>
      </c>
      <c r="J101" s="14" t="str">
        <f>IFERROR(INDEX(المرجع!$D$2:$D$19,MATCH($I101,المرجع!$E$2:$E$19,0)),"")</f>
        <v>الأهداف ومؤشرات الأداء</v>
      </c>
      <c r="K101" s="16" t="s">
        <v>90</v>
      </c>
      <c r="L101" s="17" t="str">
        <f>IFERROR(INDEX('نقاط التحقق'!$G$2:$G$31,MATCH($K101,'نقاط التحقق'!$A$2:$A$31,0))&amp;"","")</f>
        <v>نشر الأهداف التشغيلية على موظفي الوحدة التنظيمية</v>
      </c>
      <c r="M101" s="14" t="str">
        <f>IFERROR(INDEX('نقاط التحقق'!$H$2:$H$31,MATCH($K101,'نقاط التحقق'!$A$2:$A$31,0))&amp;"","")</f>
        <v/>
      </c>
      <c r="N101" s="13">
        <v>65</v>
      </c>
      <c r="O101" s="15" t="str">
        <f>IF($N101="","غير مقيّمة",IF($N101&gt;المرجع!$K$3,"مستوفاة بشكل متقدم",IF($N101&lt;=المرجع!$K$2,"مستوفاة بشكل أولي","مستوفاة بشكل جزئي")))</f>
        <v>مستوفاة بشكل جزئي</v>
      </c>
      <c r="P101" s="18"/>
    </row>
    <row r="102" spans="1:16">
      <c r="A102" s="16" t="s">
        <v>486</v>
      </c>
      <c r="B102" s="16" t="s">
        <v>164</v>
      </c>
      <c r="C102" s="15" t="str">
        <f>IFERROR(INDEX('قائمة الوحدات'!$B$2:$B$41,MATCH($B102,'قائمة الوحدات'!$A$2:$A$41,0)),"")</f>
        <v>EXE</v>
      </c>
      <c r="D102" s="14" t="str">
        <f>IFERROR(INDEX('قائمة الوحدات'!$C$2:$C$41,MATCH($B102,'قائمة الوحدات'!$A$2:$A$41,0)),"")</f>
        <v>الشؤون التنفيذية</v>
      </c>
      <c r="E102" s="14" t="str">
        <f>IFERROR(INDEX('قائمة الوحدات'!$D$2:$D$41,MATCH($B102,'قائمة الوحدات'!$A$2:$A$41,0)),"")</f>
        <v>وكالة الشؤون الفنية</v>
      </c>
      <c r="F102" s="14" t="str">
        <f>IFERROR(INDEX('قائمة الوحدات'!$F$2:$F$41,MATCH($B102,'قائمة الوحدات'!$A$2:$A$41,0)),"")</f>
        <v>الإدارة العامة للتشغيل والصيانة</v>
      </c>
      <c r="G102" s="16" t="s">
        <v>61</v>
      </c>
      <c r="H102" s="14" t="str">
        <f>IFERROR(INDEX(المرجع!$A$2:$A$19,MATCH($G102,المرجع!$B$2:$B$19,0)),"")</f>
        <v>البناء المؤسسي</v>
      </c>
      <c r="I102" s="16" t="s">
        <v>51</v>
      </c>
      <c r="J102" s="14" t="str">
        <f>IFERROR(INDEX(المرجع!$D$2:$D$19,MATCH($I102,المرجع!$E$2:$E$19,0)),"")</f>
        <v>الحوكمة</v>
      </c>
      <c r="K102" s="16" t="s">
        <v>92</v>
      </c>
      <c r="L102" s="17" t="str">
        <f>IFERROR(INDEX('نقاط التحقق'!$G$2:$G$31,MATCH($K102,'نقاط التحقق'!$A$2:$A$31,0))&amp;"","")</f>
        <v>مصفوفة صلاحيات معتمدة ومعممة على أصحاب المصلحة</v>
      </c>
      <c r="M102" s="14" t="str">
        <f>IFERROR(INDEX('نقاط التحقق'!$H$2:$H$31,MATCH($K102,'نقاط التحقق'!$A$2:$A$31,0))&amp;"","")</f>
        <v/>
      </c>
      <c r="N102" s="13">
        <v>45</v>
      </c>
      <c r="O102" s="15" t="str">
        <f>IF($N102="","غير مقيّمة",IF($N102&gt;المرجع!$K$3,"مستوفاة بشكل متقدم",IF($N102&lt;=المرجع!$K$2,"مستوفاة بشكل أولي","مستوفاة بشكل جزئي")))</f>
        <v>مستوفاة بشكل جزئي</v>
      </c>
      <c r="P102" s="18"/>
    </row>
    <row r="103" spans="1:16">
      <c r="A103" s="16" t="s">
        <v>487</v>
      </c>
      <c r="B103" s="16" t="s">
        <v>164</v>
      </c>
      <c r="C103" s="15" t="str">
        <f>IFERROR(INDEX('قائمة الوحدات'!$B$2:$B$41,MATCH($B103,'قائمة الوحدات'!$A$2:$A$41,0)),"")</f>
        <v>EXE</v>
      </c>
      <c r="D103" s="14" t="str">
        <f>IFERROR(INDEX('قائمة الوحدات'!$C$2:$C$41,MATCH($B103,'قائمة الوحدات'!$A$2:$A$41,0)),"")</f>
        <v>الشؤون التنفيذية</v>
      </c>
      <c r="E103" s="14" t="str">
        <f>IFERROR(INDEX('قائمة الوحدات'!$D$2:$D$41,MATCH($B103,'قائمة الوحدات'!$A$2:$A$41,0)),"")</f>
        <v>وكالة الشؤون الفنية</v>
      </c>
      <c r="F103" s="14" t="str">
        <f>IFERROR(INDEX('قائمة الوحدات'!$F$2:$F$41,MATCH($B103,'قائمة الوحدات'!$A$2:$A$41,0)),"")</f>
        <v>الإدارة العامة للتشغيل والصيانة</v>
      </c>
      <c r="G103" s="16" t="s">
        <v>61</v>
      </c>
      <c r="H103" s="14" t="str">
        <f>IFERROR(INDEX(المرجع!$A$2:$A$19,MATCH($G103,المرجع!$B$2:$B$19,0)),"")</f>
        <v>البناء المؤسسي</v>
      </c>
      <c r="I103" s="16" t="s">
        <v>51</v>
      </c>
      <c r="J103" s="14" t="str">
        <f>IFERROR(INDEX(المرجع!$D$2:$D$19,MATCH($I103,المرجع!$E$2:$E$19,0)),"")</f>
        <v>الحوكمة</v>
      </c>
      <c r="K103" s="16" t="s">
        <v>94</v>
      </c>
      <c r="L103" s="17" t="str">
        <f>IFERROR(INDEX('نقاط التحقق'!$G$2:$G$31,MATCH($K103,'نقاط التحقق'!$A$2:$A$31,0))&amp;"","")</f>
        <v>سياسات معتمدة للتي تملكها الوحدة التنظيمية</v>
      </c>
      <c r="M103" s="14" t="str">
        <f>IFERROR(INDEX('نقاط التحقق'!$H$2:$H$31,MATCH($K103,'نقاط التحقق'!$A$2:$A$31,0))&amp;"","")</f>
        <v/>
      </c>
      <c r="N103" s="13">
        <v>60</v>
      </c>
      <c r="O103" s="15" t="str">
        <f>IF($N103="","غير مقيّمة",IF($N103&gt;المرجع!$K$3,"مستوفاة بشكل متقدم",IF($N103&lt;=المرجع!$K$2,"مستوفاة بشكل أولي","مستوفاة بشكل جزئي")))</f>
        <v>مستوفاة بشكل جزئي</v>
      </c>
      <c r="P103" s="18"/>
    </row>
    <row r="104" spans="1:16">
      <c r="A104" s="16" t="s">
        <v>488</v>
      </c>
      <c r="B104" s="16" t="s">
        <v>164</v>
      </c>
      <c r="C104" s="15" t="str">
        <f>IFERROR(INDEX('قائمة الوحدات'!$B$2:$B$41,MATCH($B104,'قائمة الوحدات'!$A$2:$A$41,0)),"")</f>
        <v>EXE</v>
      </c>
      <c r="D104" s="14" t="str">
        <f>IFERROR(INDEX('قائمة الوحدات'!$C$2:$C$41,MATCH($B104,'قائمة الوحدات'!$A$2:$A$41,0)),"")</f>
        <v>الشؤون التنفيذية</v>
      </c>
      <c r="E104" s="14" t="str">
        <f>IFERROR(INDEX('قائمة الوحدات'!$D$2:$D$41,MATCH($B104,'قائمة الوحدات'!$A$2:$A$41,0)),"")</f>
        <v>وكالة الشؤون الفنية</v>
      </c>
      <c r="F104" s="14" t="str">
        <f>IFERROR(INDEX('قائمة الوحدات'!$F$2:$F$41,MATCH($B104,'قائمة الوحدات'!$A$2:$A$41,0)),"")</f>
        <v>الإدارة العامة للتشغيل والصيانة</v>
      </c>
      <c r="G104" s="16" t="s">
        <v>61</v>
      </c>
      <c r="H104" s="14" t="str">
        <f>IFERROR(INDEX(المرجع!$A$2:$A$19,MATCH($G104,المرجع!$B$2:$B$19,0)),"")</f>
        <v>البناء المؤسسي</v>
      </c>
      <c r="I104" s="16" t="s">
        <v>51</v>
      </c>
      <c r="J104" s="14" t="str">
        <f>IFERROR(INDEX(المرجع!$D$2:$D$19,MATCH($I104,المرجع!$E$2:$E$19,0)),"")</f>
        <v>الحوكمة</v>
      </c>
      <c r="K104" s="16" t="s">
        <v>96</v>
      </c>
      <c r="L104" s="17" t="str">
        <f>IFERROR(INDEX('نقاط التحقق'!$G$2:$G$31,MATCH($K104,'نقاط التحقق'!$A$2:$A$31,0))&amp;"","")</f>
        <v>قرار تشكيل معتمد للجان ذات العلاقة</v>
      </c>
      <c r="M104" s="14" t="str">
        <f>IFERROR(INDEX('نقاط التحقق'!$H$2:$H$31,MATCH($K104,'نقاط التحقق'!$A$2:$A$31,0))&amp;"","")</f>
        <v/>
      </c>
      <c r="N104" s="13">
        <v>50</v>
      </c>
      <c r="O104" s="15" t="str">
        <f>IF($N104="","غير مقيّمة",IF($N104&gt;المرجع!$K$3,"مستوفاة بشكل متقدم",IF($N104&lt;=المرجع!$K$2,"مستوفاة بشكل أولي","مستوفاة بشكل جزئي")))</f>
        <v>مستوفاة بشكل جزئي</v>
      </c>
      <c r="P104" s="18"/>
    </row>
    <row r="105" spans="1:16">
      <c r="A105" s="16" t="s">
        <v>489</v>
      </c>
      <c r="B105" s="16" t="s">
        <v>164</v>
      </c>
      <c r="C105" s="15" t="str">
        <f>IFERROR(INDEX('قائمة الوحدات'!$B$2:$B$41,MATCH($B105,'قائمة الوحدات'!$A$2:$A$41,0)),"")</f>
        <v>EXE</v>
      </c>
      <c r="D105" s="14" t="str">
        <f>IFERROR(INDEX('قائمة الوحدات'!$C$2:$C$41,MATCH($B105,'قائمة الوحدات'!$A$2:$A$41,0)),"")</f>
        <v>الشؤون التنفيذية</v>
      </c>
      <c r="E105" s="14" t="str">
        <f>IFERROR(INDEX('قائمة الوحدات'!$D$2:$D$41,MATCH($B105,'قائمة الوحدات'!$A$2:$A$41,0)),"")</f>
        <v>وكالة الشؤون الفنية</v>
      </c>
      <c r="F105" s="14" t="str">
        <f>IFERROR(INDEX('قائمة الوحدات'!$F$2:$F$41,MATCH($B105,'قائمة الوحدات'!$A$2:$A$41,0)),"")</f>
        <v>الإدارة العامة للتشغيل والصيانة</v>
      </c>
      <c r="G105" s="16" t="s">
        <v>61</v>
      </c>
      <c r="H105" s="14" t="str">
        <f>IFERROR(INDEX(المرجع!$A$2:$A$19,MATCH($G105,المرجع!$B$2:$B$19,0)),"")</f>
        <v>البناء المؤسسي</v>
      </c>
      <c r="I105" s="16" t="s">
        <v>54</v>
      </c>
      <c r="J105" s="14" t="str">
        <f>IFERROR(INDEX(المرجع!$D$2:$D$19,MATCH($I105,المرجع!$E$2:$E$19,0)),"")</f>
        <v>التنظيم</v>
      </c>
      <c r="K105" s="16" t="s">
        <v>98</v>
      </c>
      <c r="L105" s="17" t="str">
        <f>IFERROR(INDEX('نقاط التحقق'!$G$2:$G$31,MATCH($K105,'نقاط التحقق'!$A$2:$A$31,0))&amp;"","")</f>
        <v>هيكل تنظيمي معتمد من صاحب الصلاحية</v>
      </c>
      <c r="M105" s="14" t="str">
        <f>IFERROR(INDEX('نقاط التحقق'!$H$2:$H$31,MATCH($K105,'نقاط التحقق'!$A$2:$A$31,0))&amp;"","")</f>
        <v/>
      </c>
      <c r="N105" s="13">
        <v>95</v>
      </c>
      <c r="O105" s="15" t="str">
        <f>IF($N105="","غير مقيّمة",IF($N105&gt;المرجع!$K$3,"مستوفاة بشكل متقدم",IF($N105&lt;=المرجع!$K$2,"مستوفاة بشكل أولي","مستوفاة بشكل جزئي")))</f>
        <v>مستوفاة بشكل متقدم</v>
      </c>
      <c r="P105" s="18"/>
    </row>
    <row r="106" spans="1:16">
      <c r="A106" s="16" t="s">
        <v>490</v>
      </c>
      <c r="B106" s="16" t="s">
        <v>164</v>
      </c>
      <c r="C106" s="15" t="str">
        <f>IFERROR(INDEX('قائمة الوحدات'!$B$2:$B$41,MATCH($B106,'قائمة الوحدات'!$A$2:$A$41,0)),"")</f>
        <v>EXE</v>
      </c>
      <c r="D106" s="14" t="str">
        <f>IFERROR(INDEX('قائمة الوحدات'!$C$2:$C$41,MATCH($B106,'قائمة الوحدات'!$A$2:$A$41,0)),"")</f>
        <v>الشؤون التنفيذية</v>
      </c>
      <c r="E106" s="14" t="str">
        <f>IFERROR(INDEX('قائمة الوحدات'!$D$2:$D$41,MATCH($B106,'قائمة الوحدات'!$A$2:$A$41,0)),"")</f>
        <v>وكالة الشؤون الفنية</v>
      </c>
      <c r="F106" s="14" t="str">
        <f>IFERROR(INDEX('قائمة الوحدات'!$F$2:$F$41,MATCH($B106,'قائمة الوحدات'!$A$2:$A$41,0)),"")</f>
        <v>الإدارة العامة للتشغيل والصيانة</v>
      </c>
      <c r="G106" s="16" t="s">
        <v>61</v>
      </c>
      <c r="H106" s="14" t="str">
        <f>IFERROR(INDEX(المرجع!$A$2:$A$19,MATCH($G106,المرجع!$B$2:$B$19,0)),"")</f>
        <v>البناء المؤسسي</v>
      </c>
      <c r="I106" s="16" t="s">
        <v>54</v>
      </c>
      <c r="J106" s="14" t="str">
        <f>IFERROR(INDEX(المرجع!$D$2:$D$19,MATCH($I106,المرجع!$E$2:$E$19,0)),"")</f>
        <v>التنظيم</v>
      </c>
      <c r="K106" s="16" t="s">
        <v>100</v>
      </c>
      <c r="L106" s="17" t="str">
        <f>IFERROR(INDEX('نقاط التحقق'!$G$2:$G$31,MATCH($K106,'نقاط التحقق'!$A$2:$A$31,0))&amp;"","")</f>
        <v>هيكل تنظيمي منشأ على نظام القوى العاملة</v>
      </c>
      <c r="M106" s="14" t="str">
        <f>IFERROR(INDEX('نقاط التحقق'!$H$2:$H$31,MATCH($K106,'نقاط التحقق'!$A$2:$A$31,0))&amp;"","")</f>
        <v/>
      </c>
      <c r="N106" s="13">
        <v>80</v>
      </c>
      <c r="O106" s="15" t="str">
        <f>IF($N106="","غير مقيّمة",IF($N106&gt;المرجع!$K$3,"مستوفاة بشكل متقدم",IF($N106&lt;=المرجع!$K$2,"مستوفاة بشكل أولي","مستوفاة بشكل جزئي")))</f>
        <v>مستوفاة بشكل متقدم</v>
      </c>
      <c r="P106" s="18"/>
    </row>
    <row r="107" spans="1:16">
      <c r="A107" s="16" t="s">
        <v>491</v>
      </c>
      <c r="B107" s="16" t="s">
        <v>164</v>
      </c>
      <c r="C107" s="15" t="str">
        <f>IFERROR(INDEX('قائمة الوحدات'!$B$2:$B$41,MATCH($B107,'قائمة الوحدات'!$A$2:$A$41,0)),"")</f>
        <v>EXE</v>
      </c>
      <c r="D107" s="14" t="str">
        <f>IFERROR(INDEX('قائمة الوحدات'!$C$2:$C$41,MATCH($B107,'قائمة الوحدات'!$A$2:$A$41,0)),"")</f>
        <v>الشؤون التنفيذية</v>
      </c>
      <c r="E107" s="14" t="str">
        <f>IFERROR(INDEX('قائمة الوحدات'!$D$2:$D$41,MATCH($B107,'قائمة الوحدات'!$A$2:$A$41,0)),"")</f>
        <v>وكالة الشؤون الفنية</v>
      </c>
      <c r="F107" s="14" t="str">
        <f>IFERROR(INDEX('قائمة الوحدات'!$F$2:$F$41,MATCH($B107,'قائمة الوحدات'!$A$2:$A$41,0)),"")</f>
        <v>الإدارة العامة للتشغيل والصيانة</v>
      </c>
      <c r="G107" s="16" t="s">
        <v>61</v>
      </c>
      <c r="H107" s="14" t="str">
        <f>IFERROR(INDEX(المرجع!$A$2:$A$19,MATCH($G107,المرجع!$B$2:$B$19,0)),"")</f>
        <v>البناء المؤسسي</v>
      </c>
      <c r="I107" s="16" t="s">
        <v>54</v>
      </c>
      <c r="J107" s="14" t="str">
        <f>IFERROR(INDEX(المرجع!$D$2:$D$19,MATCH($I107,المرجع!$E$2:$E$19,0)),"")</f>
        <v>التنظيم</v>
      </c>
      <c r="K107" s="16" t="s">
        <v>102</v>
      </c>
      <c r="L107" s="17" t="str">
        <f>IFERROR(INDEX('نقاط التحقق'!$G$2:$G$31,MATCH($K107,'نقاط التحقق'!$A$2:$A$31,0))&amp;"","")</f>
        <v>الموظفون المحددون مسكّنون على الهيكل التنظيمي المستهدف</v>
      </c>
      <c r="M107" s="14" t="str">
        <f>IFERROR(INDEX('نقاط التحقق'!$H$2:$H$31,MATCH($K107,'نقاط التحقق'!$A$2:$A$31,0))&amp;"","")</f>
        <v/>
      </c>
      <c r="N107" s="13">
        <v>85</v>
      </c>
      <c r="O107" s="15" t="str">
        <f>IF($N107="","غير مقيّمة",IF($N107&gt;المرجع!$K$3,"مستوفاة بشكل متقدم",IF($N107&lt;=المرجع!$K$2,"مستوفاة بشكل أولي","مستوفاة بشكل جزئي")))</f>
        <v>مستوفاة بشكل متقدم</v>
      </c>
      <c r="P107" s="18"/>
    </row>
    <row r="108" spans="1:16">
      <c r="A108" s="16" t="s">
        <v>492</v>
      </c>
      <c r="B108" s="16" t="s">
        <v>164</v>
      </c>
      <c r="C108" s="15" t="str">
        <f>IFERROR(INDEX('قائمة الوحدات'!$B$2:$B$41,MATCH($B108,'قائمة الوحدات'!$A$2:$A$41,0)),"")</f>
        <v>EXE</v>
      </c>
      <c r="D108" s="14" t="str">
        <f>IFERROR(INDEX('قائمة الوحدات'!$C$2:$C$41,MATCH($B108,'قائمة الوحدات'!$A$2:$A$41,0)),"")</f>
        <v>الشؤون التنفيذية</v>
      </c>
      <c r="E108" s="14" t="str">
        <f>IFERROR(INDEX('قائمة الوحدات'!$D$2:$D$41,MATCH($B108,'قائمة الوحدات'!$A$2:$A$41,0)),"")</f>
        <v>وكالة الشؤون الفنية</v>
      </c>
      <c r="F108" s="14" t="str">
        <f>IFERROR(INDEX('قائمة الوحدات'!$F$2:$F$41,MATCH($B108,'قائمة الوحدات'!$A$2:$A$41,0)),"")</f>
        <v>الإدارة العامة للتشغيل والصيانة</v>
      </c>
      <c r="G108" s="16" t="s">
        <v>61</v>
      </c>
      <c r="H108" s="14" t="str">
        <f>IFERROR(INDEX(المرجع!$A$2:$A$19,MATCH($G108,المرجع!$B$2:$B$19,0)),"")</f>
        <v>البناء المؤسسي</v>
      </c>
      <c r="I108" s="16" t="s">
        <v>56</v>
      </c>
      <c r="J108" s="14" t="str">
        <f>IFERROR(INDEX(المرجع!$D$2:$D$19,MATCH($I108,المرجع!$E$2:$E$19,0)),"")</f>
        <v>الموارد</v>
      </c>
      <c r="K108" s="16" t="s">
        <v>104</v>
      </c>
      <c r="L108" s="17" t="str">
        <f>IFERROR(INDEX('نقاط التحقق'!$G$2:$G$31,MATCH($K108,'نقاط التحقق'!$A$2:$A$31,0))&amp;"","")</f>
        <v>مدير الوحدة التنظيمية والموظفون الرئيسيون معينون/ملحقون</v>
      </c>
      <c r="M108" s="14" t="str">
        <f>IFERROR(INDEX('نقاط التحقق'!$H$2:$H$31,MATCH($K108,'نقاط التحقق'!$A$2:$A$31,0))&amp;"","")</f>
        <v/>
      </c>
      <c r="N108" s="13">
        <v>65</v>
      </c>
      <c r="O108" s="15" t="str">
        <f>IF($N108="","غير مقيّمة",IF($N108&gt;المرجع!$K$3,"مستوفاة بشكل متقدم",IF($N108&lt;=المرجع!$K$2,"مستوفاة بشكل أولي","مستوفاة بشكل جزئي")))</f>
        <v>مستوفاة بشكل جزئي</v>
      </c>
      <c r="P108" s="18"/>
    </row>
    <row r="109" spans="1:16">
      <c r="A109" s="16" t="s">
        <v>493</v>
      </c>
      <c r="B109" s="16" t="s">
        <v>164</v>
      </c>
      <c r="C109" s="15" t="str">
        <f>IFERROR(INDEX('قائمة الوحدات'!$B$2:$B$41,MATCH($B109,'قائمة الوحدات'!$A$2:$A$41,0)),"")</f>
        <v>EXE</v>
      </c>
      <c r="D109" s="14" t="str">
        <f>IFERROR(INDEX('قائمة الوحدات'!$C$2:$C$41,MATCH($B109,'قائمة الوحدات'!$A$2:$A$41,0)),"")</f>
        <v>الشؤون التنفيذية</v>
      </c>
      <c r="E109" s="14" t="str">
        <f>IFERROR(INDEX('قائمة الوحدات'!$D$2:$D$41,MATCH($B109,'قائمة الوحدات'!$A$2:$A$41,0)),"")</f>
        <v>وكالة الشؤون الفنية</v>
      </c>
      <c r="F109" s="14" t="str">
        <f>IFERROR(INDEX('قائمة الوحدات'!$F$2:$F$41,MATCH($B109,'قائمة الوحدات'!$A$2:$A$41,0)),"")</f>
        <v>الإدارة العامة للتشغيل والصيانة</v>
      </c>
      <c r="G109" s="16" t="s">
        <v>61</v>
      </c>
      <c r="H109" s="14" t="str">
        <f>IFERROR(INDEX(المرجع!$A$2:$A$19,MATCH($G109,المرجع!$B$2:$B$19,0)),"")</f>
        <v>البناء المؤسسي</v>
      </c>
      <c r="I109" s="16" t="s">
        <v>56</v>
      </c>
      <c r="J109" s="14" t="str">
        <f>IFERROR(INDEX(المرجع!$D$2:$D$19,MATCH($I109,المرجع!$E$2:$E$19,0)),"")</f>
        <v>الموارد</v>
      </c>
      <c r="K109" s="16" t="s">
        <v>106</v>
      </c>
      <c r="L109" s="17" t="str">
        <f>IFERROR(INDEX('نقاط التحقق'!$G$2:$G$31,MATCH($K109,'نقاط التحقق'!$A$2:$A$31,0))&amp;"","")</f>
        <v>خطة توظيف وتدريب مستكملة</v>
      </c>
      <c r="M109" s="14" t="str">
        <f>IFERROR(INDEX('نقاط التحقق'!$H$2:$H$31,MATCH($K109,'نقاط التحقق'!$A$2:$A$31,0))&amp;"","")</f>
        <v/>
      </c>
      <c r="N109" s="13">
        <v>75</v>
      </c>
      <c r="O109" s="15" t="str">
        <f>IF($N109="","غير مقيّمة",IF($N109&gt;المرجع!$K$3,"مستوفاة بشكل متقدم",IF($N109&lt;=المرجع!$K$2,"مستوفاة بشكل أولي","مستوفاة بشكل جزئي")))</f>
        <v>مستوفاة بشكل متقدم</v>
      </c>
      <c r="P109" s="18"/>
    </row>
    <row r="110" spans="1:16">
      <c r="A110" s="16" t="s">
        <v>494</v>
      </c>
      <c r="B110" s="16" t="s">
        <v>164</v>
      </c>
      <c r="C110" s="15" t="str">
        <f>IFERROR(INDEX('قائمة الوحدات'!$B$2:$B$41,MATCH($B110,'قائمة الوحدات'!$A$2:$A$41,0)),"")</f>
        <v>EXE</v>
      </c>
      <c r="D110" s="14" t="str">
        <f>IFERROR(INDEX('قائمة الوحدات'!$C$2:$C$41,MATCH($B110,'قائمة الوحدات'!$A$2:$A$41,0)),"")</f>
        <v>الشؤون التنفيذية</v>
      </c>
      <c r="E110" s="14" t="str">
        <f>IFERROR(INDEX('قائمة الوحدات'!$D$2:$D$41,MATCH($B110,'قائمة الوحدات'!$A$2:$A$41,0)),"")</f>
        <v>وكالة الشؤون الفنية</v>
      </c>
      <c r="F110" s="14" t="str">
        <f>IFERROR(INDEX('قائمة الوحدات'!$F$2:$F$41,MATCH($B110,'قائمة الوحدات'!$A$2:$A$41,0)),"")</f>
        <v>الإدارة العامة للتشغيل والصيانة</v>
      </c>
      <c r="G110" s="16" t="s">
        <v>61</v>
      </c>
      <c r="H110" s="14" t="str">
        <f>IFERROR(INDEX(المرجع!$A$2:$A$19,MATCH($G110,المرجع!$B$2:$B$19,0)),"")</f>
        <v>البناء المؤسسي</v>
      </c>
      <c r="I110" s="16" t="s">
        <v>56</v>
      </c>
      <c r="J110" s="14" t="str">
        <f>IFERROR(INDEX(المرجع!$D$2:$D$19,MATCH($I110,المرجع!$E$2:$E$19,0)),"")</f>
        <v>الموارد</v>
      </c>
      <c r="K110" s="16" t="s">
        <v>108</v>
      </c>
      <c r="L110" s="17" t="str">
        <f>IFERROR(INDEX('نقاط التحقق'!$G$2:$G$31,MATCH($K110,'نقاط التحقق'!$A$2:$A$31,0))&amp;"","")</f>
        <v>وجود مساحات مكتبية كافية</v>
      </c>
      <c r="M110" s="14" t="str">
        <f>IFERROR(INDEX('نقاط التحقق'!$H$2:$H$31,MATCH($K110,'نقاط التحقق'!$A$2:$A$31,0))&amp;"","")</f>
        <v/>
      </c>
      <c r="N110" s="13">
        <v>60</v>
      </c>
      <c r="O110" s="15" t="str">
        <f>IF($N110="","غير مقيّمة",IF($N110&gt;المرجع!$K$3,"مستوفاة بشكل متقدم",IF($N110&lt;=المرجع!$K$2,"مستوفاة بشكل أولي","مستوفاة بشكل جزئي")))</f>
        <v>مستوفاة بشكل جزئي</v>
      </c>
      <c r="P110" s="18"/>
    </row>
    <row r="111" spans="1:16">
      <c r="A111" s="16" t="s">
        <v>495</v>
      </c>
      <c r="B111" s="16" t="s">
        <v>164</v>
      </c>
      <c r="C111" s="15" t="str">
        <f>IFERROR(INDEX('قائمة الوحدات'!$B$2:$B$41,MATCH($B111,'قائمة الوحدات'!$A$2:$A$41,0)),"")</f>
        <v>EXE</v>
      </c>
      <c r="D111" s="14" t="str">
        <f>IFERROR(INDEX('قائمة الوحدات'!$C$2:$C$41,MATCH($B111,'قائمة الوحدات'!$A$2:$A$41,0)),"")</f>
        <v>الشؤون التنفيذية</v>
      </c>
      <c r="E111" s="14" t="str">
        <f>IFERROR(INDEX('قائمة الوحدات'!$D$2:$D$41,MATCH($B111,'قائمة الوحدات'!$A$2:$A$41,0)),"")</f>
        <v>وكالة الشؤون الفنية</v>
      </c>
      <c r="F111" s="14" t="str">
        <f>IFERROR(INDEX('قائمة الوحدات'!$F$2:$F$41,MATCH($B111,'قائمة الوحدات'!$A$2:$A$41,0)),"")</f>
        <v>الإدارة العامة للتشغيل والصيانة</v>
      </c>
      <c r="G111" s="16" t="s">
        <v>61</v>
      </c>
      <c r="H111" s="14" t="str">
        <f>IFERROR(INDEX(المرجع!$A$2:$A$19,MATCH($G111,المرجع!$B$2:$B$19,0)),"")</f>
        <v>البناء المؤسسي</v>
      </c>
      <c r="I111" s="16" t="s">
        <v>56</v>
      </c>
      <c r="J111" s="14" t="str">
        <f>IFERROR(INDEX(المرجع!$D$2:$D$19,MATCH($I111,المرجع!$E$2:$E$19,0)),"")</f>
        <v>الموارد</v>
      </c>
      <c r="K111" s="16" t="s">
        <v>110</v>
      </c>
      <c r="L111" s="17" t="str">
        <f>IFERROR(INDEX('نقاط التحقق'!$G$2:$G$31,MATCH($K111,'نقاط التحقق'!$A$2:$A$31,0))&amp;"","")</f>
        <v>وجود الاحتياجات التقنية الأساسية</v>
      </c>
      <c r="M111" s="14" t="str">
        <f>IFERROR(INDEX('نقاط التحقق'!$H$2:$H$31,MATCH($K111,'نقاط التحقق'!$A$2:$A$31,0))&amp;"","")</f>
        <v/>
      </c>
      <c r="N111" s="13">
        <v>90</v>
      </c>
      <c r="O111" s="15" t="str">
        <f>IF($N111="","غير مقيّمة",IF($N111&gt;المرجع!$K$3,"مستوفاة بشكل متقدم",IF($N111&lt;=المرجع!$K$2,"مستوفاة بشكل أولي","مستوفاة بشكل جزئي")))</f>
        <v>مستوفاة بشكل متقدم</v>
      </c>
      <c r="P111" s="18"/>
    </row>
    <row r="112" spans="1:16">
      <c r="A112" s="16" t="s">
        <v>496</v>
      </c>
      <c r="B112" s="16" t="s">
        <v>164</v>
      </c>
      <c r="C112" s="15" t="str">
        <f>IFERROR(INDEX('قائمة الوحدات'!$B$2:$B$41,MATCH($B112,'قائمة الوحدات'!$A$2:$A$41,0)),"")</f>
        <v>EXE</v>
      </c>
      <c r="D112" s="14" t="str">
        <f>IFERROR(INDEX('قائمة الوحدات'!$C$2:$C$41,MATCH($B112,'قائمة الوحدات'!$A$2:$A$41,0)),"")</f>
        <v>الشؤون التنفيذية</v>
      </c>
      <c r="E112" s="14" t="str">
        <f>IFERROR(INDEX('قائمة الوحدات'!$D$2:$D$41,MATCH($B112,'قائمة الوحدات'!$A$2:$A$41,0)),"")</f>
        <v>وكالة الشؤون الفنية</v>
      </c>
      <c r="F112" s="14" t="str">
        <f>IFERROR(INDEX('قائمة الوحدات'!$F$2:$F$41,MATCH($B112,'قائمة الوحدات'!$A$2:$A$41,0)),"")</f>
        <v>الإدارة العامة للتشغيل والصيانة</v>
      </c>
      <c r="G112" s="16" t="s">
        <v>61</v>
      </c>
      <c r="H112" s="14" t="str">
        <f>IFERROR(INDEX(المرجع!$A$2:$A$19,MATCH($G112,المرجع!$B$2:$B$19,0)),"")</f>
        <v>البناء المؤسسي</v>
      </c>
      <c r="I112" s="16" t="s">
        <v>59</v>
      </c>
      <c r="J112" s="14" t="str">
        <f>IFERROR(INDEX(المرجع!$D$2:$D$19,MATCH($I112,المرجع!$E$2:$E$19,0)),"")</f>
        <v>الإجراءات</v>
      </c>
      <c r="K112" s="16" t="s">
        <v>112</v>
      </c>
      <c r="L112" s="17" t="str">
        <f>IFERROR(INDEX('نقاط التحقق'!$G$2:$G$31,MATCH($K112,'نقاط التحقق'!$A$2:$A$31,0))&amp;"","")</f>
        <v>إجراءات معتمدة للوحدة التنظيمية</v>
      </c>
      <c r="M112" s="14" t="str">
        <f>IFERROR(INDEX('نقاط التحقق'!$H$2:$H$31,MATCH($K112,'نقاط التحقق'!$A$2:$A$31,0))&amp;"","")</f>
        <v/>
      </c>
      <c r="N112" s="13">
        <v>87</v>
      </c>
      <c r="O112" s="15" t="str">
        <f>IF($N112="","غير مقيّمة",IF($N112&gt;المرجع!$K$3,"مستوفاة بشكل متقدم",IF($N112&lt;=المرجع!$K$2,"مستوفاة بشكل أولي","مستوفاة بشكل جزئي")))</f>
        <v>مستوفاة بشكل متقدم</v>
      </c>
      <c r="P112" s="18"/>
    </row>
    <row r="113" spans="1:16">
      <c r="A113" s="16" t="s">
        <v>497</v>
      </c>
      <c r="B113" s="16" t="s">
        <v>164</v>
      </c>
      <c r="C113" s="15" t="str">
        <f>IFERROR(INDEX('قائمة الوحدات'!$B$2:$B$41,MATCH($B113,'قائمة الوحدات'!$A$2:$A$41,0)),"")</f>
        <v>EXE</v>
      </c>
      <c r="D113" s="14" t="str">
        <f>IFERROR(INDEX('قائمة الوحدات'!$C$2:$C$41,MATCH($B113,'قائمة الوحدات'!$A$2:$A$41,0)),"")</f>
        <v>الشؤون التنفيذية</v>
      </c>
      <c r="E113" s="14" t="str">
        <f>IFERROR(INDEX('قائمة الوحدات'!$D$2:$D$41,MATCH($B113,'قائمة الوحدات'!$A$2:$A$41,0)),"")</f>
        <v>وكالة الشؤون الفنية</v>
      </c>
      <c r="F113" s="14" t="str">
        <f>IFERROR(INDEX('قائمة الوحدات'!$F$2:$F$41,MATCH($B113,'قائمة الوحدات'!$A$2:$A$41,0)),"")</f>
        <v>الإدارة العامة للتشغيل والصيانة</v>
      </c>
      <c r="G113" s="16" t="s">
        <v>61</v>
      </c>
      <c r="H113" s="14" t="str">
        <f>IFERROR(INDEX(المرجع!$A$2:$A$19,MATCH($G113,المرجع!$B$2:$B$19,0)),"")</f>
        <v>البناء المؤسسي</v>
      </c>
      <c r="I113" s="16" t="s">
        <v>63</v>
      </c>
      <c r="J113" s="14" t="str">
        <f>IFERROR(INDEX(المرجع!$D$2:$D$19,MATCH($I113,المرجع!$E$2:$E$19,0)),"")</f>
        <v>إنتاج المخرج الأول</v>
      </c>
      <c r="K113" s="16" t="s">
        <v>114</v>
      </c>
      <c r="L113" s="17" t="str">
        <f>IFERROR(INDEX('نقاط التحقق'!$G$2:$G$31,MATCH($K113,'نقاط التحقق'!$A$2:$A$31,0))&amp;"","")</f>
        <v>إنتاج المخرج الأول من قبل الوحدة التنظيمية</v>
      </c>
      <c r="M113" s="14" t="str">
        <f>IFERROR(INDEX('نقاط التحقق'!$H$2:$H$31,MATCH($K113,'نقاط التحقق'!$A$2:$A$31,0))&amp;"","")</f>
        <v/>
      </c>
      <c r="N113" s="13">
        <v>47</v>
      </c>
      <c r="O113" s="15" t="str">
        <f>IF($N113="","غير مقيّمة",IF($N113&gt;المرجع!$K$3,"مستوفاة بشكل متقدم",IF($N113&lt;=المرجع!$K$2,"مستوفاة بشكل أولي","مستوفاة بشكل جزئي")))</f>
        <v>مستوفاة بشكل جزئي</v>
      </c>
      <c r="P113" s="18"/>
    </row>
    <row r="114" spans="1:16">
      <c r="A114" s="16" t="s">
        <v>498</v>
      </c>
      <c r="B114" s="16" t="s">
        <v>164</v>
      </c>
      <c r="C114" s="15" t="str">
        <f>IFERROR(INDEX('قائمة الوحدات'!$B$2:$B$41,MATCH($B114,'قائمة الوحدات'!$A$2:$A$41,0)),"")</f>
        <v>EXE</v>
      </c>
      <c r="D114" s="14" t="str">
        <f>IFERROR(INDEX('قائمة الوحدات'!$C$2:$C$41,MATCH($B114,'قائمة الوحدات'!$A$2:$A$41,0)),"")</f>
        <v>الشؤون التنفيذية</v>
      </c>
      <c r="E114" s="14" t="str">
        <f>IFERROR(INDEX('قائمة الوحدات'!$D$2:$D$41,MATCH($B114,'قائمة الوحدات'!$A$2:$A$41,0)),"")</f>
        <v>وكالة الشؤون الفنية</v>
      </c>
      <c r="F114" s="14" t="str">
        <f>IFERROR(INDEX('قائمة الوحدات'!$F$2:$F$41,MATCH($B114,'قائمة الوحدات'!$A$2:$A$41,0)),"")</f>
        <v>الإدارة العامة للتشغيل والصيانة</v>
      </c>
      <c r="G114" s="16" t="s">
        <v>65</v>
      </c>
      <c r="H114" s="14" t="str">
        <f>IFERROR(INDEX(المرجع!$A$2:$A$19,MATCH($G114,المرجع!$B$2:$B$19,0)),"")</f>
        <v>التشغيل</v>
      </c>
      <c r="I114" s="16" t="s">
        <v>48</v>
      </c>
      <c r="J114" s="14" t="str">
        <f>IFERROR(INDEX(المرجع!$D$2:$D$19,MATCH($I114,المرجع!$E$2:$E$19,0)),"")</f>
        <v>الأهداف ومؤشرات الأداء</v>
      </c>
      <c r="K114" s="16" t="s">
        <v>116</v>
      </c>
      <c r="L114" s="17" t="str">
        <f>IFERROR(INDEX('نقاط التحقق'!$G$2:$G$31,MATCH($K114,'نقاط التحقق'!$A$2:$A$31,0))&amp;"","")</f>
        <v>تحرك مؤشرات الأداء التشغيلي للوحدة التنظيمية بشكل إيجابي</v>
      </c>
      <c r="M114" s="14" t="str">
        <f>IFERROR(INDEX('نقاط التحقق'!$H$2:$H$31,MATCH($K114,'نقاط التحقق'!$A$2:$A$31,0))&amp;"","")</f>
        <v/>
      </c>
      <c r="N114" s="13">
        <v>30</v>
      </c>
      <c r="O114" s="15" t="str">
        <f>IF($N114="","غير مقيّمة",IF($N114&gt;المرجع!$K$3,"مستوفاة بشكل متقدم",IF($N114&lt;=المرجع!$K$2,"مستوفاة بشكل أولي","مستوفاة بشكل جزئي")))</f>
        <v>مستوفاة بشكل أولي</v>
      </c>
      <c r="P114" s="18"/>
    </row>
    <row r="115" spans="1:16">
      <c r="A115" s="16" t="s">
        <v>499</v>
      </c>
      <c r="B115" s="16" t="s">
        <v>164</v>
      </c>
      <c r="C115" s="15" t="str">
        <f>IFERROR(INDEX('قائمة الوحدات'!$B$2:$B$41,MATCH($B115,'قائمة الوحدات'!$A$2:$A$41,0)),"")</f>
        <v>EXE</v>
      </c>
      <c r="D115" s="14" t="str">
        <f>IFERROR(INDEX('قائمة الوحدات'!$C$2:$C$41,MATCH($B115,'قائمة الوحدات'!$A$2:$A$41,0)),"")</f>
        <v>الشؤون التنفيذية</v>
      </c>
      <c r="E115" s="14" t="str">
        <f>IFERROR(INDEX('قائمة الوحدات'!$D$2:$D$41,MATCH($B115,'قائمة الوحدات'!$A$2:$A$41,0)),"")</f>
        <v>وكالة الشؤون الفنية</v>
      </c>
      <c r="F115" s="14" t="str">
        <f>IFERROR(INDEX('قائمة الوحدات'!$F$2:$F$41,MATCH($B115,'قائمة الوحدات'!$A$2:$A$41,0)),"")</f>
        <v>الإدارة العامة للتشغيل والصيانة</v>
      </c>
      <c r="G115" s="16" t="s">
        <v>65</v>
      </c>
      <c r="H115" s="14" t="str">
        <f>IFERROR(INDEX(المرجع!$A$2:$A$19,MATCH($G115,المرجع!$B$2:$B$19,0)),"")</f>
        <v>التشغيل</v>
      </c>
      <c r="I115" s="16" t="s">
        <v>48</v>
      </c>
      <c r="J115" s="14" t="str">
        <f>IFERROR(INDEX(المرجع!$D$2:$D$19,MATCH($I115,المرجع!$E$2:$E$19,0)),"")</f>
        <v>الأهداف ومؤشرات الأداء</v>
      </c>
      <c r="K115" s="16" t="s">
        <v>118</v>
      </c>
      <c r="L115" s="17" t="str">
        <f>IFERROR(INDEX('نقاط التحقق'!$G$2:$G$31,MATCH($K115,'نقاط التحقق'!$A$2:$A$31,0))&amp;"","")</f>
        <v>خطة سنوية معتمدة للوحدة التنظيمية</v>
      </c>
      <c r="M115" s="14" t="str">
        <f>IFERROR(INDEX('نقاط التحقق'!$H$2:$H$31,MATCH($K115,'نقاط التحقق'!$A$2:$A$31,0))&amp;"","")</f>
        <v/>
      </c>
      <c r="N115" s="13">
        <v>30</v>
      </c>
      <c r="O115" s="15" t="str">
        <f>IF($N115="","غير مقيّمة",IF($N115&gt;المرجع!$K$3,"مستوفاة بشكل متقدم",IF($N115&lt;=المرجع!$K$2,"مستوفاة بشكل أولي","مستوفاة بشكل جزئي")))</f>
        <v>مستوفاة بشكل أولي</v>
      </c>
      <c r="P115" s="18"/>
    </row>
    <row r="116" spans="1:16">
      <c r="A116" s="16" t="s">
        <v>500</v>
      </c>
      <c r="B116" s="16" t="s">
        <v>164</v>
      </c>
      <c r="C116" s="15" t="str">
        <f>IFERROR(INDEX('قائمة الوحدات'!$B$2:$B$41,MATCH($B116,'قائمة الوحدات'!$A$2:$A$41,0)),"")</f>
        <v>EXE</v>
      </c>
      <c r="D116" s="14" t="str">
        <f>IFERROR(INDEX('قائمة الوحدات'!$C$2:$C$41,MATCH($B116,'قائمة الوحدات'!$A$2:$A$41,0)),"")</f>
        <v>الشؤون التنفيذية</v>
      </c>
      <c r="E116" s="14" t="str">
        <f>IFERROR(INDEX('قائمة الوحدات'!$D$2:$D$41,MATCH($B116,'قائمة الوحدات'!$A$2:$A$41,0)),"")</f>
        <v>وكالة الشؤون الفنية</v>
      </c>
      <c r="F116" s="14" t="str">
        <f>IFERROR(INDEX('قائمة الوحدات'!$F$2:$F$41,MATCH($B116,'قائمة الوحدات'!$A$2:$A$41,0)),"")</f>
        <v>الإدارة العامة للتشغيل والصيانة</v>
      </c>
      <c r="G116" s="16" t="s">
        <v>65</v>
      </c>
      <c r="H116" s="14" t="str">
        <f>IFERROR(INDEX(المرجع!$A$2:$A$19,MATCH($G116,المرجع!$B$2:$B$19,0)),"")</f>
        <v>التشغيل</v>
      </c>
      <c r="I116" s="16" t="s">
        <v>51</v>
      </c>
      <c r="J116" s="14" t="str">
        <f>IFERROR(INDEX(المرجع!$D$2:$D$19,MATCH($I116,المرجع!$E$2:$E$19,0)),"")</f>
        <v>الحوكمة</v>
      </c>
      <c r="K116" s="16" t="s">
        <v>120</v>
      </c>
      <c r="L116" s="17" t="str">
        <f>IFERROR(INDEX('نقاط التحقق'!$G$2:$G$31,MATCH($K116,'نقاط التحقق'!$A$2:$A$31,0))&amp;"","")</f>
        <v>محاضر لجان موثقة</v>
      </c>
      <c r="M116" s="14" t="str">
        <f>IFERROR(INDEX('نقاط التحقق'!$H$2:$H$31,MATCH($K116,'نقاط التحقق'!$A$2:$A$31,0))&amp;"","")</f>
        <v/>
      </c>
      <c r="N116" s="13">
        <v>20</v>
      </c>
      <c r="O116" s="15" t="str">
        <f>IF($N116="","غير مقيّمة",IF($N116&gt;المرجع!$K$3,"مستوفاة بشكل متقدم",IF($N116&lt;=المرجع!$K$2,"مستوفاة بشكل أولي","مستوفاة بشكل جزئي")))</f>
        <v>مستوفاة بشكل أولي</v>
      </c>
      <c r="P116" s="18"/>
    </row>
    <row r="117" spans="1:16">
      <c r="A117" s="16" t="s">
        <v>501</v>
      </c>
      <c r="B117" s="16" t="s">
        <v>164</v>
      </c>
      <c r="C117" s="15" t="str">
        <f>IFERROR(INDEX('قائمة الوحدات'!$B$2:$B$41,MATCH($B117,'قائمة الوحدات'!$A$2:$A$41,0)),"")</f>
        <v>EXE</v>
      </c>
      <c r="D117" s="14" t="str">
        <f>IFERROR(INDEX('قائمة الوحدات'!$C$2:$C$41,MATCH($B117,'قائمة الوحدات'!$A$2:$A$41,0)),"")</f>
        <v>الشؤون التنفيذية</v>
      </c>
      <c r="E117" s="14" t="str">
        <f>IFERROR(INDEX('قائمة الوحدات'!$D$2:$D$41,MATCH($B117,'قائمة الوحدات'!$A$2:$A$41,0)),"")</f>
        <v>وكالة الشؤون الفنية</v>
      </c>
      <c r="F117" s="14" t="str">
        <f>IFERROR(INDEX('قائمة الوحدات'!$F$2:$F$41,MATCH($B117,'قائمة الوحدات'!$A$2:$A$41,0)),"")</f>
        <v>الإدارة العامة للتشغيل والصيانة</v>
      </c>
      <c r="G117" s="16" t="s">
        <v>65</v>
      </c>
      <c r="H117" s="14" t="str">
        <f>IFERROR(INDEX(المرجع!$A$2:$A$19,MATCH($G117,المرجع!$B$2:$B$19,0)),"")</f>
        <v>التشغيل</v>
      </c>
      <c r="I117" s="16" t="s">
        <v>51</v>
      </c>
      <c r="J117" s="14" t="str">
        <f>IFERROR(INDEX(المرجع!$D$2:$D$19,MATCH($I117,المرجع!$E$2:$E$19,0)),"")</f>
        <v>الحوكمة</v>
      </c>
      <c r="K117" s="16" t="s">
        <v>122</v>
      </c>
      <c r="L117" s="17" t="str">
        <f>IFERROR(INDEX('نقاط التحقق'!$G$2:$G$31,MATCH($K117,'نقاط التحقق'!$A$2:$A$31,0))&amp;"","")</f>
        <v>نشر السياسات التي تملكها الوحدة التنظيمية</v>
      </c>
      <c r="M117" s="14" t="str">
        <f>IFERROR(INDEX('نقاط التحقق'!$H$2:$H$31,MATCH($K117,'نقاط التحقق'!$A$2:$A$31,0))&amp;"","")</f>
        <v/>
      </c>
      <c r="N117" s="13">
        <v>40</v>
      </c>
      <c r="O117" s="15" t="str">
        <f>IF($N117="","غير مقيّمة",IF($N117&gt;المرجع!$K$3,"مستوفاة بشكل متقدم",IF($N117&lt;=المرجع!$K$2,"مستوفاة بشكل أولي","مستوفاة بشكل جزئي")))</f>
        <v>مستوفاة بشكل جزئي</v>
      </c>
      <c r="P117" s="18"/>
    </row>
    <row r="118" spans="1:16">
      <c r="A118" s="16" t="s">
        <v>502</v>
      </c>
      <c r="B118" s="16" t="s">
        <v>164</v>
      </c>
      <c r="C118" s="15" t="str">
        <f>IFERROR(INDEX('قائمة الوحدات'!$B$2:$B$41,MATCH($B118,'قائمة الوحدات'!$A$2:$A$41,0)),"")</f>
        <v>EXE</v>
      </c>
      <c r="D118" s="14" t="str">
        <f>IFERROR(INDEX('قائمة الوحدات'!$C$2:$C$41,MATCH($B118,'قائمة الوحدات'!$A$2:$A$41,0)),"")</f>
        <v>الشؤون التنفيذية</v>
      </c>
      <c r="E118" s="14" t="str">
        <f>IFERROR(INDEX('قائمة الوحدات'!$D$2:$D$41,MATCH($B118,'قائمة الوحدات'!$A$2:$A$41,0)),"")</f>
        <v>وكالة الشؤون الفنية</v>
      </c>
      <c r="F118" s="14" t="str">
        <f>IFERROR(INDEX('قائمة الوحدات'!$F$2:$F$41,MATCH($B118,'قائمة الوحدات'!$A$2:$A$41,0)),"")</f>
        <v>الإدارة العامة للتشغيل والصيانة</v>
      </c>
      <c r="G118" s="16" t="s">
        <v>65</v>
      </c>
      <c r="H118" s="14" t="str">
        <f>IFERROR(INDEX(المرجع!$A$2:$A$19,MATCH($G118,المرجع!$B$2:$B$19,0)),"")</f>
        <v>التشغيل</v>
      </c>
      <c r="I118" s="16" t="s">
        <v>51</v>
      </c>
      <c r="J118" s="14" t="str">
        <f>IFERROR(INDEX(المرجع!$D$2:$D$19,MATCH($I118,المرجع!$E$2:$E$19,0)),"")</f>
        <v>الحوكمة</v>
      </c>
      <c r="K118" s="16" t="s">
        <v>124</v>
      </c>
      <c r="L118" s="17" t="str">
        <f>IFERROR(INDEX('نقاط التحقق'!$G$2:$G$31,MATCH($K118,'نقاط التحقق'!$A$2:$A$31,0))&amp;"","")</f>
        <v>اتخاذ القرارات في نطاق الصلاحيات (وجود شواهد)</v>
      </c>
      <c r="M118" s="14" t="str">
        <f>IFERROR(INDEX('نقاط التحقق'!$H$2:$H$31,MATCH($K118,'نقاط التحقق'!$A$2:$A$31,0))&amp;"","")</f>
        <v/>
      </c>
      <c r="N118" s="13">
        <v>20</v>
      </c>
      <c r="O118" s="15" t="str">
        <f>IF($N118="","غير مقيّمة",IF($N118&gt;المرجع!$K$3,"مستوفاة بشكل متقدم",IF($N118&lt;=المرجع!$K$2,"مستوفاة بشكل أولي","مستوفاة بشكل جزئي")))</f>
        <v>مستوفاة بشكل أولي</v>
      </c>
      <c r="P118" s="18"/>
    </row>
    <row r="119" spans="1:16">
      <c r="A119" s="16" t="s">
        <v>503</v>
      </c>
      <c r="B119" s="16" t="s">
        <v>164</v>
      </c>
      <c r="C119" s="15" t="str">
        <f>IFERROR(INDEX('قائمة الوحدات'!$B$2:$B$41,MATCH($B119,'قائمة الوحدات'!$A$2:$A$41,0)),"")</f>
        <v>EXE</v>
      </c>
      <c r="D119" s="14" t="str">
        <f>IFERROR(INDEX('قائمة الوحدات'!$C$2:$C$41,MATCH($B119,'قائمة الوحدات'!$A$2:$A$41,0)),"")</f>
        <v>الشؤون التنفيذية</v>
      </c>
      <c r="E119" s="14" t="str">
        <f>IFERROR(INDEX('قائمة الوحدات'!$D$2:$D$41,MATCH($B119,'قائمة الوحدات'!$A$2:$A$41,0)),"")</f>
        <v>وكالة الشؤون الفنية</v>
      </c>
      <c r="F119" s="14" t="str">
        <f>IFERROR(INDEX('قائمة الوحدات'!$F$2:$F$41,MATCH($B119,'قائمة الوحدات'!$A$2:$A$41,0)),"")</f>
        <v>الإدارة العامة للتشغيل والصيانة</v>
      </c>
      <c r="G119" s="16" t="s">
        <v>65</v>
      </c>
      <c r="H119" s="14" t="str">
        <f>IFERROR(INDEX(المرجع!$A$2:$A$19,MATCH($G119,المرجع!$B$2:$B$19,0)),"")</f>
        <v>التشغيل</v>
      </c>
      <c r="I119" s="16" t="s">
        <v>56</v>
      </c>
      <c r="J119" s="14" t="str">
        <f>IFERROR(INDEX(المرجع!$D$2:$D$19,MATCH($I119,المرجع!$E$2:$E$19,0)),"")</f>
        <v>الموارد</v>
      </c>
      <c r="K119" s="16" t="s">
        <v>126</v>
      </c>
      <c r="L119" s="17" t="str">
        <f>IFERROR(INDEX('نقاط التحقق'!$G$2:$G$31,MATCH($K119,'نقاط التحقق'!$A$2:$A$31,0))&amp;"","")</f>
        <v>موارد مستكملة للحد الأدنى الذي يغطي كافة محاور سلسلة القيمة</v>
      </c>
      <c r="M119" s="14" t="str">
        <f>IFERROR(INDEX('نقاط التحقق'!$H$2:$H$31,MATCH($K119,'نقاط التحقق'!$A$2:$A$31,0))&amp;"","")</f>
        <v/>
      </c>
      <c r="N119" s="13">
        <v>35</v>
      </c>
      <c r="O119" s="15" t="str">
        <f>IF($N119="","غير مقيّمة",IF($N119&gt;المرجع!$K$3,"مستوفاة بشكل متقدم",IF($N119&lt;=المرجع!$K$2,"مستوفاة بشكل أولي","مستوفاة بشكل جزئي")))</f>
        <v>مستوفاة بشكل جزئي</v>
      </c>
      <c r="P119" s="18"/>
    </row>
    <row r="120" spans="1:16">
      <c r="A120" s="16" t="s">
        <v>504</v>
      </c>
      <c r="B120" s="16" t="s">
        <v>164</v>
      </c>
      <c r="C120" s="15" t="str">
        <f>IFERROR(INDEX('قائمة الوحدات'!$B$2:$B$41,MATCH($B120,'قائمة الوحدات'!$A$2:$A$41,0)),"")</f>
        <v>EXE</v>
      </c>
      <c r="D120" s="14" t="str">
        <f>IFERROR(INDEX('قائمة الوحدات'!$C$2:$C$41,MATCH($B120,'قائمة الوحدات'!$A$2:$A$41,0)),"")</f>
        <v>الشؤون التنفيذية</v>
      </c>
      <c r="E120" s="14" t="str">
        <f>IFERROR(INDEX('قائمة الوحدات'!$D$2:$D$41,MATCH($B120,'قائمة الوحدات'!$A$2:$A$41,0)),"")</f>
        <v>وكالة الشؤون الفنية</v>
      </c>
      <c r="F120" s="14" t="str">
        <f>IFERROR(INDEX('قائمة الوحدات'!$F$2:$F$41,MATCH($B120,'قائمة الوحدات'!$A$2:$A$41,0)),"")</f>
        <v>الإدارة العامة للتشغيل والصيانة</v>
      </c>
      <c r="G120" s="16" t="s">
        <v>65</v>
      </c>
      <c r="H120" s="14" t="str">
        <f>IFERROR(INDEX(المرجع!$A$2:$A$19,MATCH($G120,المرجع!$B$2:$B$19,0)),"")</f>
        <v>التشغيل</v>
      </c>
      <c r="I120" s="16" t="s">
        <v>59</v>
      </c>
      <c r="J120" s="14" t="str">
        <f>IFERROR(INDEX(المرجع!$D$2:$D$19,MATCH($I120,المرجع!$E$2:$E$19,0)),"")</f>
        <v>الإجراءات</v>
      </c>
      <c r="K120" s="16" t="s">
        <v>128</v>
      </c>
      <c r="L120" s="17" t="str">
        <f>IFERROR(INDEX('نقاط التحقق'!$G$2:$G$31,MATCH($K120,'نقاط التحقق'!$A$2:$A$31,0))&amp;"","")</f>
        <v>تحقيق تقييم "مطبق بشكل كامل" من منهجية تقييم فعالية الإجراءات</v>
      </c>
      <c r="M120" s="14" t="str">
        <f>IFERROR(INDEX('نقاط التحقق'!$H$2:$H$31,MATCH($K120,'نقاط التحقق'!$A$2:$A$31,0))&amp;"","")</f>
        <v/>
      </c>
      <c r="N120" s="13">
        <v>37</v>
      </c>
      <c r="O120" s="15" t="str">
        <f>IF($N120="","غير مقيّمة",IF($N120&gt;المرجع!$K$3,"مستوفاة بشكل متقدم",IF($N120&lt;=المرجع!$K$2,"مستوفاة بشكل أولي","مستوفاة بشكل جزئي")))</f>
        <v>مستوفاة بشكل جزئي</v>
      </c>
      <c r="P120" s="18"/>
    </row>
    <row r="121" spans="1:16">
      <c r="A121" s="16" t="s">
        <v>505</v>
      </c>
      <c r="B121" s="16" t="s">
        <v>164</v>
      </c>
      <c r="C121" s="15" t="str">
        <f>IFERROR(INDEX('قائمة الوحدات'!$B$2:$B$41,MATCH($B121,'قائمة الوحدات'!$A$2:$A$41,0)),"")</f>
        <v>EXE</v>
      </c>
      <c r="D121" s="14" t="str">
        <f>IFERROR(INDEX('قائمة الوحدات'!$C$2:$C$41,MATCH($B121,'قائمة الوحدات'!$A$2:$A$41,0)),"")</f>
        <v>الشؤون التنفيذية</v>
      </c>
      <c r="E121" s="14" t="str">
        <f>IFERROR(INDEX('قائمة الوحدات'!$D$2:$D$41,MATCH($B121,'قائمة الوحدات'!$A$2:$A$41,0)),"")</f>
        <v>وكالة الشؤون الفنية</v>
      </c>
      <c r="F121" s="14" t="str">
        <f>IFERROR(INDEX('قائمة الوحدات'!$F$2:$F$41,MATCH($B121,'قائمة الوحدات'!$A$2:$A$41,0)),"")</f>
        <v>الإدارة العامة للتشغيل والصيانة</v>
      </c>
      <c r="G121" s="16" t="s">
        <v>65</v>
      </c>
      <c r="H121" s="14" t="str">
        <f>IFERROR(INDEX(المرجع!$A$2:$A$19,MATCH($G121,المرجع!$B$2:$B$19,0)),"")</f>
        <v>التشغيل</v>
      </c>
      <c r="I121" s="16" t="s">
        <v>67</v>
      </c>
      <c r="J121" s="14" t="str">
        <f>IFERROR(INDEX(المرجع!$D$2:$D$19,MATCH($I121,المرجع!$E$2:$E$19,0)),"")</f>
        <v>اكتمال المخرجات المستهدفة</v>
      </c>
      <c r="K121" s="16" t="s">
        <v>130</v>
      </c>
      <c r="L121" s="17" t="str">
        <f>IFERROR(INDEX('نقاط التحقق'!$G$2:$G$31,MATCH($K121,'نقاط التحقق'!$A$2:$A$31,0))&amp;"","")</f>
        <v>اكتمال مخرجات النموذج التشغيلي المستهدف للوحدة التنظيمية</v>
      </c>
      <c r="M121" s="14" t="str">
        <f>IFERROR(INDEX('نقاط التحقق'!$H$2:$H$31,MATCH($K121,'نقاط التحقق'!$A$2:$A$31,0))&amp;"","")</f>
        <v/>
      </c>
      <c r="N121" s="13">
        <v>62</v>
      </c>
      <c r="O121" s="15" t="str">
        <f>IF($N121="","غير مقيّمة",IF($N121&gt;المرجع!$K$3,"مستوفاة بشكل متقدم",IF($N121&lt;=المرجع!$K$2,"مستوفاة بشكل أولي","مستوفاة بشكل جزئي")))</f>
        <v>مستوفاة بشكل جزئي</v>
      </c>
      <c r="P121" s="18"/>
    </row>
    <row r="122" spans="1:16">
      <c r="A122" s="16" t="s">
        <v>506</v>
      </c>
      <c r="B122" s="16" t="s">
        <v>166</v>
      </c>
      <c r="C122" s="15" t="str">
        <f>IFERROR(INDEX('قائمة الوحدات'!$B$2:$B$41,MATCH($B122,'قائمة الوحدات'!$A$2:$A$41,0)),"")</f>
        <v>EXE</v>
      </c>
      <c r="D122" s="14" t="str">
        <f>IFERROR(INDEX('قائمة الوحدات'!$C$2:$C$41,MATCH($B122,'قائمة الوحدات'!$A$2:$A$41,0)),"")</f>
        <v>الشؤون التنفيذية</v>
      </c>
      <c r="E122" s="14" t="str">
        <f>IFERROR(INDEX('قائمة الوحدات'!$D$2:$D$41,MATCH($B122,'قائمة الوحدات'!$A$2:$A$41,0)),"")</f>
        <v>وكالة الشؤون الفنية</v>
      </c>
      <c r="F122" s="14" t="str">
        <f>IFERROR(INDEX('قائمة الوحدات'!$F$2:$F$41,MATCH($B122,'قائمة الوحدات'!$A$2:$A$41,0)),"")</f>
        <v>الإدارة العامة للسلامة والبيئة</v>
      </c>
      <c r="G122" s="16" t="s">
        <v>43</v>
      </c>
      <c r="H122" s="14" t="str">
        <f>IFERROR(INDEX(المرجع!$A$2:$A$19,MATCH($G122,المرجع!$B$2:$B$19,0)),"")</f>
        <v>التصميم</v>
      </c>
      <c r="I122" s="16" t="s">
        <v>45</v>
      </c>
      <c r="J122" s="14" t="str">
        <f>IFERROR(INDEX(المرجع!$D$2:$D$19,MATCH($I122,المرجع!$E$2:$E$19,0)),"")</f>
        <v>الدور</v>
      </c>
      <c r="K122" s="16" t="s">
        <v>72</v>
      </c>
      <c r="L122" s="17" t="str">
        <f>IFERROR(INDEX('نقاط التحقق'!$G$2:$G$31,MATCH($K122,'نقاط التحقق'!$A$2:$A$31,0))&amp;"","")</f>
        <v>دور مفصل للوحدة التنظيمية</v>
      </c>
      <c r="M122" s="14" t="str">
        <f>IFERROR(INDEX('نقاط التحقق'!$H$2:$H$31,MATCH($K122,'نقاط التحقق'!$A$2:$A$31,0))&amp;"","")</f>
        <v/>
      </c>
      <c r="N122" s="13">
        <v>96</v>
      </c>
      <c r="O122" s="15" t="str">
        <f>IF($N122="","غير مقيّمة",IF($N122&gt;المرجع!$K$3,"مستوفاة بشكل متقدم",IF($N122&lt;=المرجع!$K$2,"مستوفاة بشكل أولي","مستوفاة بشكل جزئي")))</f>
        <v>مستوفاة بشكل متقدم</v>
      </c>
      <c r="P122" s="18"/>
    </row>
    <row r="123" spans="1:16">
      <c r="A123" s="16" t="s">
        <v>507</v>
      </c>
      <c r="B123" s="16" t="s">
        <v>166</v>
      </c>
      <c r="C123" s="15" t="str">
        <f>IFERROR(INDEX('قائمة الوحدات'!$B$2:$B$41,MATCH($B123,'قائمة الوحدات'!$A$2:$A$41,0)),"")</f>
        <v>EXE</v>
      </c>
      <c r="D123" s="14" t="str">
        <f>IFERROR(INDEX('قائمة الوحدات'!$C$2:$C$41,MATCH($B123,'قائمة الوحدات'!$A$2:$A$41,0)),"")</f>
        <v>الشؤون التنفيذية</v>
      </c>
      <c r="E123" s="14" t="str">
        <f>IFERROR(INDEX('قائمة الوحدات'!$D$2:$D$41,MATCH($B123,'قائمة الوحدات'!$A$2:$A$41,0)),"")</f>
        <v>وكالة الشؤون الفنية</v>
      </c>
      <c r="F123" s="14" t="str">
        <f>IFERROR(INDEX('قائمة الوحدات'!$F$2:$F$41,MATCH($B123,'قائمة الوحدات'!$A$2:$A$41,0)),"")</f>
        <v>الإدارة العامة للسلامة والبيئة</v>
      </c>
      <c r="G123" s="16" t="s">
        <v>43</v>
      </c>
      <c r="H123" s="14" t="str">
        <f>IFERROR(INDEX(المرجع!$A$2:$A$19,MATCH($G123,المرجع!$B$2:$B$19,0)),"")</f>
        <v>التصميم</v>
      </c>
      <c r="I123" s="16" t="s">
        <v>48</v>
      </c>
      <c r="J123" s="14" t="str">
        <f>IFERROR(INDEX(المرجع!$D$2:$D$19,MATCH($I123,المرجع!$E$2:$E$19,0)),"")</f>
        <v>الأهداف ومؤشرات الأداء</v>
      </c>
      <c r="K123" s="16" t="s">
        <v>74</v>
      </c>
      <c r="L123" s="17" t="str">
        <f>IFERROR(INDEX('نقاط التحقق'!$G$2:$G$31,MATCH($K123,'نقاط التحقق'!$A$2:$A$31,0))&amp;"","")</f>
        <v>أهداف محددة للوحدة التنظيمية وربطها بمؤشرات أداء لقياسها</v>
      </c>
      <c r="M123" s="14" t="str">
        <f>IFERROR(INDEX('نقاط التحقق'!$H$2:$H$31,MATCH($K123,'نقاط التحقق'!$A$2:$A$31,0))&amp;"","")</f>
        <v/>
      </c>
      <c r="N123" s="13">
        <v>70</v>
      </c>
      <c r="O123" s="15" t="str">
        <f>IF($N123="","غير مقيّمة",IF($N123&gt;المرجع!$K$3,"مستوفاة بشكل متقدم",IF($N123&lt;=المرجع!$K$2,"مستوفاة بشكل أولي","مستوفاة بشكل جزئي")))</f>
        <v>مستوفاة بشكل جزئي</v>
      </c>
      <c r="P123" s="18"/>
    </row>
    <row r="124" spans="1:16">
      <c r="A124" s="16" t="s">
        <v>508</v>
      </c>
      <c r="B124" s="16" t="s">
        <v>166</v>
      </c>
      <c r="C124" s="15" t="str">
        <f>IFERROR(INDEX('قائمة الوحدات'!$B$2:$B$41,MATCH($B124,'قائمة الوحدات'!$A$2:$A$41,0)),"")</f>
        <v>EXE</v>
      </c>
      <c r="D124" s="14" t="str">
        <f>IFERROR(INDEX('قائمة الوحدات'!$C$2:$C$41,MATCH($B124,'قائمة الوحدات'!$A$2:$A$41,0)),"")</f>
        <v>الشؤون التنفيذية</v>
      </c>
      <c r="E124" s="14" t="str">
        <f>IFERROR(INDEX('قائمة الوحدات'!$D$2:$D$41,MATCH($B124,'قائمة الوحدات'!$A$2:$A$41,0)),"")</f>
        <v>وكالة الشؤون الفنية</v>
      </c>
      <c r="F124" s="14" t="str">
        <f>IFERROR(INDEX('قائمة الوحدات'!$F$2:$F$41,MATCH($B124,'قائمة الوحدات'!$A$2:$A$41,0)),"")</f>
        <v>الإدارة العامة للسلامة والبيئة</v>
      </c>
      <c r="G124" s="16" t="s">
        <v>43</v>
      </c>
      <c r="H124" s="14" t="str">
        <f>IFERROR(INDEX(المرجع!$A$2:$A$19,MATCH($G124,المرجع!$B$2:$B$19,0)),"")</f>
        <v>التصميم</v>
      </c>
      <c r="I124" s="16" t="s">
        <v>48</v>
      </c>
      <c r="J124" s="14" t="str">
        <f>IFERROR(INDEX(المرجع!$D$2:$D$19,MATCH($I124,المرجع!$E$2:$E$19,0)),"")</f>
        <v>الأهداف ومؤشرات الأداء</v>
      </c>
      <c r="K124" s="16" t="s">
        <v>76</v>
      </c>
      <c r="L124" s="17" t="str">
        <f>IFERROR(INDEX('نقاط التحقق'!$G$2:$G$31,MATCH($K124,'نقاط التحقق'!$A$2:$A$31,0))&amp;"","")</f>
        <v>مؤشرات أداء الوحدة التنظيمية</v>
      </c>
      <c r="M124" s="14" t="str">
        <f>IFERROR(INDEX('نقاط التحقق'!$H$2:$H$31,MATCH($K124,'نقاط التحقق'!$A$2:$A$31,0))&amp;"","")</f>
        <v/>
      </c>
      <c r="N124" s="13">
        <v>95</v>
      </c>
      <c r="O124" s="15" t="str">
        <f>IF($N124="","غير مقيّمة",IF($N124&gt;المرجع!$K$3,"مستوفاة بشكل متقدم",IF($N124&lt;=المرجع!$K$2,"مستوفاة بشكل أولي","مستوفاة بشكل جزئي")))</f>
        <v>مستوفاة بشكل متقدم</v>
      </c>
      <c r="P124" s="18"/>
    </row>
    <row r="125" spans="1:16">
      <c r="A125" s="16" t="s">
        <v>509</v>
      </c>
      <c r="B125" s="16" t="s">
        <v>166</v>
      </c>
      <c r="C125" s="15" t="str">
        <f>IFERROR(INDEX('قائمة الوحدات'!$B$2:$B$41,MATCH($B125,'قائمة الوحدات'!$A$2:$A$41,0)),"")</f>
        <v>EXE</v>
      </c>
      <c r="D125" s="14" t="str">
        <f>IFERROR(INDEX('قائمة الوحدات'!$C$2:$C$41,MATCH($B125,'قائمة الوحدات'!$A$2:$A$41,0)),"")</f>
        <v>الشؤون التنفيذية</v>
      </c>
      <c r="E125" s="14" t="str">
        <f>IFERROR(INDEX('قائمة الوحدات'!$D$2:$D$41,MATCH($B125,'قائمة الوحدات'!$A$2:$A$41,0)),"")</f>
        <v>وكالة الشؤون الفنية</v>
      </c>
      <c r="F125" s="14" t="str">
        <f>IFERROR(INDEX('قائمة الوحدات'!$F$2:$F$41,MATCH($B125,'قائمة الوحدات'!$A$2:$A$41,0)),"")</f>
        <v>الإدارة العامة للسلامة والبيئة</v>
      </c>
      <c r="G125" s="16" t="s">
        <v>43</v>
      </c>
      <c r="H125" s="14" t="str">
        <f>IFERROR(INDEX(المرجع!$A$2:$A$19,MATCH($G125,المرجع!$B$2:$B$19,0)),"")</f>
        <v>التصميم</v>
      </c>
      <c r="I125" s="16" t="s">
        <v>51</v>
      </c>
      <c r="J125" s="14" t="str">
        <f>IFERROR(INDEX(المرجع!$D$2:$D$19,MATCH($I125,المرجع!$E$2:$E$19,0)),"")</f>
        <v>الحوكمة</v>
      </c>
      <c r="K125" s="16" t="s">
        <v>78</v>
      </c>
      <c r="L125" s="17" t="str">
        <f>IFERROR(INDEX('نقاط التحقق'!$G$2:$G$31,MATCH($K125,'نقاط التحقق'!$A$2:$A$31,0))&amp;"","")</f>
        <v>تفصيل القرارات ومصفوفة الصلاحيات واللجان ذات العلاقة لاعتماد مخرجات الوحدة التنظيمية</v>
      </c>
      <c r="M125" s="14" t="str">
        <f>IFERROR(INDEX('نقاط التحقق'!$H$2:$H$31,MATCH($K125,'نقاط التحقق'!$A$2:$A$31,0))&amp;"","")</f>
        <v/>
      </c>
      <c r="N125" s="13">
        <v>98</v>
      </c>
      <c r="O125" s="15" t="str">
        <f>IF($N125="","غير مقيّمة",IF($N125&gt;المرجع!$K$3,"مستوفاة بشكل متقدم",IF($N125&lt;=المرجع!$K$2,"مستوفاة بشكل أولي","مستوفاة بشكل جزئي")))</f>
        <v>مستوفاة بشكل متقدم</v>
      </c>
      <c r="P125" s="18"/>
    </row>
    <row r="126" spans="1:16">
      <c r="A126" s="16" t="s">
        <v>510</v>
      </c>
      <c r="B126" s="16" t="s">
        <v>166</v>
      </c>
      <c r="C126" s="15" t="str">
        <f>IFERROR(INDEX('قائمة الوحدات'!$B$2:$B$41,MATCH($B126,'قائمة الوحدات'!$A$2:$A$41,0)),"")</f>
        <v>EXE</v>
      </c>
      <c r="D126" s="14" t="str">
        <f>IFERROR(INDEX('قائمة الوحدات'!$C$2:$C$41,MATCH($B126,'قائمة الوحدات'!$A$2:$A$41,0)),"")</f>
        <v>الشؤون التنفيذية</v>
      </c>
      <c r="E126" s="14" t="str">
        <f>IFERROR(INDEX('قائمة الوحدات'!$D$2:$D$41,MATCH($B126,'قائمة الوحدات'!$A$2:$A$41,0)),"")</f>
        <v>وكالة الشؤون الفنية</v>
      </c>
      <c r="F126" s="14" t="str">
        <f>IFERROR(INDEX('قائمة الوحدات'!$F$2:$F$41,MATCH($B126,'قائمة الوحدات'!$A$2:$A$41,0)),"")</f>
        <v>الإدارة العامة للسلامة والبيئة</v>
      </c>
      <c r="G126" s="16" t="s">
        <v>43</v>
      </c>
      <c r="H126" s="14" t="str">
        <f>IFERROR(INDEX(المرجع!$A$2:$A$19,MATCH($G126,المرجع!$B$2:$B$19,0)),"")</f>
        <v>التصميم</v>
      </c>
      <c r="I126" s="16" t="s">
        <v>54</v>
      </c>
      <c r="J126" s="14" t="str">
        <f>IFERROR(INDEX(المرجع!$D$2:$D$19,MATCH($I126,المرجع!$E$2:$E$19,0)),"")</f>
        <v>التنظيم</v>
      </c>
      <c r="K126" s="16" t="s">
        <v>80</v>
      </c>
      <c r="L126" s="17" t="str">
        <f>IFERROR(INDEX('نقاط التحقق'!$G$2:$G$31,MATCH($K126,'نقاط التحقق'!$A$2:$A$31,0))&amp;"","")</f>
        <v>تطوير الأدوار والمسؤوليات للوحدة التنظيمية وتفصيل الهيكل التنظيمي</v>
      </c>
      <c r="M126" s="14" t="str">
        <f>IFERROR(INDEX('نقاط التحقق'!$H$2:$H$31,MATCH($K126,'نقاط التحقق'!$A$2:$A$31,0))&amp;"","")</f>
        <v/>
      </c>
      <c r="N126" s="13">
        <v>89</v>
      </c>
      <c r="O126" s="15" t="str">
        <f>IF($N126="","غير مقيّمة",IF($N126&gt;المرجع!$K$3,"مستوفاة بشكل متقدم",IF($N126&lt;=المرجع!$K$2,"مستوفاة بشكل أولي","مستوفاة بشكل جزئي")))</f>
        <v>مستوفاة بشكل متقدم</v>
      </c>
      <c r="P126" s="18"/>
    </row>
    <row r="127" spans="1:16">
      <c r="A127" s="16" t="s">
        <v>511</v>
      </c>
      <c r="B127" s="16" t="s">
        <v>166</v>
      </c>
      <c r="C127" s="15" t="str">
        <f>IFERROR(INDEX('قائمة الوحدات'!$B$2:$B$41,MATCH($B127,'قائمة الوحدات'!$A$2:$A$41,0)),"")</f>
        <v>EXE</v>
      </c>
      <c r="D127" s="14" t="str">
        <f>IFERROR(INDEX('قائمة الوحدات'!$C$2:$C$41,MATCH($B127,'قائمة الوحدات'!$A$2:$A$41,0)),"")</f>
        <v>الشؤون التنفيذية</v>
      </c>
      <c r="E127" s="14" t="str">
        <f>IFERROR(INDEX('قائمة الوحدات'!$D$2:$D$41,MATCH($B127,'قائمة الوحدات'!$A$2:$A$41,0)),"")</f>
        <v>وكالة الشؤون الفنية</v>
      </c>
      <c r="F127" s="14" t="str">
        <f>IFERROR(INDEX('قائمة الوحدات'!$F$2:$F$41,MATCH($B127,'قائمة الوحدات'!$A$2:$A$41,0)),"")</f>
        <v>الإدارة العامة للسلامة والبيئة</v>
      </c>
      <c r="G127" s="16" t="s">
        <v>43</v>
      </c>
      <c r="H127" s="14" t="str">
        <f>IFERROR(INDEX(المرجع!$A$2:$A$19,MATCH($G127,المرجع!$B$2:$B$19,0)),"")</f>
        <v>التصميم</v>
      </c>
      <c r="I127" s="16" t="s">
        <v>56</v>
      </c>
      <c r="J127" s="14" t="str">
        <f>IFERROR(INDEX(المرجع!$D$2:$D$19,MATCH($I127,المرجع!$E$2:$E$19,0)),"")</f>
        <v>الموارد</v>
      </c>
      <c r="K127" s="16" t="s">
        <v>82</v>
      </c>
      <c r="L127" s="17" t="str">
        <f>IFERROR(INDEX('نقاط التحقق'!$G$2:$G$31,MATCH($K127,'نقاط التحقق'!$A$2:$A$31,0))&amp;"","")</f>
        <v>تفصيل احتياج الموارد البشرية للوحدة التنظيمية</v>
      </c>
      <c r="M127" s="14" t="str">
        <f>IFERROR(INDEX('نقاط التحقق'!$H$2:$H$31,MATCH($K127,'نقاط التحقق'!$A$2:$A$31,0))&amp;"","")</f>
        <v/>
      </c>
      <c r="N127" s="13">
        <v>92</v>
      </c>
      <c r="O127" s="15" t="str">
        <f>IF($N127="","غير مقيّمة",IF($N127&gt;المرجع!$K$3,"مستوفاة بشكل متقدم",IF($N127&lt;=المرجع!$K$2,"مستوفاة بشكل أولي","مستوفاة بشكل جزئي")))</f>
        <v>مستوفاة بشكل متقدم</v>
      </c>
      <c r="P127" s="18"/>
    </row>
    <row r="128" spans="1:16">
      <c r="A128" s="16" t="s">
        <v>512</v>
      </c>
      <c r="B128" s="16" t="s">
        <v>166</v>
      </c>
      <c r="C128" s="15" t="str">
        <f>IFERROR(INDEX('قائمة الوحدات'!$B$2:$B$41,MATCH($B128,'قائمة الوحدات'!$A$2:$A$41,0)),"")</f>
        <v>EXE</v>
      </c>
      <c r="D128" s="14" t="str">
        <f>IFERROR(INDEX('قائمة الوحدات'!$C$2:$C$41,MATCH($B128,'قائمة الوحدات'!$A$2:$A$41,0)),"")</f>
        <v>الشؤون التنفيذية</v>
      </c>
      <c r="E128" s="14" t="str">
        <f>IFERROR(INDEX('قائمة الوحدات'!$D$2:$D$41,MATCH($B128,'قائمة الوحدات'!$A$2:$A$41,0)),"")</f>
        <v>وكالة الشؤون الفنية</v>
      </c>
      <c r="F128" s="14" t="str">
        <f>IFERROR(INDEX('قائمة الوحدات'!$F$2:$F$41,MATCH($B128,'قائمة الوحدات'!$A$2:$A$41,0)),"")</f>
        <v>الإدارة العامة للسلامة والبيئة</v>
      </c>
      <c r="G128" s="16" t="s">
        <v>43</v>
      </c>
      <c r="H128" s="14" t="str">
        <f>IFERROR(INDEX(المرجع!$A$2:$A$19,MATCH($G128,المرجع!$B$2:$B$19,0)),"")</f>
        <v>التصميم</v>
      </c>
      <c r="I128" s="16" t="s">
        <v>59</v>
      </c>
      <c r="J128" s="14" t="str">
        <f>IFERROR(INDEX(المرجع!$D$2:$D$19,MATCH($I128,المرجع!$E$2:$E$19,0)),"")</f>
        <v>الإجراءات</v>
      </c>
      <c r="K128" s="16" t="s">
        <v>84</v>
      </c>
      <c r="L128" s="17" t="str">
        <f>IFERROR(INDEX('نقاط التحقق'!$G$2:$G$31,MATCH($K128,'نقاط التحقق'!$A$2:$A$31,0))&amp;"","")</f>
        <v>تفصيل المخرجات إلى إجراءات عالية المستوى</v>
      </c>
      <c r="M128" s="14" t="str">
        <f>IFERROR(INDEX('نقاط التحقق'!$H$2:$H$31,MATCH($K128,'نقاط التحقق'!$A$2:$A$31,0))&amp;"","")</f>
        <v/>
      </c>
      <c r="N128" s="13">
        <v>79</v>
      </c>
      <c r="O128" s="15" t="str">
        <f>IF($N128="","غير مقيّمة",IF($N128&gt;المرجع!$K$3,"مستوفاة بشكل متقدم",IF($N128&lt;=المرجع!$K$2,"مستوفاة بشكل أولي","مستوفاة بشكل جزئي")))</f>
        <v>مستوفاة بشكل متقدم</v>
      </c>
      <c r="P128" s="18"/>
    </row>
    <row r="129" spans="1:16">
      <c r="A129" s="16" t="s">
        <v>513</v>
      </c>
      <c r="B129" s="16" t="s">
        <v>166</v>
      </c>
      <c r="C129" s="15" t="str">
        <f>IFERROR(INDEX('قائمة الوحدات'!$B$2:$B$41,MATCH($B129,'قائمة الوحدات'!$A$2:$A$41,0)),"")</f>
        <v>EXE</v>
      </c>
      <c r="D129" s="14" t="str">
        <f>IFERROR(INDEX('قائمة الوحدات'!$C$2:$C$41,MATCH($B129,'قائمة الوحدات'!$A$2:$A$41,0)),"")</f>
        <v>الشؤون التنفيذية</v>
      </c>
      <c r="E129" s="14" t="str">
        <f>IFERROR(INDEX('قائمة الوحدات'!$D$2:$D$41,MATCH($B129,'قائمة الوحدات'!$A$2:$A$41,0)),"")</f>
        <v>وكالة الشؤون الفنية</v>
      </c>
      <c r="F129" s="14" t="str">
        <f>IFERROR(INDEX('قائمة الوحدات'!$F$2:$F$41,MATCH($B129,'قائمة الوحدات'!$A$2:$A$41,0)),"")</f>
        <v>الإدارة العامة للسلامة والبيئة</v>
      </c>
      <c r="G129" s="16" t="s">
        <v>61</v>
      </c>
      <c r="H129" s="14" t="str">
        <f>IFERROR(INDEX(المرجع!$A$2:$A$19,MATCH($G129,المرجع!$B$2:$B$19,0)),"")</f>
        <v>البناء المؤسسي</v>
      </c>
      <c r="I129" s="16" t="s">
        <v>45</v>
      </c>
      <c r="J129" s="14" t="str">
        <f>IFERROR(INDEX(المرجع!$D$2:$D$19,MATCH($I129,المرجع!$E$2:$E$19,0)),"")</f>
        <v>الدور</v>
      </c>
      <c r="K129" s="16" t="s">
        <v>86</v>
      </c>
      <c r="L129" s="17" t="str">
        <f>IFERROR(INDEX('نقاط التحقق'!$G$2:$G$31,MATCH($K129,'نقاط التحقق'!$A$2:$A$31,0))&amp;"","")</f>
        <v>دور معتمد للوحدة التنظيمية</v>
      </c>
      <c r="M129" s="14" t="str">
        <f>IFERROR(INDEX('نقاط التحقق'!$H$2:$H$31,MATCH($K129,'نقاط التحقق'!$A$2:$A$31,0))&amp;"","")</f>
        <v/>
      </c>
      <c r="N129" s="13">
        <v>65</v>
      </c>
      <c r="O129" s="15" t="str">
        <f>IF($N129="","غير مقيّمة",IF($N129&gt;المرجع!$K$3,"مستوفاة بشكل متقدم",IF($N129&lt;=المرجع!$K$2,"مستوفاة بشكل أولي","مستوفاة بشكل جزئي")))</f>
        <v>مستوفاة بشكل جزئي</v>
      </c>
      <c r="P129" s="18"/>
    </row>
    <row r="130" spans="1:16">
      <c r="A130" s="16" t="s">
        <v>514</v>
      </c>
      <c r="B130" s="16" t="s">
        <v>166</v>
      </c>
      <c r="C130" s="15" t="str">
        <f>IFERROR(INDEX('قائمة الوحدات'!$B$2:$B$41,MATCH($B130,'قائمة الوحدات'!$A$2:$A$41,0)),"")</f>
        <v>EXE</v>
      </c>
      <c r="D130" s="14" t="str">
        <f>IFERROR(INDEX('قائمة الوحدات'!$C$2:$C$41,MATCH($B130,'قائمة الوحدات'!$A$2:$A$41,0)),"")</f>
        <v>الشؤون التنفيذية</v>
      </c>
      <c r="E130" s="14" t="str">
        <f>IFERROR(INDEX('قائمة الوحدات'!$D$2:$D$41,MATCH($B130,'قائمة الوحدات'!$A$2:$A$41,0)),"")</f>
        <v>وكالة الشؤون الفنية</v>
      </c>
      <c r="F130" s="14" t="str">
        <f>IFERROR(INDEX('قائمة الوحدات'!$F$2:$F$41,MATCH($B130,'قائمة الوحدات'!$A$2:$A$41,0)),"")</f>
        <v>الإدارة العامة للسلامة والبيئة</v>
      </c>
      <c r="G130" s="16" t="s">
        <v>61</v>
      </c>
      <c r="H130" s="14" t="str">
        <f>IFERROR(INDEX(المرجع!$A$2:$A$19,MATCH($G130,المرجع!$B$2:$B$19,0)),"")</f>
        <v>البناء المؤسسي</v>
      </c>
      <c r="I130" s="16" t="s">
        <v>48</v>
      </c>
      <c r="J130" s="14" t="str">
        <f>IFERROR(INDEX(المرجع!$D$2:$D$19,MATCH($I130,المرجع!$E$2:$E$19,0)),"")</f>
        <v>الأهداف ومؤشرات الأداء</v>
      </c>
      <c r="K130" s="16" t="s">
        <v>88</v>
      </c>
      <c r="L130" s="17" t="str">
        <f>IFERROR(INDEX('نقاط التحقق'!$G$2:$G$31,MATCH($K130,'نقاط التحقق'!$A$2:$A$31,0))&amp;"","")</f>
        <v>أهداف تشغيلية معتمدة من صاحب الصلاحية</v>
      </c>
      <c r="M130" s="14" t="str">
        <f>IFERROR(INDEX('نقاط التحقق'!$H$2:$H$31,MATCH($K130,'نقاط التحقق'!$A$2:$A$31,0))&amp;"","")</f>
        <v/>
      </c>
      <c r="N130" s="13">
        <v>65</v>
      </c>
      <c r="O130" s="15" t="str">
        <f>IF($N130="","غير مقيّمة",IF($N130&gt;المرجع!$K$3,"مستوفاة بشكل متقدم",IF($N130&lt;=المرجع!$K$2,"مستوفاة بشكل أولي","مستوفاة بشكل جزئي")))</f>
        <v>مستوفاة بشكل جزئي</v>
      </c>
      <c r="P130" s="18"/>
    </row>
    <row r="131" spans="1:16">
      <c r="A131" s="16" t="s">
        <v>515</v>
      </c>
      <c r="B131" s="16" t="s">
        <v>166</v>
      </c>
      <c r="C131" s="15" t="str">
        <f>IFERROR(INDEX('قائمة الوحدات'!$B$2:$B$41,MATCH($B131,'قائمة الوحدات'!$A$2:$A$41,0)),"")</f>
        <v>EXE</v>
      </c>
      <c r="D131" s="14" t="str">
        <f>IFERROR(INDEX('قائمة الوحدات'!$C$2:$C$41,MATCH($B131,'قائمة الوحدات'!$A$2:$A$41,0)),"")</f>
        <v>الشؤون التنفيذية</v>
      </c>
      <c r="E131" s="14" t="str">
        <f>IFERROR(INDEX('قائمة الوحدات'!$D$2:$D$41,MATCH($B131,'قائمة الوحدات'!$A$2:$A$41,0)),"")</f>
        <v>وكالة الشؤون الفنية</v>
      </c>
      <c r="F131" s="14" t="str">
        <f>IFERROR(INDEX('قائمة الوحدات'!$F$2:$F$41,MATCH($B131,'قائمة الوحدات'!$A$2:$A$41,0)),"")</f>
        <v>الإدارة العامة للسلامة والبيئة</v>
      </c>
      <c r="G131" s="16" t="s">
        <v>61</v>
      </c>
      <c r="H131" s="14" t="str">
        <f>IFERROR(INDEX(المرجع!$A$2:$A$19,MATCH($G131,المرجع!$B$2:$B$19,0)),"")</f>
        <v>البناء المؤسسي</v>
      </c>
      <c r="I131" s="16" t="s">
        <v>48</v>
      </c>
      <c r="J131" s="14" t="str">
        <f>IFERROR(INDEX(المرجع!$D$2:$D$19,MATCH($I131,المرجع!$E$2:$E$19,0)),"")</f>
        <v>الأهداف ومؤشرات الأداء</v>
      </c>
      <c r="K131" s="16" t="s">
        <v>90</v>
      </c>
      <c r="L131" s="17" t="str">
        <f>IFERROR(INDEX('نقاط التحقق'!$G$2:$G$31,MATCH($K131,'نقاط التحقق'!$A$2:$A$31,0))&amp;"","")</f>
        <v>نشر الأهداف التشغيلية على موظفي الوحدة التنظيمية</v>
      </c>
      <c r="M131" s="14" t="str">
        <f>IFERROR(INDEX('نقاط التحقق'!$H$2:$H$31,MATCH($K131,'نقاط التحقق'!$A$2:$A$31,0))&amp;"","")</f>
        <v/>
      </c>
      <c r="N131" s="13">
        <v>70</v>
      </c>
      <c r="O131" s="15" t="str">
        <f>IF($N131="","غير مقيّمة",IF($N131&gt;المرجع!$K$3,"مستوفاة بشكل متقدم",IF($N131&lt;=المرجع!$K$2,"مستوفاة بشكل أولي","مستوفاة بشكل جزئي")))</f>
        <v>مستوفاة بشكل جزئي</v>
      </c>
      <c r="P131" s="18"/>
    </row>
    <row r="132" spans="1:16">
      <c r="A132" s="16" t="s">
        <v>516</v>
      </c>
      <c r="B132" s="16" t="s">
        <v>166</v>
      </c>
      <c r="C132" s="15" t="str">
        <f>IFERROR(INDEX('قائمة الوحدات'!$B$2:$B$41,MATCH($B132,'قائمة الوحدات'!$A$2:$A$41,0)),"")</f>
        <v>EXE</v>
      </c>
      <c r="D132" s="14" t="str">
        <f>IFERROR(INDEX('قائمة الوحدات'!$C$2:$C$41,MATCH($B132,'قائمة الوحدات'!$A$2:$A$41,0)),"")</f>
        <v>الشؤون التنفيذية</v>
      </c>
      <c r="E132" s="14" t="str">
        <f>IFERROR(INDEX('قائمة الوحدات'!$D$2:$D$41,MATCH($B132,'قائمة الوحدات'!$A$2:$A$41,0)),"")</f>
        <v>وكالة الشؤون الفنية</v>
      </c>
      <c r="F132" s="14" t="str">
        <f>IFERROR(INDEX('قائمة الوحدات'!$F$2:$F$41,MATCH($B132,'قائمة الوحدات'!$A$2:$A$41,0)),"")</f>
        <v>الإدارة العامة للسلامة والبيئة</v>
      </c>
      <c r="G132" s="16" t="s">
        <v>61</v>
      </c>
      <c r="H132" s="14" t="str">
        <f>IFERROR(INDEX(المرجع!$A$2:$A$19,MATCH($G132,المرجع!$B$2:$B$19,0)),"")</f>
        <v>البناء المؤسسي</v>
      </c>
      <c r="I132" s="16" t="s">
        <v>51</v>
      </c>
      <c r="J132" s="14" t="str">
        <f>IFERROR(INDEX(المرجع!$D$2:$D$19,MATCH($I132,المرجع!$E$2:$E$19,0)),"")</f>
        <v>الحوكمة</v>
      </c>
      <c r="K132" s="16" t="s">
        <v>92</v>
      </c>
      <c r="L132" s="17" t="str">
        <f>IFERROR(INDEX('نقاط التحقق'!$G$2:$G$31,MATCH($K132,'نقاط التحقق'!$A$2:$A$31,0))&amp;"","")</f>
        <v>مصفوفة صلاحيات معتمدة ومعممة على أصحاب المصلحة</v>
      </c>
      <c r="M132" s="14" t="str">
        <f>IFERROR(INDEX('نقاط التحقق'!$H$2:$H$31,MATCH($K132,'نقاط التحقق'!$A$2:$A$31,0))&amp;"","")</f>
        <v/>
      </c>
      <c r="N132" s="13">
        <v>60</v>
      </c>
      <c r="O132" s="15" t="str">
        <f>IF($N132="","غير مقيّمة",IF($N132&gt;المرجع!$K$3,"مستوفاة بشكل متقدم",IF($N132&lt;=المرجع!$K$2,"مستوفاة بشكل أولي","مستوفاة بشكل جزئي")))</f>
        <v>مستوفاة بشكل جزئي</v>
      </c>
      <c r="P132" s="18"/>
    </row>
    <row r="133" spans="1:16">
      <c r="A133" s="16" t="s">
        <v>517</v>
      </c>
      <c r="B133" s="16" t="s">
        <v>166</v>
      </c>
      <c r="C133" s="15" t="str">
        <f>IFERROR(INDEX('قائمة الوحدات'!$B$2:$B$41,MATCH($B133,'قائمة الوحدات'!$A$2:$A$41,0)),"")</f>
        <v>EXE</v>
      </c>
      <c r="D133" s="14" t="str">
        <f>IFERROR(INDEX('قائمة الوحدات'!$C$2:$C$41,MATCH($B133,'قائمة الوحدات'!$A$2:$A$41,0)),"")</f>
        <v>الشؤون التنفيذية</v>
      </c>
      <c r="E133" s="14" t="str">
        <f>IFERROR(INDEX('قائمة الوحدات'!$D$2:$D$41,MATCH($B133,'قائمة الوحدات'!$A$2:$A$41,0)),"")</f>
        <v>وكالة الشؤون الفنية</v>
      </c>
      <c r="F133" s="14" t="str">
        <f>IFERROR(INDEX('قائمة الوحدات'!$F$2:$F$41,MATCH($B133,'قائمة الوحدات'!$A$2:$A$41,0)),"")</f>
        <v>الإدارة العامة للسلامة والبيئة</v>
      </c>
      <c r="G133" s="16" t="s">
        <v>61</v>
      </c>
      <c r="H133" s="14" t="str">
        <f>IFERROR(INDEX(المرجع!$A$2:$A$19,MATCH($G133,المرجع!$B$2:$B$19,0)),"")</f>
        <v>البناء المؤسسي</v>
      </c>
      <c r="I133" s="16" t="s">
        <v>51</v>
      </c>
      <c r="J133" s="14" t="str">
        <f>IFERROR(INDEX(المرجع!$D$2:$D$19,MATCH($I133,المرجع!$E$2:$E$19,0)),"")</f>
        <v>الحوكمة</v>
      </c>
      <c r="K133" s="16" t="s">
        <v>94</v>
      </c>
      <c r="L133" s="17" t="str">
        <f>IFERROR(INDEX('نقاط التحقق'!$G$2:$G$31,MATCH($K133,'نقاط التحقق'!$A$2:$A$31,0))&amp;"","")</f>
        <v>سياسات معتمدة للتي تملكها الوحدة التنظيمية</v>
      </c>
      <c r="M133" s="14" t="str">
        <f>IFERROR(INDEX('نقاط التحقق'!$H$2:$H$31,MATCH($K133,'نقاط التحقق'!$A$2:$A$31,0))&amp;"","")</f>
        <v/>
      </c>
      <c r="N133" s="13">
        <v>90</v>
      </c>
      <c r="O133" s="15" t="str">
        <f>IF($N133="","غير مقيّمة",IF($N133&gt;المرجع!$K$3,"مستوفاة بشكل متقدم",IF($N133&lt;=المرجع!$K$2,"مستوفاة بشكل أولي","مستوفاة بشكل جزئي")))</f>
        <v>مستوفاة بشكل متقدم</v>
      </c>
      <c r="P133" s="18"/>
    </row>
    <row r="134" spans="1:16">
      <c r="A134" s="16" t="s">
        <v>518</v>
      </c>
      <c r="B134" s="16" t="s">
        <v>166</v>
      </c>
      <c r="C134" s="15" t="str">
        <f>IFERROR(INDEX('قائمة الوحدات'!$B$2:$B$41,MATCH($B134,'قائمة الوحدات'!$A$2:$A$41,0)),"")</f>
        <v>EXE</v>
      </c>
      <c r="D134" s="14" t="str">
        <f>IFERROR(INDEX('قائمة الوحدات'!$C$2:$C$41,MATCH($B134,'قائمة الوحدات'!$A$2:$A$41,0)),"")</f>
        <v>الشؤون التنفيذية</v>
      </c>
      <c r="E134" s="14" t="str">
        <f>IFERROR(INDEX('قائمة الوحدات'!$D$2:$D$41,MATCH($B134,'قائمة الوحدات'!$A$2:$A$41,0)),"")</f>
        <v>وكالة الشؤون الفنية</v>
      </c>
      <c r="F134" s="14" t="str">
        <f>IFERROR(INDEX('قائمة الوحدات'!$F$2:$F$41,MATCH($B134,'قائمة الوحدات'!$A$2:$A$41,0)),"")</f>
        <v>الإدارة العامة للسلامة والبيئة</v>
      </c>
      <c r="G134" s="16" t="s">
        <v>61</v>
      </c>
      <c r="H134" s="14" t="str">
        <f>IFERROR(INDEX(المرجع!$A$2:$A$19,MATCH($G134,المرجع!$B$2:$B$19,0)),"")</f>
        <v>البناء المؤسسي</v>
      </c>
      <c r="I134" s="16" t="s">
        <v>51</v>
      </c>
      <c r="J134" s="14" t="str">
        <f>IFERROR(INDEX(المرجع!$D$2:$D$19,MATCH($I134,المرجع!$E$2:$E$19,0)),"")</f>
        <v>الحوكمة</v>
      </c>
      <c r="K134" s="16" t="s">
        <v>96</v>
      </c>
      <c r="L134" s="17" t="str">
        <f>IFERROR(INDEX('نقاط التحقق'!$G$2:$G$31,MATCH($K134,'نقاط التحقق'!$A$2:$A$31,0))&amp;"","")</f>
        <v>قرار تشكيل معتمد للجان ذات العلاقة</v>
      </c>
      <c r="M134" s="14" t="str">
        <f>IFERROR(INDEX('نقاط التحقق'!$H$2:$H$31,MATCH($K134,'نقاط التحقق'!$A$2:$A$31,0))&amp;"","")</f>
        <v/>
      </c>
      <c r="N134" s="13">
        <v>80</v>
      </c>
      <c r="O134" s="15" t="str">
        <f>IF($N134="","غير مقيّمة",IF($N134&gt;المرجع!$K$3,"مستوفاة بشكل متقدم",IF($N134&lt;=المرجع!$K$2,"مستوفاة بشكل أولي","مستوفاة بشكل جزئي")))</f>
        <v>مستوفاة بشكل متقدم</v>
      </c>
      <c r="P134" s="18"/>
    </row>
    <row r="135" spans="1:16">
      <c r="A135" s="16" t="s">
        <v>519</v>
      </c>
      <c r="B135" s="16" t="s">
        <v>166</v>
      </c>
      <c r="C135" s="15" t="str">
        <f>IFERROR(INDEX('قائمة الوحدات'!$B$2:$B$41,MATCH($B135,'قائمة الوحدات'!$A$2:$A$41,0)),"")</f>
        <v>EXE</v>
      </c>
      <c r="D135" s="14" t="str">
        <f>IFERROR(INDEX('قائمة الوحدات'!$C$2:$C$41,MATCH($B135,'قائمة الوحدات'!$A$2:$A$41,0)),"")</f>
        <v>الشؤون التنفيذية</v>
      </c>
      <c r="E135" s="14" t="str">
        <f>IFERROR(INDEX('قائمة الوحدات'!$D$2:$D$41,MATCH($B135,'قائمة الوحدات'!$A$2:$A$41,0)),"")</f>
        <v>وكالة الشؤون الفنية</v>
      </c>
      <c r="F135" s="14" t="str">
        <f>IFERROR(INDEX('قائمة الوحدات'!$F$2:$F$41,MATCH($B135,'قائمة الوحدات'!$A$2:$A$41,0)),"")</f>
        <v>الإدارة العامة للسلامة والبيئة</v>
      </c>
      <c r="G135" s="16" t="s">
        <v>61</v>
      </c>
      <c r="H135" s="14" t="str">
        <f>IFERROR(INDEX(المرجع!$A$2:$A$19,MATCH($G135,المرجع!$B$2:$B$19,0)),"")</f>
        <v>البناء المؤسسي</v>
      </c>
      <c r="I135" s="16" t="s">
        <v>54</v>
      </c>
      <c r="J135" s="14" t="str">
        <f>IFERROR(INDEX(المرجع!$D$2:$D$19,MATCH($I135,المرجع!$E$2:$E$19,0)),"")</f>
        <v>التنظيم</v>
      </c>
      <c r="K135" s="16" t="s">
        <v>98</v>
      </c>
      <c r="L135" s="17" t="str">
        <f>IFERROR(INDEX('نقاط التحقق'!$G$2:$G$31,MATCH($K135,'نقاط التحقق'!$A$2:$A$31,0))&amp;"","")</f>
        <v>هيكل تنظيمي معتمد من صاحب الصلاحية</v>
      </c>
      <c r="M135" s="14" t="str">
        <f>IFERROR(INDEX('نقاط التحقق'!$H$2:$H$31,MATCH($K135,'نقاط التحقق'!$A$2:$A$31,0))&amp;"","")</f>
        <v/>
      </c>
      <c r="N135" s="13">
        <v>75</v>
      </c>
      <c r="O135" s="15" t="str">
        <f>IF($N135="","غير مقيّمة",IF($N135&gt;المرجع!$K$3,"مستوفاة بشكل متقدم",IF($N135&lt;=المرجع!$K$2,"مستوفاة بشكل أولي","مستوفاة بشكل جزئي")))</f>
        <v>مستوفاة بشكل متقدم</v>
      </c>
      <c r="P135" s="18"/>
    </row>
    <row r="136" spans="1:16">
      <c r="A136" s="16" t="s">
        <v>520</v>
      </c>
      <c r="B136" s="16" t="s">
        <v>166</v>
      </c>
      <c r="C136" s="15" t="str">
        <f>IFERROR(INDEX('قائمة الوحدات'!$B$2:$B$41,MATCH($B136,'قائمة الوحدات'!$A$2:$A$41,0)),"")</f>
        <v>EXE</v>
      </c>
      <c r="D136" s="14" t="str">
        <f>IFERROR(INDEX('قائمة الوحدات'!$C$2:$C$41,MATCH($B136,'قائمة الوحدات'!$A$2:$A$41,0)),"")</f>
        <v>الشؤون التنفيذية</v>
      </c>
      <c r="E136" s="14" t="str">
        <f>IFERROR(INDEX('قائمة الوحدات'!$D$2:$D$41,MATCH($B136,'قائمة الوحدات'!$A$2:$A$41,0)),"")</f>
        <v>وكالة الشؤون الفنية</v>
      </c>
      <c r="F136" s="14" t="str">
        <f>IFERROR(INDEX('قائمة الوحدات'!$F$2:$F$41,MATCH($B136,'قائمة الوحدات'!$A$2:$A$41,0)),"")</f>
        <v>الإدارة العامة للسلامة والبيئة</v>
      </c>
      <c r="G136" s="16" t="s">
        <v>61</v>
      </c>
      <c r="H136" s="14" t="str">
        <f>IFERROR(INDEX(المرجع!$A$2:$A$19,MATCH($G136,المرجع!$B$2:$B$19,0)),"")</f>
        <v>البناء المؤسسي</v>
      </c>
      <c r="I136" s="16" t="s">
        <v>54</v>
      </c>
      <c r="J136" s="14" t="str">
        <f>IFERROR(INDEX(المرجع!$D$2:$D$19,MATCH($I136,المرجع!$E$2:$E$19,0)),"")</f>
        <v>التنظيم</v>
      </c>
      <c r="K136" s="16" t="s">
        <v>100</v>
      </c>
      <c r="L136" s="17" t="str">
        <f>IFERROR(INDEX('نقاط التحقق'!$G$2:$G$31,MATCH($K136,'نقاط التحقق'!$A$2:$A$31,0))&amp;"","")</f>
        <v>هيكل تنظيمي منشأ على نظام القوى العاملة</v>
      </c>
      <c r="M136" s="14" t="str">
        <f>IFERROR(INDEX('نقاط التحقق'!$H$2:$H$31,MATCH($K136,'نقاط التحقق'!$A$2:$A$31,0))&amp;"","")</f>
        <v/>
      </c>
      <c r="N136" s="13">
        <v>85</v>
      </c>
      <c r="O136" s="15" t="str">
        <f>IF($N136="","غير مقيّمة",IF($N136&gt;المرجع!$K$3,"مستوفاة بشكل متقدم",IF($N136&lt;=المرجع!$K$2,"مستوفاة بشكل أولي","مستوفاة بشكل جزئي")))</f>
        <v>مستوفاة بشكل متقدم</v>
      </c>
      <c r="P136" s="18"/>
    </row>
    <row r="137" spans="1:16">
      <c r="A137" s="16" t="s">
        <v>521</v>
      </c>
      <c r="B137" s="16" t="s">
        <v>166</v>
      </c>
      <c r="C137" s="15" t="str">
        <f>IFERROR(INDEX('قائمة الوحدات'!$B$2:$B$41,MATCH($B137,'قائمة الوحدات'!$A$2:$A$41,0)),"")</f>
        <v>EXE</v>
      </c>
      <c r="D137" s="14" t="str">
        <f>IFERROR(INDEX('قائمة الوحدات'!$C$2:$C$41,MATCH($B137,'قائمة الوحدات'!$A$2:$A$41,0)),"")</f>
        <v>الشؤون التنفيذية</v>
      </c>
      <c r="E137" s="14" t="str">
        <f>IFERROR(INDEX('قائمة الوحدات'!$D$2:$D$41,MATCH($B137,'قائمة الوحدات'!$A$2:$A$41,0)),"")</f>
        <v>وكالة الشؤون الفنية</v>
      </c>
      <c r="F137" s="14" t="str">
        <f>IFERROR(INDEX('قائمة الوحدات'!$F$2:$F$41,MATCH($B137,'قائمة الوحدات'!$A$2:$A$41,0)),"")</f>
        <v>الإدارة العامة للسلامة والبيئة</v>
      </c>
      <c r="G137" s="16" t="s">
        <v>61</v>
      </c>
      <c r="H137" s="14" t="str">
        <f>IFERROR(INDEX(المرجع!$A$2:$A$19,MATCH($G137,المرجع!$B$2:$B$19,0)),"")</f>
        <v>البناء المؤسسي</v>
      </c>
      <c r="I137" s="16" t="s">
        <v>54</v>
      </c>
      <c r="J137" s="14" t="str">
        <f>IFERROR(INDEX(المرجع!$D$2:$D$19,MATCH($I137,المرجع!$E$2:$E$19,0)),"")</f>
        <v>التنظيم</v>
      </c>
      <c r="K137" s="16" t="s">
        <v>102</v>
      </c>
      <c r="L137" s="17" t="str">
        <f>IFERROR(INDEX('نقاط التحقق'!$G$2:$G$31,MATCH($K137,'نقاط التحقق'!$A$2:$A$31,0))&amp;"","")</f>
        <v>الموظفون المحددون مسكّنون على الهيكل التنظيمي المستهدف</v>
      </c>
      <c r="M137" s="14" t="str">
        <f>IFERROR(INDEX('نقاط التحقق'!$H$2:$H$31,MATCH($K137,'نقاط التحقق'!$A$2:$A$31,0))&amp;"","")</f>
        <v/>
      </c>
      <c r="N137" s="13">
        <v>70</v>
      </c>
      <c r="O137" s="15" t="str">
        <f>IF($N137="","غير مقيّمة",IF($N137&gt;المرجع!$K$3,"مستوفاة بشكل متقدم",IF($N137&lt;=المرجع!$K$2,"مستوفاة بشكل أولي","مستوفاة بشكل جزئي")))</f>
        <v>مستوفاة بشكل جزئي</v>
      </c>
      <c r="P137" s="18"/>
    </row>
    <row r="138" spans="1:16">
      <c r="A138" s="16" t="s">
        <v>522</v>
      </c>
      <c r="B138" s="16" t="s">
        <v>166</v>
      </c>
      <c r="C138" s="15" t="str">
        <f>IFERROR(INDEX('قائمة الوحدات'!$B$2:$B$41,MATCH($B138,'قائمة الوحدات'!$A$2:$A$41,0)),"")</f>
        <v>EXE</v>
      </c>
      <c r="D138" s="14" t="str">
        <f>IFERROR(INDEX('قائمة الوحدات'!$C$2:$C$41,MATCH($B138,'قائمة الوحدات'!$A$2:$A$41,0)),"")</f>
        <v>الشؤون التنفيذية</v>
      </c>
      <c r="E138" s="14" t="str">
        <f>IFERROR(INDEX('قائمة الوحدات'!$D$2:$D$41,MATCH($B138,'قائمة الوحدات'!$A$2:$A$41,0)),"")</f>
        <v>وكالة الشؤون الفنية</v>
      </c>
      <c r="F138" s="14" t="str">
        <f>IFERROR(INDEX('قائمة الوحدات'!$F$2:$F$41,MATCH($B138,'قائمة الوحدات'!$A$2:$A$41,0)),"")</f>
        <v>الإدارة العامة للسلامة والبيئة</v>
      </c>
      <c r="G138" s="16" t="s">
        <v>61</v>
      </c>
      <c r="H138" s="14" t="str">
        <f>IFERROR(INDEX(المرجع!$A$2:$A$19,MATCH($G138,المرجع!$B$2:$B$19,0)),"")</f>
        <v>البناء المؤسسي</v>
      </c>
      <c r="I138" s="16" t="s">
        <v>56</v>
      </c>
      <c r="J138" s="14" t="str">
        <f>IFERROR(INDEX(المرجع!$D$2:$D$19,MATCH($I138,المرجع!$E$2:$E$19,0)),"")</f>
        <v>الموارد</v>
      </c>
      <c r="K138" s="16" t="s">
        <v>104</v>
      </c>
      <c r="L138" s="17" t="str">
        <f>IFERROR(INDEX('نقاط التحقق'!$G$2:$G$31,MATCH($K138,'نقاط التحقق'!$A$2:$A$31,0))&amp;"","")</f>
        <v>مدير الوحدة التنظيمية والموظفون الرئيسيون معينون/ملحقون</v>
      </c>
      <c r="M138" s="14" t="str">
        <f>IFERROR(INDEX('نقاط التحقق'!$H$2:$H$31,MATCH($K138,'نقاط التحقق'!$A$2:$A$31,0))&amp;"","")</f>
        <v/>
      </c>
      <c r="N138" s="13">
        <v>40</v>
      </c>
      <c r="O138" s="15" t="str">
        <f>IF($N138="","غير مقيّمة",IF($N138&gt;المرجع!$K$3,"مستوفاة بشكل متقدم",IF($N138&lt;=المرجع!$K$2,"مستوفاة بشكل أولي","مستوفاة بشكل جزئي")))</f>
        <v>مستوفاة بشكل جزئي</v>
      </c>
      <c r="P138" s="18"/>
    </row>
    <row r="139" spans="1:16">
      <c r="A139" s="16" t="s">
        <v>523</v>
      </c>
      <c r="B139" s="16" t="s">
        <v>166</v>
      </c>
      <c r="C139" s="15" t="str">
        <f>IFERROR(INDEX('قائمة الوحدات'!$B$2:$B$41,MATCH($B139,'قائمة الوحدات'!$A$2:$A$41,0)),"")</f>
        <v>EXE</v>
      </c>
      <c r="D139" s="14" t="str">
        <f>IFERROR(INDEX('قائمة الوحدات'!$C$2:$C$41,MATCH($B139,'قائمة الوحدات'!$A$2:$A$41,0)),"")</f>
        <v>الشؤون التنفيذية</v>
      </c>
      <c r="E139" s="14" t="str">
        <f>IFERROR(INDEX('قائمة الوحدات'!$D$2:$D$41,MATCH($B139,'قائمة الوحدات'!$A$2:$A$41,0)),"")</f>
        <v>وكالة الشؤون الفنية</v>
      </c>
      <c r="F139" s="14" t="str">
        <f>IFERROR(INDEX('قائمة الوحدات'!$F$2:$F$41,MATCH($B139,'قائمة الوحدات'!$A$2:$A$41,0)),"")</f>
        <v>الإدارة العامة للسلامة والبيئة</v>
      </c>
      <c r="G139" s="16" t="s">
        <v>61</v>
      </c>
      <c r="H139" s="14" t="str">
        <f>IFERROR(INDEX(المرجع!$A$2:$A$19,MATCH($G139,المرجع!$B$2:$B$19,0)),"")</f>
        <v>البناء المؤسسي</v>
      </c>
      <c r="I139" s="16" t="s">
        <v>56</v>
      </c>
      <c r="J139" s="14" t="str">
        <f>IFERROR(INDEX(المرجع!$D$2:$D$19,MATCH($I139,المرجع!$E$2:$E$19,0)),"")</f>
        <v>الموارد</v>
      </c>
      <c r="K139" s="16" t="s">
        <v>106</v>
      </c>
      <c r="L139" s="17" t="str">
        <f>IFERROR(INDEX('نقاط التحقق'!$G$2:$G$31,MATCH($K139,'نقاط التحقق'!$A$2:$A$31,0))&amp;"","")</f>
        <v>خطة توظيف وتدريب مستكملة</v>
      </c>
      <c r="M139" s="14" t="str">
        <f>IFERROR(INDEX('نقاط التحقق'!$H$2:$H$31,MATCH($K139,'نقاط التحقق'!$A$2:$A$31,0))&amp;"","")</f>
        <v/>
      </c>
      <c r="N139" s="13">
        <v>35</v>
      </c>
      <c r="O139" s="15" t="str">
        <f>IF($N139="","غير مقيّمة",IF($N139&gt;المرجع!$K$3,"مستوفاة بشكل متقدم",IF($N139&lt;=المرجع!$K$2,"مستوفاة بشكل أولي","مستوفاة بشكل جزئي")))</f>
        <v>مستوفاة بشكل جزئي</v>
      </c>
      <c r="P139" s="18"/>
    </row>
    <row r="140" spans="1:16">
      <c r="A140" s="16" t="s">
        <v>524</v>
      </c>
      <c r="B140" s="16" t="s">
        <v>166</v>
      </c>
      <c r="C140" s="15" t="str">
        <f>IFERROR(INDEX('قائمة الوحدات'!$B$2:$B$41,MATCH($B140,'قائمة الوحدات'!$A$2:$A$41,0)),"")</f>
        <v>EXE</v>
      </c>
      <c r="D140" s="14" t="str">
        <f>IFERROR(INDEX('قائمة الوحدات'!$C$2:$C$41,MATCH($B140,'قائمة الوحدات'!$A$2:$A$41,0)),"")</f>
        <v>الشؤون التنفيذية</v>
      </c>
      <c r="E140" s="14" t="str">
        <f>IFERROR(INDEX('قائمة الوحدات'!$D$2:$D$41,MATCH($B140,'قائمة الوحدات'!$A$2:$A$41,0)),"")</f>
        <v>وكالة الشؤون الفنية</v>
      </c>
      <c r="F140" s="14" t="str">
        <f>IFERROR(INDEX('قائمة الوحدات'!$F$2:$F$41,MATCH($B140,'قائمة الوحدات'!$A$2:$A$41,0)),"")</f>
        <v>الإدارة العامة للسلامة والبيئة</v>
      </c>
      <c r="G140" s="16" t="s">
        <v>61</v>
      </c>
      <c r="H140" s="14" t="str">
        <f>IFERROR(INDEX(المرجع!$A$2:$A$19,MATCH($G140,المرجع!$B$2:$B$19,0)),"")</f>
        <v>البناء المؤسسي</v>
      </c>
      <c r="I140" s="16" t="s">
        <v>56</v>
      </c>
      <c r="J140" s="14" t="str">
        <f>IFERROR(INDEX(المرجع!$D$2:$D$19,MATCH($I140,المرجع!$E$2:$E$19,0)),"")</f>
        <v>الموارد</v>
      </c>
      <c r="K140" s="16" t="s">
        <v>108</v>
      </c>
      <c r="L140" s="17" t="str">
        <f>IFERROR(INDEX('نقاط التحقق'!$G$2:$G$31,MATCH($K140,'نقاط التحقق'!$A$2:$A$31,0))&amp;"","")</f>
        <v>وجود مساحات مكتبية كافية</v>
      </c>
      <c r="M140" s="14" t="str">
        <f>IFERROR(INDEX('نقاط التحقق'!$H$2:$H$31,MATCH($K140,'نقاط التحقق'!$A$2:$A$31,0))&amp;"","")</f>
        <v/>
      </c>
      <c r="N140" s="13">
        <v>50</v>
      </c>
      <c r="O140" s="15" t="str">
        <f>IF($N140="","غير مقيّمة",IF($N140&gt;المرجع!$K$3,"مستوفاة بشكل متقدم",IF($N140&lt;=المرجع!$K$2,"مستوفاة بشكل أولي","مستوفاة بشكل جزئي")))</f>
        <v>مستوفاة بشكل جزئي</v>
      </c>
      <c r="P140" s="18"/>
    </row>
    <row r="141" spans="1:16">
      <c r="A141" s="16" t="s">
        <v>525</v>
      </c>
      <c r="B141" s="16" t="s">
        <v>166</v>
      </c>
      <c r="C141" s="15" t="str">
        <f>IFERROR(INDEX('قائمة الوحدات'!$B$2:$B$41,MATCH($B141,'قائمة الوحدات'!$A$2:$A$41,0)),"")</f>
        <v>EXE</v>
      </c>
      <c r="D141" s="14" t="str">
        <f>IFERROR(INDEX('قائمة الوحدات'!$C$2:$C$41,MATCH($B141,'قائمة الوحدات'!$A$2:$A$41,0)),"")</f>
        <v>الشؤون التنفيذية</v>
      </c>
      <c r="E141" s="14" t="str">
        <f>IFERROR(INDEX('قائمة الوحدات'!$D$2:$D$41,MATCH($B141,'قائمة الوحدات'!$A$2:$A$41,0)),"")</f>
        <v>وكالة الشؤون الفنية</v>
      </c>
      <c r="F141" s="14" t="str">
        <f>IFERROR(INDEX('قائمة الوحدات'!$F$2:$F$41,MATCH($B141,'قائمة الوحدات'!$A$2:$A$41,0)),"")</f>
        <v>الإدارة العامة للسلامة والبيئة</v>
      </c>
      <c r="G141" s="16" t="s">
        <v>61</v>
      </c>
      <c r="H141" s="14" t="str">
        <f>IFERROR(INDEX(المرجع!$A$2:$A$19,MATCH($G141,المرجع!$B$2:$B$19,0)),"")</f>
        <v>البناء المؤسسي</v>
      </c>
      <c r="I141" s="16" t="s">
        <v>56</v>
      </c>
      <c r="J141" s="14" t="str">
        <f>IFERROR(INDEX(المرجع!$D$2:$D$19,MATCH($I141,المرجع!$E$2:$E$19,0)),"")</f>
        <v>الموارد</v>
      </c>
      <c r="K141" s="16" t="s">
        <v>110</v>
      </c>
      <c r="L141" s="17" t="str">
        <f>IFERROR(INDEX('نقاط التحقق'!$G$2:$G$31,MATCH($K141,'نقاط التحقق'!$A$2:$A$31,0))&amp;"","")</f>
        <v>وجود الاحتياجات التقنية الأساسية</v>
      </c>
      <c r="M141" s="14" t="str">
        <f>IFERROR(INDEX('نقاط التحقق'!$H$2:$H$31,MATCH($K141,'نقاط التحقق'!$A$2:$A$31,0))&amp;"","")</f>
        <v/>
      </c>
      <c r="N141" s="13">
        <v>55</v>
      </c>
      <c r="O141" s="15" t="str">
        <f>IF($N141="","غير مقيّمة",IF($N141&gt;المرجع!$K$3,"مستوفاة بشكل متقدم",IF($N141&lt;=المرجع!$K$2,"مستوفاة بشكل أولي","مستوفاة بشكل جزئي")))</f>
        <v>مستوفاة بشكل جزئي</v>
      </c>
      <c r="P141" s="18"/>
    </row>
    <row r="142" spans="1:16">
      <c r="A142" s="16" t="s">
        <v>526</v>
      </c>
      <c r="B142" s="16" t="s">
        <v>166</v>
      </c>
      <c r="C142" s="15" t="str">
        <f>IFERROR(INDEX('قائمة الوحدات'!$B$2:$B$41,MATCH($B142,'قائمة الوحدات'!$A$2:$A$41,0)),"")</f>
        <v>EXE</v>
      </c>
      <c r="D142" s="14" t="str">
        <f>IFERROR(INDEX('قائمة الوحدات'!$C$2:$C$41,MATCH($B142,'قائمة الوحدات'!$A$2:$A$41,0)),"")</f>
        <v>الشؤون التنفيذية</v>
      </c>
      <c r="E142" s="14" t="str">
        <f>IFERROR(INDEX('قائمة الوحدات'!$D$2:$D$41,MATCH($B142,'قائمة الوحدات'!$A$2:$A$41,0)),"")</f>
        <v>وكالة الشؤون الفنية</v>
      </c>
      <c r="F142" s="14" t="str">
        <f>IFERROR(INDEX('قائمة الوحدات'!$F$2:$F$41,MATCH($B142,'قائمة الوحدات'!$A$2:$A$41,0)),"")</f>
        <v>الإدارة العامة للسلامة والبيئة</v>
      </c>
      <c r="G142" s="16" t="s">
        <v>61</v>
      </c>
      <c r="H142" s="14" t="str">
        <f>IFERROR(INDEX(المرجع!$A$2:$A$19,MATCH($G142,المرجع!$B$2:$B$19,0)),"")</f>
        <v>البناء المؤسسي</v>
      </c>
      <c r="I142" s="16" t="s">
        <v>59</v>
      </c>
      <c r="J142" s="14" t="str">
        <f>IFERROR(INDEX(المرجع!$D$2:$D$19,MATCH($I142,المرجع!$E$2:$E$19,0)),"")</f>
        <v>الإجراءات</v>
      </c>
      <c r="K142" s="16" t="s">
        <v>112</v>
      </c>
      <c r="L142" s="17" t="str">
        <f>IFERROR(INDEX('نقاط التحقق'!$G$2:$G$31,MATCH($K142,'نقاط التحقق'!$A$2:$A$31,0))&amp;"","")</f>
        <v>إجراءات معتمدة للوحدة التنظيمية</v>
      </c>
      <c r="M142" s="14" t="str">
        <f>IFERROR(INDEX('نقاط التحقق'!$H$2:$H$31,MATCH($K142,'نقاط التحقق'!$A$2:$A$31,0))&amp;"","")</f>
        <v/>
      </c>
      <c r="N142" s="13">
        <v>57</v>
      </c>
      <c r="O142" s="15" t="str">
        <f>IF($N142="","غير مقيّمة",IF($N142&gt;المرجع!$K$3,"مستوفاة بشكل متقدم",IF($N142&lt;=المرجع!$K$2,"مستوفاة بشكل أولي","مستوفاة بشكل جزئي")))</f>
        <v>مستوفاة بشكل جزئي</v>
      </c>
      <c r="P142" s="18"/>
    </row>
    <row r="143" spans="1:16">
      <c r="A143" s="16" t="s">
        <v>527</v>
      </c>
      <c r="B143" s="16" t="s">
        <v>166</v>
      </c>
      <c r="C143" s="15" t="str">
        <f>IFERROR(INDEX('قائمة الوحدات'!$B$2:$B$41,MATCH($B143,'قائمة الوحدات'!$A$2:$A$41,0)),"")</f>
        <v>EXE</v>
      </c>
      <c r="D143" s="14" t="str">
        <f>IFERROR(INDEX('قائمة الوحدات'!$C$2:$C$41,MATCH($B143,'قائمة الوحدات'!$A$2:$A$41,0)),"")</f>
        <v>الشؤون التنفيذية</v>
      </c>
      <c r="E143" s="14" t="str">
        <f>IFERROR(INDEX('قائمة الوحدات'!$D$2:$D$41,MATCH($B143,'قائمة الوحدات'!$A$2:$A$41,0)),"")</f>
        <v>وكالة الشؤون الفنية</v>
      </c>
      <c r="F143" s="14" t="str">
        <f>IFERROR(INDEX('قائمة الوحدات'!$F$2:$F$41,MATCH($B143,'قائمة الوحدات'!$A$2:$A$41,0)),"")</f>
        <v>الإدارة العامة للسلامة والبيئة</v>
      </c>
      <c r="G143" s="16" t="s">
        <v>61</v>
      </c>
      <c r="H143" s="14" t="str">
        <f>IFERROR(INDEX(المرجع!$A$2:$A$19,MATCH($G143,المرجع!$B$2:$B$19,0)),"")</f>
        <v>البناء المؤسسي</v>
      </c>
      <c r="I143" s="16" t="s">
        <v>63</v>
      </c>
      <c r="J143" s="14" t="str">
        <f>IFERROR(INDEX(المرجع!$D$2:$D$19,MATCH($I143,المرجع!$E$2:$E$19,0)),"")</f>
        <v>إنتاج المخرج الأول</v>
      </c>
      <c r="K143" s="16" t="s">
        <v>114</v>
      </c>
      <c r="L143" s="17" t="str">
        <f>IFERROR(INDEX('نقاط التحقق'!$G$2:$G$31,MATCH($K143,'نقاط التحقق'!$A$2:$A$31,0))&amp;"","")</f>
        <v>إنتاج المخرج الأول من قبل الوحدة التنظيمية</v>
      </c>
      <c r="M143" s="14" t="str">
        <f>IFERROR(INDEX('نقاط التحقق'!$H$2:$H$31,MATCH($K143,'نقاط التحقق'!$A$2:$A$31,0))&amp;"","")</f>
        <v/>
      </c>
      <c r="N143" s="13">
        <v>46</v>
      </c>
      <c r="O143" s="15" t="str">
        <f>IF($N143="","غير مقيّمة",IF($N143&gt;المرجع!$K$3,"مستوفاة بشكل متقدم",IF($N143&lt;=المرجع!$K$2,"مستوفاة بشكل أولي","مستوفاة بشكل جزئي")))</f>
        <v>مستوفاة بشكل جزئي</v>
      </c>
      <c r="P143" s="18"/>
    </row>
    <row r="144" spans="1:16">
      <c r="A144" s="16" t="s">
        <v>528</v>
      </c>
      <c r="B144" s="16" t="s">
        <v>166</v>
      </c>
      <c r="C144" s="15" t="str">
        <f>IFERROR(INDEX('قائمة الوحدات'!$B$2:$B$41,MATCH($B144,'قائمة الوحدات'!$A$2:$A$41,0)),"")</f>
        <v>EXE</v>
      </c>
      <c r="D144" s="14" t="str">
        <f>IFERROR(INDEX('قائمة الوحدات'!$C$2:$C$41,MATCH($B144,'قائمة الوحدات'!$A$2:$A$41,0)),"")</f>
        <v>الشؤون التنفيذية</v>
      </c>
      <c r="E144" s="14" t="str">
        <f>IFERROR(INDEX('قائمة الوحدات'!$D$2:$D$41,MATCH($B144,'قائمة الوحدات'!$A$2:$A$41,0)),"")</f>
        <v>وكالة الشؤون الفنية</v>
      </c>
      <c r="F144" s="14" t="str">
        <f>IFERROR(INDEX('قائمة الوحدات'!$F$2:$F$41,MATCH($B144,'قائمة الوحدات'!$A$2:$A$41,0)),"")</f>
        <v>الإدارة العامة للسلامة والبيئة</v>
      </c>
      <c r="G144" s="16" t="s">
        <v>65</v>
      </c>
      <c r="H144" s="14" t="str">
        <f>IFERROR(INDEX(المرجع!$A$2:$A$19,MATCH($G144,المرجع!$B$2:$B$19,0)),"")</f>
        <v>التشغيل</v>
      </c>
      <c r="I144" s="16" t="s">
        <v>48</v>
      </c>
      <c r="J144" s="14" t="str">
        <f>IFERROR(INDEX(المرجع!$D$2:$D$19,MATCH($I144,المرجع!$E$2:$E$19,0)),"")</f>
        <v>الأهداف ومؤشرات الأداء</v>
      </c>
      <c r="K144" s="16" t="s">
        <v>116</v>
      </c>
      <c r="L144" s="17" t="str">
        <f>IFERROR(INDEX('نقاط التحقق'!$G$2:$G$31,MATCH($K144,'نقاط التحقق'!$A$2:$A$31,0))&amp;"","")</f>
        <v>تحرك مؤشرات الأداء التشغيلي للوحدة التنظيمية بشكل إيجابي</v>
      </c>
      <c r="M144" s="14" t="str">
        <f>IFERROR(INDEX('نقاط التحقق'!$H$2:$H$31,MATCH($K144,'نقاط التحقق'!$A$2:$A$31,0))&amp;"","")</f>
        <v/>
      </c>
      <c r="N144" s="13">
        <v>40</v>
      </c>
      <c r="O144" s="15" t="str">
        <f>IF($N144="","غير مقيّمة",IF($N144&gt;المرجع!$K$3,"مستوفاة بشكل متقدم",IF($N144&lt;=المرجع!$K$2,"مستوفاة بشكل أولي","مستوفاة بشكل جزئي")))</f>
        <v>مستوفاة بشكل جزئي</v>
      </c>
      <c r="P144" s="18"/>
    </row>
    <row r="145" spans="1:16">
      <c r="A145" s="16" t="s">
        <v>529</v>
      </c>
      <c r="B145" s="16" t="s">
        <v>166</v>
      </c>
      <c r="C145" s="15" t="str">
        <f>IFERROR(INDEX('قائمة الوحدات'!$B$2:$B$41,MATCH($B145,'قائمة الوحدات'!$A$2:$A$41,0)),"")</f>
        <v>EXE</v>
      </c>
      <c r="D145" s="14" t="str">
        <f>IFERROR(INDEX('قائمة الوحدات'!$C$2:$C$41,MATCH($B145,'قائمة الوحدات'!$A$2:$A$41,0)),"")</f>
        <v>الشؤون التنفيذية</v>
      </c>
      <c r="E145" s="14" t="str">
        <f>IFERROR(INDEX('قائمة الوحدات'!$D$2:$D$41,MATCH($B145,'قائمة الوحدات'!$A$2:$A$41,0)),"")</f>
        <v>وكالة الشؤون الفنية</v>
      </c>
      <c r="F145" s="14" t="str">
        <f>IFERROR(INDEX('قائمة الوحدات'!$F$2:$F$41,MATCH($B145,'قائمة الوحدات'!$A$2:$A$41,0)),"")</f>
        <v>الإدارة العامة للسلامة والبيئة</v>
      </c>
      <c r="G145" s="16" t="s">
        <v>65</v>
      </c>
      <c r="H145" s="14" t="str">
        <f>IFERROR(INDEX(المرجع!$A$2:$A$19,MATCH($G145,المرجع!$B$2:$B$19,0)),"")</f>
        <v>التشغيل</v>
      </c>
      <c r="I145" s="16" t="s">
        <v>48</v>
      </c>
      <c r="J145" s="14" t="str">
        <f>IFERROR(INDEX(المرجع!$D$2:$D$19,MATCH($I145,المرجع!$E$2:$E$19,0)),"")</f>
        <v>الأهداف ومؤشرات الأداء</v>
      </c>
      <c r="K145" s="16" t="s">
        <v>118</v>
      </c>
      <c r="L145" s="17" t="str">
        <f>IFERROR(INDEX('نقاط التحقق'!$G$2:$G$31,MATCH($K145,'نقاط التحقق'!$A$2:$A$31,0))&amp;"","")</f>
        <v>خطة سنوية معتمدة للوحدة التنظيمية</v>
      </c>
      <c r="M145" s="14" t="str">
        <f>IFERROR(INDEX('نقاط التحقق'!$H$2:$H$31,MATCH($K145,'نقاط التحقق'!$A$2:$A$31,0))&amp;"","")</f>
        <v/>
      </c>
      <c r="N145" s="13">
        <v>40</v>
      </c>
      <c r="O145" s="15" t="str">
        <f>IF($N145="","غير مقيّمة",IF($N145&gt;المرجع!$K$3,"مستوفاة بشكل متقدم",IF($N145&lt;=المرجع!$K$2,"مستوفاة بشكل أولي","مستوفاة بشكل جزئي")))</f>
        <v>مستوفاة بشكل جزئي</v>
      </c>
      <c r="P145" s="18"/>
    </row>
    <row r="146" spans="1:16">
      <c r="A146" s="16" t="s">
        <v>530</v>
      </c>
      <c r="B146" s="16" t="s">
        <v>166</v>
      </c>
      <c r="C146" s="15" t="str">
        <f>IFERROR(INDEX('قائمة الوحدات'!$B$2:$B$41,MATCH($B146,'قائمة الوحدات'!$A$2:$A$41,0)),"")</f>
        <v>EXE</v>
      </c>
      <c r="D146" s="14" t="str">
        <f>IFERROR(INDEX('قائمة الوحدات'!$C$2:$C$41,MATCH($B146,'قائمة الوحدات'!$A$2:$A$41,0)),"")</f>
        <v>الشؤون التنفيذية</v>
      </c>
      <c r="E146" s="14" t="str">
        <f>IFERROR(INDEX('قائمة الوحدات'!$D$2:$D$41,MATCH($B146,'قائمة الوحدات'!$A$2:$A$41,0)),"")</f>
        <v>وكالة الشؤون الفنية</v>
      </c>
      <c r="F146" s="14" t="str">
        <f>IFERROR(INDEX('قائمة الوحدات'!$F$2:$F$41,MATCH($B146,'قائمة الوحدات'!$A$2:$A$41,0)),"")</f>
        <v>الإدارة العامة للسلامة والبيئة</v>
      </c>
      <c r="G146" s="16" t="s">
        <v>65</v>
      </c>
      <c r="H146" s="14" t="str">
        <f>IFERROR(INDEX(المرجع!$A$2:$A$19,MATCH($G146,المرجع!$B$2:$B$19,0)),"")</f>
        <v>التشغيل</v>
      </c>
      <c r="I146" s="16" t="s">
        <v>51</v>
      </c>
      <c r="J146" s="14" t="str">
        <f>IFERROR(INDEX(المرجع!$D$2:$D$19,MATCH($I146,المرجع!$E$2:$E$19,0)),"")</f>
        <v>الحوكمة</v>
      </c>
      <c r="K146" s="16" t="s">
        <v>120</v>
      </c>
      <c r="L146" s="17" t="str">
        <f>IFERROR(INDEX('نقاط التحقق'!$G$2:$G$31,MATCH($K146,'نقاط التحقق'!$A$2:$A$31,0))&amp;"","")</f>
        <v>محاضر لجان موثقة</v>
      </c>
      <c r="M146" s="14" t="str">
        <f>IFERROR(INDEX('نقاط التحقق'!$H$2:$H$31,MATCH($K146,'نقاط التحقق'!$A$2:$A$31,0))&amp;"","")</f>
        <v/>
      </c>
      <c r="N146" s="13">
        <v>25</v>
      </c>
      <c r="O146" s="15" t="str">
        <f>IF($N146="","غير مقيّمة",IF($N146&gt;المرجع!$K$3,"مستوفاة بشكل متقدم",IF($N146&lt;=المرجع!$K$2,"مستوفاة بشكل أولي","مستوفاة بشكل جزئي")))</f>
        <v>مستوفاة بشكل أولي</v>
      </c>
      <c r="P146" s="18"/>
    </row>
    <row r="147" spans="1:16">
      <c r="A147" s="16" t="s">
        <v>531</v>
      </c>
      <c r="B147" s="16" t="s">
        <v>166</v>
      </c>
      <c r="C147" s="15" t="str">
        <f>IFERROR(INDEX('قائمة الوحدات'!$B$2:$B$41,MATCH($B147,'قائمة الوحدات'!$A$2:$A$41,0)),"")</f>
        <v>EXE</v>
      </c>
      <c r="D147" s="14" t="str">
        <f>IFERROR(INDEX('قائمة الوحدات'!$C$2:$C$41,MATCH($B147,'قائمة الوحدات'!$A$2:$A$41,0)),"")</f>
        <v>الشؤون التنفيذية</v>
      </c>
      <c r="E147" s="14" t="str">
        <f>IFERROR(INDEX('قائمة الوحدات'!$D$2:$D$41,MATCH($B147,'قائمة الوحدات'!$A$2:$A$41,0)),"")</f>
        <v>وكالة الشؤون الفنية</v>
      </c>
      <c r="F147" s="14" t="str">
        <f>IFERROR(INDEX('قائمة الوحدات'!$F$2:$F$41,MATCH($B147,'قائمة الوحدات'!$A$2:$A$41,0)),"")</f>
        <v>الإدارة العامة للسلامة والبيئة</v>
      </c>
      <c r="G147" s="16" t="s">
        <v>65</v>
      </c>
      <c r="H147" s="14" t="str">
        <f>IFERROR(INDEX(المرجع!$A$2:$A$19,MATCH($G147,المرجع!$B$2:$B$19,0)),"")</f>
        <v>التشغيل</v>
      </c>
      <c r="I147" s="16" t="s">
        <v>51</v>
      </c>
      <c r="J147" s="14" t="str">
        <f>IFERROR(INDEX(المرجع!$D$2:$D$19,MATCH($I147,المرجع!$E$2:$E$19,0)),"")</f>
        <v>الحوكمة</v>
      </c>
      <c r="K147" s="16" t="s">
        <v>122</v>
      </c>
      <c r="L147" s="17" t="str">
        <f>IFERROR(INDEX('نقاط التحقق'!$G$2:$G$31,MATCH($K147,'نقاط التحقق'!$A$2:$A$31,0))&amp;"","")</f>
        <v>نشر السياسات التي تملكها الوحدة التنظيمية</v>
      </c>
      <c r="M147" s="14" t="str">
        <f>IFERROR(INDEX('نقاط التحقق'!$H$2:$H$31,MATCH($K147,'نقاط التحقق'!$A$2:$A$31,0))&amp;"","")</f>
        <v/>
      </c>
      <c r="N147" s="13">
        <v>45</v>
      </c>
      <c r="O147" s="15" t="str">
        <f>IF($N147="","غير مقيّمة",IF($N147&gt;المرجع!$K$3,"مستوفاة بشكل متقدم",IF($N147&lt;=المرجع!$K$2,"مستوفاة بشكل أولي","مستوفاة بشكل جزئي")))</f>
        <v>مستوفاة بشكل جزئي</v>
      </c>
      <c r="P147" s="18"/>
    </row>
    <row r="148" spans="1:16">
      <c r="A148" s="16" t="s">
        <v>532</v>
      </c>
      <c r="B148" s="16" t="s">
        <v>166</v>
      </c>
      <c r="C148" s="15" t="str">
        <f>IFERROR(INDEX('قائمة الوحدات'!$B$2:$B$41,MATCH($B148,'قائمة الوحدات'!$A$2:$A$41,0)),"")</f>
        <v>EXE</v>
      </c>
      <c r="D148" s="14" t="str">
        <f>IFERROR(INDEX('قائمة الوحدات'!$C$2:$C$41,MATCH($B148,'قائمة الوحدات'!$A$2:$A$41,0)),"")</f>
        <v>الشؤون التنفيذية</v>
      </c>
      <c r="E148" s="14" t="str">
        <f>IFERROR(INDEX('قائمة الوحدات'!$D$2:$D$41,MATCH($B148,'قائمة الوحدات'!$A$2:$A$41,0)),"")</f>
        <v>وكالة الشؤون الفنية</v>
      </c>
      <c r="F148" s="14" t="str">
        <f>IFERROR(INDEX('قائمة الوحدات'!$F$2:$F$41,MATCH($B148,'قائمة الوحدات'!$A$2:$A$41,0)),"")</f>
        <v>الإدارة العامة للسلامة والبيئة</v>
      </c>
      <c r="G148" s="16" t="s">
        <v>65</v>
      </c>
      <c r="H148" s="14" t="str">
        <f>IFERROR(INDEX(المرجع!$A$2:$A$19,MATCH($G148,المرجع!$B$2:$B$19,0)),"")</f>
        <v>التشغيل</v>
      </c>
      <c r="I148" s="16" t="s">
        <v>51</v>
      </c>
      <c r="J148" s="14" t="str">
        <f>IFERROR(INDEX(المرجع!$D$2:$D$19,MATCH($I148,المرجع!$E$2:$E$19,0)),"")</f>
        <v>الحوكمة</v>
      </c>
      <c r="K148" s="16" t="s">
        <v>124</v>
      </c>
      <c r="L148" s="17" t="str">
        <f>IFERROR(INDEX('نقاط التحقق'!$G$2:$G$31,MATCH($K148,'نقاط التحقق'!$A$2:$A$31,0))&amp;"","")</f>
        <v>اتخاذ القرارات في نطاق الصلاحيات (وجود شواهد)</v>
      </c>
      <c r="M148" s="14" t="str">
        <f>IFERROR(INDEX('نقاط التحقق'!$H$2:$H$31,MATCH($K148,'نقاط التحقق'!$A$2:$A$31,0))&amp;"","")</f>
        <v/>
      </c>
      <c r="N148" s="13">
        <v>30</v>
      </c>
      <c r="O148" s="15" t="str">
        <f>IF($N148="","غير مقيّمة",IF($N148&gt;المرجع!$K$3,"مستوفاة بشكل متقدم",IF($N148&lt;=المرجع!$K$2,"مستوفاة بشكل أولي","مستوفاة بشكل جزئي")))</f>
        <v>مستوفاة بشكل أولي</v>
      </c>
      <c r="P148" s="18"/>
    </row>
    <row r="149" spans="1:16">
      <c r="A149" s="16" t="s">
        <v>533</v>
      </c>
      <c r="B149" s="16" t="s">
        <v>166</v>
      </c>
      <c r="C149" s="15" t="str">
        <f>IFERROR(INDEX('قائمة الوحدات'!$B$2:$B$41,MATCH($B149,'قائمة الوحدات'!$A$2:$A$41,0)),"")</f>
        <v>EXE</v>
      </c>
      <c r="D149" s="14" t="str">
        <f>IFERROR(INDEX('قائمة الوحدات'!$C$2:$C$41,MATCH($B149,'قائمة الوحدات'!$A$2:$A$41,0)),"")</f>
        <v>الشؤون التنفيذية</v>
      </c>
      <c r="E149" s="14" t="str">
        <f>IFERROR(INDEX('قائمة الوحدات'!$D$2:$D$41,MATCH($B149,'قائمة الوحدات'!$A$2:$A$41,0)),"")</f>
        <v>وكالة الشؤون الفنية</v>
      </c>
      <c r="F149" s="14" t="str">
        <f>IFERROR(INDEX('قائمة الوحدات'!$F$2:$F$41,MATCH($B149,'قائمة الوحدات'!$A$2:$A$41,0)),"")</f>
        <v>الإدارة العامة للسلامة والبيئة</v>
      </c>
      <c r="G149" s="16" t="s">
        <v>65</v>
      </c>
      <c r="H149" s="14" t="str">
        <f>IFERROR(INDEX(المرجع!$A$2:$A$19,MATCH($G149,المرجع!$B$2:$B$19,0)),"")</f>
        <v>التشغيل</v>
      </c>
      <c r="I149" s="16" t="s">
        <v>56</v>
      </c>
      <c r="J149" s="14" t="str">
        <f>IFERROR(INDEX(المرجع!$D$2:$D$19,MATCH($I149,المرجع!$E$2:$E$19,0)),"")</f>
        <v>الموارد</v>
      </c>
      <c r="K149" s="16" t="s">
        <v>126</v>
      </c>
      <c r="L149" s="17" t="str">
        <f>IFERROR(INDEX('نقاط التحقق'!$G$2:$G$31,MATCH($K149,'نقاط التحقق'!$A$2:$A$31,0))&amp;"","")</f>
        <v>موارد مستكملة للحد الأدنى الذي يغطي كافة محاور سلسلة القيمة</v>
      </c>
      <c r="M149" s="14" t="str">
        <f>IFERROR(INDEX('نقاط التحقق'!$H$2:$H$31,MATCH($K149,'نقاط التحقق'!$A$2:$A$31,0))&amp;"","")</f>
        <v/>
      </c>
      <c r="N149" s="13">
        <v>31</v>
      </c>
      <c r="O149" s="15" t="str">
        <f>IF($N149="","غير مقيّمة",IF($N149&gt;المرجع!$K$3,"مستوفاة بشكل متقدم",IF($N149&lt;=المرجع!$K$2,"مستوفاة بشكل أولي","مستوفاة بشكل جزئي")))</f>
        <v>مستوفاة بشكل جزئي</v>
      </c>
      <c r="P149" s="18"/>
    </row>
    <row r="150" spans="1:16">
      <c r="A150" s="16" t="s">
        <v>534</v>
      </c>
      <c r="B150" s="16" t="s">
        <v>166</v>
      </c>
      <c r="C150" s="15" t="str">
        <f>IFERROR(INDEX('قائمة الوحدات'!$B$2:$B$41,MATCH($B150,'قائمة الوحدات'!$A$2:$A$41,0)),"")</f>
        <v>EXE</v>
      </c>
      <c r="D150" s="14" t="str">
        <f>IFERROR(INDEX('قائمة الوحدات'!$C$2:$C$41,MATCH($B150,'قائمة الوحدات'!$A$2:$A$41,0)),"")</f>
        <v>الشؤون التنفيذية</v>
      </c>
      <c r="E150" s="14" t="str">
        <f>IFERROR(INDEX('قائمة الوحدات'!$D$2:$D$41,MATCH($B150,'قائمة الوحدات'!$A$2:$A$41,0)),"")</f>
        <v>وكالة الشؤون الفنية</v>
      </c>
      <c r="F150" s="14" t="str">
        <f>IFERROR(INDEX('قائمة الوحدات'!$F$2:$F$41,MATCH($B150,'قائمة الوحدات'!$A$2:$A$41,0)),"")</f>
        <v>الإدارة العامة للسلامة والبيئة</v>
      </c>
      <c r="G150" s="16" t="s">
        <v>65</v>
      </c>
      <c r="H150" s="14" t="str">
        <f>IFERROR(INDEX(المرجع!$A$2:$A$19,MATCH($G150,المرجع!$B$2:$B$19,0)),"")</f>
        <v>التشغيل</v>
      </c>
      <c r="I150" s="16" t="s">
        <v>59</v>
      </c>
      <c r="J150" s="14" t="str">
        <f>IFERROR(INDEX(المرجع!$D$2:$D$19,MATCH($I150,المرجع!$E$2:$E$19,0)),"")</f>
        <v>الإجراءات</v>
      </c>
      <c r="K150" s="16" t="s">
        <v>128</v>
      </c>
      <c r="L150" s="17" t="str">
        <f>IFERROR(INDEX('نقاط التحقق'!$G$2:$G$31,MATCH($K150,'نقاط التحقق'!$A$2:$A$31,0))&amp;"","")</f>
        <v>تحقيق تقييم "مطبق بشكل كامل" من منهجية تقييم فعالية الإجراءات</v>
      </c>
      <c r="M150" s="14" t="str">
        <f>IFERROR(INDEX('نقاط التحقق'!$H$2:$H$31,MATCH($K150,'نقاط التحقق'!$A$2:$A$31,0))&amp;"","")</f>
        <v/>
      </c>
      <c r="N150" s="13">
        <v>57</v>
      </c>
      <c r="O150" s="15" t="str">
        <f>IF($N150="","غير مقيّمة",IF($N150&gt;المرجع!$K$3,"مستوفاة بشكل متقدم",IF($N150&lt;=المرجع!$K$2,"مستوفاة بشكل أولي","مستوفاة بشكل جزئي")))</f>
        <v>مستوفاة بشكل جزئي</v>
      </c>
      <c r="P150" s="18"/>
    </row>
    <row r="151" spans="1:16">
      <c r="A151" s="16" t="s">
        <v>535</v>
      </c>
      <c r="B151" s="16" t="s">
        <v>166</v>
      </c>
      <c r="C151" s="15" t="str">
        <f>IFERROR(INDEX('قائمة الوحدات'!$B$2:$B$41,MATCH($B151,'قائمة الوحدات'!$A$2:$A$41,0)),"")</f>
        <v>EXE</v>
      </c>
      <c r="D151" s="14" t="str">
        <f>IFERROR(INDEX('قائمة الوحدات'!$C$2:$C$41,MATCH($B151,'قائمة الوحدات'!$A$2:$A$41,0)),"")</f>
        <v>الشؤون التنفيذية</v>
      </c>
      <c r="E151" s="14" t="str">
        <f>IFERROR(INDEX('قائمة الوحدات'!$D$2:$D$41,MATCH($B151,'قائمة الوحدات'!$A$2:$A$41,0)),"")</f>
        <v>وكالة الشؤون الفنية</v>
      </c>
      <c r="F151" s="14" t="str">
        <f>IFERROR(INDEX('قائمة الوحدات'!$F$2:$F$41,MATCH($B151,'قائمة الوحدات'!$A$2:$A$41,0)),"")</f>
        <v>الإدارة العامة للسلامة والبيئة</v>
      </c>
      <c r="G151" s="16" t="s">
        <v>65</v>
      </c>
      <c r="H151" s="14" t="str">
        <f>IFERROR(INDEX(المرجع!$A$2:$A$19,MATCH($G151,المرجع!$B$2:$B$19,0)),"")</f>
        <v>التشغيل</v>
      </c>
      <c r="I151" s="16" t="s">
        <v>67</v>
      </c>
      <c r="J151" s="14" t="str">
        <f>IFERROR(INDEX(المرجع!$D$2:$D$19,MATCH($I151,المرجع!$E$2:$E$19,0)),"")</f>
        <v>اكتمال المخرجات المستهدفة</v>
      </c>
      <c r="K151" s="16" t="s">
        <v>130</v>
      </c>
      <c r="L151" s="17" t="str">
        <f>IFERROR(INDEX('نقاط التحقق'!$G$2:$G$31,MATCH($K151,'نقاط التحقق'!$A$2:$A$31,0))&amp;"","")</f>
        <v>اكتمال مخرجات النموذج التشغيلي المستهدف للوحدة التنظيمية</v>
      </c>
      <c r="M151" s="14" t="str">
        <f>IFERROR(INDEX('نقاط التحقق'!$H$2:$H$31,MATCH($K151,'نقاط التحقق'!$A$2:$A$31,0))&amp;"","")</f>
        <v/>
      </c>
      <c r="N151" s="13">
        <v>31</v>
      </c>
      <c r="O151" s="15" t="str">
        <f>IF($N151="","غير مقيّمة",IF($N151&gt;المرجع!$K$3,"مستوفاة بشكل متقدم",IF($N151&lt;=المرجع!$K$2,"مستوفاة بشكل أولي","مستوفاة بشكل جزئي")))</f>
        <v>مستوفاة بشكل جزئي</v>
      </c>
      <c r="P151" s="18"/>
    </row>
    <row r="152" spans="1:16">
      <c r="A152" s="16" t="s">
        <v>536</v>
      </c>
      <c r="B152" s="16" t="s">
        <v>168</v>
      </c>
      <c r="C152" s="15" t="str">
        <f>IFERROR(INDEX('قائمة الوحدات'!$B$2:$B$41,MATCH($B152,'قائمة الوحدات'!$A$2:$A$41,0)),"")</f>
        <v>EXE</v>
      </c>
      <c r="D152" s="14" t="str">
        <f>IFERROR(INDEX('قائمة الوحدات'!$C$2:$C$41,MATCH($B152,'قائمة الوحدات'!$A$2:$A$41,0)),"")</f>
        <v>الشؤون التنفيذية</v>
      </c>
      <c r="E152" s="14" t="str">
        <f>IFERROR(INDEX('قائمة الوحدات'!$D$2:$D$41,MATCH($B152,'قائمة الوحدات'!$A$2:$A$41,0)),"")</f>
        <v>وكالة الشؤون الفنية</v>
      </c>
      <c r="F152" s="14" t="str">
        <f>IFERROR(INDEX('قائمة الوحدات'!$F$2:$F$41,MATCH($B152,'قائمة الوحدات'!$A$2:$A$41,0)),"")</f>
        <v>الإدارة العامة للأصول والمرافق</v>
      </c>
      <c r="G152" s="16" t="s">
        <v>43</v>
      </c>
      <c r="H152" s="14" t="str">
        <f>IFERROR(INDEX(المرجع!$A$2:$A$19,MATCH($G152,المرجع!$B$2:$B$19,0)),"")</f>
        <v>التصميم</v>
      </c>
      <c r="I152" s="16" t="s">
        <v>45</v>
      </c>
      <c r="J152" s="14" t="str">
        <f>IFERROR(INDEX(المرجع!$D$2:$D$19,MATCH($I152,المرجع!$E$2:$E$19,0)),"")</f>
        <v>الدور</v>
      </c>
      <c r="K152" s="16" t="s">
        <v>72</v>
      </c>
      <c r="L152" s="17" t="str">
        <f>IFERROR(INDEX('نقاط التحقق'!$G$2:$G$31,MATCH($K152,'نقاط التحقق'!$A$2:$A$31,0))&amp;"","")</f>
        <v>دور مفصل للوحدة التنظيمية</v>
      </c>
      <c r="M152" s="14" t="str">
        <f>IFERROR(INDEX('نقاط التحقق'!$H$2:$H$31,MATCH($K152,'نقاط التحقق'!$A$2:$A$31,0))&amp;"","")</f>
        <v/>
      </c>
      <c r="N152" s="13">
        <v>91</v>
      </c>
      <c r="O152" s="15" t="str">
        <f>IF($N152="","غير مقيّمة",IF($N152&gt;المرجع!$K$3,"مستوفاة بشكل متقدم",IF($N152&lt;=المرجع!$K$2,"مستوفاة بشكل أولي","مستوفاة بشكل جزئي")))</f>
        <v>مستوفاة بشكل متقدم</v>
      </c>
      <c r="P152" s="18"/>
    </row>
    <row r="153" spans="1:16">
      <c r="A153" s="16" t="s">
        <v>537</v>
      </c>
      <c r="B153" s="16" t="s">
        <v>168</v>
      </c>
      <c r="C153" s="15" t="str">
        <f>IFERROR(INDEX('قائمة الوحدات'!$B$2:$B$41,MATCH($B153,'قائمة الوحدات'!$A$2:$A$41,0)),"")</f>
        <v>EXE</v>
      </c>
      <c r="D153" s="14" t="str">
        <f>IFERROR(INDEX('قائمة الوحدات'!$C$2:$C$41,MATCH($B153,'قائمة الوحدات'!$A$2:$A$41,0)),"")</f>
        <v>الشؤون التنفيذية</v>
      </c>
      <c r="E153" s="14" t="str">
        <f>IFERROR(INDEX('قائمة الوحدات'!$D$2:$D$41,MATCH($B153,'قائمة الوحدات'!$A$2:$A$41,0)),"")</f>
        <v>وكالة الشؤون الفنية</v>
      </c>
      <c r="F153" s="14" t="str">
        <f>IFERROR(INDEX('قائمة الوحدات'!$F$2:$F$41,MATCH($B153,'قائمة الوحدات'!$A$2:$A$41,0)),"")</f>
        <v>الإدارة العامة للأصول والمرافق</v>
      </c>
      <c r="G153" s="16" t="s">
        <v>43</v>
      </c>
      <c r="H153" s="14" t="str">
        <f>IFERROR(INDEX(المرجع!$A$2:$A$19,MATCH($G153,المرجع!$B$2:$B$19,0)),"")</f>
        <v>التصميم</v>
      </c>
      <c r="I153" s="16" t="s">
        <v>48</v>
      </c>
      <c r="J153" s="14" t="str">
        <f>IFERROR(INDEX(المرجع!$D$2:$D$19,MATCH($I153,المرجع!$E$2:$E$19,0)),"")</f>
        <v>الأهداف ومؤشرات الأداء</v>
      </c>
      <c r="K153" s="16" t="s">
        <v>74</v>
      </c>
      <c r="L153" s="17" t="str">
        <f>IFERROR(INDEX('نقاط التحقق'!$G$2:$G$31,MATCH($K153,'نقاط التحقق'!$A$2:$A$31,0))&amp;"","")</f>
        <v>أهداف محددة للوحدة التنظيمية وربطها بمؤشرات أداء لقياسها</v>
      </c>
      <c r="M153" s="14" t="str">
        <f>IFERROR(INDEX('نقاط التحقق'!$H$2:$H$31,MATCH($K153,'نقاط التحقق'!$A$2:$A$31,0))&amp;"","")</f>
        <v/>
      </c>
      <c r="N153" s="13">
        <v>80</v>
      </c>
      <c r="O153" s="15" t="str">
        <f>IF($N153="","غير مقيّمة",IF($N153&gt;المرجع!$K$3,"مستوفاة بشكل متقدم",IF($N153&lt;=المرجع!$K$2,"مستوفاة بشكل أولي","مستوفاة بشكل جزئي")))</f>
        <v>مستوفاة بشكل متقدم</v>
      </c>
      <c r="P153" s="18"/>
    </row>
    <row r="154" spans="1:16">
      <c r="A154" s="16" t="s">
        <v>538</v>
      </c>
      <c r="B154" s="16" t="s">
        <v>168</v>
      </c>
      <c r="C154" s="15" t="str">
        <f>IFERROR(INDEX('قائمة الوحدات'!$B$2:$B$41,MATCH($B154,'قائمة الوحدات'!$A$2:$A$41,0)),"")</f>
        <v>EXE</v>
      </c>
      <c r="D154" s="14" t="str">
        <f>IFERROR(INDEX('قائمة الوحدات'!$C$2:$C$41,MATCH($B154,'قائمة الوحدات'!$A$2:$A$41,0)),"")</f>
        <v>الشؤون التنفيذية</v>
      </c>
      <c r="E154" s="14" t="str">
        <f>IFERROR(INDEX('قائمة الوحدات'!$D$2:$D$41,MATCH($B154,'قائمة الوحدات'!$A$2:$A$41,0)),"")</f>
        <v>وكالة الشؤون الفنية</v>
      </c>
      <c r="F154" s="14" t="str">
        <f>IFERROR(INDEX('قائمة الوحدات'!$F$2:$F$41,MATCH($B154,'قائمة الوحدات'!$A$2:$A$41,0)),"")</f>
        <v>الإدارة العامة للأصول والمرافق</v>
      </c>
      <c r="G154" s="16" t="s">
        <v>43</v>
      </c>
      <c r="H154" s="14" t="str">
        <f>IFERROR(INDEX(المرجع!$A$2:$A$19,MATCH($G154,المرجع!$B$2:$B$19,0)),"")</f>
        <v>التصميم</v>
      </c>
      <c r="I154" s="16" t="s">
        <v>48</v>
      </c>
      <c r="J154" s="14" t="str">
        <f>IFERROR(INDEX(المرجع!$D$2:$D$19,MATCH($I154,المرجع!$E$2:$E$19,0)),"")</f>
        <v>الأهداف ومؤشرات الأداء</v>
      </c>
      <c r="K154" s="16" t="s">
        <v>76</v>
      </c>
      <c r="L154" s="17" t="str">
        <f>IFERROR(INDEX('نقاط التحقق'!$G$2:$G$31,MATCH($K154,'نقاط التحقق'!$A$2:$A$31,0))&amp;"","")</f>
        <v>مؤشرات أداء الوحدة التنظيمية</v>
      </c>
      <c r="M154" s="14" t="str">
        <f>IFERROR(INDEX('نقاط التحقق'!$H$2:$H$31,MATCH($K154,'نقاط التحقق'!$A$2:$A$31,0))&amp;"","")</f>
        <v/>
      </c>
      <c r="N154" s="13">
        <v>65</v>
      </c>
      <c r="O154" s="15" t="str">
        <f>IF($N154="","غير مقيّمة",IF($N154&gt;المرجع!$K$3,"مستوفاة بشكل متقدم",IF($N154&lt;=المرجع!$K$2,"مستوفاة بشكل أولي","مستوفاة بشكل جزئي")))</f>
        <v>مستوفاة بشكل جزئي</v>
      </c>
      <c r="P154" s="18"/>
    </row>
    <row r="155" spans="1:16">
      <c r="A155" s="16" t="s">
        <v>539</v>
      </c>
      <c r="B155" s="16" t="s">
        <v>168</v>
      </c>
      <c r="C155" s="15" t="str">
        <f>IFERROR(INDEX('قائمة الوحدات'!$B$2:$B$41,MATCH($B155,'قائمة الوحدات'!$A$2:$A$41,0)),"")</f>
        <v>EXE</v>
      </c>
      <c r="D155" s="14" t="str">
        <f>IFERROR(INDEX('قائمة الوحدات'!$C$2:$C$41,MATCH($B155,'قائمة الوحدات'!$A$2:$A$41,0)),"")</f>
        <v>الشؤون التنفيذية</v>
      </c>
      <c r="E155" s="14" t="str">
        <f>IFERROR(INDEX('قائمة الوحدات'!$D$2:$D$41,MATCH($B155,'قائمة الوحدات'!$A$2:$A$41,0)),"")</f>
        <v>وكالة الشؤون الفنية</v>
      </c>
      <c r="F155" s="14" t="str">
        <f>IFERROR(INDEX('قائمة الوحدات'!$F$2:$F$41,MATCH($B155,'قائمة الوحدات'!$A$2:$A$41,0)),"")</f>
        <v>الإدارة العامة للأصول والمرافق</v>
      </c>
      <c r="G155" s="16" t="s">
        <v>43</v>
      </c>
      <c r="H155" s="14" t="str">
        <f>IFERROR(INDEX(المرجع!$A$2:$A$19,MATCH($G155,المرجع!$B$2:$B$19,0)),"")</f>
        <v>التصميم</v>
      </c>
      <c r="I155" s="16" t="s">
        <v>51</v>
      </c>
      <c r="J155" s="14" t="str">
        <f>IFERROR(INDEX(المرجع!$D$2:$D$19,MATCH($I155,المرجع!$E$2:$E$19,0)),"")</f>
        <v>الحوكمة</v>
      </c>
      <c r="K155" s="16" t="s">
        <v>78</v>
      </c>
      <c r="L155" s="17" t="str">
        <f>IFERROR(INDEX('نقاط التحقق'!$G$2:$G$31,MATCH($K155,'نقاط التحقق'!$A$2:$A$31,0))&amp;"","")</f>
        <v>تفصيل القرارات ومصفوفة الصلاحيات واللجان ذات العلاقة لاعتماد مخرجات الوحدة التنظيمية</v>
      </c>
      <c r="M155" s="14" t="str">
        <f>IFERROR(INDEX('نقاط التحقق'!$H$2:$H$31,MATCH($K155,'نقاط التحقق'!$A$2:$A$31,0))&amp;"","")</f>
        <v/>
      </c>
      <c r="N155" s="13">
        <v>71</v>
      </c>
      <c r="O155" s="15" t="str">
        <f>IF($N155="","غير مقيّمة",IF($N155&gt;المرجع!$K$3,"مستوفاة بشكل متقدم",IF($N155&lt;=المرجع!$K$2,"مستوفاة بشكل أولي","مستوفاة بشكل جزئي")))</f>
        <v>مستوفاة بشكل متقدم</v>
      </c>
      <c r="P155" s="18"/>
    </row>
    <row r="156" spans="1:16">
      <c r="A156" s="16" t="s">
        <v>540</v>
      </c>
      <c r="B156" s="16" t="s">
        <v>168</v>
      </c>
      <c r="C156" s="15" t="str">
        <f>IFERROR(INDEX('قائمة الوحدات'!$B$2:$B$41,MATCH($B156,'قائمة الوحدات'!$A$2:$A$41,0)),"")</f>
        <v>EXE</v>
      </c>
      <c r="D156" s="14" t="str">
        <f>IFERROR(INDEX('قائمة الوحدات'!$C$2:$C$41,MATCH($B156,'قائمة الوحدات'!$A$2:$A$41,0)),"")</f>
        <v>الشؤون التنفيذية</v>
      </c>
      <c r="E156" s="14" t="str">
        <f>IFERROR(INDEX('قائمة الوحدات'!$D$2:$D$41,MATCH($B156,'قائمة الوحدات'!$A$2:$A$41,0)),"")</f>
        <v>وكالة الشؤون الفنية</v>
      </c>
      <c r="F156" s="14" t="str">
        <f>IFERROR(INDEX('قائمة الوحدات'!$F$2:$F$41,MATCH($B156,'قائمة الوحدات'!$A$2:$A$41,0)),"")</f>
        <v>الإدارة العامة للأصول والمرافق</v>
      </c>
      <c r="G156" s="16" t="s">
        <v>43</v>
      </c>
      <c r="H156" s="14" t="str">
        <f>IFERROR(INDEX(المرجع!$A$2:$A$19,MATCH($G156,المرجع!$B$2:$B$19,0)),"")</f>
        <v>التصميم</v>
      </c>
      <c r="I156" s="16" t="s">
        <v>54</v>
      </c>
      <c r="J156" s="14" t="str">
        <f>IFERROR(INDEX(المرجع!$D$2:$D$19,MATCH($I156,المرجع!$E$2:$E$19,0)),"")</f>
        <v>التنظيم</v>
      </c>
      <c r="K156" s="16" t="s">
        <v>80</v>
      </c>
      <c r="L156" s="17" t="str">
        <f>IFERROR(INDEX('نقاط التحقق'!$G$2:$G$31,MATCH($K156,'نقاط التحقق'!$A$2:$A$31,0))&amp;"","")</f>
        <v>تطوير الأدوار والمسؤوليات للوحدة التنظيمية وتفصيل الهيكل التنظيمي</v>
      </c>
      <c r="M156" s="14" t="str">
        <f>IFERROR(INDEX('نقاط التحقق'!$H$2:$H$31,MATCH($K156,'نقاط التحقق'!$A$2:$A$31,0))&amp;"","")</f>
        <v/>
      </c>
      <c r="N156" s="13">
        <v>68</v>
      </c>
      <c r="O156" s="15" t="str">
        <f>IF($N156="","غير مقيّمة",IF($N156&gt;المرجع!$K$3,"مستوفاة بشكل متقدم",IF($N156&lt;=المرجع!$K$2,"مستوفاة بشكل أولي","مستوفاة بشكل جزئي")))</f>
        <v>مستوفاة بشكل جزئي</v>
      </c>
      <c r="P156" s="18"/>
    </row>
    <row r="157" spans="1:16">
      <c r="A157" s="16" t="s">
        <v>541</v>
      </c>
      <c r="B157" s="16" t="s">
        <v>168</v>
      </c>
      <c r="C157" s="15" t="str">
        <f>IFERROR(INDEX('قائمة الوحدات'!$B$2:$B$41,MATCH($B157,'قائمة الوحدات'!$A$2:$A$41,0)),"")</f>
        <v>EXE</v>
      </c>
      <c r="D157" s="14" t="str">
        <f>IFERROR(INDEX('قائمة الوحدات'!$C$2:$C$41,MATCH($B157,'قائمة الوحدات'!$A$2:$A$41,0)),"")</f>
        <v>الشؤون التنفيذية</v>
      </c>
      <c r="E157" s="14" t="str">
        <f>IFERROR(INDEX('قائمة الوحدات'!$D$2:$D$41,MATCH($B157,'قائمة الوحدات'!$A$2:$A$41,0)),"")</f>
        <v>وكالة الشؤون الفنية</v>
      </c>
      <c r="F157" s="14" t="str">
        <f>IFERROR(INDEX('قائمة الوحدات'!$F$2:$F$41,MATCH($B157,'قائمة الوحدات'!$A$2:$A$41,0)),"")</f>
        <v>الإدارة العامة للأصول والمرافق</v>
      </c>
      <c r="G157" s="16" t="s">
        <v>43</v>
      </c>
      <c r="H157" s="14" t="str">
        <f>IFERROR(INDEX(المرجع!$A$2:$A$19,MATCH($G157,المرجع!$B$2:$B$19,0)),"")</f>
        <v>التصميم</v>
      </c>
      <c r="I157" s="16" t="s">
        <v>56</v>
      </c>
      <c r="J157" s="14" t="str">
        <f>IFERROR(INDEX(المرجع!$D$2:$D$19,MATCH($I157,المرجع!$E$2:$E$19,0)),"")</f>
        <v>الموارد</v>
      </c>
      <c r="K157" s="16" t="s">
        <v>82</v>
      </c>
      <c r="L157" s="17" t="str">
        <f>IFERROR(INDEX('نقاط التحقق'!$G$2:$G$31,MATCH($K157,'نقاط التحقق'!$A$2:$A$31,0))&amp;"","")</f>
        <v>تفصيل احتياج الموارد البشرية للوحدة التنظيمية</v>
      </c>
      <c r="M157" s="14" t="str">
        <f>IFERROR(INDEX('نقاط التحقق'!$H$2:$H$31,MATCH($K157,'نقاط التحقق'!$A$2:$A$31,0))&amp;"","")</f>
        <v/>
      </c>
      <c r="N157" s="13">
        <v>83</v>
      </c>
      <c r="O157" s="15" t="str">
        <f>IF($N157="","غير مقيّمة",IF($N157&gt;المرجع!$K$3,"مستوفاة بشكل متقدم",IF($N157&lt;=المرجع!$K$2,"مستوفاة بشكل أولي","مستوفاة بشكل جزئي")))</f>
        <v>مستوفاة بشكل متقدم</v>
      </c>
      <c r="P157" s="18"/>
    </row>
    <row r="158" spans="1:16">
      <c r="A158" s="16" t="s">
        <v>542</v>
      </c>
      <c r="B158" s="16" t="s">
        <v>168</v>
      </c>
      <c r="C158" s="15" t="str">
        <f>IFERROR(INDEX('قائمة الوحدات'!$B$2:$B$41,MATCH($B158,'قائمة الوحدات'!$A$2:$A$41,0)),"")</f>
        <v>EXE</v>
      </c>
      <c r="D158" s="14" t="str">
        <f>IFERROR(INDEX('قائمة الوحدات'!$C$2:$C$41,MATCH($B158,'قائمة الوحدات'!$A$2:$A$41,0)),"")</f>
        <v>الشؤون التنفيذية</v>
      </c>
      <c r="E158" s="14" t="str">
        <f>IFERROR(INDEX('قائمة الوحدات'!$D$2:$D$41,MATCH($B158,'قائمة الوحدات'!$A$2:$A$41,0)),"")</f>
        <v>وكالة الشؤون الفنية</v>
      </c>
      <c r="F158" s="14" t="str">
        <f>IFERROR(INDEX('قائمة الوحدات'!$F$2:$F$41,MATCH($B158,'قائمة الوحدات'!$A$2:$A$41,0)),"")</f>
        <v>الإدارة العامة للأصول والمرافق</v>
      </c>
      <c r="G158" s="16" t="s">
        <v>43</v>
      </c>
      <c r="H158" s="14" t="str">
        <f>IFERROR(INDEX(المرجع!$A$2:$A$19,MATCH($G158,المرجع!$B$2:$B$19,0)),"")</f>
        <v>التصميم</v>
      </c>
      <c r="I158" s="16" t="s">
        <v>59</v>
      </c>
      <c r="J158" s="14" t="str">
        <f>IFERROR(INDEX(المرجع!$D$2:$D$19,MATCH($I158,المرجع!$E$2:$E$19,0)),"")</f>
        <v>الإجراءات</v>
      </c>
      <c r="K158" s="16" t="s">
        <v>84</v>
      </c>
      <c r="L158" s="17" t="str">
        <f>IFERROR(INDEX('نقاط التحقق'!$G$2:$G$31,MATCH($K158,'نقاط التحقق'!$A$2:$A$31,0))&amp;"","")</f>
        <v>تفصيل المخرجات إلى إجراءات عالية المستوى</v>
      </c>
      <c r="M158" s="14" t="str">
        <f>IFERROR(INDEX('نقاط التحقق'!$H$2:$H$31,MATCH($K158,'نقاط التحقق'!$A$2:$A$31,0))&amp;"","")</f>
        <v/>
      </c>
      <c r="N158" s="13">
        <v>79</v>
      </c>
      <c r="O158" s="15" t="str">
        <f>IF($N158="","غير مقيّمة",IF($N158&gt;المرجع!$K$3,"مستوفاة بشكل متقدم",IF($N158&lt;=المرجع!$K$2,"مستوفاة بشكل أولي","مستوفاة بشكل جزئي")))</f>
        <v>مستوفاة بشكل متقدم</v>
      </c>
      <c r="P158" s="18"/>
    </row>
    <row r="159" spans="1:16">
      <c r="A159" s="16" t="s">
        <v>543</v>
      </c>
      <c r="B159" s="16" t="s">
        <v>168</v>
      </c>
      <c r="C159" s="15" t="str">
        <f>IFERROR(INDEX('قائمة الوحدات'!$B$2:$B$41,MATCH($B159,'قائمة الوحدات'!$A$2:$A$41,0)),"")</f>
        <v>EXE</v>
      </c>
      <c r="D159" s="14" t="str">
        <f>IFERROR(INDEX('قائمة الوحدات'!$C$2:$C$41,MATCH($B159,'قائمة الوحدات'!$A$2:$A$41,0)),"")</f>
        <v>الشؤون التنفيذية</v>
      </c>
      <c r="E159" s="14" t="str">
        <f>IFERROR(INDEX('قائمة الوحدات'!$D$2:$D$41,MATCH($B159,'قائمة الوحدات'!$A$2:$A$41,0)),"")</f>
        <v>وكالة الشؤون الفنية</v>
      </c>
      <c r="F159" s="14" t="str">
        <f>IFERROR(INDEX('قائمة الوحدات'!$F$2:$F$41,MATCH($B159,'قائمة الوحدات'!$A$2:$A$41,0)),"")</f>
        <v>الإدارة العامة للأصول والمرافق</v>
      </c>
      <c r="G159" s="16" t="s">
        <v>61</v>
      </c>
      <c r="H159" s="14" t="str">
        <f>IFERROR(INDEX(المرجع!$A$2:$A$19,MATCH($G159,المرجع!$B$2:$B$19,0)),"")</f>
        <v>البناء المؤسسي</v>
      </c>
      <c r="I159" s="16" t="s">
        <v>45</v>
      </c>
      <c r="J159" s="14" t="str">
        <f>IFERROR(INDEX(المرجع!$D$2:$D$19,MATCH($I159,المرجع!$E$2:$E$19,0)),"")</f>
        <v>الدور</v>
      </c>
      <c r="K159" s="16" t="s">
        <v>86</v>
      </c>
      <c r="L159" s="17" t="str">
        <f>IFERROR(INDEX('نقاط التحقق'!$G$2:$G$31,MATCH($K159,'نقاط التحقق'!$A$2:$A$31,0))&amp;"","")</f>
        <v>دور معتمد للوحدة التنظيمية</v>
      </c>
      <c r="M159" s="14" t="str">
        <f>IFERROR(INDEX('نقاط التحقق'!$H$2:$H$31,MATCH($K159,'نقاط التحقق'!$A$2:$A$31,0))&amp;"","")</f>
        <v/>
      </c>
      <c r="N159" s="13">
        <v>53</v>
      </c>
      <c r="O159" s="15" t="str">
        <f>IF($N159="","غير مقيّمة",IF($N159&gt;المرجع!$K$3,"مستوفاة بشكل متقدم",IF($N159&lt;=المرجع!$K$2,"مستوفاة بشكل أولي","مستوفاة بشكل جزئي")))</f>
        <v>مستوفاة بشكل جزئي</v>
      </c>
      <c r="P159" s="18"/>
    </row>
    <row r="160" spans="1:16">
      <c r="A160" s="16" t="s">
        <v>544</v>
      </c>
      <c r="B160" s="16" t="s">
        <v>168</v>
      </c>
      <c r="C160" s="15" t="str">
        <f>IFERROR(INDEX('قائمة الوحدات'!$B$2:$B$41,MATCH($B160,'قائمة الوحدات'!$A$2:$A$41,0)),"")</f>
        <v>EXE</v>
      </c>
      <c r="D160" s="14" t="str">
        <f>IFERROR(INDEX('قائمة الوحدات'!$C$2:$C$41,MATCH($B160,'قائمة الوحدات'!$A$2:$A$41,0)),"")</f>
        <v>الشؤون التنفيذية</v>
      </c>
      <c r="E160" s="14" t="str">
        <f>IFERROR(INDEX('قائمة الوحدات'!$D$2:$D$41,MATCH($B160,'قائمة الوحدات'!$A$2:$A$41,0)),"")</f>
        <v>وكالة الشؤون الفنية</v>
      </c>
      <c r="F160" s="14" t="str">
        <f>IFERROR(INDEX('قائمة الوحدات'!$F$2:$F$41,MATCH($B160,'قائمة الوحدات'!$A$2:$A$41,0)),"")</f>
        <v>الإدارة العامة للأصول والمرافق</v>
      </c>
      <c r="G160" s="16" t="s">
        <v>61</v>
      </c>
      <c r="H160" s="14" t="str">
        <f>IFERROR(INDEX(المرجع!$A$2:$A$19,MATCH($G160,المرجع!$B$2:$B$19,0)),"")</f>
        <v>البناء المؤسسي</v>
      </c>
      <c r="I160" s="16" t="s">
        <v>48</v>
      </c>
      <c r="J160" s="14" t="str">
        <f>IFERROR(INDEX(المرجع!$D$2:$D$19,MATCH($I160,المرجع!$E$2:$E$19,0)),"")</f>
        <v>الأهداف ومؤشرات الأداء</v>
      </c>
      <c r="K160" s="16" t="s">
        <v>88</v>
      </c>
      <c r="L160" s="17" t="str">
        <f>IFERROR(INDEX('نقاط التحقق'!$G$2:$G$31,MATCH($K160,'نقاط التحقق'!$A$2:$A$31,0))&amp;"","")</f>
        <v>أهداف تشغيلية معتمدة من صاحب الصلاحية</v>
      </c>
      <c r="M160" s="14" t="str">
        <f>IFERROR(INDEX('نقاط التحقق'!$H$2:$H$31,MATCH($K160,'نقاط التحقق'!$A$2:$A$31,0))&amp;"","")</f>
        <v/>
      </c>
      <c r="N160" s="13">
        <v>100</v>
      </c>
      <c r="O160" s="15" t="str">
        <f>IF($N160="","غير مقيّمة",IF($N160&gt;المرجع!$K$3,"مستوفاة بشكل متقدم",IF($N160&lt;=المرجع!$K$2,"مستوفاة بشكل أولي","مستوفاة بشكل جزئي")))</f>
        <v>مستوفاة بشكل متقدم</v>
      </c>
      <c r="P160" s="18"/>
    </row>
    <row r="161" spans="1:16">
      <c r="A161" s="16" t="s">
        <v>545</v>
      </c>
      <c r="B161" s="16" t="s">
        <v>168</v>
      </c>
      <c r="C161" s="15" t="str">
        <f>IFERROR(INDEX('قائمة الوحدات'!$B$2:$B$41,MATCH($B161,'قائمة الوحدات'!$A$2:$A$41,0)),"")</f>
        <v>EXE</v>
      </c>
      <c r="D161" s="14" t="str">
        <f>IFERROR(INDEX('قائمة الوحدات'!$C$2:$C$41,MATCH($B161,'قائمة الوحدات'!$A$2:$A$41,0)),"")</f>
        <v>الشؤون التنفيذية</v>
      </c>
      <c r="E161" s="14" t="str">
        <f>IFERROR(INDEX('قائمة الوحدات'!$D$2:$D$41,MATCH($B161,'قائمة الوحدات'!$A$2:$A$41,0)),"")</f>
        <v>وكالة الشؤون الفنية</v>
      </c>
      <c r="F161" s="14" t="str">
        <f>IFERROR(INDEX('قائمة الوحدات'!$F$2:$F$41,MATCH($B161,'قائمة الوحدات'!$A$2:$A$41,0)),"")</f>
        <v>الإدارة العامة للأصول والمرافق</v>
      </c>
      <c r="G161" s="16" t="s">
        <v>61</v>
      </c>
      <c r="H161" s="14" t="str">
        <f>IFERROR(INDEX(المرجع!$A$2:$A$19,MATCH($G161,المرجع!$B$2:$B$19,0)),"")</f>
        <v>البناء المؤسسي</v>
      </c>
      <c r="I161" s="16" t="s">
        <v>48</v>
      </c>
      <c r="J161" s="14" t="str">
        <f>IFERROR(INDEX(المرجع!$D$2:$D$19,MATCH($I161,المرجع!$E$2:$E$19,0)),"")</f>
        <v>الأهداف ومؤشرات الأداء</v>
      </c>
      <c r="K161" s="16" t="s">
        <v>90</v>
      </c>
      <c r="L161" s="17" t="str">
        <f>IFERROR(INDEX('نقاط التحقق'!$G$2:$G$31,MATCH($K161,'نقاط التحقق'!$A$2:$A$31,0))&amp;"","")</f>
        <v>نشر الأهداف التشغيلية على موظفي الوحدة التنظيمية</v>
      </c>
      <c r="M161" s="14" t="str">
        <f>IFERROR(INDEX('نقاط التحقق'!$H$2:$H$31,MATCH($K161,'نقاط التحقق'!$A$2:$A$31,0))&amp;"","")</f>
        <v/>
      </c>
      <c r="N161" s="13">
        <v>75</v>
      </c>
      <c r="O161" s="15" t="str">
        <f>IF($N161="","غير مقيّمة",IF($N161&gt;المرجع!$K$3,"مستوفاة بشكل متقدم",IF($N161&lt;=المرجع!$K$2,"مستوفاة بشكل أولي","مستوفاة بشكل جزئي")))</f>
        <v>مستوفاة بشكل متقدم</v>
      </c>
      <c r="P161" s="18"/>
    </row>
    <row r="162" spans="1:16">
      <c r="A162" s="16" t="s">
        <v>546</v>
      </c>
      <c r="B162" s="16" t="s">
        <v>168</v>
      </c>
      <c r="C162" s="15" t="str">
        <f>IFERROR(INDEX('قائمة الوحدات'!$B$2:$B$41,MATCH($B162,'قائمة الوحدات'!$A$2:$A$41,0)),"")</f>
        <v>EXE</v>
      </c>
      <c r="D162" s="14" t="str">
        <f>IFERROR(INDEX('قائمة الوحدات'!$C$2:$C$41,MATCH($B162,'قائمة الوحدات'!$A$2:$A$41,0)),"")</f>
        <v>الشؤون التنفيذية</v>
      </c>
      <c r="E162" s="14" t="str">
        <f>IFERROR(INDEX('قائمة الوحدات'!$D$2:$D$41,MATCH($B162,'قائمة الوحدات'!$A$2:$A$41,0)),"")</f>
        <v>وكالة الشؤون الفنية</v>
      </c>
      <c r="F162" s="14" t="str">
        <f>IFERROR(INDEX('قائمة الوحدات'!$F$2:$F$41,MATCH($B162,'قائمة الوحدات'!$A$2:$A$41,0)),"")</f>
        <v>الإدارة العامة للأصول والمرافق</v>
      </c>
      <c r="G162" s="16" t="s">
        <v>61</v>
      </c>
      <c r="H162" s="14" t="str">
        <f>IFERROR(INDEX(المرجع!$A$2:$A$19,MATCH($G162,المرجع!$B$2:$B$19,0)),"")</f>
        <v>البناء المؤسسي</v>
      </c>
      <c r="I162" s="16" t="s">
        <v>51</v>
      </c>
      <c r="J162" s="14" t="str">
        <f>IFERROR(INDEX(المرجع!$D$2:$D$19,MATCH($I162,المرجع!$E$2:$E$19,0)),"")</f>
        <v>الحوكمة</v>
      </c>
      <c r="K162" s="16" t="s">
        <v>92</v>
      </c>
      <c r="L162" s="17" t="str">
        <f>IFERROR(INDEX('نقاط التحقق'!$G$2:$G$31,MATCH($K162,'نقاط التحقق'!$A$2:$A$31,0))&amp;"","")</f>
        <v>مصفوفة صلاحيات معتمدة ومعممة على أصحاب المصلحة</v>
      </c>
      <c r="M162" s="14" t="str">
        <f>IFERROR(INDEX('نقاط التحقق'!$H$2:$H$31,MATCH($K162,'نقاط التحقق'!$A$2:$A$31,0))&amp;"","")</f>
        <v/>
      </c>
      <c r="N162" s="13">
        <v>50</v>
      </c>
      <c r="O162" s="15" t="str">
        <f>IF($N162="","غير مقيّمة",IF($N162&gt;المرجع!$K$3,"مستوفاة بشكل متقدم",IF($N162&lt;=المرجع!$K$2,"مستوفاة بشكل أولي","مستوفاة بشكل جزئي")))</f>
        <v>مستوفاة بشكل جزئي</v>
      </c>
      <c r="P162" s="18"/>
    </row>
    <row r="163" spans="1:16">
      <c r="A163" s="16" t="s">
        <v>547</v>
      </c>
      <c r="B163" s="16" t="s">
        <v>168</v>
      </c>
      <c r="C163" s="15" t="str">
        <f>IFERROR(INDEX('قائمة الوحدات'!$B$2:$B$41,MATCH($B163,'قائمة الوحدات'!$A$2:$A$41,0)),"")</f>
        <v>EXE</v>
      </c>
      <c r="D163" s="14" t="str">
        <f>IFERROR(INDEX('قائمة الوحدات'!$C$2:$C$41,MATCH($B163,'قائمة الوحدات'!$A$2:$A$41,0)),"")</f>
        <v>الشؤون التنفيذية</v>
      </c>
      <c r="E163" s="14" t="str">
        <f>IFERROR(INDEX('قائمة الوحدات'!$D$2:$D$41,MATCH($B163,'قائمة الوحدات'!$A$2:$A$41,0)),"")</f>
        <v>وكالة الشؤون الفنية</v>
      </c>
      <c r="F163" s="14" t="str">
        <f>IFERROR(INDEX('قائمة الوحدات'!$F$2:$F$41,MATCH($B163,'قائمة الوحدات'!$A$2:$A$41,0)),"")</f>
        <v>الإدارة العامة للأصول والمرافق</v>
      </c>
      <c r="G163" s="16" t="s">
        <v>61</v>
      </c>
      <c r="H163" s="14" t="str">
        <f>IFERROR(INDEX(المرجع!$A$2:$A$19,MATCH($G163,المرجع!$B$2:$B$19,0)),"")</f>
        <v>البناء المؤسسي</v>
      </c>
      <c r="I163" s="16" t="s">
        <v>51</v>
      </c>
      <c r="J163" s="14" t="str">
        <f>IFERROR(INDEX(المرجع!$D$2:$D$19,MATCH($I163,المرجع!$E$2:$E$19,0)),"")</f>
        <v>الحوكمة</v>
      </c>
      <c r="K163" s="16" t="s">
        <v>94</v>
      </c>
      <c r="L163" s="17" t="str">
        <f>IFERROR(INDEX('نقاط التحقق'!$G$2:$G$31,MATCH($K163,'نقاط التحقق'!$A$2:$A$31,0))&amp;"","")</f>
        <v>سياسات معتمدة للتي تملكها الوحدة التنظيمية</v>
      </c>
      <c r="M163" s="14" t="str">
        <f>IFERROR(INDEX('نقاط التحقق'!$H$2:$H$31,MATCH($K163,'نقاط التحقق'!$A$2:$A$31,0))&amp;"","")</f>
        <v/>
      </c>
      <c r="N163" s="13">
        <v>50</v>
      </c>
      <c r="O163" s="15" t="str">
        <f>IF($N163="","غير مقيّمة",IF($N163&gt;المرجع!$K$3,"مستوفاة بشكل متقدم",IF($N163&lt;=المرجع!$K$2,"مستوفاة بشكل أولي","مستوفاة بشكل جزئي")))</f>
        <v>مستوفاة بشكل جزئي</v>
      </c>
      <c r="P163" s="18"/>
    </row>
    <row r="164" spans="1:16">
      <c r="A164" s="16" t="s">
        <v>548</v>
      </c>
      <c r="B164" s="16" t="s">
        <v>168</v>
      </c>
      <c r="C164" s="15" t="str">
        <f>IFERROR(INDEX('قائمة الوحدات'!$B$2:$B$41,MATCH($B164,'قائمة الوحدات'!$A$2:$A$41,0)),"")</f>
        <v>EXE</v>
      </c>
      <c r="D164" s="14" t="str">
        <f>IFERROR(INDEX('قائمة الوحدات'!$C$2:$C$41,MATCH($B164,'قائمة الوحدات'!$A$2:$A$41,0)),"")</f>
        <v>الشؤون التنفيذية</v>
      </c>
      <c r="E164" s="14" t="str">
        <f>IFERROR(INDEX('قائمة الوحدات'!$D$2:$D$41,MATCH($B164,'قائمة الوحدات'!$A$2:$A$41,0)),"")</f>
        <v>وكالة الشؤون الفنية</v>
      </c>
      <c r="F164" s="14" t="str">
        <f>IFERROR(INDEX('قائمة الوحدات'!$F$2:$F$41,MATCH($B164,'قائمة الوحدات'!$A$2:$A$41,0)),"")</f>
        <v>الإدارة العامة للأصول والمرافق</v>
      </c>
      <c r="G164" s="16" t="s">
        <v>61</v>
      </c>
      <c r="H164" s="14" t="str">
        <f>IFERROR(INDEX(المرجع!$A$2:$A$19,MATCH($G164,المرجع!$B$2:$B$19,0)),"")</f>
        <v>البناء المؤسسي</v>
      </c>
      <c r="I164" s="16" t="s">
        <v>51</v>
      </c>
      <c r="J164" s="14" t="str">
        <f>IFERROR(INDEX(المرجع!$D$2:$D$19,MATCH($I164,المرجع!$E$2:$E$19,0)),"")</f>
        <v>الحوكمة</v>
      </c>
      <c r="K164" s="16" t="s">
        <v>96</v>
      </c>
      <c r="L164" s="17" t="str">
        <f>IFERROR(INDEX('نقاط التحقق'!$G$2:$G$31,MATCH($K164,'نقاط التحقق'!$A$2:$A$31,0))&amp;"","")</f>
        <v>قرار تشكيل معتمد للجان ذات العلاقة</v>
      </c>
      <c r="M164" s="14" t="str">
        <f>IFERROR(INDEX('نقاط التحقق'!$H$2:$H$31,MATCH($K164,'نقاط التحقق'!$A$2:$A$31,0))&amp;"","")</f>
        <v/>
      </c>
      <c r="N164" s="13">
        <v>65</v>
      </c>
      <c r="O164" s="15" t="str">
        <f>IF($N164="","غير مقيّمة",IF($N164&gt;المرجع!$K$3,"مستوفاة بشكل متقدم",IF($N164&lt;=المرجع!$K$2,"مستوفاة بشكل أولي","مستوفاة بشكل جزئي")))</f>
        <v>مستوفاة بشكل جزئي</v>
      </c>
      <c r="P164" s="18"/>
    </row>
    <row r="165" spans="1:16">
      <c r="A165" s="16" t="s">
        <v>549</v>
      </c>
      <c r="B165" s="16" t="s">
        <v>168</v>
      </c>
      <c r="C165" s="15" t="str">
        <f>IFERROR(INDEX('قائمة الوحدات'!$B$2:$B$41,MATCH($B165,'قائمة الوحدات'!$A$2:$A$41,0)),"")</f>
        <v>EXE</v>
      </c>
      <c r="D165" s="14" t="str">
        <f>IFERROR(INDEX('قائمة الوحدات'!$C$2:$C$41,MATCH($B165,'قائمة الوحدات'!$A$2:$A$41,0)),"")</f>
        <v>الشؤون التنفيذية</v>
      </c>
      <c r="E165" s="14" t="str">
        <f>IFERROR(INDEX('قائمة الوحدات'!$D$2:$D$41,MATCH($B165,'قائمة الوحدات'!$A$2:$A$41,0)),"")</f>
        <v>وكالة الشؤون الفنية</v>
      </c>
      <c r="F165" s="14" t="str">
        <f>IFERROR(INDEX('قائمة الوحدات'!$F$2:$F$41,MATCH($B165,'قائمة الوحدات'!$A$2:$A$41,0)),"")</f>
        <v>الإدارة العامة للأصول والمرافق</v>
      </c>
      <c r="G165" s="16" t="s">
        <v>61</v>
      </c>
      <c r="H165" s="14" t="str">
        <f>IFERROR(INDEX(المرجع!$A$2:$A$19,MATCH($G165,المرجع!$B$2:$B$19,0)),"")</f>
        <v>البناء المؤسسي</v>
      </c>
      <c r="I165" s="16" t="s">
        <v>54</v>
      </c>
      <c r="J165" s="14" t="str">
        <f>IFERROR(INDEX(المرجع!$D$2:$D$19,MATCH($I165,المرجع!$E$2:$E$19,0)),"")</f>
        <v>التنظيم</v>
      </c>
      <c r="K165" s="16" t="s">
        <v>98</v>
      </c>
      <c r="L165" s="17" t="str">
        <f>IFERROR(INDEX('نقاط التحقق'!$G$2:$G$31,MATCH($K165,'نقاط التحقق'!$A$2:$A$31,0))&amp;"","")</f>
        <v>هيكل تنظيمي معتمد من صاحب الصلاحية</v>
      </c>
      <c r="M165" s="14" t="str">
        <f>IFERROR(INDEX('نقاط التحقق'!$H$2:$H$31,MATCH($K165,'نقاط التحقق'!$A$2:$A$31,0))&amp;"","")</f>
        <v/>
      </c>
      <c r="N165" s="13">
        <v>40</v>
      </c>
      <c r="O165" s="15" t="str">
        <f>IF($N165="","غير مقيّمة",IF($N165&gt;المرجع!$K$3,"مستوفاة بشكل متقدم",IF($N165&lt;=المرجع!$K$2,"مستوفاة بشكل أولي","مستوفاة بشكل جزئي")))</f>
        <v>مستوفاة بشكل جزئي</v>
      </c>
      <c r="P165" s="18"/>
    </row>
    <row r="166" spans="1:16">
      <c r="A166" s="16" t="s">
        <v>550</v>
      </c>
      <c r="B166" s="16" t="s">
        <v>168</v>
      </c>
      <c r="C166" s="15" t="str">
        <f>IFERROR(INDEX('قائمة الوحدات'!$B$2:$B$41,MATCH($B166,'قائمة الوحدات'!$A$2:$A$41,0)),"")</f>
        <v>EXE</v>
      </c>
      <c r="D166" s="14" t="str">
        <f>IFERROR(INDEX('قائمة الوحدات'!$C$2:$C$41,MATCH($B166,'قائمة الوحدات'!$A$2:$A$41,0)),"")</f>
        <v>الشؤون التنفيذية</v>
      </c>
      <c r="E166" s="14" t="str">
        <f>IFERROR(INDEX('قائمة الوحدات'!$D$2:$D$41,MATCH($B166,'قائمة الوحدات'!$A$2:$A$41,0)),"")</f>
        <v>وكالة الشؤون الفنية</v>
      </c>
      <c r="F166" s="14" t="str">
        <f>IFERROR(INDEX('قائمة الوحدات'!$F$2:$F$41,MATCH($B166,'قائمة الوحدات'!$A$2:$A$41,0)),"")</f>
        <v>الإدارة العامة للأصول والمرافق</v>
      </c>
      <c r="G166" s="16" t="s">
        <v>61</v>
      </c>
      <c r="H166" s="14" t="str">
        <f>IFERROR(INDEX(المرجع!$A$2:$A$19,MATCH($G166,المرجع!$B$2:$B$19,0)),"")</f>
        <v>البناء المؤسسي</v>
      </c>
      <c r="I166" s="16" t="s">
        <v>54</v>
      </c>
      <c r="J166" s="14" t="str">
        <f>IFERROR(INDEX(المرجع!$D$2:$D$19,MATCH($I166,المرجع!$E$2:$E$19,0)),"")</f>
        <v>التنظيم</v>
      </c>
      <c r="K166" s="16" t="s">
        <v>100</v>
      </c>
      <c r="L166" s="17" t="str">
        <f>IFERROR(INDEX('نقاط التحقق'!$G$2:$G$31,MATCH($K166,'نقاط التحقق'!$A$2:$A$31,0))&amp;"","")</f>
        <v>هيكل تنظيمي منشأ على نظام القوى العاملة</v>
      </c>
      <c r="M166" s="14" t="str">
        <f>IFERROR(INDEX('نقاط التحقق'!$H$2:$H$31,MATCH($K166,'نقاط التحقق'!$A$2:$A$31,0))&amp;"","")</f>
        <v/>
      </c>
      <c r="N166" s="13">
        <v>35</v>
      </c>
      <c r="O166" s="15" t="str">
        <f>IF($N166="","غير مقيّمة",IF($N166&gt;المرجع!$K$3,"مستوفاة بشكل متقدم",IF($N166&lt;=المرجع!$K$2,"مستوفاة بشكل أولي","مستوفاة بشكل جزئي")))</f>
        <v>مستوفاة بشكل جزئي</v>
      </c>
      <c r="P166" s="18"/>
    </row>
    <row r="167" spans="1:16">
      <c r="A167" s="16" t="s">
        <v>551</v>
      </c>
      <c r="B167" s="16" t="s">
        <v>168</v>
      </c>
      <c r="C167" s="15" t="str">
        <f>IFERROR(INDEX('قائمة الوحدات'!$B$2:$B$41,MATCH($B167,'قائمة الوحدات'!$A$2:$A$41,0)),"")</f>
        <v>EXE</v>
      </c>
      <c r="D167" s="14" t="str">
        <f>IFERROR(INDEX('قائمة الوحدات'!$C$2:$C$41,MATCH($B167,'قائمة الوحدات'!$A$2:$A$41,0)),"")</f>
        <v>الشؤون التنفيذية</v>
      </c>
      <c r="E167" s="14" t="str">
        <f>IFERROR(INDEX('قائمة الوحدات'!$D$2:$D$41,MATCH($B167,'قائمة الوحدات'!$A$2:$A$41,0)),"")</f>
        <v>وكالة الشؤون الفنية</v>
      </c>
      <c r="F167" s="14" t="str">
        <f>IFERROR(INDEX('قائمة الوحدات'!$F$2:$F$41,MATCH($B167,'قائمة الوحدات'!$A$2:$A$41,0)),"")</f>
        <v>الإدارة العامة للأصول والمرافق</v>
      </c>
      <c r="G167" s="16" t="s">
        <v>61</v>
      </c>
      <c r="H167" s="14" t="str">
        <f>IFERROR(INDEX(المرجع!$A$2:$A$19,MATCH($G167,المرجع!$B$2:$B$19,0)),"")</f>
        <v>البناء المؤسسي</v>
      </c>
      <c r="I167" s="16" t="s">
        <v>54</v>
      </c>
      <c r="J167" s="14" t="str">
        <f>IFERROR(INDEX(المرجع!$D$2:$D$19,MATCH($I167,المرجع!$E$2:$E$19,0)),"")</f>
        <v>التنظيم</v>
      </c>
      <c r="K167" s="16" t="s">
        <v>102</v>
      </c>
      <c r="L167" s="17" t="str">
        <f>IFERROR(INDEX('نقاط التحقق'!$G$2:$G$31,MATCH($K167,'نقاط التحقق'!$A$2:$A$31,0))&amp;"","")</f>
        <v>الموظفون المحددون مسكّنون على الهيكل التنظيمي المستهدف</v>
      </c>
      <c r="M167" s="14" t="str">
        <f>IFERROR(INDEX('نقاط التحقق'!$H$2:$H$31,MATCH($K167,'نقاط التحقق'!$A$2:$A$31,0))&amp;"","")</f>
        <v/>
      </c>
      <c r="N167" s="13">
        <v>40</v>
      </c>
      <c r="O167" s="15" t="str">
        <f>IF($N167="","غير مقيّمة",IF($N167&gt;المرجع!$K$3,"مستوفاة بشكل متقدم",IF($N167&lt;=المرجع!$K$2,"مستوفاة بشكل أولي","مستوفاة بشكل جزئي")))</f>
        <v>مستوفاة بشكل جزئي</v>
      </c>
      <c r="P167" s="18"/>
    </row>
    <row r="168" spans="1:16">
      <c r="A168" s="16" t="s">
        <v>552</v>
      </c>
      <c r="B168" s="16" t="s">
        <v>168</v>
      </c>
      <c r="C168" s="15" t="str">
        <f>IFERROR(INDEX('قائمة الوحدات'!$B$2:$B$41,MATCH($B168,'قائمة الوحدات'!$A$2:$A$41,0)),"")</f>
        <v>EXE</v>
      </c>
      <c r="D168" s="14" t="str">
        <f>IFERROR(INDEX('قائمة الوحدات'!$C$2:$C$41,MATCH($B168,'قائمة الوحدات'!$A$2:$A$41,0)),"")</f>
        <v>الشؤون التنفيذية</v>
      </c>
      <c r="E168" s="14" t="str">
        <f>IFERROR(INDEX('قائمة الوحدات'!$D$2:$D$41,MATCH($B168,'قائمة الوحدات'!$A$2:$A$41,0)),"")</f>
        <v>وكالة الشؤون الفنية</v>
      </c>
      <c r="F168" s="14" t="str">
        <f>IFERROR(INDEX('قائمة الوحدات'!$F$2:$F$41,MATCH($B168,'قائمة الوحدات'!$A$2:$A$41,0)),"")</f>
        <v>الإدارة العامة للأصول والمرافق</v>
      </c>
      <c r="G168" s="16" t="s">
        <v>61</v>
      </c>
      <c r="H168" s="14" t="str">
        <f>IFERROR(INDEX(المرجع!$A$2:$A$19,MATCH($G168,المرجع!$B$2:$B$19,0)),"")</f>
        <v>البناء المؤسسي</v>
      </c>
      <c r="I168" s="16" t="s">
        <v>56</v>
      </c>
      <c r="J168" s="14" t="str">
        <f>IFERROR(INDEX(المرجع!$D$2:$D$19,MATCH($I168,المرجع!$E$2:$E$19,0)),"")</f>
        <v>الموارد</v>
      </c>
      <c r="K168" s="16" t="s">
        <v>104</v>
      </c>
      <c r="L168" s="17" t="str">
        <f>IFERROR(INDEX('نقاط التحقق'!$G$2:$G$31,MATCH($K168,'نقاط التحقق'!$A$2:$A$31,0))&amp;"","")</f>
        <v>مدير الوحدة التنظيمية والموظفون الرئيسيون معينون/ملحقون</v>
      </c>
      <c r="M168" s="14" t="str">
        <f>IFERROR(INDEX('نقاط التحقق'!$H$2:$H$31,MATCH($K168,'نقاط التحقق'!$A$2:$A$31,0))&amp;"","")</f>
        <v/>
      </c>
      <c r="N168" s="13">
        <v>50</v>
      </c>
      <c r="O168" s="15" t="str">
        <f>IF($N168="","غير مقيّمة",IF($N168&gt;المرجع!$K$3,"مستوفاة بشكل متقدم",IF($N168&lt;=المرجع!$K$2,"مستوفاة بشكل أولي","مستوفاة بشكل جزئي")))</f>
        <v>مستوفاة بشكل جزئي</v>
      </c>
      <c r="P168" s="18"/>
    </row>
    <row r="169" spans="1:16">
      <c r="A169" s="16" t="s">
        <v>553</v>
      </c>
      <c r="B169" s="16" t="s">
        <v>168</v>
      </c>
      <c r="C169" s="15" t="str">
        <f>IFERROR(INDEX('قائمة الوحدات'!$B$2:$B$41,MATCH($B169,'قائمة الوحدات'!$A$2:$A$41,0)),"")</f>
        <v>EXE</v>
      </c>
      <c r="D169" s="14" t="str">
        <f>IFERROR(INDEX('قائمة الوحدات'!$C$2:$C$41,MATCH($B169,'قائمة الوحدات'!$A$2:$A$41,0)),"")</f>
        <v>الشؤون التنفيذية</v>
      </c>
      <c r="E169" s="14" t="str">
        <f>IFERROR(INDEX('قائمة الوحدات'!$D$2:$D$41,MATCH($B169,'قائمة الوحدات'!$A$2:$A$41,0)),"")</f>
        <v>وكالة الشؤون الفنية</v>
      </c>
      <c r="F169" s="14" t="str">
        <f>IFERROR(INDEX('قائمة الوحدات'!$F$2:$F$41,MATCH($B169,'قائمة الوحدات'!$A$2:$A$41,0)),"")</f>
        <v>الإدارة العامة للأصول والمرافق</v>
      </c>
      <c r="G169" s="16" t="s">
        <v>61</v>
      </c>
      <c r="H169" s="14" t="str">
        <f>IFERROR(INDEX(المرجع!$A$2:$A$19,MATCH($G169,المرجع!$B$2:$B$19,0)),"")</f>
        <v>البناء المؤسسي</v>
      </c>
      <c r="I169" s="16" t="s">
        <v>56</v>
      </c>
      <c r="J169" s="14" t="str">
        <f>IFERROR(INDEX(المرجع!$D$2:$D$19,MATCH($I169,المرجع!$E$2:$E$19,0)),"")</f>
        <v>الموارد</v>
      </c>
      <c r="K169" s="16" t="s">
        <v>106</v>
      </c>
      <c r="L169" s="17" t="str">
        <f>IFERROR(INDEX('نقاط التحقق'!$G$2:$G$31,MATCH($K169,'نقاط التحقق'!$A$2:$A$31,0))&amp;"","")</f>
        <v>خطة توظيف وتدريب مستكملة</v>
      </c>
      <c r="M169" s="14" t="str">
        <f>IFERROR(INDEX('نقاط التحقق'!$H$2:$H$31,MATCH($K169,'نقاط التحقق'!$A$2:$A$31,0))&amp;"","")</f>
        <v/>
      </c>
      <c r="N169" s="13">
        <v>50</v>
      </c>
      <c r="O169" s="15" t="str">
        <f>IF($N169="","غير مقيّمة",IF($N169&gt;المرجع!$K$3,"مستوفاة بشكل متقدم",IF($N169&lt;=المرجع!$K$2,"مستوفاة بشكل أولي","مستوفاة بشكل جزئي")))</f>
        <v>مستوفاة بشكل جزئي</v>
      </c>
      <c r="P169" s="18"/>
    </row>
    <row r="170" spans="1:16">
      <c r="A170" s="16" t="s">
        <v>554</v>
      </c>
      <c r="B170" s="16" t="s">
        <v>168</v>
      </c>
      <c r="C170" s="15" t="str">
        <f>IFERROR(INDEX('قائمة الوحدات'!$B$2:$B$41,MATCH($B170,'قائمة الوحدات'!$A$2:$A$41,0)),"")</f>
        <v>EXE</v>
      </c>
      <c r="D170" s="14" t="str">
        <f>IFERROR(INDEX('قائمة الوحدات'!$C$2:$C$41,MATCH($B170,'قائمة الوحدات'!$A$2:$A$41,0)),"")</f>
        <v>الشؤون التنفيذية</v>
      </c>
      <c r="E170" s="14" t="str">
        <f>IFERROR(INDEX('قائمة الوحدات'!$D$2:$D$41,MATCH($B170,'قائمة الوحدات'!$A$2:$A$41,0)),"")</f>
        <v>وكالة الشؤون الفنية</v>
      </c>
      <c r="F170" s="14" t="str">
        <f>IFERROR(INDEX('قائمة الوحدات'!$F$2:$F$41,MATCH($B170,'قائمة الوحدات'!$A$2:$A$41,0)),"")</f>
        <v>الإدارة العامة للأصول والمرافق</v>
      </c>
      <c r="G170" s="16" t="s">
        <v>61</v>
      </c>
      <c r="H170" s="14" t="str">
        <f>IFERROR(INDEX(المرجع!$A$2:$A$19,MATCH($G170,المرجع!$B$2:$B$19,0)),"")</f>
        <v>البناء المؤسسي</v>
      </c>
      <c r="I170" s="16" t="s">
        <v>56</v>
      </c>
      <c r="J170" s="14" t="str">
        <f>IFERROR(INDEX(المرجع!$D$2:$D$19,MATCH($I170,المرجع!$E$2:$E$19,0)),"")</f>
        <v>الموارد</v>
      </c>
      <c r="K170" s="16" t="s">
        <v>108</v>
      </c>
      <c r="L170" s="17" t="str">
        <f>IFERROR(INDEX('نقاط التحقق'!$G$2:$G$31,MATCH($K170,'نقاط التحقق'!$A$2:$A$31,0))&amp;"","")</f>
        <v>وجود مساحات مكتبية كافية</v>
      </c>
      <c r="M170" s="14" t="str">
        <f>IFERROR(INDEX('نقاط التحقق'!$H$2:$H$31,MATCH($K170,'نقاط التحقق'!$A$2:$A$31,0))&amp;"","")</f>
        <v/>
      </c>
      <c r="N170" s="13">
        <v>65</v>
      </c>
      <c r="O170" s="15" t="str">
        <f>IF($N170="","غير مقيّمة",IF($N170&gt;المرجع!$K$3,"مستوفاة بشكل متقدم",IF($N170&lt;=المرجع!$K$2,"مستوفاة بشكل أولي","مستوفاة بشكل جزئي")))</f>
        <v>مستوفاة بشكل جزئي</v>
      </c>
      <c r="P170" s="18"/>
    </row>
    <row r="171" spans="1:16">
      <c r="A171" s="16" t="s">
        <v>555</v>
      </c>
      <c r="B171" s="16" t="s">
        <v>168</v>
      </c>
      <c r="C171" s="15" t="str">
        <f>IFERROR(INDEX('قائمة الوحدات'!$B$2:$B$41,MATCH($B171,'قائمة الوحدات'!$A$2:$A$41,0)),"")</f>
        <v>EXE</v>
      </c>
      <c r="D171" s="14" t="str">
        <f>IFERROR(INDEX('قائمة الوحدات'!$C$2:$C$41,MATCH($B171,'قائمة الوحدات'!$A$2:$A$41,0)),"")</f>
        <v>الشؤون التنفيذية</v>
      </c>
      <c r="E171" s="14" t="str">
        <f>IFERROR(INDEX('قائمة الوحدات'!$D$2:$D$41,MATCH($B171,'قائمة الوحدات'!$A$2:$A$41,0)),"")</f>
        <v>وكالة الشؤون الفنية</v>
      </c>
      <c r="F171" s="14" t="str">
        <f>IFERROR(INDEX('قائمة الوحدات'!$F$2:$F$41,MATCH($B171,'قائمة الوحدات'!$A$2:$A$41,0)),"")</f>
        <v>الإدارة العامة للأصول والمرافق</v>
      </c>
      <c r="G171" s="16" t="s">
        <v>61</v>
      </c>
      <c r="H171" s="14" t="str">
        <f>IFERROR(INDEX(المرجع!$A$2:$A$19,MATCH($G171,المرجع!$B$2:$B$19,0)),"")</f>
        <v>البناء المؤسسي</v>
      </c>
      <c r="I171" s="16" t="s">
        <v>56</v>
      </c>
      <c r="J171" s="14" t="str">
        <f>IFERROR(INDEX(المرجع!$D$2:$D$19,MATCH($I171,المرجع!$E$2:$E$19,0)),"")</f>
        <v>الموارد</v>
      </c>
      <c r="K171" s="16" t="s">
        <v>110</v>
      </c>
      <c r="L171" s="17" t="str">
        <f>IFERROR(INDEX('نقاط التحقق'!$G$2:$G$31,MATCH($K171,'نقاط التحقق'!$A$2:$A$31,0))&amp;"","")</f>
        <v>وجود الاحتياجات التقنية الأساسية</v>
      </c>
      <c r="M171" s="14" t="str">
        <f>IFERROR(INDEX('نقاط التحقق'!$H$2:$H$31,MATCH($K171,'نقاط التحقق'!$A$2:$A$31,0))&amp;"","")</f>
        <v/>
      </c>
      <c r="N171" s="13">
        <v>65</v>
      </c>
      <c r="O171" s="15" t="str">
        <f>IF($N171="","غير مقيّمة",IF($N171&gt;المرجع!$K$3,"مستوفاة بشكل متقدم",IF($N171&lt;=المرجع!$K$2,"مستوفاة بشكل أولي","مستوفاة بشكل جزئي")))</f>
        <v>مستوفاة بشكل جزئي</v>
      </c>
      <c r="P171" s="18"/>
    </row>
    <row r="172" spans="1:16">
      <c r="A172" s="16" t="s">
        <v>556</v>
      </c>
      <c r="B172" s="16" t="s">
        <v>168</v>
      </c>
      <c r="C172" s="15" t="str">
        <f>IFERROR(INDEX('قائمة الوحدات'!$B$2:$B$41,MATCH($B172,'قائمة الوحدات'!$A$2:$A$41,0)),"")</f>
        <v>EXE</v>
      </c>
      <c r="D172" s="14" t="str">
        <f>IFERROR(INDEX('قائمة الوحدات'!$C$2:$C$41,MATCH($B172,'قائمة الوحدات'!$A$2:$A$41,0)),"")</f>
        <v>الشؤون التنفيذية</v>
      </c>
      <c r="E172" s="14" t="str">
        <f>IFERROR(INDEX('قائمة الوحدات'!$D$2:$D$41,MATCH($B172,'قائمة الوحدات'!$A$2:$A$41,0)),"")</f>
        <v>وكالة الشؤون الفنية</v>
      </c>
      <c r="F172" s="14" t="str">
        <f>IFERROR(INDEX('قائمة الوحدات'!$F$2:$F$41,MATCH($B172,'قائمة الوحدات'!$A$2:$A$41,0)),"")</f>
        <v>الإدارة العامة للأصول والمرافق</v>
      </c>
      <c r="G172" s="16" t="s">
        <v>61</v>
      </c>
      <c r="H172" s="14" t="str">
        <f>IFERROR(INDEX(المرجع!$A$2:$A$19,MATCH($G172,المرجع!$B$2:$B$19,0)),"")</f>
        <v>البناء المؤسسي</v>
      </c>
      <c r="I172" s="16" t="s">
        <v>59</v>
      </c>
      <c r="J172" s="14" t="str">
        <f>IFERROR(INDEX(المرجع!$D$2:$D$19,MATCH($I172,المرجع!$E$2:$E$19,0)),"")</f>
        <v>الإجراءات</v>
      </c>
      <c r="K172" s="16" t="s">
        <v>112</v>
      </c>
      <c r="L172" s="17" t="str">
        <f>IFERROR(INDEX('نقاط التحقق'!$G$2:$G$31,MATCH($K172,'نقاط التحقق'!$A$2:$A$31,0))&amp;"","")</f>
        <v>إجراءات معتمدة للوحدة التنظيمية</v>
      </c>
      <c r="M172" s="14" t="str">
        <f>IFERROR(INDEX('نقاط التحقق'!$H$2:$H$31,MATCH($K172,'نقاط التحقق'!$A$2:$A$31,0))&amp;"","")</f>
        <v/>
      </c>
      <c r="N172" s="13">
        <v>74</v>
      </c>
      <c r="O172" s="15" t="str">
        <f>IF($N172="","غير مقيّمة",IF($N172&gt;المرجع!$K$3,"مستوفاة بشكل متقدم",IF($N172&lt;=المرجع!$K$2,"مستوفاة بشكل أولي","مستوفاة بشكل جزئي")))</f>
        <v>مستوفاة بشكل متقدم</v>
      </c>
      <c r="P172" s="18"/>
    </row>
    <row r="173" spans="1:16">
      <c r="A173" s="16" t="s">
        <v>557</v>
      </c>
      <c r="B173" s="16" t="s">
        <v>168</v>
      </c>
      <c r="C173" s="15" t="str">
        <f>IFERROR(INDEX('قائمة الوحدات'!$B$2:$B$41,MATCH($B173,'قائمة الوحدات'!$A$2:$A$41,0)),"")</f>
        <v>EXE</v>
      </c>
      <c r="D173" s="14" t="str">
        <f>IFERROR(INDEX('قائمة الوحدات'!$C$2:$C$41,MATCH($B173,'قائمة الوحدات'!$A$2:$A$41,0)),"")</f>
        <v>الشؤون التنفيذية</v>
      </c>
      <c r="E173" s="14" t="str">
        <f>IFERROR(INDEX('قائمة الوحدات'!$D$2:$D$41,MATCH($B173,'قائمة الوحدات'!$A$2:$A$41,0)),"")</f>
        <v>وكالة الشؤون الفنية</v>
      </c>
      <c r="F173" s="14" t="str">
        <f>IFERROR(INDEX('قائمة الوحدات'!$F$2:$F$41,MATCH($B173,'قائمة الوحدات'!$A$2:$A$41,0)),"")</f>
        <v>الإدارة العامة للأصول والمرافق</v>
      </c>
      <c r="G173" s="16" t="s">
        <v>61</v>
      </c>
      <c r="H173" s="14" t="str">
        <f>IFERROR(INDEX(المرجع!$A$2:$A$19,MATCH($G173,المرجع!$B$2:$B$19,0)),"")</f>
        <v>البناء المؤسسي</v>
      </c>
      <c r="I173" s="16" t="s">
        <v>63</v>
      </c>
      <c r="J173" s="14" t="str">
        <f>IFERROR(INDEX(المرجع!$D$2:$D$19,MATCH($I173,المرجع!$E$2:$E$19,0)),"")</f>
        <v>إنتاج المخرج الأول</v>
      </c>
      <c r="K173" s="16" t="s">
        <v>114</v>
      </c>
      <c r="L173" s="17" t="str">
        <f>IFERROR(INDEX('نقاط التحقق'!$G$2:$G$31,MATCH($K173,'نقاط التحقق'!$A$2:$A$31,0))&amp;"","")</f>
        <v>إنتاج المخرج الأول من قبل الوحدة التنظيمية</v>
      </c>
      <c r="M173" s="14" t="str">
        <f>IFERROR(INDEX('نقاط التحقق'!$H$2:$H$31,MATCH($K173,'نقاط التحقق'!$A$2:$A$31,0))&amp;"","")</f>
        <v/>
      </c>
      <c r="N173" s="13">
        <v>42</v>
      </c>
      <c r="O173" s="15" t="str">
        <f>IF($N173="","غير مقيّمة",IF($N173&gt;المرجع!$K$3,"مستوفاة بشكل متقدم",IF($N173&lt;=المرجع!$K$2,"مستوفاة بشكل أولي","مستوفاة بشكل جزئي")))</f>
        <v>مستوفاة بشكل جزئي</v>
      </c>
      <c r="P173" s="18"/>
    </row>
    <row r="174" spans="1:16">
      <c r="A174" s="16" t="s">
        <v>558</v>
      </c>
      <c r="B174" s="16" t="s">
        <v>168</v>
      </c>
      <c r="C174" s="15" t="str">
        <f>IFERROR(INDEX('قائمة الوحدات'!$B$2:$B$41,MATCH($B174,'قائمة الوحدات'!$A$2:$A$41,0)),"")</f>
        <v>EXE</v>
      </c>
      <c r="D174" s="14" t="str">
        <f>IFERROR(INDEX('قائمة الوحدات'!$C$2:$C$41,MATCH($B174,'قائمة الوحدات'!$A$2:$A$41,0)),"")</f>
        <v>الشؤون التنفيذية</v>
      </c>
      <c r="E174" s="14" t="str">
        <f>IFERROR(INDEX('قائمة الوحدات'!$D$2:$D$41,MATCH($B174,'قائمة الوحدات'!$A$2:$A$41,0)),"")</f>
        <v>وكالة الشؤون الفنية</v>
      </c>
      <c r="F174" s="14" t="str">
        <f>IFERROR(INDEX('قائمة الوحدات'!$F$2:$F$41,MATCH($B174,'قائمة الوحدات'!$A$2:$A$41,0)),"")</f>
        <v>الإدارة العامة للأصول والمرافق</v>
      </c>
      <c r="G174" s="16" t="s">
        <v>65</v>
      </c>
      <c r="H174" s="14" t="str">
        <f>IFERROR(INDEX(المرجع!$A$2:$A$19,MATCH($G174,المرجع!$B$2:$B$19,0)),"")</f>
        <v>التشغيل</v>
      </c>
      <c r="I174" s="16" t="s">
        <v>48</v>
      </c>
      <c r="J174" s="14" t="str">
        <f>IFERROR(INDEX(المرجع!$D$2:$D$19,MATCH($I174,المرجع!$E$2:$E$19,0)),"")</f>
        <v>الأهداف ومؤشرات الأداء</v>
      </c>
      <c r="K174" s="16" t="s">
        <v>116</v>
      </c>
      <c r="L174" s="17" t="str">
        <f>IFERROR(INDEX('نقاط التحقق'!$G$2:$G$31,MATCH($K174,'نقاط التحقق'!$A$2:$A$31,0))&amp;"","")</f>
        <v>تحرك مؤشرات الأداء التشغيلي للوحدة التنظيمية بشكل إيجابي</v>
      </c>
      <c r="M174" s="14" t="str">
        <f>IFERROR(INDEX('نقاط التحقق'!$H$2:$H$31,MATCH($K174,'نقاط التحقق'!$A$2:$A$31,0))&amp;"","")</f>
        <v/>
      </c>
      <c r="N174" s="13">
        <v>70</v>
      </c>
      <c r="O174" s="15" t="str">
        <f>IF($N174="","غير مقيّمة",IF($N174&gt;المرجع!$K$3,"مستوفاة بشكل متقدم",IF($N174&lt;=المرجع!$K$2,"مستوفاة بشكل أولي","مستوفاة بشكل جزئي")))</f>
        <v>مستوفاة بشكل جزئي</v>
      </c>
      <c r="P174" s="18"/>
    </row>
    <row r="175" spans="1:16">
      <c r="A175" s="16" t="s">
        <v>559</v>
      </c>
      <c r="B175" s="16" t="s">
        <v>168</v>
      </c>
      <c r="C175" s="15" t="str">
        <f>IFERROR(INDEX('قائمة الوحدات'!$B$2:$B$41,MATCH($B175,'قائمة الوحدات'!$A$2:$A$41,0)),"")</f>
        <v>EXE</v>
      </c>
      <c r="D175" s="14" t="str">
        <f>IFERROR(INDEX('قائمة الوحدات'!$C$2:$C$41,MATCH($B175,'قائمة الوحدات'!$A$2:$A$41,0)),"")</f>
        <v>الشؤون التنفيذية</v>
      </c>
      <c r="E175" s="14" t="str">
        <f>IFERROR(INDEX('قائمة الوحدات'!$D$2:$D$41,MATCH($B175,'قائمة الوحدات'!$A$2:$A$41,0)),"")</f>
        <v>وكالة الشؤون الفنية</v>
      </c>
      <c r="F175" s="14" t="str">
        <f>IFERROR(INDEX('قائمة الوحدات'!$F$2:$F$41,MATCH($B175,'قائمة الوحدات'!$A$2:$A$41,0)),"")</f>
        <v>الإدارة العامة للأصول والمرافق</v>
      </c>
      <c r="G175" s="16" t="s">
        <v>65</v>
      </c>
      <c r="H175" s="14" t="str">
        <f>IFERROR(INDEX(المرجع!$A$2:$A$19,MATCH($G175,المرجع!$B$2:$B$19,0)),"")</f>
        <v>التشغيل</v>
      </c>
      <c r="I175" s="16" t="s">
        <v>48</v>
      </c>
      <c r="J175" s="14" t="str">
        <f>IFERROR(INDEX(المرجع!$D$2:$D$19,MATCH($I175,المرجع!$E$2:$E$19,0)),"")</f>
        <v>الأهداف ومؤشرات الأداء</v>
      </c>
      <c r="K175" s="16" t="s">
        <v>118</v>
      </c>
      <c r="L175" s="17" t="str">
        <f>IFERROR(INDEX('نقاط التحقق'!$G$2:$G$31,MATCH($K175,'نقاط التحقق'!$A$2:$A$31,0))&amp;"","")</f>
        <v>خطة سنوية معتمدة للوحدة التنظيمية</v>
      </c>
      <c r="M175" s="14" t="str">
        <f>IFERROR(INDEX('نقاط التحقق'!$H$2:$H$31,MATCH($K175,'نقاط التحقق'!$A$2:$A$31,0))&amp;"","")</f>
        <v/>
      </c>
      <c r="N175" s="13">
        <v>50</v>
      </c>
      <c r="O175" s="15" t="str">
        <f>IF($N175="","غير مقيّمة",IF($N175&gt;المرجع!$K$3,"مستوفاة بشكل متقدم",IF($N175&lt;=المرجع!$K$2,"مستوفاة بشكل أولي","مستوفاة بشكل جزئي")))</f>
        <v>مستوفاة بشكل جزئي</v>
      </c>
      <c r="P175" s="18"/>
    </row>
    <row r="176" spans="1:16">
      <c r="A176" s="16" t="s">
        <v>560</v>
      </c>
      <c r="B176" s="16" t="s">
        <v>168</v>
      </c>
      <c r="C176" s="15" t="str">
        <f>IFERROR(INDEX('قائمة الوحدات'!$B$2:$B$41,MATCH($B176,'قائمة الوحدات'!$A$2:$A$41,0)),"")</f>
        <v>EXE</v>
      </c>
      <c r="D176" s="14" t="str">
        <f>IFERROR(INDEX('قائمة الوحدات'!$C$2:$C$41,MATCH($B176,'قائمة الوحدات'!$A$2:$A$41,0)),"")</f>
        <v>الشؤون التنفيذية</v>
      </c>
      <c r="E176" s="14" t="str">
        <f>IFERROR(INDEX('قائمة الوحدات'!$D$2:$D$41,MATCH($B176,'قائمة الوحدات'!$A$2:$A$41,0)),"")</f>
        <v>وكالة الشؤون الفنية</v>
      </c>
      <c r="F176" s="14" t="str">
        <f>IFERROR(INDEX('قائمة الوحدات'!$F$2:$F$41,MATCH($B176,'قائمة الوحدات'!$A$2:$A$41,0)),"")</f>
        <v>الإدارة العامة للأصول والمرافق</v>
      </c>
      <c r="G176" s="16" t="s">
        <v>65</v>
      </c>
      <c r="H176" s="14" t="str">
        <f>IFERROR(INDEX(المرجع!$A$2:$A$19,MATCH($G176,المرجع!$B$2:$B$19,0)),"")</f>
        <v>التشغيل</v>
      </c>
      <c r="I176" s="16" t="s">
        <v>51</v>
      </c>
      <c r="J176" s="14" t="str">
        <f>IFERROR(INDEX(المرجع!$D$2:$D$19,MATCH($I176,المرجع!$E$2:$E$19,0)),"")</f>
        <v>الحوكمة</v>
      </c>
      <c r="K176" s="16" t="s">
        <v>120</v>
      </c>
      <c r="L176" s="17" t="str">
        <f>IFERROR(INDEX('نقاط التحقق'!$G$2:$G$31,MATCH($K176,'نقاط التحقق'!$A$2:$A$31,0))&amp;"","")</f>
        <v>محاضر لجان موثقة</v>
      </c>
      <c r="M176" s="14" t="str">
        <f>IFERROR(INDEX('نقاط التحقق'!$H$2:$H$31,MATCH($K176,'نقاط التحقق'!$A$2:$A$31,0))&amp;"","")</f>
        <v/>
      </c>
      <c r="N176" s="13">
        <v>65</v>
      </c>
      <c r="O176" s="15" t="str">
        <f>IF($N176="","غير مقيّمة",IF($N176&gt;المرجع!$K$3,"مستوفاة بشكل متقدم",IF($N176&lt;=المرجع!$K$2,"مستوفاة بشكل أولي","مستوفاة بشكل جزئي")))</f>
        <v>مستوفاة بشكل جزئي</v>
      </c>
      <c r="P176" s="18"/>
    </row>
    <row r="177" spans="1:16">
      <c r="A177" s="16" t="s">
        <v>561</v>
      </c>
      <c r="B177" s="16" t="s">
        <v>168</v>
      </c>
      <c r="C177" s="15" t="str">
        <f>IFERROR(INDEX('قائمة الوحدات'!$B$2:$B$41,MATCH($B177,'قائمة الوحدات'!$A$2:$A$41,0)),"")</f>
        <v>EXE</v>
      </c>
      <c r="D177" s="14" t="str">
        <f>IFERROR(INDEX('قائمة الوحدات'!$C$2:$C$41,MATCH($B177,'قائمة الوحدات'!$A$2:$A$41,0)),"")</f>
        <v>الشؤون التنفيذية</v>
      </c>
      <c r="E177" s="14" t="str">
        <f>IFERROR(INDEX('قائمة الوحدات'!$D$2:$D$41,MATCH($B177,'قائمة الوحدات'!$A$2:$A$41,0)),"")</f>
        <v>وكالة الشؤون الفنية</v>
      </c>
      <c r="F177" s="14" t="str">
        <f>IFERROR(INDEX('قائمة الوحدات'!$F$2:$F$41,MATCH($B177,'قائمة الوحدات'!$A$2:$A$41,0)),"")</f>
        <v>الإدارة العامة للأصول والمرافق</v>
      </c>
      <c r="G177" s="16" t="s">
        <v>65</v>
      </c>
      <c r="H177" s="14" t="str">
        <f>IFERROR(INDEX(المرجع!$A$2:$A$19,MATCH($G177,المرجع!$B$2:$B$19,0)),"")</f>
        <v>التشغيل</v>
      </c>
      <c r="I177" s="16" t="s">
        <v>51</v>
      </c>
      <c r="J177" s="14" t="str">
        <f>IFERROR(INDEX(المرجع!$D$2:$D$19,MATCH($I177,المرجع!$E$2:$E$19,0)),"")</f>
        <v>الحوكمة</v>
      </c>
      <c r="K177" s="16" t="s">
        <v>122</v>
      </c>
      <c r="L177" s="17" t="str">
        <f>IFERROR(INDEX('نقاط التحقق'!$G$2:$G$31,MATCH($K177,'نقاط التحقق'!$A$2:$A$31,0))&amp;"","")</f>
        <v>نشر السياسات التي تملكها الوحدة التنظيمية</v>
      </c>
      <c r="M177" s="14" t="str">
        <f>IFERROR(INDEX('نقاط التحقق'!$H$2:$H$31,MATCH($K177,'نقاط التحقق'!$A$2:$A$31,0))&amp;"","")</f>
        <v/>
      </c>
      <c r="N177" s="13">
        <v>40</v>
      </c>
      <c r="O177" s="15" t="str">
        <f>IF($N177="","غير مقيّمة",IF($N177&gt;المرجع!$K$3,"مستوفاة بشكل متقدم",IF($N177&lt;=المرجع!$K$2,"مستوفاة بشكل أولي","مستوفاة بشكل جزئي")))</f>
        <v>مستوفاة بشكل جزئي</v>
      </c>
      <c r="P177" s="18"/>
    </row>
    <row r="178" spans="1:16">
      <c r="A178" s="16" t="s">
        <v>562</v>
      </c>
      <c r="B178" s="16" t="s">
        <v>168</v>
      </c>
      <c r="C178" s="15" t="str">
        <f>IFERROR(INDEX('قائمة الوحدات'!$B$2:$B$41,MATCH($B178,'قائمة الوحدات'!$A$2:$A$41,0)),"")</f>
        <v>EXE</v>
      </c>
      <c r="D178" s="14" t="str">
        <f>IFERROR(INDEX('قائمة الوحدات'!$C$2:$C$41,MATCH($B178,'قائمة الوحدات'!$A$2:$A$41,0)),"")</f>
        <v>الشؤون التنفيذية</v>
      </c>
      <c r="E178" s="14" t="str">
        <f>IFERROR(INDEX('قائمة الوحدات'!$D$2:$D$41,MATCH($B178,'قائمة الوحدات'!$A$2:$A$41,0)),"")</f>
        <v>وكالة الشؤون الفنية</v>
      </c>
      <c r="F178" s="14" t="str">
        <f>IFERROR(INDEX('قائمة الوحدات'!$F$2:$F$41,MATCH($B178,'قائمة الوحدات'!$A$2:$A$41,0)),"")</f>
        <v>الإدارة العامة للأصول والمرافق</v>
      </c>
      <c r="G178" s="16" t="s">
        <v>65</v>
      </c>
      <c r="H178" s="14" t="str">
        <f>IFERROR(INDEX(المرجع!$A$2:$A$19,MATCH($G178,المرجع!$B$2:$B$19,0)),"")</f>
        <v>التشغيل</v>
      </c>
      <c r="I178" s="16" t="s">
        <v>51</v>
      </c>
      <c r="J178" s="14" t="str">
        <f>IFERROR(INDEX(المرجع!$D$2:$D$19,MATCH($I178,المرجع!$E$2:$E$19,0)),"")</f>
        <v>الحوكمة</v>
      </c>
      <c r="K178" s="16" t="s">
        <v>124</v>
      </c>
      <c r="L178" s="17" t="str">
        <f>IFERROR(INDEX('نقاط التحقق'!$G$2:$G$31,MATCH($K178,'نقاط التحقق'!$A$2:$A$31,0))&amp;"","")</f>
        <v>اتخاذ القرارات في نطاق الصلاحيات (وجود شواهد)</v>
      </c>
      <c r="M178" s="14" t="str">
        <f>IFERROR(INDEX('نقاط التحقق'!$H$2:$H$31,MATCH($K178,'نقاط التحقق'!$A$2:$A$31,0))&amp;"","")</f>
        <v/>
      </c>
      <c r="N178" s="13">
        <v>65</v>
      </c>
      <c r="O178" s="15" t="str">
        <f>IF($N178="","غير مقيّمة",IF($N178&gt;المرجع!$K$3,"مستوفاة بشكل متقدم",IF($N178&lt;=المرجع!$K$2,"مستوفاة بشكل أولي","مستوفاة بشكل جزئي")))</f>
        <v>مستوفاة بشكل جزئي</v>
      </c>
      <c r="P178" s="18"/>
    </row>
    <row r="179" spans="1:16">
      <c r="A179" s="16" t="s">
        <v>563</v>
      </c>
      <c r="B179" s="16" t="s">
        <v>168</v>
      </c>
      <c r="C179" s="15" t="str">
        <f>IFERROR(INDEX('قائمة الوحدات'!$B$2:$B$41,MATCH($B179,'قائمة الوحدات'!$A$2:$A$41,0)),"")</f>
        <v>EXE</v>
      </c>
      <c r="D179" s="14" t="str">
        <f>IFERROR(INDEX('قائمة الوحدات'!$C$2:$C$41,MATCH($B179,'قائمة الوحدات'!$A$2:$A$41,0)),"")</f>
        <v>الشؤون التنفيذية</v>
      </c>
      <c r="E179" s="14" t="str">
        <f>IFERROR(INDEX('قائمة الوحدات'!$D$2:$D$41,MATCH($B179,'قائمة الوحدات'!$A$2:$A$41,0)),"")</f>
        <v>وكالة الشؤون الفنية</v>
      </c>
      <c r="F179" s="14" t="str">
        <f>IFERROR(INDEX('قائمة الوحدات'!$F$2:$F$41,MATCH($B179,'قائمة الوحدات'!$A$2:$A$41,0)),"")</f>
        <v>الإدارة العامة للأصول والمرافق</v>
      </c>
      <c r="G179" s="16" t="s">
        <v>65</v>
      </c>
      <c r="H179" s="14" t="str">
        <f>IFERROR(INDEX(المرجع!$A$2:$A$19,MATCH($G179,المرجع!$B$2:$B$19,0)),"")</f>
        <v>التشغيل</v>
      </c>
      <c r="I179" s="16" t="s">
        <v>56</v>
      </c>
      <c r="J179" s="14" t="str">
        <f>IFERROR(INDEX(المرجع!$D$2:$D$19,MATCH($I179,المرجع!$E$2:$E$19,0)),"")</f>
        <v>الموارد</v>
      </c>
      <c r="K179" s="16" t="s">
        <v>126</v>
      </c>
      <c r="L179" s="17" t="str">
        <f>IFERROR(INDEX('نقاط التحقق'!$G$2:$G$31,MATCH($K179,'نقاط التحقق'!$A$2:$A$31,0))&amp;"","")</f>
        <v>موارد مستكملة للحد الأدنى الذي يغطي كافة محاور سلسلة القيمة</v>
      </c>
      <c r="M179" s="14" t="str">
        <f>IFERROR(INDEX('نقاط التحقق'!$H$2:$H$31,MATCH($K179,'نقاط التحقق'!$A$2:$A$31,0))&amp;"","")</f>
        <v/>
      </c>
      <c r="N179" s="13">
        <v>62</v>
      </c>
      <c r="O179" s="15" t="str">
        <f>IF($N179="","غير مقيّمة",IF($N179&gt;المرجع!$K$3,"مستوفاة بشكل متقدم",IF($N179&lt;=المرجع!$K$2,"مستوفاة بشكل أولي","مستوفاة بشكل جزئي")))</f>
        <v>مستوفاة بشكل جزئي</v>
      </c>
      <c r="P179" s="18"/>
    </row>
    <row r="180" spans="1:16">
      <c r="A180" s="16" t="s">
        <v>564</v>
      </c>
      <c r="B180" s="16" t="s">
        <v>168</v>
      </c>
      <c r="C180" s="15" t="str">
        <f>IFERROR(INDEX('قائمة الوحدات'!$B$2:$B$41,MATCH($B180,'قائمة الوحدات'!$A$2:$A$41,0)),"")</f>
        <v>EXE</v>
      </c>
      <c r="D180" s="14" t="str">
        <f>IFERROR(INDEX('قائمة الوحدات'!$C$2:$C$41,MATCH($B180,'قائمة الوحدات'!$A$2:$A$41,0)),"")</f>
        <v>الشؤون التنفيذية</v>
      </c>
      <c r="E180" s="14" t="str">
        <f>IFERROR(INDEX('قائمة الوحدات'!$D$2:$D$41,MATCH($B180,'قائمة الوحدات'!$A$2:$A$41,0)),"")</f>
        <v>وكالة الشؤون الفنية</v>
      </c>
      <c r="F180" s="14" t="str">
        <f>IFERROR(INDEX('قائمة الوحدات'!$F$2:$F$41,MATCH($B180,'قائمة الوحدات'!$A$2:$A$41,0)),"")</f>
        <v>الإدارة العامة للأصول والمرافق</v>
      </c>
      <c r="G180" s="16" t="s">
        <v>65</v>
      </c>
      <c r="H180" s="14" t="str">
        <f>IFERROR(INDEX(المرجع!$A$2:$A$19,MATCH($G180,المرجع!$B$2:$B$19,0)),"")</f>
        <v>التشغيل</v>
      </c>
      <c r="I180" s="16" t="s">
        <v>59</v>
      </c>
      <c r="J180" s="14" t="str">
        <f>IFERROR(INDEX(المرجع!$D$2:$D$19,MATCH($I180,المرجع!$E$2:$E$19,0)),"")</f>
        <v>الإجراءات</v>
      </c>
      <c r="K180" s="16" t="s">
        <v>128</v>
      </c>
      <c r="L180" s="17" t="str">
        <f>IFERROR(INDEX('نقاط التحقق'!$G$2:$G$31,MATCH($K180,'نقاط التحقق'!$A$2:$A$31,0))&amp;"","")</f>
        <v>تحقيق تقييم "مطبق بشكل كامل" من منهجية تقييم فعالية الإجراءات</v>
      </c>
      <c r="M180" s="14" t="str">
        <f>IFERROR(INDEX('نقاط التحقق'!$H$2:$H$31,MATCH($K180,'نقاط التحقق'!$A$2:$A$31,0))&amp;"","")</f>
        <v/>
      </c>
      <c r="N180" s="13">
        <v>33</v>
      </c>
      <c r="O180" s="15" t="str">
        <f>IF($N180="","غير مقيّمة",IF($N180&gt;المرجع!$K$3,"مستوفاة بشكل متقدم",IF($N180&lt;=المرجع!$K$2,"مستوفاة بشكل أولي","مستوفاة بشكل جزئي")))</f>
        <v>مستوفاة بشكل جزئي</v>
      </c>
      <c r="P180" s="18"/>
    </row>
    <row r="181" spans="1:16">
      <c r="A181" s="16" t="s">
        <v>565</v>
      </c>
      <c r="B181" s="16" t="s">
        <v>168</v>
      </c>
      <c r="C181" s="15" t="str">
        <f>IFERROR(INDEX('قائمة الوحدات'!$B$2:$B$41,MATCH($B181,'قائمة الوحدات'!$A$2:$A$41,0)),"")</f>
        <v>EXE</v>
      </c>
      <c r="D181" s="14" t="str">
        <f>IFERROR(INDEX('قائمة الوحدات'!$C$2:$C$41,MATCH($B181,'قائمة الوحدات'!$A$2:$A$41,0)),"")</f>
        <v>الشؤون التنفيذية</v>
      </c>
      <c r="E181" s="14" t="str">
        <f>IFERROR(INDEX('قائمة الوحدات'!$D$2:$D$41,MATCH($B181,'قائمة الوحدات'!$A$2:$A$41,0)),"")</f>
        <v>وكالة الشؤون الفنية</v>
      </c>
      <c r="F181" s="14" t="str">
        <f>IFERROR(INDEX('قائمة الوحدات'!$F$2:$F$41,MATCH($B181,'قائمة الوحدات'!$A$2:$A$41,0)),"")</f>
        <v>الإدارة العامة للأصول والمرافق</v>
      </c>
      <c r="G181" s="16" t="s">
        <v>65</v>
      </c>
      <c r="H181" s="14" t="str">
        <f>IFERROR(INDEX(المرجع!$A$2:$A$19,MATCH($G181,المرجع!$B$2:$B$19,0)),"")</f>
        <v>التشغيل</v>
      </c>
      <c r="I181" s="16" t="s">
        <v>67</v>
      </c>
      <c r="J181" s="14" t="str">
        <f>IFERROR(INDEX(المرجع!$D$2:$D$19,MATCH($I181,المرجع!$E$2:$E$19,0)),"")</f>
        <v>اكتمال المخرجات المستهدفة</v>
      </c>
      <c r="K181" s="16" t="s">
        <v>130</v>
      </c>
      <c r="L181" s="17" t="str">
        <f>IFERROR(INDEX('نقاط التحقق'!$G$2:$G$31,MATCH($K181,'نقاط التحقق'!$A$2:$A$31,0))&amp;"","")</f>
        <v>اكتمال مخرجات النموذج التشغيلي المستهدف للوحدة التنظيمية</v>
      </c>
      <c r="M181" s="14" t="str">
        <f>IFERROR(INDEX('نقاط التحقق'!$H$2:$H$31,MATCH($K181,'نقاط التحقق'!$A$2:$A$31,0))&amp;"","")</f>
        <v/>
      </c>
      <c r="N181" s="13">
        <v>41</v>
      </c>
      <c r="O181" s="15" t="str">
        <f>IF($N181="","غير مقيّمة",IF($N181&gt;المرجع!$K$3,"مستوفاة بشكل متقدم",IF($N181&lt;=المرجع!$K$2,"مستوفاة بشكل أولي","مستوفاة بشكل جزئي")))</f>
        <v>مستوفاة بشكل جزئي</v>
      </c>
      <c r="P181" s="18"/>
    </row>
    <row r="182" spans="1:16">
      <c r="A182" s="16" t="s">
        <v>566</v>
      </c>
      <c r="B182" s="16" t="s">
        <v>170</v>
      </c>
      <c r="C182" s="15" t="str">
        <f>IFERROR(INDEX('قائمة الوحدات'!$B$2:$B$41,MATCH($B182,'قائمة الوحدات'!$A$2:$A$41,0)),"")</f>
        <v>EXE</v>
      </c>
      <c r="D182" s="14" t="str">
        <f>IFERROR(INDEX('قائمة الوحدات'!$C$2:$C$41,MATCH($B182,'قائمة الوحدات'!$A$2:$A$41,0)),"")</f>
        <v>الشؤون التنفيذية</v>
      </c>
      <c r="E182" s="14" t="str">
        <f>IFERROR(INDEX('قائمة الوحدات'!$D$2:$D$41,MATCH($B182,'قائمة الوحدات'!$A$2:$A$41,0)),"")</f>
        <v>وكالة الشؤون الفنية</v>
      </c>
      <c r="F182" s="14" t="str">
        <f>IFERROR(INDEX('قائمة الوحدات'!$F$2:$F$41,MATCH($B182,'قائمة الوحدات'!$A$2:$A$41,0)),"")</f>
        <v>الإدارة العامة للأمن والحماية</v>
      </c>
      <c r="G182" s="16" t="s">
        <v>43</v>
      </c>
      <c r="H182" s="14" t="str">
        <f>IFERROR(INDEX(المرجع!$A$2:$A$19,MATCH($G182,المرجع!$B$2:$B$19,0)),"")</f>
        <v>التصميم</v>
      </c>
      <c r="I182" s="16" t="s">
        <v>45</v>
      </c>
      <c r="J182" s="14" t="str">
        <f>IFERROR(INDEX(المرجع!$D$2:$D$19,MATCH($I182,المرجع!$E$2:$E$19,0)),"")</f>
        <v>الدور</v>
      </c>
      <c r="K182" s="16" t="s">
        <v>72</v>
      </c>
      <c r="L182" s="17" t="str">
        <f>IFERROR(INDEX('نقاط التحقق'!$G$2:$G$31,MATCH($K182,'نقاط التحقق'!$A$2:$A$31,0))&amp;"","")</f>
        <v>دور مفصل للوحدة التنظيمية</v>
      </c>
      <c r="M182" s="14" t="str">
        <f>IFERROR(INDEX('نقاط التحقق'!$H$2:$H$31,MATCH($K182,'نقاط التحقق'!$A$2:$A$31,0))&amp;"","")</f>
        <v/>
      </c>
      <c r="N182" s="13">
        <v>78</v>
      </c>
      <c r="O182" s="15" t="str">
        <f>IF($N182="","غير مقيّمة",IF($N182&gt;المرجع!$K$3,"مستوفاة بشكل متقدم",IF($N182&lt;=المرجع!$K$2,"مستوفاة بشكل أولي","مستوفاة بشكل جزئي")))</f>
        <v>مستوفاة بشكل متقدم</v>
      </c>
      <c r="P182" s="18"/>
    </row>
    <row r="183" spans="1:16">
      <c r="A183" s="16" t="s">
        <v>567</v>
      </c>
      <c r="B183" s="16" t="s">
        <v>170</v>
      </c>
      <c r="C183" s="15" t="str">
        <f>IFERROR(INDEX('قائمة الوحدات'!$B$2:$B$41,MATCH($B183,'قائمة الوحدات'!$A$2:$A$41,0)),"")</f>
        <v>EXE</v>
      </c>
      <c r="D183" s="14" t="str">
        <f>IFERROR(INDEX('قائمة الوحدات'!$C$2:$C$41,MATCH($B183,'قائمة الوحدات'!$A$2:$A$41,0)),"")</f>
        <v>الشؤون التنفيذية</v>
      </c>
      <c r="E183" s="14" t="str">
        <f>IFERROR(INDEX('قائمة الوحدات'!$D$2:$D$41,MATCH($B183,'قائمة الوحدات'!$A$2:$A$41,0)),"")</f>
        <v>وكالة الشؤون الفنية</v>
      </c>
      <c r="F183" s="14" t="str">
        <f>IFERROR(INDEX('قائمة الوحدات'!$F$2:$F$41,MATCH($B183,'قائمة الوحدات'!$A$2:$A$41,0)),"")</f>
        <v>الإدارة العامة للأمن والحماية</v>
      </c>
      <c r="G183" s="16" t="s">
        <v>43</v>
      </c>
      <c r="H183" s="14" t="str">
        <f>IFERROR(INDEX(المرجع!$A$2:$A$19,MATCH($G183,المرجع!$B$2:$B$19,0)),"")</f>
        <v>التصميم</v>
      </c>
      <c r="I183" s="16" t="s">
        <v>48</v>
      </c>
      <c r="J183" s="14" t="str">
        <f>IFERROR(INDEX(المرجع!$D$2:$D$19,MATCH($I183,المرجع!$E$2:$E$19,0)),"")</f>
        <v>الأهداف ومؤشرات الأداء</v>
      </c>
      <c r="K183" s="16" t="s">
        <v>74</v>
      </c>
      <c r="L183" s="17" t="str">
        <f>IFERROR(INDEX('نقاط التحقق'!$G$2:$G$31,MATCH($K183,'نقاط التحقق'!$A$2:$A$31,0))&amp;"","")</f>
        <v>أهداف محددة للوحدة التنظيمية وربطها بمؤشرات أداء لقياسها</v>
      </c>
      <c r="M183" s="14" t="str">
        <f>IFERROR(INDEX('نقاط التحقق'!$H$2:$H$31,MATCH($K183,'نقاط التحقق'!$A$2:$A$31,0))&amp;"","")</f>
        <v/>
      </c>
      <c r="N183" s="13">
        <v>95</v>
      </c>
      <c r="O183" s="15" t="str">
        <f>IF($N183="","غير مقيّمة",IF($N183&gt;المرجع!$K$3,"مستوفاة بشكل متقدم",IF($N183&lt;=المرجع!$K$2,"مستوفاة بشكل أولي","مستوفاة بشكل جزئي")))</f>
        <v>مستوفاة بشكل متقدم</v>
      </c>
      <c r="P183" s="18"/>
    </row>
    <row r="184" spans="1:16">
      <c r="A184" s="16" t="s">
        <v>568</v>
      </c>
      <c r="B184" s="16" t="s">
        <v>170</v>
      </c>
      <c r="C184" s="15" t="str">
        <f>IFERROR(INDEX('قائمة الوحدات'!$B$2:$B$41,MATCH($B184,'قائمة الوحدات'!$A$2:$A$41,0)),"")</f>
        <v>EXE</v>
      </c>
      <c r="D184" s="14" t="str">
        <f>IFERROR(INDEX('قائمة الوحدات'!$C$2:$C$41,MATCH($B184,'قائمة الوحدات'!$A$2:$A$41,0)),"")</f>
        <v>الشؤون التنفيذية</v>
      </c>
      <c r="E184" s="14" t="str">
        <f>IFERROR(INDEX('قائمة الوحدات'!$D$2:$D$41,MATCH($B184,'قائمة الوحدات'!$A$2:$A$41,0)),"")</f>
        <v>وكالة الشؤون الفنية</v>
      </c>
      <c r="F184" s="14" t="str">
        <f>IFERROR(INDEX('قائمة الوحدات'!$F$2:$F$41,MATCH($B184,'قائمة الوحدات'!$A$2:$A$41,0)),"")</f>
        <v>الإدارة العامة للأمن والحماية</v>
      </c>
      <c r="G184" s="16" t="s">
        <v>43</v>
      </c>
      <c r="H184" s="14" t="str">
        <f>IFERROR(INDEX(المرجع!$A$2:$A$19,MATCH($G184,المرجع!$B$2:$B$19,0)),"")</f>
        <v>التصميم</v>
      </c>
      <c r="I184" s="16" t="s">
        <v>48</v>
      </c>
      <c r="J184" s="14" t="str">
        <f>IFERROR(INDEX(المرجع!$D$2:$D$19,MATCH($I184,المرجع!$E$2:$E$19,0)),"")</f>
        <v>الأهداف ومؤشرات الأداء</v>
      </c>
      <c r="K184" s="16" t="s">
        <v>76</v>
      </c>
      <c r="L184" s="17" t="str">
        <f>IFERROR(INDEX('نقاط التحقق'!$G$2:$G$31,MATCH($K184,'نقاط التحقق'!$A$2:$A$31,0))&amp;"","")</f>
        <v>مؤشرات أداء الوحدة التنظيمية</v>
      </c>
      <c r="M184" s="14" t="str">
        <f>IFERROR(INDEX('نقاط التحقق'!$H$2:$H$31,MATCH($K184,'نقاط التحقق'!$A$2:$A$31,0))&amp;"","")</f>
        <v/>
      </c>
      <c r="N184" s="13">
        <v>75</v>
      </c>
      <c r="O184" s="15" t="str">
        <f>IF($N184="","غير مقيّمة",IF($N184&gt;المرجع!$K$3,"مستوفاة بشكل متقدم",IF($N184&lt;=المرجع!$K$2,"مستوفاة بشكل أولي","مستوفاة بشكل جزئي")))</f>
        <v>مستوفاة بشكل متقدم</v>
      </c>
      <c r="P184" s="18"/>
    </row>
    <row r="185" spans="1:16">
      <c r="A185" s="16" t="s">
        <v>569</v>
      </c>
      <c r="B185" s="16" t="s">
        <v>170</v>
      </c>
      <c r="C185" s="15" t="str">
        <f>IFERROR(INDEX('قائمة الوحدات'!$B$2:$B$41,MATCH($B185,'قائمة الوحدات'!$A$2:$A$41,0)),"")</f>
        <v>EXE</v>
      </c>
      <c r="D185" s="14" t="str">
        <f>IFERROR(INDEX('قائمة الوحدات'!$C$2:$C$41,MATCH($B185,'قائمة الوحدات'!$A$2:$A$41,0)),"")</f>
        <v>الشؤون التنفيذية</v>
      </c>
      <c r="E185" s="14" t="str">
        <f>IFERROR(INDEX('قائمة الوحدات'!$D$2:$D$41,MATCH($B185,'قائمة الوحدات'!$A$2:$A$41,0)),"")</f>
        <v>وكالة الشؤون الفنية</v>
      </c>
      <c r="F185" s="14" t="str">
        <f>IFERROR(INDEX('قائمة الوحدات'!$F$2:$F$41,MATCH($B185,'قائمة الوحدات'!$A$2:$A$41,0)),"")</f>
        <v>الإدارة العامة للأمن والحماية</v>
      </c>
      <c r="G185" s="16" t="s">
        <v>43</v>
      </c>
      <c r="H185" s="14" t="str">
        <f>IFERROR(INDEX(المرجع!$A$2:$A$19,MATCH($G185,المرجع!$B$2:$B$19,0)),"")</f>
        <v>التصميم</v>
      </c>
      <c r="I185" s="16" t="s">
        <v>51</v>
      </c>
      <c r="J185" s="14" t="str">
        <f>IFERROR(INDEX(المرجع!$D$2:$D$19,MATCH($I185,المرجع!$E$2:$E$19,0)),"")</f>
        <v>الحوكمة</v>
      </c>
      <c r="K185" s="16" t="s">
        <v>78</v>
      </c>
      <c r="L185" s="17" t="str">
        <f>IFERROR(INDEX('نقاط التحقق'!$G$2:$G$31,MATCH($K185,'نقاط التحقق'!$A$2:$A$31,0))&amp;"","")</f>
        <v>تفصيل القرارات ومصفوفة الصلاحيات واللجان ذات العلاقة لاعتماد مخرجات الوحدة التنظيمية</v>
      </c>
      <c r="M185" s="14" t="str">
        <f>IFERROR(INDEX('نقاط التحقق'!$H$2:$H$31,MATCH($K185,'نقاط التحقق'!$A$2:$A$31,0))&amp;"","")</f>
        <v/>
      </c>
      <c r="N185" s="13">
        <v>74</v>
      </c>
      <c r="O185" s="15" t="str">
        <f>IF($N185="","غير مقيّمة",IF($N185&gt;المرجع!$K$3,"مستوفاة بشكل متقدم",IF($N185&lt;=المرجع!$K$2,"مستوفاة بشكل أولي","مستوفاة بشكل جزئي")))</f>
        <v>مستوفاة بشكل متقدم</v>
      </c>
      <c r="P185" s="18"/>
    </row>
    <row r="186" spans="1:16">
      <c r="A186" s="16" t="s">
        <v>570</v>
      </c>
      <c r="B186" s="16" t="s">
        <v>170</v>
      </c>
      <c r="C186" s="15" t="str">
        <f>IFERROR(INDEX('قائمة الوحدات'!$B$2:$B$41,MATCH($B186,'قائمة الوحدات'!$A$2:$A$41,0)),"")</f>
        <v>EXE</v>
      </c>
      <c r="D186" s="14" t="str">
        <f>IFERROR(INDEX('قائمة الوحدات'!$C$2:$C$41,MATCH($B186,'قائمة الوحدات'!$A$2:$A$41,0)),"")</f>
        <v>الشؤون التنفيذية</v>
      </c>
      <c r="E186" s="14" t="str">
        <f>IFERROR(INDEX('قائمة الوحدات'!$D$2:$D$41,MATCH($B186,'قائمة الوحدات'!$A$2:$A$41,0)),"")</f>
        <v>وكالة الشؤون الفنية</v>
      </c>
      <c r="F186" s="14" t="str">
        <f>IFERROR(INDEX('قائمة الوحدات'!$F$2:$F$41,MATCH($B186,'قائمة الوحدات'!$A$2:$A$41,0)),"")</f>
        <v>الإدارة العامة للأمن والحماية</v>
      </c>
      <c r="G186" s="16" t="s">
        <v>43</v>
      </c>
      <c r="H186" s="14" t="str">
        <f>IFERROR(INDEX(المرجع!$A$2:$A$19,MATCH($G186,المرجع!$B$2:$B$19,0)),"")</f>
        <v>التصميم</v>
      </c>
      <c r="I186" s="16" t="s">
        <v>54</v>
      </c>
      <c r="J186" s="14" t="str">
        <f>IFERROR(INDEX(المرجع!$D$2:$D$19,MATCH($I186,المرجع!$E$2:$E$19,0)),"")</f>
        <v>التنظيم</v>
      </c>
      <c r="K186" s="16" t="s">
        <v>80</v>
      </c>
      <c r="L186" s="17" t="str">
        <f>IFERROR(INDEX('نقاط التحقق'!$G$2:$G$31,MATCH($K186,'نقاط التحقق'!$A$2:$A$31,0))&amp;"","")</f>
        <v>تطوير الأدوار والمسؤوليات للوحدة التنظيمية وتفصيل الهيكل التنظيمي</v>
      </c>
      <c r="M186" s="14" t="str">
        <f>IFERROR(INDEX('نقاط التحقق'!$H$2:$H$31,MATCH($K186,'نقاط التحقق'!$A$2:$A$31,0))&amp;"","")</f>
        <v/>
      </c>
      <c r="N186" s="13">
        <v>94</v>
      </c>
      <c r="O186" s="15" t="str">
        <f>IF($N186="","غير مقيّمة",IF($N186&gt;المرجع!$K$3,"مستوفاة بشكل متقدم",IF($N186&lt;=المرجع!$K$2,"مستوفاة بشكل أولي","مستوفاة بشكل جزئي")))</f>
        <v>مستوفاة بشكل متقدم</v>
      </c>
      <c r="P186" s="18"/>
    </row>
    <row r="187" spans="1:16">
      <c r="A187" s="16" t="s">
        <v>571</v>
      </c>
      <c r="B187" s="16" t="s">
        <v>170</v>
      </c>
      <c r="C187" s="15" t="str">
        <f>IFERROR(INDEX('قائمة الوحدات'!$B$2:$B$41,MATCH($B187,'قائمة الوحدات'!$A$2:$A$41,0)),"")</f>
        <v>EXE</v>
      </c>
      <c r="D187" s="14" t="str">
        <f>IFERROR(INDEX('قائمة الوحدات'!$C$2:$C$41,MATCH($B187,'قائمة الوحدات'!$A$2:$A$41,0)),"")</f>
        <v>الشؤون التنفيذية</v>
      </c>
      <c r="E187" s="14" t="str">
        <f>IFERROR(INDEX('قائمة الوحدات'!$D$2:$D$41,MATCH($B187,'قائمة الوحدات'!$A$2:$A$41,0)),"")</f>
        <v>وكالة الشؤون الفنية</v>
      </c>
      <c r="F187" s="14" t="str">
        <f>IFERROR(INDEX('قائمة الوحدات'!$F$2:$F$41,MATCH($B187,'قائمة الوحدات'!$A$2:$A$41,0)),"")</f>
        <v>الإدارة العامة للأمن والحماية</v>
      </c>
      <c r="G187" s="16" t="s">
        <v>43</v>
      </c>
      <c r="H187" s="14" t="str">
        <f>IFERROR(INDEX(المرجع!$A$2:$A$19,MATCH($G187,المرجع!$B$2:$B$19,0)),"")</f>
        <v>التصميم</v>
      </c>
      <c r="I187" s="16" t="s">
        <v>56</v>
      </c>
      <c r="J187" s="14" t="str">
        <f>IFERROR(INDEX(المرجع!$D$2:$D$19,MATCH($I187,المرجع!$E$2:$E$19,0)),"")</f>
        <v>الموارد</v>
      </c>
      <c r="K187" s="16" t="s">
        <v>82</v>
      </c>
      <c r="L187" s="17" t="str">
        <f>IFERROR(INDEX('نقاط التحقق'!$G$2:$G$31,MATCH($K187,'نقاط التحقق'!$A$2:$A$31,0))&amp;"","")</f>
        <v>تفصيل احتياج الموارد البشرية للوحدة التنظيمية</v>
      </c>
      <c r="M187" s="14" t="str">
        <f>IFERROR(INDEX('نقاط التحقق'!$H$2:$H$31,MATCH($K187,'نقاط التحقق'!$A$2:$A$31,0))&amp;"","")</f>
        <v/>
      </c>
      <c r="N187" s="13">
        <v>75</v>
      </c>
      <c r="O187" s="15" t="str">
        <f>IF($N187="","غير مقيّمة",IF($N187&gt;المرجع!$K$3,"مستوفاة بشكل متقدم",IF($N187&lt;=المرجع!$K$2,"مستوفاة بشكل أولي","مستوفاة بشكل جزئي")))</f>
        <v>مستوفاة بشكل متقدم</v>
      </c>
      <c r="P187" s="18"/>
    </row>
    <row r="188" spans="1:16">
      <c r="A188" s="16" t="s">
        <v>572</v>
      </c>
      <c r="B188" s="16" t="s">
        <v>170</v>
      </c>
      <c r="C188" s="15" t="str">
        <f>IFERROR(INDEX('قائمة الوحدات'!$B$2:$B$41,MATCH($B188,'قائمة الوحدات'!$A$2:$A$41,0)),"")</f>
        <v>EXE</v>
      </c>
      <c r="D188" s="14" t="str">
        <f>IFERROR(INDEX('قائمة الوحدات'!$C$2:$C$41,MATCH($B188,'قائمة الوحدات'!$A$2:$A$41,0)),"")</f>
        <v>الشؤون التنفيذية</v>
      </c>
      <c r="E188" s="14" t="str">
        <f>IFERROR(INDEX('قائمة الوحدات'!$D$2:$D$41,MATCH($B188,'قائمة الوحدات'!$A$2:$A$41,0)),"")</f>
        <v>وكالة الشؤون الفنية</v>
      </c>
      <c r="F188" s="14" t="str">
        <f>IFERROR(INDEX('قائمة الوحدات'!$F$2:$F$41,MATCH($B188,'قائمة الوحدات'!$A$2:$A$41,0)),"")</f>
        <v>الإدارة العامة للأمن والحماية</v>
      </c>
      <c r="G188" s="16" t="s">
        <v>43</v>
      </c>
      <c r="H188" s="14" t="str">
        <f>IFERROR(INDEX(المرجع!$A$2:$A$19,MATCH($G188,المرجع!$B$2:$B$19,0)),"")</f>
        <v>التصميم</v>
      </c>
      <c r="I188" s="16" t="s">
        <v>59</v>
      </c>
      <c r="J188" s="14" t="str">
        <f>IFERROR(INDEX(المرجع!$D$2:$D$19,MATCH($I188,المرجع!$E$2:$E$19,0)),"")</f>
        <v>الإجراءات</v>
      </c>
      <c r="K188" s="16" t="s">
        <v>84</v>
      </c>
      <c r="L188" s="17" t="str">
        <f>IFERROR(INDEX('نقاط التحقق'!$G$2:$G$31,MATCH($K188,'نقاط التحقق'!$A$2:$A$31,0))&amp;"","")</f>
        <v>تفصيل المخرجات إلى إجراءات عالية المستوى</v>
      </c>
      <c r="M188" s="14" t="str">
        <f>IFERROR(INDEX('نقاط التحقق'!$H$2:$H$31,MATCH($K188,'نقاط التحقق'!$A$2:$A$31,0))&amp;"","")</f>
        <v/>
      </c>
      <c r="N188" s="13">
        <v>86</v>
      </c>
      <c r="O188" s="15" t="str">
        <f>IF($N188="","غير مقيّمة",IF($N188&gt;المرجع!$K$3,"مستوفاة بشكل متقدم",IF($N188&lt;=المرجع!$K$2,"مستوفاة بشكل أولي","مستوفاة بشكل جزئي")))</f>
        <v>مستوفاة بشكل متقدم</v>
      </c>
      <c r="P188" s="18"/>
    </row>
    <row r="189" spans="1:16">
      <c r="A189" s="16" t="s">
        <v>573</v>
      </c>
      <c r="B189" s="16" t="s">
        <v>170</v>
      </c>
      <c r="C189" s="15" t="str">
        <f>IFERROR(INDEX('قائمة الوحدات'!$B$2:$B$41,MATCH($B189,'قائمة الوحدات'!$A$2:$A$41,0)),"")</f>
        <v>EXE</v>
      </c>
      <c r="D189" s="14" t="str">
        <f>IFERROR(INDEX('قائمة الوحدات'!$C$2:$C$41,MATCH($B189,'قائمة الوحدات'!$A$2:$A$41,0)),"")</f>
        <v>الشؤون التنفيذية</v>
      </c>
      <c r="E189" s="14" t="str">
        <f>IFERROR(INDEX('قائمة الوحدات'!$D$2:$D$41,MATCH($B189,'قائمة الوحدات'!$A$2:$A$41,0)),"")</f>
        <v>وكالة الشؤون الفنية</v>
      </c>
      <c r="F189" s="14" t="str">
        <f>IFERROR(INDEX('قائمة الوحدات'!$F$2:$F$41,MATCH($B189,'قائمة الوحدات'!$A$2:$A$41,0)),"")</f>
        <v>الإدارة العامة للأمن والحماية</v>
      </c>
      <c r="G189" s="16" t="s">
        <v>61</v>
      </c>
      <c r="H189" s="14" t="str">
        <f>IFERROR(INDEX(المرجع!$A$2:$A$19,MATCH($G189,المرجع!$B$2:$B$19,0)),"")</f>
        <v>البناء المؤسسي</v>
      </c>
      <c r="I189" s="16" t="s">
        <v>45</v>
      </c>
      <c r="J189" s="14" t="str">
        <f>IFERROR(INDEX(المرجع!$D$2:$D$19,MATCH($I189,المرجع!$E$2:$E$19,0)),"")</f>
        <v>الدور</v>
      </c>
      <c r="K189" s="16" t="s">
        <v>86</v>
      </c>
      <c r="L189" s="17" t="str">
        <f>IFERROR(INDEX('نقاط التحقق'!$G$2:$G$31,MATCH($K189,'نقاط التحقق'!$A$2:$A$31,0))&amp;"","")</f>
        <v>دور معتمد للوحدة التنظيمية</v>
      </c>
      <c r="M189" s="14" t="str">
        <f>IFERROR(INDEX('نقاط التحقق'!$H$2:$H$31,MATCH($K189,'نقاط التحقق'!$A$2:$A$31,0))&amp;"","")</f>
        <v/>
      </c>
      <c r="N189" s="13">
        <v>54</v>
      </c>
      <c r="O189" s="15" t="str">
        <f>IF($N189="","غير مقيّمة",IF($N189&gt;المرجع!$K$3,"مستوفاة بشكل متقدم",IF($N189&lt;=المرجع!$K$2,"مستوفاة بشكل أولي","مستوفاة بشكل جزئي")))</f>
        <v>مستوفاة بشكل جزئي</v>
      </c>
      <c r="P189" s="18"/>
    </row>
    <row r="190" spans="1:16">
      <c r="A190" s="16" t="s">
        <v>574</v>
      </c>
      <c r="B190" s="16" t="s">
        <v>170</v>
      </c>
      <c r="C190" s="15" t="str">
        <f>IFERROR(INDEX('قائمة الوحدات'!$B$2:$B$41,MATCH($B190,'قائمة الوحدات'!$A$2:$A$41,0)),"")</f>
        <v>EXE</v>
      </c>
      <c r="D190" s="14" t="str">
        <f>IFERROR(INDEX('قائمة الوحدات'!$C$2:$C$41,MATCH($B190,'قائمة الوحدات'!$A$2:$A$41,0)),"")</f>
        <v>الشؤون التنفيذية</v>
      </c>
      <c r="E190" s="14" t="str">
        <f>IFERROR(INDEX('قائمة الوحدات'!$D$2:$D$41,MATCH($B190,'قائمة الوحدات'!$A$2:$A$41,0)),"")</f>
        <v>وكالة الشؤون الفنية</v>
      </c>
      <c r="F190" s="14" t="str">
        <f>IFERROR(INDEX('قائمة الوحدات'!$F$2:$F$41,MATCH($B190,'قائمة الوحدات'!$A$2:$A$41,0)),"")</f>
        <v>الإدارة العامة للأمن والحماية</v>
      </c>
      <c r="G190" s="16" t="s">
        <v>61</v>
      </c>
      <c r="H190" s="14" t="str">
        <f>IFERROR(INDEX(المرجع!$A$2:$A$19,MATCH($G190,المرجع!$B$2:$B$19,0)),"")</f>
        <v>البناء المؤسسي</v>
      </c>
      <c r="I190" s="16" t="s">
        <v>48</v>
      </c>
      <c r="J190" s="14" t="str">
        <f>IFERROR(INDEX(المرجع!$D$2:$D$19,MATCH($I190,المرجع!$E$2:$E$19,0)),"")</f>
        <v>الأهداف ومؤشرات الأداء</v>
      </c>
      <c r="K190" s="16" t="s">
        <v>88</v>
      </c>
      <c r="L190" s="17" t="str">
        <f>IFERROR(INDEX('نقاط التحقق'!$G$2:$G$31,MATCH($K190,'نقاط التحقق'!$A$2:$A$31,0))&amp;"","")</f>
        <v>أهداف تشغيلية معتمدة من صاحب الصلاحية</v>
      </c>
      <c r="M190" s="14" t="str">
        <f>IFERROR(INDEX('نقاط التحقق'!$H$2:$H$31,MATCH($K190,'نقاط التحقق'!$A$2:$A$31,0))&amp;"","")</f>
        <v/>
      </c>
      <c r="N190" s="13">
        <v>100</v>
      </c>
      <c r="O190" s="15" t="str">
        <f>IF($N190="","غير مقيّمة",IF($N190&gt;المرجع!$K$3,"مستوفاة بشكل متقدم",IF($N190&lt;=المرجع!$K$2,"مستوفاة بشكل أولي","مستوفاة بشكل جزئي")))</f>
        <v>مستوفاة بشكل متقدم</v>
      </c>
      <c r="P190" s="18"/>
    </row>
    <row r="191" spans="1:16">
      <c r="A191" s="16" t="s">
        <v>575</v>
      </c>
      <c r="B191" s="16" t="s">
        <v>170</v>
      </c>
      <c r="C191" s="15" t="str">
        <f>IFERROR(INDEX('قائمة الوحدات'!$B$2:$B$41,MATCH($B191,'قائمة الوحدات'!$A$2:$A$41,0)),"")</f>
        <v>EXE</v>
      </c>
      <c r="D191" s="14" t="str">
        <f>IFERROR(INDEX('قائمة الوحدات'!$C$2:$C$41,MATCH($B191,'قائمة الوحدات'!$A$2:$A$41,0)),"")</f>
        <v>الشؤون التنفيذية</v>
      </c>
      <c r="E191" s="14" t="str">
        <f>IFERROR(INDEX('قائمة الوحدات'!$D$2:$D$41,MATCH($B191,'قائمة الوحدات'!$A$2:$A$41,0)),"")</f>
        <v>وكالة الشؤون الفنية</v>
      </c>
      <c r="F191" s="14" t="str">
        <f>IFERROR(INDEX('قائمة الوحدات'!$F$2:$F$41,MATCH($B191,'قائمة الوحدات'!$A$2:$A$41,0)),"")</f>
        <v>الإدارة العامة للأمن والحماية</v>
      </c>
      <c r="G191" s="16" t="s">
        <v>61</v>
      </c>
      <c r="H191" s="14" t="str">
        <f>IFERROR(INDEX(المرجع!$A$2:$A$19,MATCH($G191,المرجع!$B$2:$B$19,0)),"")</f>
        <v>البناء المؤسسي</v>
      </c>
      <c r="I191" s="16" t="s">
        <v>48</v>
      </c>
      <c r="J191" s="14" t="str">
        <f>IFERROR(INDEX(المرجع!$D$2:$D$19,MATCH($I191,المرجع!$E$2:$E$19,0)),"")</f>
        <v>الأهداف ومؤشرات الأداء</v>
      </c>
      <c r="K191" s="16" t="s">
        <v>90</v>
      </c>
      <c r="L191" s="17" t="str">
        <f>IFERROR(INDEX('نقاط التحقق'!$G$2:$G$31,MATCH($K191,'نقاط التحقق'!$A$2:$A$31,0))&amp;"","")</f>
        <v>نشر الأهداف التشغيلية على موظفي الوحدة التنظيمية</v>
      </c>
      <c r="M191" s="14" t="str">
        <f>IFERROR(INDEX('نقاط التحقق'!$H$2:$H$31,MATCH($K191,'نقاط التحقق'!$A$2:$A$31,0))&amp;"","")</f>
        <v/>
      </c>
      <c r="N191" s="13">
        <v>100</v>
      </c>
      <c r="O191" s="15" t="str">
        <f>IF($N191="","غير مقيّمة",IF($N191&gt;المرجع!$K$3,"مستوفاة بشكل متقدم",IF($N191&lt;=المرجع!$K$2,"مستوفاة بشكل أولي","مستوفاة بشكل جزئي")))</f>
        <v>مستوفاة بشكل متقدم</v>
      </c>
      <c r="P191" s="18"/>
    </row>
    <row r="192" spans="1:16">
      <c r="A192" s="16" t="s">
        <v>576</v>
      </c>
      <c r="B192" s="16" t="s">
        <v>170</v>
      </c>
      <c r="C192" s="15" t="str">
        <f>IFERROR(INDEX('قائمة الوحدات'!$B$2:$B$41,MATCH($B192,'قائمة الوحدات'!$A$2:$A$41,0)),"")</f>
        <v>EXE</v>
      </c>
      <c r="D192" s="14" t="str">
        <f>IFERROR(INDEX('قائمة الوحدات'!$C$2:$C$41,MATCH($B192,'قائمة الوحدات'!$A$2:$A$41,0)),"")</f>
        <v>الشؤون التنفيذية</v>
      </c>
      <c r="E192" s="14" t="str">
        <f>IFERROR(INDEX('قائمة الوحدات'!$D$2:$D$41,MATCH($B192,'قائمة الوحدات'!$A$2:$A$41,0)),"")</f>
        <v>وكالة الشؤون الفنية</v>
      </c>
      <c r="F192" s="14" t="str">
        <f>IFERROR(INDEX('قائمة الوحدات'!$F$2:$F$41,MATCH($B192,'قائمة الوحدات'!$A$2:$A$41,0)),"")</f>
        <v>الإدارة العامة للأمن والحماية</v>
      </c>
      <c r="G192" s="16" t="s">
        <v>61</v>
      </c>
      <c r="H192" s="14" t="str">
        <f>IFERROR(INDEX(المرجع!$A$2:$A$19,MATCH($G192,المرجع!$B$2:$B$19,0)),"")</f>
        <v>البناء المؤسسي</v>
      </c>
      <c r="I192" s="16" t="s">
        <v>51</v>
      </c>
      <c r="J192" s="14" t="str">
        <f>IFERROR(INDEX(المرجع!$D$2:$D$19,MATCH($I192,المرجع!$E$2:$E$19,0)),"")</f>
        <v>الحوكمة</v>
      </c>
      <c r="K192" s="16" t="s">
        <v>92</v>
      </c>
      <c r="L192" s="17" t="str">
        <f>IFERROR(INDEX('نقاط التحقق'!$G$2:$G$31,MATCH($K192,'نقاط التحقق'!$A$2:$A$31,0))&amp;"","")</f>
        <v>مصفوفة صلاحيات معتمدة ومعممة على أصحاب المصلحة</v>
      </c>
      <c r="M192" s="14" t="str">
        <f>IFERROR(INDEX('نقاط التحقق'!$H$2:$H$31,MATCH($K192,'نقاط التحقق'!$A$2:$A$31,0))&amp;"","")</f>
        <v/>
      </c>
      <c r="N192" s="13">
        <v>60</v>
      </c>
      <c r="O192" s="15" t="str">
        <f>IF($N192="","غير مقيّمة",IF($N192&gt;المرجع!$K$3,"مستوفاة بشكل متقدم",IF($N192&lt;=المرجع!$K$2,"مستوفاة بشكل أولي","مستوفاة بشكل جزئي")))</f>
        <v>مستوفاة بشكل جزئي</v>
      </c>
      <c r="P192" s="18"/>
    </row>
    <row r="193" spans="1:16">
      <c r="A193" s="16" t="s">
        <v>577</v>
      </c>
      <c r="B193" s="16" t="s">
        <v>170</v>
      </c>
      <c r="C193" s="15" t="str">
        <f>IFERROR(INDEX('قائمة الوحدات'!$B$2:$B$41,MATCH($B193,'قائمة الوحدات'!$A$2:$A$41,0)),"")</f>
        <v>EXE</v>
      </c>
      <c r="D193" s="14" t="str">
        <f>IFERROR(INDEX('قائمة الوحدات'!$C$2:$C$41,MATCH($B193,'قائمة الوحدات'!$A$2:$A$41,0)),"")</f>
        <v>الشؤون التنفيذية</v>
      </c>
      <c r="E193" s="14" t="str">
        <f>IFERROR(INDEX('قائمة الوحدات'!$D$2:$D$41,MATCH($B193,'قائمة الوحدات'!$A$2:$A$41,0)),"")</f>
        <v>وكالة الشؤون الفنية</v>
      </c>
      <c r="F193" s="14" t="str">
        <f>IFERROR(INDEX('قائمة الوحدات'!$F$2:$F$41,MATCH($B193,'قائمة الوحدات'!$A$2:$A$41,0)),"")</f>
        <v>الإدارة العامة للأمن والحماية</v>
      </c>
      <c r="G193" s="16" t="s">
        <v>61</v>
      </c>
      <c r="H193" s="14" t="str">
        <f>IFERROR(INDEX(المرجع!$A$2:$A$19,MATCH($G193,المرجع!$B$2:$B$19,0)),"")</f>
        <v>البناء المؤسسي</v>
      </c>
      <c r="I193" s="16" t="s">
        <v>51</v>
      </c>
      <c r="J193" s="14" t="str">
        <f>IFERROR(INDEX(المرجع!$D$2:$D$19,MATCH($I193,المرجع!$E$2:$E$19,0)),"")</f>
        <v>الحوكمة</v>
      </c>
      <c r="K193" s="16" t="s">
        <v>94</v>
      </c>
      <c r="L193" s="17" t="str">
        <f>IFERROR(INDEX('نقاط التحقق'!$G$2:$G$31,MATCH($K193,'نقاط التحقق'!$A$2:$A$31,0))&amp;"","")</f>
        <v>سياسات معتمدة للتي تملكها الوحدة التنظيمية</v>
      </c>
      <c r="M193" s="14" t="str">
        <f>IFERROR(INDEX('نقاط التحقق'!$H$2:$H$31,MATCH($K193,'نقاط التحقق'!$A$2:$A$31,0))&amp;"","")</f>
        <v/>
      </c>
      <c r="N193" s="13">
        <v>60</v>
      </c>
      <c r="O193" s="15" t="str">
        <f>IF($N193="","غير مقيّمة",IF($N193&gt;المرجع!$K$3,"مستوفاة بشكل متقدم",IF($N193&lt;=المرجع!$K$2,"مستوفاة بشكل أولي","مستوفاة بشكل جزئي")))</f>
        <v>مستوفاة بشكل جزئي</v>
      </c>
      <c r="P193" s="18"/>
    </row>
    <row r="194" spans="1:16">
      <c r="A194" s="16" t="s">
        <v>578</v>
      </c>
      <c r="B194" s="16" t="s">
        <v>170</v>
      </c>
      <c r="C194" s="15" t="str">
        <f>IFERROR(INDEX('قائمة الوحدات'!$B$2:$B$41,MATCH($B194,'قائمة الوحدات'!$A$2:$A$41,0)),"")</f>
        <v>EXE</v>
      </c>
      <c r="D194" s="14" t="str">
        <f>IFERROR(INDEX('قائمة الوحدات'!$C$2:$C$41,MATCH($B194,'قائمة الوحدات'!$A$2:$A$41,0)),"")</f>
        <v>الشؤون التنفيذية</v>
      </c>
      <c r="E194" s="14" t="str">
        <f>IFERROR(INDEX('قائمة الوحدات'!$D$2:$D$41,MATCH($B194,'قائمة الوحدات'!$A$2:$A$41,0)),"")</f>
        <v>وكالة الشؤون الفنية</v>
      </c>
      <c r="F194" s="14" t="str">
        <f>IFERROR(INDEX('قائمة الوحدات'!$F$2:$F$41,MATCH($B194,'قائمة الوحدات'!$A$2:$A$41,0)),"")</f>
        <v>الإدارة العامة للأمن والحماية</v>
      </c>
      <c r="G194" s="16" t="s">
        <v>61</v>
      </c>
      <c r="H194" s="14" t="str">
        <f>IFERROR(INDEX(المرجع!$A$2:$A$19,MATCH($G194,المرجع!$B$2:$B$19,0)),"")</f>
        <v>البناء المؤسسي</v>
      </c>
      <c r="I194" s="16" t="s">
        <v>51</v>
      </c>
      <c r="J194" s="14" t="str">
        <f>IFERROR(INDEX(المرجع!$D$2:$D$19,MATCH($I194,المرجع!$E$2:$E$19,0)),"")</f>
        <v>الحوكمة</v>
      </c>
      <c r="K194" s="16" t="s">
        <v>96</v>
      </c>
      <c r="L194" s="17" t="str">
        <f>IFERROR(INDEX('نقاط التحقق'!$G$2:$G$31,MATCH($K194,'نقاط التحقق'!$A$2:$A$31,0))&amp;"","")</f>
        <v>قرار تشكيل معتمد للجان ذات العلاقة</v>
      </c>
      <c r="M194" s="14" t="str">
        <f>IFERROR(INDEX('نقاط التحقق'!$H$2:$H$31,MATCH($K194,'نقاط التحقق'!$A$2:$A$31,0))&amp;"","")</f>
        <v/>
      </c>
      <c r="N194" s="13">
        <v>45</v>
      </c>
      <c r="O194" s="15" t="str">
        <f>IF($N194="","غير مقيّمة",IF($N194&gt;المرجع!$K$3,"مستوفاة بشكل متقدم",IF($N194&lt;=المرجع!$K$2,"مستوفاة بشكل أولي","مستوفاة بشكل جزئي")))</f>
        <v>مستوفاة بشكل جزئي</v>
      </c>
      <c r="P194" s="18"/>
    </row>
    <row r="195" spans="1:16">
      <c r="A195" s="16" t="s">
        <v>579</v>
      </c>
      <c r="B195" s="16" t="s">
        <v>170</v>
      </c>
      <c r="C195" s="15" t="str">
        <f>IFERROR(INDEX('قائمة الوحدات'!$B$2:$B$41,MATCH($B195,'قائمة الوحدات'!$A$2:$A$41,0)),"")</f>
        <v>EXE</v>
      </c>
      <c r="D195" s="14" t="str">
        <f>IFERROR(INDEX('قائمة الوحدات'!$C$2:$C$41,MATCH($B195,'قائمة الوحدات'!$A$2:$A$41,0)),"")</f>
        <v>الشؤون التنفيذية</v>
      </c>
      <c r="E195" s="14" t="str">
        <f>IFERROR(INDEX('قائمة الوحدات'!$D$2:$D$41,MATCH($B195,'قائمة الوحدات'!$A$2:$A$41,0)),"")</f>
        <v>وكالة الشؤون الفنية</v>
      </c>
      <c r="F195" s="14" t="str">
        <f>IFERROR(INDEX('قائمة الوحدات'!$F$2:$F$41,MATCH($B195,'قائمة الوحدات'!$A$2:$A$41,0)),"")</f>
        <v>الإدارة العامة للأمن والحماية</v>
      </c>
      <c r="G195" s="16" t="s">
        <v>61</v>
      </c>
      <c r="H195" s="14" t="str">
        <f>IFERROR(INDEX(المرجع!$A$2:$A$19,MATCH($G195,المرجع!$B$2:$B$19,0)),"")</f>
        <v>البناء المؤسسي</v>
      </c>
      <c r="I195" s="16" t="s">
        <v>54</v>
      </c>
      <c r="J195" s="14" t="str">
        <f>IFERROR(INDEX(المرجع!$D$2:$D$19,MATCH($I195,المرجع!$E$2:$E$19,0)),"")</f>
        <v>التنظيم</v>
      </c>
      <c r="K195" s="16" t="s">
        <v>98</v>
      </c>
      <c r="L195" s="17" t="str">
        <f>IFERROR(INDEX('نقاط التحقق'!$G$2:$G$31,MATCH($K195,'نقاط التحقق'!$A$2:$A$31,0))&amp;"","")</f>
        <v>هيكل تنظيمي معتمد من صاحب الصلاحية</v>
      </c>
      <c r="M195" s="14" t="str">
        <f>IFERROR(INDEX('نقاط التحقق'!$H$2:$H$31,MATCH($K195,'نقاط التحقق'!$A$2:$A$31,0))&amp;"","")</f>
        <v/>
      </c>
      <c r="N195" s="13">
        <v>75</v>
      </c>
      <c r="O195" s="15" t="str">
        <f>IF($N195="","غير مقيّمة",IF($N195&gt;المرجع!$K$3,"مستوفاة بشكل متقدم",IF($N195&lt;=المرجع!$K$2,"مستوفاة بشكل أولي","مستوفاة بشكل جزئي")))</f>
        <v>مستوفاة بشكل متقدم</v>
      </c>
      <c r="P195" s="18"/>
    </row>
    <row r="196" spans="1:16">
      <c r="A196" s="16" t="s">
        <v>580</v>
      </c>
      <c r="B196" s="16" t="s">
        <v>170</v>
      </c>
      <c r="C196" s="15" t="str">
        <f>IFERROR(INDEX('قائمة الوحدات'!$B$2:$B$41,MATCH($B196,'قائمة الوحدات'!$A$2:$A$41,0)),"")</f>
        <v>EXE</v>
      </c>
      <c r="D196" s="14" t="str">
        <f>IFERROR(INDEX('قائمة الوحدات'!$C$2:$C$41,MATCH($B196,'قائمة الوحدات'!$A$2:$A$41,0)),"")</f>
        <v>الشؤون التنفيذية</v>
      </c>
      <c r="E196" s="14" t="str">
        <f>IFERROR(INDEX('قائمة الوحدات'!$D$2:$D$41,MATCH($B196,'قائمة الوحدات'!$A$2:$A$41,0)),"")</f>
        <v>وكالة الشؤون الفنية</v>
      </c>
      <c r="F196" s="14" t="str">
        <f>IFERROR(INDEX('قائمة الوحدات'!$F$2:$F$41,MATCH($B196,'قائمة الوحدات'!$A$2:$A$41,0)),"")</f>
        <v>الإدارة العامة للأمن والحماية</v>
      </c>
      <c r="G196" s="16" t="s">
        <v>61</v>
      </c>
      <c r="H196" s="14" t="str">
        <f>IFERROR(INDEX(المرجع!$A$2:$A$19,MATCH($G196,المرجع!$B$2:$B$19,0)),"")</f>
        <v>البناء المؤسسي</v>
      </c>
      <c r="I196" s="16" t="s">
        <v>54</v>
      </c>
      <c r="J196" s="14" t="str">
        <f>IFERROR(INDEX(المرجع!$D$2:$D$19,MATCH($I196,المرجع!$E$2:$E$19,0)),"")</f>
        <v>التنظيم</v>
      </c>
      <c r="K196" s="16" t="s">
        <v>100</v>
      </c>
      <c r="L196" s="17" t="str">
        <f>IFERROR(INDEX('نقاط التحقق'!$G$2:$G$31,MATCH($K196,'نقاط التحقق'!$A$2:$A$31,0))&amp;"","")</f>
        <v>هيكل تنظيمي منشأ على نظام القوى العاملة</v>
      </c>
      <c r="M196" s="14" t="str">
        <f>IFERROR(INDEX('نقاط التحقق'!$H$2:$H$31,MATCH($K196,'نقاط التحقق'!$A$2:$A$31,0))&amp;"","")</f>
        <v/>
      </c>
      <c r="N196" s="13">
        <v>70</v>
      </c>
      <c r="O196" s="15" t="str">
        <f>IF($N196="","غير مقيّمة",IF($N196&gt;المرجع!$K$3,"مستوفاة بشكل متقدم",IF($N196&lt;=المرجع!$K$2,"مستوفاة بشكل أولي","مستوفاة بشكل جزئي")))</f>
        <v>مستوفاة بشكل جزئي</v>
      </c>
      <c r="P196" s="18"/>
    </row>
    <row r="197" spans="1:16">
      <c r="A197" s="16" t="s">
        <v>581</v>
      </c>
      <c r="B197" s="16" t="s">
        <v>170</v>
      </c>
      <c r="C197" s="15" t="str">
        <f>IFERROR(INDEX('قائمة الوحدات'!$B$2:$B$41,MATCH($B197,'قائمة الوحدات'!$A$2:$A$41,0)),"")</f>
        <v>EXE</v>
      </c>
      <c r="D197" s="14" t="str">
        <f>IFERROR(INDEX('قائمة الوحدات'!$C$2:$C$41,MATCH($B197,'قائمة الوحدات'!$A$2:$A$41,0)),"")</f>
        <v>الشؤون التنفيذية</v>
      </c>
      <c r="E197" s="14" t="str">
        <f>IFERROR(INDEX('قائمة الوحدات'!$D$2:$D$41,MATCH($B197,'قائمة الوحدات'!$A$2:$A$41,0)),"")</f>
        <v>وكالة الشؤون الفنية</v>
      </c>
      <c r="F197" s="14" t="str">
        <f>IFERROR(INDEX('قائمة الوحدات'!$F$2:$F$41,MATCH($B197,'قائمة الوحدات'!$A$2:$A$41,0)),"")</f>
        <v>الإدارة العامة للأمن والحماية</v>
      </c>
      <c r="G197" s="16" t="s">
        <v>61</v>
      </c>
      <c r="H197" s="14" t="str">
        <f>IFERROR(INDEX(المرجع!$A$2:$A$19,MATCH($G197,المرجع!$B$2:$B$19,0)),"")</f>
        <v>البناء المؤسسي</v>
      </c>
      <c r="I197" s="16" t="s">
        <v>54</v>
      </c>
      <c r="J197" s="14" t="str">
        <f>IFERROR(INDEX(المرجع!$D$2:$D$19,MATCH($I197,المرجع!$E$2:$E$19,0)),"")</f>
        <v>التنظيم</v>
      </c>
      <c r="K197" s="16" t="s">
        <v>102</v>
      </c>
      <c r="L197" s="17" t="str">
        <f>IFERROR(INDEX('نقاط التحقق'!$G$2:$G$31,MATCH($K197,'نقاط التحقق'!$A$2:$A$31,0))&amp;"","")</f>
        <v>الموظفون المحددون مسكّنون على الهيكل التنظيمي المستهدف</v>
      </c>
      <c r="M197" s="14" t="str">
        <f>IFERROR(INDEX('نقاط التحقق'!$H$2:$H$31,MATCH($K197,'نقاط التحقق'!$A$2:$A$31,0))&amp;"","")</f>
        <v/>
      </c>
      <c r="N197" s="13">
        <v>85</v>
      </c>
      <c r="O197" s="15" t="str">
        <f>IF($N197="","غير مقيّمة",IF($N197&gt;المرجع!$K$3,"مستوفاة بشكل متقدم",IF($N197&lt;=المرجع!$K$2,"مستوفاة بشكل أولي","مستوفاة بشكل جزئي")))</f>
        <v>مستوفاة بشكل متقدم</v>
      </c>
      <c r="P197" s="18"/>
    </row>
    <row r="198" spans="1:16">
      <c r="A198" s="16" t="s">
        <v>582</v>
      </c>
      <c r="B198" s="16" t="s">
        <v>170</v>
      </c>
      <c r="C198" s="15" t="str">
        <f>IFERROR(INDEX('قائمة الوحدات'!$B$2:$B$41,MATCH($B198,'قائمة الوحدات'!$A$2:$A$41,0)),"")</f>
        <v>EXE</v>
      </c>
      <c r="D198" s="14" t="str">
        <f>IFERROR(INDEX('قائمة الوحدات'!$C$2:$C$41,MATCH($B198,'قائمة الوحدات'!$A$2:$A$41,0)),"")</f>
        <v>الشؤون التنفيذية</v>
      </c>
      <c r="E198" s="14" t="str">
        <f>IFERROR(INDEX('قائمة الوحدات'!$D$2:$D$41,MATCH($B198,'قائمة الوحدات'!$A$2:$A$41,0)),"")</f>
        <v>وكالة الشؤون الفنية</v>
      </c>
      <c r="F198" s="14" t="str">
        <f>IFERROR(INDEX('قائمة الوحدات'!$F$2:$F$41,MATCH($B198,'قائمة الوحدات'!$A$2:$A$41,0)),"")</f>
        <v>الإدارة العامة للأمن والحماية</v>
      </c>
      <c r="G198" s="16" t="s">
        <v>61</v>
      </c>
      <c r="H198" s="14" t="str">
        <f>IFERROR(INDEX(المرجع!$A$2:$A$19,MATCH($G198,المرجع!$B$2:$B$19,0)),"")</f>
        <v>البناء المؤسسي</v>
      </c>
      <c r="I198" s="16" t="s">
        <v>56</v>
      </c>
      <c r="J198" s="14" t="str">
        <f>IFERROR(INDEX(المرجع!$D$2:$D$19,MATCH($I198,المرجع!$E$2:$E$19,0)),"")</f>
        <v>الموارد</v>
      </c>
      <c r="K198" s="16" t="s">
        <v>104</v>
      </c>
      <c r="L198" s="17" t="str">
        <f>IFERROR(INDEX('نقاط التحقق'!$G$2:$G$31,MATCH($K198,'نقاط التحقق'!$A$2:$A$31,0))&amp;"","")</f>
        <v>مدير الوحدة التنظيمية والموظفون الرئيسيون معينون/ملحقون</v>
      </c>
      <c r="M198" s="14" t="str">
        <f>IFERROR(INDEX('نقاط التحقق'!$H$2:$H$31,MATCH($K198,'نقاط التحقق'!$A$2:$A$31,0))&amp;"","")</f>
        <v/>
      </c>
      <c r="N198" s="13">
        <v>70</v>
      </c>
      <c r="O198" s="15" t="str">
        <f>IF($N198="","غير مقيّمة",IF($N198&gt;المرجع!$K$3,"مستوفاة بشكل متقدم",IF($N198&lt;=المرجع!$K$2,"مستوفاة بشكل أولي","مستوفاة بشكل جزئي")))</f>
        <v>مستوفاة بشكل جزئي</v>
      </c>
      <c r="P198" s="18"/>
    </row>
    <row r="199" spans="1:16">
      <c r="A199" s="16" t="s">
        <v>583</v>
      </c>
      <c r="B199" s="16" t="s">
        <v>170</v>
      </c>
      <c r="C199" s="15" t="str">
        <f>IFERROR(INDEX('قائمة الوحدات'!$B$2:$B$41,MATCH($B199,'قائمة الوحدات'!$A$2:$A$41,0)),"")</f>
        <v>EXE</v>
      </c>
      <c r="D199" s="14" t="str">
        <f>IFERROR(INDEX('قائمة الوحدات'!$C$2:$C$41,MATCH($B199,'قائمة الوحدات'!$A$2:$A$41,0)),"")</f>
        <v>الشؤون التنفيذية</v>
      </c>
      <c r="E199" s="14" t="str">
        <f>IFERROR(INDEX('قائمة الوحدات'!$D$2:$D$41,MATCH($B199,'قائمة الوحدات'!$A$2:$A$41,0)),"")</f>
        <v>وكالة الشؤون الفنية</v>
      </c>
      <c r="F199" s="14" t="str">
        <f>IFERROR(INDEX('قائمة الوحدات'!$F$2:$F$41,MATCH($B199,'قائمة الوحدات'!$A$2:$A$41,0)),"")</f>
        <v>الإدارة العامة للأمن والحماية</v>
      </c>
      <c r="G199" s="16" t="s">
        <v>61</v>
      </c>
      <c r="H199" s="14" t="str">
        <f>IFERROR(INDEX(المرجع!$A$2:$A$19,MATCH($G199,المرجع!$B$2:$B$19,0)),"")</f>
        <v>البناء المؤسسي</v>
      </c>
      <c r="I199" s="16" t="s">
        <v>56</v>
      </c>
      <c r="J199" s="14" t="str">
        <f>IFERROR(INDEX(المرجع!$D$2:$D$19,MATCH($I199,المرجع!$E$2:$E$19,0)),"")</f>
        <v>الموارد</v>
      </c>
      <c r="K199" s="16" t="s">
        <v>106</v>
      </c>
      <c r="L199" s="17" t="str">
        <f>IFERROR(INDEX('نقاط التحقق'!$G$2:$G$31,MATCH($K199,'نقاط التحقق'!$A$2:$A$31,0))&amp;"","")</f>
        <v>خطة توظيف وتدريب مستكملة</v>
      </c>
      <c r="M199" s="14" t="str">
        <f>IFERROR(INDEX('نقاط التحقق'!$H$2:$H$31,MATCH($K199,'نقاط التحقق'!$A$2:$A$31,0))&amp;"","")</f>
        <v/>
      </c>
      <c r="N199" s="13">
        <v>65</v>
      </c>
      <c r="O199" s="15" t="str">
        <f>IF($N199="","غير مقيّمة",IF($N199&gt;المرجع!$K$3,"مستوفاة بشكل متقدم",IF($N199&lt;=المرجع!$K$2,"مستوفاة بشكل أولي","مستوفاة بشكل جزئي")))</f>
        <v>مستوفاة بشكل جزئي</v>
      </c>
      <c r="P199" s="18"/>
    </row>
    <row r="200" spans="1:16">
      <c r="A200" s="16" t="s">
        <v>584</v>
      </c>
      <c r="B200" s="16" t="s">
        <v>170</v>
      </c>
      <c r="C200" s="15" t="str">
        <f>IFERROR(INDEX('قائمة الوحدات'!$B$2:$B$41,MATCH($B200,'قائمة الوحدات'!$A$2:$A$41,0)),"")</f>
        <v>EXE</v>
      </c>
      <c r="D200" s="14" t="str">
        <f>IFERROR(INDEX('قائمة الوحدات'!$C$2:$C$41,MATCH($B200,'قائمة الوحدات'!$A$2:$A$41,0)),"")</f>
        <v>الشؤون التنفيذية</v>
      </c>
      <c r="E200" s="14" t="str">
        <f>IFERROR(INDEX('قائمة الوحدات'!$D$2:$D$41,MATCH($B200,'قائمة الوحدات'!$A$2:$A$41,0)),"")</f>
        <v>وكالة الشؤون الفنية</v>
      </c>
      <c r="F200" s="14" t="str">
        <f>IFERROR(INDEX('قائمة الوحدات'!$F$2:$F$41,MATCH($B200,'قائمة الوحدات'!$A$2:$A$41,0)),"")</f>
        <v>الإدارة العامة للأمن والحماية</v>
      </c>
      <c r="G200" s="16" t="s">
        <v>61</v>
      </c>
      <c r="H200" s="14" t="str">
        <f>IFERROR(INDEX(المرجع!$A$2:$A$19,MATCH($G200,المرجع!$B$2:$B$19,0)),"")</f>
        <v>البناء المؤسسي</v>
      </c>
      <c r="I200" s="16" t="s">
        <v>56</v>
      </c>
      <c r="J200" s="14" t="str">
        <f>IFERROR(INDEX(المرجع!$D$2:$D$19,MATCH($I200,المرجع!$E$2:$E$19,0)),"")</f>
        <v>الموارد</v>
      </c>
      <c r="K200" s="16" t="s">
        <v>108</v>
      </c>
      <c r="L200" s="17" t="str">
        <f>IFERROR(INDEX('نقاط التحقق'!$G$2:$G$31,MATCH($K200,'نقاط التحقق'!$A$2:$A$31,0))&amp;"","")</f>
        <v>وجود مساحات مكتبية كافية</v>
      </c>
      <c r="M200" s="14" t="str">
        <f>IFERROR(INDEX('نقاط التحقق'!$H$2:$H$31,MATCH($K200,'نقاط التحقق'!$A$2:$A$31,0))&amp;"","")</f>
        <v/>
      </c>
      <c r="N200" s="13">
        <v>85</v>
      </c>
      <c r="O200" s="15" t="str">
        <f>IF($N200="","غير مقيّمة",IF($N200&gt;المرجع!$K$3,"مستوفاة بشكل متقدم",IF($N200&lt;=المرجع!$K$2,"مستوفاة بشكل أولي","مستوفاة بشكل جزئي")))</f>
        <v>مستوفاة بشكل متقدم</v>
      </c>
      <c r="P200" s="18"/>
    </row>
    <row r="201" spans="1:16">
      <c r="A201" s="16" t="s">
        <v>585</v>
      </c>
      <c r="B201" s="16" t="s">
        <v>170</v>
      </c>
      <c r="C201" s="15" t="str">
        <f>IFERROR(INDEX('قائمة الوحدات'!$B$2:$B$41,MATCH($B201,'قائمة الوحدات'!$A$2:$A$41,0)),"")</f>
        <v>EXE</v>
      </c>
      <c r="D201" s="14" t="str">
        <f>IFERROR(INDEX('قائمة الوحدات'!$C$2:$C$41,MATCH($B201,'قائمة الوحدات'!$A$2:$A$41,0)),"")</f>
        <v>الشؤون التنفيذية</v>
      </c>
      <c r="E201" s="14" t="str">
        <f>IFERROR(INDEX('قائمة الوحدات'!$D$2:$D$41,MATCH($B201,'قائمة الوحدات'!$A$2:$A$41,0)),"")</f>
        <v>وكالة الشؤون الفنية</v>
      </c>
      <c r="F201" s="14" t="str">
        <f>IFERROR(INDEX('قائمة الوحدات'!$F$2:$F$41,MATCH($B201,'قائمة الوحدات'!$A$2:$A$41,0)),"")</f>
        <v>الإدارة العامة للأمن والحماية</v>
      </c>
      <c r="G201" s="16" t="s">
        <v>61</v>
      </c>
      <c r="H201" s="14" t="str">
        <f>IFERROR(INDEX(المرجع!$A$2:$A$19,MATCH($G201,المرجع!$B$2:$B$19,0)),"")</f>
        <v>البناء المؤسسي</v>
      </c>
      <c r="I201" s="16" t="s">
        <v>56</v>
      </c>
      <c r="J201" s="14" t="str">
        <f>IFERROR(INDEX(المرجع!$D$2:$D$19,MATCH($I201,المرجع!$E$2:$E$19,0)),"")</f>
        <v>الموارد</v>
      </c>
      <c r="K201" s="16" t="s">
        <v>110</v>
      </c>
      <c r="L201" s="17" t="str">
        <f>IFERROR(INDEX('نقاط التحقق'!$G$2:$G$31,MATCH($K201,'نقاط التحقق'!$A$2:$A$31,0))&amp;"","")</f>
        <v>وجود الاحتياجات التقنية الأساسية</v>
      </c>
      <c r="M201" s="14" t="str">
        <f>IFERROR(INDEX('نقاط التحقق'!$H$2:$H$31,MATCH($K201,'نقاط التحقق'!$A$2:$A$31,0))&amp;"","")</f>
        <v/>
      </c>
      <c r="N201" s="13">
        <v>75</v>
      </c>
      <c r="O201" s="15" t="str">
        <f>IF($N201="","غير مقيّمة",IF($N201&gt;المرجع!$K$3,"مستوفاة بشكل متقدم",IF($N201&lt;=المرجع!$K$2,"مستوفاة بشكل أولي","مستوفاة بشكل جزئي")))</f>
        <v>مستوفاة بشكل متقدم</v>
      </c>
      <c r="P201" s="18"/>
    </row>
    <row r="202" spans="1:16">
      <c r="A202" s="16" t="s">
        <v>586</v>
      </c>
      <c r="B202" s="16" t="s">
        <v>170</v>
      </c>
      <c r="C202" s="15" t="str">
        <f>IFERROR(INDEX('قائمة الوحدات'!$B$2:$B$41,MATCH($B202,'قائمة الوحدات'!$A$2:$A$41,0)),"")</f>
        <v>EXE</v>
      </c>
      <c r="D202" s="14" t="str">
        <f>IFERROR(INDEX('قائمة الوحدات'!$C$2:$C$41,MATCH($B202,'قائمة الوحدات'!$A$2:$A$41,0)),"")</f>
        <v>الشؤون التنفيذية</v>
      </c>
      <c r="E202" s="14" t="str">
        <f>IFERROR(INDEX('قائمة الوحدات'!$D$2:$D$41,MATCH($B202,'قائمة الوحدات'!$A$2:$A$41,0)),"")</f>
        <v>وكالة الشؤون الفنية</v>
      </c>
      <c r="F202" s="14" t="str">
        <f>IFERROR(INDEX('قائمة الوحدات'!$F$2:$F$41,MATCH($B202,'قائمة الوحدات'!$A$2:$A$41,0)),"")</f>
        <v>الإدارة العامة للأمن والحماية</v>
      </c>
      <c r="G202" s="16" t="s">
        <v>61</v>
      </c>
      <c r="H202" s="14" t="str">
        <f>IFERROR(INDEX(المرجع!$A$2:$A$19,MATCH($G202,المرجع!$B$2:$B$19,0)),"")</f>
        <v>البناء المؤسسي</v>
      </c>
      <c r="I202" s="16" t="s">
        <v>59</v>
      </c>
      <c r="J202" s="14" t="str">
        <f>IFERROR(INDEX(المرجع!$D$2:$D$19,MATCH($I202,المرجع!$E$2:$E$19,0)),"")</f>
        <v>الإجراءات</v>
      </c>
      <c r="K202" s="16" t="s">
        <v>112</v>
      </c>
      <c r="L202" s="17" t="str">
        <f>IFERROR(INDEX('نقاط التحقق'!$G$2:$G$31,MATCH($K202,'نقاط التحقق'!$A$2:$A$31,0))&amp;"","")</f>
        <v>إجراءات معتمدة للوحدة التنظيمية</v>
      </c>
      <c r="M202" s="14" t="str">
        <f>IFERROR(INDEX('نقاط التحقق'!$H$2:$H$31,MATCH($K202,'نقاط التحقق'!$A$2:$A$31,0))&amp;"","")</f>
        <v/>
      </c>
      <c r="N202" s="13">
        <v>57</v>
      </c>
      <c r="O202" s="15" t="str">
        <f>IF($N202="","غير مقيّمة",IF($N202&gt;المرجع!$K$3,"مستوفاة بشكل متقدم",IF($N202&lt;=المرجع!$K$2,"مستوفاة بشكل أولي","مستوفاة بشكل جزئي")))</f>
        <v>مستوفاة بشكل جزئي</v>
      </c>
      <c r="P202" s="18"/>
    </row>
    <row r="203" spans="1:16">
      <c r="A203" s="16" t="s">
        <v>587</v>
      </c>
      <c r="B203" s="16" t="s">
        <v>170</v>
      </c>
      <c r="C203" s="15" t="str">
        <f>IFERROR(INDEX('قائمة الوحدات'!$B$2:$B$41,MATCH($B203,'قائمة الوحدات'!$A$2:$A$41,0)),"")</f>
        <v>EXE</v>
      </c>
      <c r="D203" s="14" t="str">
        <f>IFERROR(INDEX('قائمة الوحدات'!$C$2:$C$41,MATCH($B203,'قائمة الوحدات'!$A$2:$A$41,0)),"")</f>
        <v>الشؤون التنفيذية</v>
      </c>
      <c r="E203" s="14" t="str">
        <f>IFERROR(INDEX('قائمة الوحدات'!$D$2:$D$41,MATCH($B203,'قائمة الوحدات'!$A$2:$A$41,0)),"")</f>
        <v>وكالة الشؤون الفنية</v>
      </c>
      <c r="F203" s="14" t="str">
        <f>IFERROR(INDEX('قائمة الوحدات'!$F$2:$F$41,MATCH($B203,'قائمة الوحدات'!$A$2:$A$41,0)),"")</f>
        <v>الإدارة العامة للأمن والحماية</v>
      </c>
      <c r="G203" s="16" t="s">
        <v>61</v>
      </c>
      <c r="H203" s="14" t="str">
        <f>IFERROR(INDEX(المرجع!$A$2:$A$19,MATCH($G203,المرجع!$B$2:$B$19,0)),"")</f>
        <v>البناء المؤسسي</v>
      </c>
      <c r="I203" s="16" t="s">
        <v>63</v>
      </c>
      <c r="J203" s="14" t="str">
        <f>IFERROR(INDEX(المرجع!$D$2:$D$19,MATCH($I203,المرجع!$E$2:$E$19,0)),"")</f>
        <v>إنتاج المخرج الأول</v>
      </c>
      <c r="K203" s="16" t="s">
        <v>114</v>
      </c>
      <c r="L203" s="17" t="str">
        <f>IFERROR(INDEX('نقاط التحقق'!$G$2:$G$31,MATCH($K203,'نقاط التحقق'!$A$2:$A$31,0))&amp;"","")</f>
        <v>إنتاج المخرج الأول من قبل الوحدة التنظيمية</v>
      </c>
      <c r="M203" s="14" t="str">
        <f>IFERROR(INDEX('نقاط التحقق'!$H$2:$H$31,MATCH($K203,'نقاط التحقق'!$A$2:$A$31,0))&amp;"","")</f>
        <v/>
      </c>
      <c r="N203" s="13">
        <v>68</v>
      </c>
      <c r="O203" s="15" t="str">
        <f>IF($N203="","غير مقيّمة",IF($N203&gt;المرجع!$K$3,"مستوفاة بشكل متقدم",IF($N203&lt;=المرجع!$K$2,"مستوفاة بشكل أولي","مستوفاة بشكل جزئي")))</f>
        <v>مستوفاة بشكل جزئي</v>
      </c>
      <c r="P203" s="18"/>
    </row>
    <row r="204" spans="1:16">
      <c r="A204" s="16" t="s">
        <v>588</v>
      </c>
      <c r="B204" s="16" t="s">
        <v>170</v>
      </c>
      <c r="C204" s="15" t="str">
        <f>IFERROR(INDEX('قائمة الوحدات'!$B$2:$B$41,MATCH($B204,'قائمة الوحدات'!$A$2:$A$41,0)),"")</f>
        <v>EXE</v>
      </c>
      <c r="D204" s="14" t="str">
        <f>IFERROR(INDEX('قائمة الوحدات'!$C$2:$C$41,MATCH($B204,'قائمة الوحدات'!$A$2:$A$41,0)),"")</f>
        <v>الشؤون التنفيذية</v>
      </c>
      <c r="E204" s="14" t="str">
        <f>IFERROR(INDEX('قائمة الوحدات'!$D$2:$D$41,MATCH($B204,'قائمة الوحدات'!$A$2:$A$41,0)),"")</f>
        <v>وكالة الشؤون الفنية</v>
      </c>
      <c r="F204" s="14" t="str">
        <f>IFERROR(INDEX('قائمة الوحدات'!$F$2:$F$41,MATCH($B204,'قائمة الوحدات'!$A$2:$A$41,0)),"")</f>
        <v>الإدارة العامة للأمن والحماية</v>
      </c>
      <c r="G204" s="16" t="s">
        <v>65</v>
      </c>
      <c r="H204" s="14" t="str">
        <f>IFERROR(INDEX(المرجع!$A$2:$A$19,MATCH($G204,المرجع!$B$2:$B$19,0)),"")</f>
        <v>التشغيل</v>
      </c>
      <c r="I204" s="16" t="s">
        <v>48</v>
      </c>
      <c r="J204" s="14" t="str">
        <f>IFERROR(INDEX(المرجع!$D$2:$D$19,MATCH($I204,المرجع!$E$2:$E$19,0)),"")</f>
        <v>الأهداف ومؤشرات الأداء</v>
      </c>
      <c r="K204" s="16" t="s">
        <v>116</v>
      </c>
      <c r="L204" s="17" t="str">
        <f>IFERROR(INDEX('نقاط التحقق'!$G$2:$G$31,MATCH($K204,'نقاط التحقق'!$A$2:$A$31,0))&amp;"","")</f>
        <v>تحرك مؤشرات الأداء التشغيلي للوحدة التنظيمية بشكل إيجابي</v>
      </c>
      <c r="M204" s="14" t="str">
        <f>IFERROR(INDEX('نقاط التحقق'!$H$2:$H$31,MATCH($K204,'نقاط التحقق'!$A$2:$A$31,0))&amp;"","")</f>
        <v/>
      </c>
      <c r="N204" s="13">
        <v>35</v>
      </c>
      <c r="O204" s="15" t="str">
        <f>IF($N204="","غير مقيّمة",IF($N204&gt;المرجع!$K$3,"مستوفاة بشكل متقدم",IF($N204&lt;=المرجع!$K$2,"مستوفاة بشكل أولي","مستوفاة بشكل جزئي")))</f>
        <v>مستوفاة بشكل جزئي</v>
      </c>
      <c r="P204" s="18"/>
    </row>
    <row r="205" spans="1:16">
      <c r="A205" s="16" t="s">
        <v>589</v>
      </c>
      <c r="B205" s="16" t="s">
        <v>170</v>
      </c>
      <c r="C205" s="15" t="str">
        <f>IFERROR(INDEX('قائمة الوحدات'!$B$2:$B$41,MATCH($B205,'قائمة الوحدات'!$A$2:$A$41,0)),"")</f>
        <v>EXE</v>
      </c>
      <c r="D205" s="14" t="str">
        <f>IFERROR(INDEX('قائمة الوحدات'!$C$2:$C$41,MATCH($B205,'قائمة الوحدات'!$A$2:$A$41,0)),"")</f>
        <v>الشؤون التنفيذية</v>
      </c>
      <c r="E205" s="14" t="str">
        <f>IFERROR(INDEX('قائمة الوحدات'!$D$2:$D$41,MATCH($B205,'قائمة الوحدات'!$A$2:$A$41,0)),"")</f>
        <v>وكالة الشؤون الفنية</v>
      </c>
      <c r="F205" s="14" t="str">
        <f>IFERROR(INDEX('قائمة الوحدات'!$F$2:$F$41,MATCH($B205,'قائمة الوحدات'!$A$2:$A$41,0)),"")</f>
        <v>الإدارة العامة للأمن والحماية</v>
      </c>
      <c r="G205" s="16" t="s">
        <v>65</v>
      </c>
      <c r="H205" s="14" t="str">
        <f>IFERROR(INDEX(المرجع!$A$2:$A$19,MATCH($G205,المرجع!$B$2:$B$19,0)),"")</f>
        <v>التشغيل</v>
      </c>
      <c r="I205" s="16" t="s">
        <v>48</v>
      </c>
      <c r="J205" s="14" t="str">
        <f>IFERROR(INDEX(المرجع!$D$2:$D$19,MATCH($I205,المرجع!$E$2:$E$19,0)),"")</f>
        <v>الأهداف ومؤشرات الأداء</v>
      </c>
      <c r="K205" s="16" t="s">
        <v>118</v>
      </c>
      <c r="L205" s="17" t="str">
        <f>IFERROR(INDEX('نقاط التحقق'!$G$2:$G$31,MATCH($K205,'نقاط التحقق'!$A$2:$A$31,0))&amp;"","")</f>
        <v>خطة سنوية معتمدة للوحدة التنظيمية</v>
      </c>
      <c r="M205" s="14" t="str">
        <f>IFERROR(INDEX('نقاط التحقق'!$H$2:$H$31,MATCH($K205,'نقاط التحقق'!$A$2:$A$31,0))&amp;"","")</f>
        <v/>
      </c>
      <c r="N205" s="13">
        <v>45</v>
      </c>
      <c r="O205" s="15" t="str">
        <f>IF($N205="","غير مقيّمة",IF($N205&gt;المرجع!$K$3,"مستوفاة بشكل متقدم",IF($N205&lt;=المرجع!$K$2,"مستوفاة بشكل أولي","مستوفاة بشكل جزئي")))</f>
        <v>مستوفاة بشكل جزئي</v>
      </c>
      <c r="P205" s="18"/>
    </row>
    <row r="206" spans="1:16">
      <c r="A206" s="16" t="s">
        <v>590</v>
      </c>
      <c r="B206" s="16" t="s">
        <v>170</v>
      </c>
      <c r="C206" s="15" t="str">
        <f>IFERROR(INDEX('قائمة الوحدات'!$B$2:$B$41,MATCH($B206,'قائمة الوحدات'!$A$2:$A$41,0)),"")</f>
        <v>EXE</v>
      </c>
      <c r="D206" s="14" t="str">
        <f>IFERROR(INDEX('قائمة الوحدات'!$C$2:$C$41,MATCH($B206,'قائمة الوحدات'!$A$2:$A$41,0)),"")</f>
        <v>الشؤون التنفيذية</v>
      </c>
      <c r="E206" s="14" t="str">
        <f>IFERROR(INDEX('قائمة الوحدات'!$D$2:$D$41,MATCH($B206,'قائمة الوحدات'!$A$2:$A$41,0)),"")</f>
        <v>وكالة الشؤون الفنية</v>
      </c>
      <c r="F206" s="14" t="str">
        <f>IFERROR(INDEX('قائمة الوحدات'!$F$2:$F$41,MATCH($B206,'قائمة الوحدات'!$A$2:$A$41,0)),"")</f>
        <v>الإدارة العامة للأمن والحماية</v>
      </c>
      <c r="G206" s="16" t="s">
        <v>65</v>
      </c>
      <c r="H206" s="14" t="str">
        <f>IFERROR(INDEX(المرجع!$A$2:$A$19,MATCH($G206,المرجع!$B$2:$B$19,0)),"")</f>
        <v>التشغيل</v>
      </c>
      <c r="I206" s="16" t="s">
        <v>51</v>
      </c>
      <c r="J206" s="14" t="str">
        <f>IFERROR(INDEX(المرجع!$D$2:$D$19,MATCH($I206,المرجع!$E$2:$E$19,0)),"")</f>
        <v>الحوكمة</v>
      </c>
      <c r="K206" s="16" t="s">
        <v>120</v>
      </c>
      <c r="L206" s="17" t="str">
        <f>IFERROR(INDEX('نقاط التحقق'!$G$2:$G$31,MATCH($K206,'نقاط التحقق'!$A$2:$A$31,0))&amp;"","")</f>
        <v>محاضر لجان موثقة</v>
      </c>
      <c r="M206" s="14" t="str">
        <f>IFERROR(INDEX('نقاط التحقق'!$H$2:$H$31,MATCH($K206,'نقاط التحقق'!$A$2:$A$31,0))&amp;"","")</f>
        <v/>
      </c>
      <c r="N206" s="13">
        <v>20</v>
      </c>
      <c r="O206" s="15" t="str">
        <f>IF($N206="","غير مقيّمة",IF($N206&gt;المرجع!$K$3,"مستوفاة بشكل متقدم",IF($N206&lt;=المرجع!$K$2,"مستوفاة بشكل أولي","مستوفاة بشكل جزئي")))</f>
        <v>مستوفاة بشكل أولي</v>
      </c>
      <c r="P206" s="18"/>
    </row>
    <row r="207" spans="1:16">
      <c r="A207" s="16" t="s">
        <v>591</v>
      </c>
      <c r="B207" s="16" t="s">
        <v>170</v>
      </c>
      <c r="C207" s="15" t="str">
        <f>IFERROR(INDEX('قائمة الوحدات'!$B$2:$B$41,MATCH($B207,'قائمة الوحدات'!$A$2:$A$41,0)),"")</f>
        <v>EXE</v>
      </c>
      <c r="D207" s="14" t="str">
        <f>IFERROR(INDEX('قائمة الوحدات'!$C$2:$C$41,MATCH($B207,'قائمة الوحدات'!$A$2:$A$41,0)),"")</f>
        <v>الشؤون التنفيذية</v>
      </c>
      <c r="E207" s="14" t="str">
        <f>IFERROR(INDEX('قائمة الوحدات'!$D$2:$D$41,MATCH($B207,'قائمة الوحدات'!$A$2:$A$41,0)),"")</f>
        <v>وكالة الشؤون الفنية</v>
      </c>
      <c r="F207" s="14" t="str">
        <f>IFERROR(INDEX('قائمة الوحدات'!$F$2:$F$41,MATCH($B207,'قائمة الوحدات'!$A$2:$A$41,0)),"")</f>
        <v>الإدارة العامة للأمن والحماية</v>
      </c>
      <c r="G207" s="16" t="s">
        <v>65</v>
      </c>
      <c r="H207" s="14" t="str">
        <f>IFERROR(INDEX(المرجع!$A$2:$A$19,MATCH($G207,المرجع!$B$2:$B$19,0)),"")</f>
        <v>التشغيل</v>
      </c>
      <c r="I207" s="16" t="s">
        <v>51</v>
      </c>
      <c r="J207" s="14" t="str">
        <f>IFERROR(INDEX(المرجع!$D$2:$D$19,MATCH($I207,المرجع!$E$2:$E$19,0)),"")</f>
        <v>الحوكمة</v>
      </c>
      <c r="K207" s="16" t="s">
        <v>122</v>
      </c>
      <c r="L207" s="17" t="str">
        <f>IFERROR(INDEX('نقاط التحقق'!$G$2:$G$31,MATCH($K207,'نقاط التحقق'!$A$2:$A$31,0))&amp;"","")</f>
        <v>نشر السياسات التي تملكها الوحدة التنظيمية</v>
      </c>
      <c r="M207" s="14" t="str">
        <f>IFERROR(INDEX('نقاط التحقق'!$H$2:$H$31,MATCH($K207,'نقاط التحقق'!$A$2:$A$31,0))&amp;"","")</f>
        <v/>
      </c>
      <c r="N207" s="13">
        <v>20</v>
      </c>
      <c r="O207" s="15" t="str">
        <f>IF($N207="","غير مقيّمة",IF($N207&gt;المرجع!$K$3,"مستوفاة بشكل متقدم",IF($N207&lt;=المرجع!$K$2,"مستوفاة بشكل أولي","مستوفاة بشكل جزئي")))</f>
        <v>مستوفاة بشكل أولي</v>
      </c>
      <c r="P207" s="18"/>
    </row>
    <row r="208" spans="1:16">
      <c r="A208" s="16" t="s">
        <v>592</v>
      </c>
      <c r="B208" s="16" t="s">
        <v>170</v>
      </c>
      <c r="C208" s="15" t="str">
        <f>IFERROR(INDEX('قائمة الوحدات'!$B$2:$B$41,MATCH($B208,'قائمة الوحدات'!$A$2:$A$41,0)),"")</f>
        <v>EXE</v>
      </c>
      <c r="D208" s="14" t="str">
        <f>IFERROR(INDEX('قائمة الوحدات'!$C$2:$C$41,MATCH($B208,'قائمة الوحدات'!$A$2:$A$41,0)),"")</f>
        <v>الشؤون التنفيذية</v>
      </c>
      <c r="E208" s="14" t="str">
        <f>IFERROR(INDEX('قائمة الوحدات'!$D$2:$D$41,MATCH($B208,'قائمة الوحدات'!$A$2:$A$41,0)),"")</f>
        <v>وكالة الشؤون الفنية</v>
      </c>
      <c r="F208" s="14" t="str">
        <f>IFERROR(INDEX('قائمة الوحدات'!$F$2:$F$41,MATCH($B208,'قائمة الوحدات'!$A$2:$A$41,0)),"")</f>
        <v>الإدارة العامة للأمن والحماية</v>
      </c>
      <c r="G208" s="16" t="s">
        <v>65</v>
      </c>
      <c r="H208" s="14" t="str">
        <f>IFERROR(INDEX(المرجع!$A$2:$A$19,MATCH($G208,المرجع!$B$2:$B$19,0)),"")</f>
        <v>التشغيل</v>
      </c>
      <c r="I208" s="16" t="s">
        <v>51</v>
      </c>
      <c r="J208" s="14" t="str">
        <f>IFERROR(INDEX(المرجع!$D$2:$D$19,MATCH($I208,المرجع!$E$2:$E$19,0)),"")</f>
        <v>الحوكمة</v>
      </c>
      <c r="K208" s="16" t="s">
        <v>124</v>
      </c>
      <c r="L208" s="17" t="str">
        <f>IFERROR(INDEX('نقاط التحقق'!$G$2:$G$31,MATCH($K208,'نقاط التحقق'!$A$2:$A$31,0))&amp;"","")</f>
        <v>اتخاذ القرارات في نطاق الصلاحيات (وجود شواهد)</v>
      </c>
      <c r="M208" s="14" t="str">
        <f>IFERROR(INDEX('نقاط التحقق'!$H$2:$H$31,MATCH($K208,'نقاط التحقق'!$A$2:$A$31,0))&amp;"","")</f>
        <v/>
      </c>
      <c r="N208" s="13">
        <v>35</v>
      </c>
      <c r="O208" s="15" t="str">
        <f>IF($N208="","غير مقيّمة",IF($N208&gt;المرجع!$K$3,"مستوفاة بشكل متقدم",IF($N208&lt;=المرجع!$K$2,"مستوفاة بشكل أولي","مستوفاة بشكل جزئي")))</f>
        <v>مستوفاة بشكل جزئي</v>
      </c>
      <c r="P208" s="18"/>
    </row>
    <row r="209" spans="1:16">
      <c r="A209" s="16" t="s">
        <v>593</v>
      </c>
      <c r="B209" s="16" t="s">
        <v>170</v>
      </c>
      <c r="C209" s="15" t="str">
        <f>IFERROR(INDEX('قائمة الوحدات'!$B$2:$B$41,MATCH($B209,'قائمة الوحدات'!$A$2:$A$41,0)),"")</f>
        <v>EXE</v>
      </c>
      <c r="D209" s="14" t="str">
        <f>IFERROR(INDEX('قائمة الوحدات'!$C$2:$C$41,MATCH($B209,'قائمة الوحدات'!$A$2:$A$41,0)),"")</f>
        <v>الشؤون التنفيذية</v>
      </c>
      <c r="E209" s="14" t="str">
        <f>IFERROR(INDEX('قائمة الوحدات'!$D$2:$D$41,MATCH($B209,'قائمة الوحدات'!$A$2:$A$41,0)),"")</f>
        <v>وكالة الشؤون الفنية</v>
      </c>
      <c r="F209" s="14" t="str">
        <f>IFERROR(INDEX('قائمة الوحدات'!$F$2:$F$41,MATCH($B209,'قائمة الوحدات'!$A$2:$A$41,0)),"")</f>
        <v>الإدارة العامة للأمن والحماية</v>
      </c>
      <c r="G209" s="16" t="s">
        <v>65</v>
      </c>
      <c r="H209" s="14" t="str">
        <f>IFERROR(INDEX(المرجع!$A$2:$A$19,MATCH($G209,المرجع!$B$2:$B$19,0)),"")</f>
        <v>التشغيل</v>
      </c>
      <c r="I209" s="16" t="s">
        <v>56</v>
      </c>
      <c r="J209" s="14" t="str">
        <f>IFERROR(INDEX(المرجع!$D$2:$D$19,MATCH($I209,المرجع!$E$2:$E$19,0)),"")</f>
        <v>الموارد</v>
      </c>
      <c r="K209" s="16" t="s">
        <v>126</v>
      </c>
      <c r="L209" s="17" t="str">
        <f>IFERROR(INDEX('نقاط التحقق'!$G$2:$G$31,MATCH($K209,'نقاط التحقق'!$A$2:$A$31,0))&amp;"","")</f>
        <v>موارد مستكملة للحد الأدنى الذي يغطي كافة محاور سلسلة القيمة</v>
      </c>
      <c r="M209" s="14" t="str">
        <f>IFERROR(INDEX('نقاط التحقق'!$H$2:$H$31,MATCH($K209,'نقاط التحقق'!$A$2:$A$31,0))&amp;"","")</f>
        <v/>
      </c>
      <c r="N209" s="13">
        <v>44</v>
      </c>
      <c r="O209" s="15" t="str">
        <f>IF($N209="","غير مقيّمة",IF($N209&gt;المرجع!$K$3,"مستوفاة بشكل متقدم",IF($N209&lt;=المرجع!$K$2,"مستوفاة بشكل أولي","مستوفاة بشكل جزئي")))</f>
        <v>مستوفاة بشكل جزئي</v>
      </c>
      <c r="P209" s="18"/>
    </row>
    <row r="210" spans="1:16">
      <c r="A210" s="16" t="s">
        <v>594</v>
      </c>
      <c r="B210" s="16" t="s">
        <v>170</v>
      </c>
      <c r="C210" s="15" t="str">
        <f>IFERROR(INDEX('قائمة الوحدات'!$B$2:$B$41,MATCH($B210,'قائمة الوحدات'!$A$2:$A$41,0)),"")</f>
        <v>EXE</v>
      </c>
      <c r="D210" s="14" t="str">
        <f>IFERROR(INDEX('قائمة الوحدات'!$C$2:$C$41,MATCH($B210,'قائمة الوحدات'!$A$2:$A$41,0)),"")</f>
        <v>الشؤون التنفيذية</v>
      </c>
      <c r="E210" s="14" t="str">
        <f>IFERROR(INDEX('قائمة الوحدات'!$D$2:$D$41,MATCH($B210,'قائمة الوحدات'!$A$2:$A$41,0)),"")</f>
        <v>وكالة الشؤون الفنية</v>
      </c>
      <c r="F210" s="14" t="str">
        <f>IFERROR(INDEX('قائمة الوحدات'!$F$2:$F$41,MATCH($B210,'قائمة الوحدات'!$A$2:$A$41,0)),"")</f>
        <v>الإدارة العامة للأمن والحماية</v>
      </c>
      <c r="G210" s="16" t="s">
        <v>65</v>
      </c>
      <c r="H210" s="14" t="str">
        <f>IFERROR(INDEX(المرجع!$A$2:$A$19,MATCH($G210,المرجع!$B$2:$B$19,0)),"")</f>
        <v>التشغيل</v>
      </c>
      <c r="I210" s="16" t="s">
        <v>59</v>
      </c>
      <c r="J210" s="14" t="str">
        <f>IFERROR(INDEX(المرجع!$D$2:$D$19,MATCH($I210,المرجع!$E$2:$E$19,0)),"")</f>
        <v>الإجراءات</v>
      </c>
      <c r="K210" s="16" t="s">
        <v>128</v>
      </c>
      <c r="L210" s="17" t="str">
        <f>IFERROR(INDEX('نقاط التحقق'!$G$2:$G$31,MATCH($K210,'نقاط التحقق'!$A$2:$A$31,0))&amp;"","")</f>
        <v>تحقيق تقييم "مطبق بشكل كامل" من منهجية تقييم فعالية الإجراءات</v>
      </c>
      <c r="M210" s="14" t="str">
        <f>IFERROR(INDEX('نقاط التحقق'!$H$2:$H$31,MATCH($K210,'نقاط التحقق'!$A$2:$A$31,0))&amp;"","")</f>
        <v/>
      </c>
      <c r="N210" s="13">
        <v>29</v>
      </c>
      <c r="O210" s="15" t="str">
        <f>IF($N210="","غير مقيّمة",IF($N210&gt;المرجع!$K$3,"مستوفاة بشكل متقدم",IF($N210&lt;=المرجع!$K$2,"مستوفاة بشكل أولي","مستوفاة بشكل جزئي")))</f>
        <v>مستوفاة بشكل أولي</v>
      </c>
      <c r="P210" s="18"/>
    </row>
    <row r="211" spans="1:16">
      <c r="A211" s="16" t="s">
        <v>595</v>
      </c>
      <c r="B211" s="16" t="s">
        <v>170</v>
      </c>
      <c r="C211" s="15" t="str">
        <f>IFERROR(INDEX('قائمة الوحدات'!$B$2:$B$41,MATCH($B211,'قائمة الوحدات'!$A$2:$A$41,0)),"")</f>
        <v>EXE</v>
      </c>
      <c r="D211" s="14" t="str">
        <f>IFERROR(INDEX('قائمة الوحدات'!$C$2:$C$41,MATCH($B211,'قائمة الوحدات'!$A$2:$A$41,0)),"")</f>
        <v>الشؤون التنفيذية</v>
      </c>
      <c r="E211" s="14" t="str">
        <f>IFERROR(INDEX('قائمة الوحدات'!$D$2:$D$41,MATCH($B211,'قائمة الوحدات'!$A$2:$A$41,0)),"")</f>
        <v>وكالة الشؤون الفنية</v>
      </c>
      <c r="F211" s="14" t="str">
        <f>IFERROR(INDEX('قائمة الوحدات'!$F$2:$F$41,MATCH($B211,'قائمة الوحدات'!$A$2:$A$41,0)),"")</f>
        <v>الإدارة العامة للأمن والحماية</v>
      </c>
      <c r="G211" s="16" t="s">
        <v>65</v>
      </c>
      <c r="H211" s="14" t="str">
        <f>IFERROR(INDEX(المرجع!$A$2:$A$19,MATCH($G211,المرجع!$B$2:$B$19,0)),"")</f>
        <v>التشغيل</v>
      </c>
      <c r="I211" s="16" t="s">
        <v>67</v>
      </c>
      <c r="J211" s="14" t="str">
        <f>IFERROR(INDEX(المرجع!$D$2:$D$19,MATCH($I211,المرجع!$E$2:$E$19,0)),"")</f>
        <v>اكتمال المخرجات المستهدفة</v>
      </c>
      <c r="K211" s="16" t="s">
        <v>130</v>
      </c>
      <c r="L211" s="17" t="str">
        <f>IFERROR(INDEX('نقاط التحقق'!$G$2:$G$31,MATCH($K211,'نقاط التحقق'!$A$2:$A$31,0))&amp;"","")</f>
        <v>اكتمال مخرجات النموذج التشغيلي المستهدف للوحدة التنظيمية</v>
      </c>
      <c r="M211" s="14" t="str">
        <f>IFERROR(INDEX('نقاط التحقق'!$H$2:$H$31,MATCH($K211,'نقاط التحقق'!$A$2:$A$31,0))&amp;"","")</f>
        <v/>
      </c>
      <c r="N211" s="13">
        <v>45</v>
      </c>
      <c r="O211" s="15" t="str">
        <f>IF($N211="","غير مقيّمة",IF($N211&gt;المرجع!$K$3,"مستوفاة بشكل متقدم",IF($N211&lt;=المرجع!$K$2,"مستوفاة بشكل أولي","مستوفاة بشكل جزئي")))</f>
        <v>مستوفاة بشكل جزئي</v>
      </c>
      <c r="P211" s="18"/>
    </row>
    <row r="212" spans="1:16">
      <c r="A212" s="16" t="s">
        <v>596</v>
      </c>
      <c r="B212" s="16" t="s">
        <v>172</v>
      </c>
      <c r="C212" s="15" t="str">
        <f>IFERROR(INDEX('قائمة الوحدات'!$B$2:$B$41,MATCH($B212,'قائمة الوحدات'!$A$2:$A$41,0)),"")</f>
        <v>EXE</v>
      </c>
      <c r="D212" s="14" t="str">
        <f>IFERROR(INDEX('قائمة الوحدات'!$C$2:$C$41,MATCH($B212,'قائمة الوحدات'!$A$2:$A$41,0)),"")</f>
        <v>الشؤون التنفيذية</v>
      </c>
      <c r="E212" s="14" t="str">
        <f>IFERROR(INDEX('قائمة الوحدات'!$D$2:$D$41,MATCH($B212,'قائمة الوحدات'!$A$2:$A$41,0)),"")</f>
        <v>وكالة الخدمات المساندة</v>
      </c>
      <c r="F212" s="14" t="str">
        <f>IFERROR(INDEX('قائمة الوحدات'!$F$2:$F$41,MATCH($B212,'قائمة الوحدات'!$A$2:$A$41,0)),"")</f>
        <v>الإدارة العامة للموارد البشرية</v>
      </c>
      <c r="G212" s="16" t="s">
        <v>43</v>
      </c>
      <c r="H212" s="14" t="str">
        <f>IFERROR(INDEX(المرجع!$A$2:$A$19,MATCH($G212,المرجع!$B$2:$B$19,0)),"")</f>
        <v>التصميم</v>
      </c>
      <c r="I212" s="16" t="s">
        <v>45</v>
      </c>
      <c r="J212" s="14" t="str">
        <f>IFERROR(INDEX(المرجع!$D$2:$D$19,MATCH($I212,المرجع!$E$2:$E$19,0)),"")</f>
        <v>الدور</v>
      </c>
      <c r="K212" s="16" t="s">
        <v>72</v>
      </c>
      <c r="L212" s="17" t="str">
        <f>IFERROR(INDEX('نقاط التحقق'!$G$2:$G$31,MATCH($K212,'نقاط التحقق'!$A$2:$A$31,0))&amp;"","")</f>
        <v>دور مفصل للوحدة التنظيمية</v>
      </c>
      <c r="M212" s="14" t="str">
        <f>IFERROR(INDEX('نقاط التحقق'!$H$2:$H$31,MATCH($K212,'نقاط التحقق'!$A$2:$A$31,0))&amp;"","")</f>
        <v/>
      </c>
      <c r="N212" s="13">
        <v>89</v>
      </c>
      <c r="O212" s="15" t="str">
        <f>IF($N212="","غير مقيّمة",IF($N212&gt;المرجع!$K$3,"مستوفاة بشكل متقدم",IF($N212&lt;=المرجع!$K$2,"مستوفاة بشكل أولي","مستوفاة بشكل جزئي")))</f>
        <v>مستوفاة بشكل متقدم</v>
      </c>
      <c r="P212" s="18"/>
    </row>
    <row r="213" spans="1:16">
      <c r="A213" s="16" t="s">
        <v>597</v>
      </c>
      <c r="B213" s="16" t="s">
        <v>172</v>
      </c>
      <c r="C213" s="15" t="str">
        <f>IFERROR(INDEX('قائمة الوحدات'!$B$2:$B$41,MATCH($B213,'قائمة الوحدات'!$A$2:$A$41,0)),"")</f>
        <v>EXE</v>
      </c>
      <c r="D213" s="14" t="str">
        <f>IFERROR(INDEX('قائمة الوحدات'!$C$2:$C$41,MATCH($B213,'قائمة الوحدات'!$A$2:$A$41,0)),"")</f>
        <v>الشؤون التنفيذية</v>
      </c>
      <c r="E213" s="14" t="str">
        <f>IFERROR(INDEX('قائمة الوحدات'!$D$2:$D$41,MATCH($B213,'قائمة الوحدات'!$A$2:$A$41,0)),"")</f>
        <v>وكالة الخدمات المساندة</v>
      </c>
      <c r="F213" s="14" t="str">
        <f>IFERROR(INDEX('قائمة الوحدات'!$F$2:$F$41,MATCH($B213,'قائمة الوحدات'!$A$2:$A$41,0)),"")</f>
        <v>الإدارة العامة للموارد البشرية</v>
      </c>
      <c r="G213" s="16" t="s">
        <v>43</v>
      </c>
      <c r="H213" s="14" t="str">
        <f>IFERROR(INDEX(المرجع!$A$2:$A$19,MATCH($G213,المرجع!$B$2:$B$19,0)),"")</f>
        <v>التصميم</v>
      </c>
      <c r="I213" s="16" t="s">
        <v>48</v>
      </c>
      <c r="J213" s="14" t="str">
        <f>IFERROR(INDEX(المرجع!$D$2:$D$19,MATCH($I213,المرجع!$E$2:$E$19,0)),"")</f>
        <v>الأهداف ومؤشرات الأداء</v>
      </c>
      <c r="K213" s="16" t="s">
        <v>74</v>
      </c>
      <c r="L213" s="17" t="str">
        <f>IFERROR(INDEX('نقاط التحقق'!$G$2:$G$31,MATCH($K213,'نقاط التحقق'!$A$2:$A$31,0))&amp;"","")</f>
        <v>أهداف محددة للوحدة التنظيمية وربطها بمؤشرات أداء لقياسها</v>
      </c>
      <c r="M213" s="14" t="str">
        <f>IFERROR(INDEX('نقاط التحقق'!$H$2:$H$31,MATCH($K213,'نقاط التحقق'!$A$2:$A$31,0))&amp;"","")</f>
        <v/>
      </c>
      <c r="N213" s="13">
        <v>70</v>
      </c>
      <c r="O213" s="15" t="str">
        <f>IF($N213="","غير مقيّمة",IF($N213&gt;المرجع!$K$3,"مستوفاة بشكل متقدم",IF($N213&lt;=المرجع!$K$2,"مستوفاة بشكل أولي","مستوفاة بشكل جزئي")))</f>
        <v>مستوفاة بشكل جزئي</v>
      </c>
      <c r="P213" s="18"/>
    </row>
    <row r="214" spans="1:16">
      <c r="A214" s="16" t="s">
        <v>598</v>
      </c>
      <c r="B214" s="16" t="s">
        <v>172</v>
      </c>
      <c r="C214" s="15" t="str">
        <f>IFERROR(INDEX('قائمة الوحدات'!$B$2:$B$41,MATCH($B214,'قائمة الوحدات'!$A$2:$A$41,0)),"")</f>
        <v>EXE</v>
      </c>
      <c r="D214" s="14" t="str">
        <f>IFERROR(INDEX('قائمة الوحدات'!$C$2:$C$41,MATCH($B214,'قائمة الوحدات'!$A$2:$A$41,0)),"")</f>
        <v>الشؤون التنفيذية</v>
      </c>
      <c r="E214" s="14" t="str">
        <f>IFERROR(INDEX('قائمة الوحدات'!$D$2:$D$41,MATCH($B214,'قائمة الوحدات'!$A$2:$A$41,0)),"")</f>
        <v>وكالة الخدمات المساندة</v>
      </c>
      <c r="F214" s="14" t="str">
        <f>IFERROR(INDEX('قائمة الوحدات'!$F$2:$F$41,MATCH($B214,'قائمة الوحدات'!$A$2:$A$41,0)),"")</f>
        <v>الإدارة العامة للموارد البشرية</v>
      </c>
      <c r="G214" s="16" t="s">
        <v>43</v>
      </c>
      <c r="H214" s="14" t="str">
        <f>IFERROR(INDEX(المرجع!$A$2:$A$19,MATCH($G214,المرجع!$B$2:$B$19,0)),"")</f>
        <v>التصميم</v>
      </c>
      <c r="I214" s="16" t="s">
        <v>48</v>
      </c>
      <c r="J214" s="14" t="str">
        <f>IFERROR(INDEX(المرجع!$D$2:$D$19,MATCH($I214,المرجع!$E$2:$E$19,0)),"")</f>
        <v>الأهداف ومؤشرات الأداء</v>
      </c>
      <c r="K214" s="16" t="s">
        <v>76</v>
      </c>
      <c r="L214" s="17" t="str">
        <f>IFERROR(INDEX('نقاط التحقق'!$G$2:$G$31,MATCH($K214,'نقاط التحقق'!$A$2:$A$31,0))&amp;"","")</f>
        <v>مؤشرات أداء الوحدة التنظيمية</v>
      </c>
      <c r="M214" s="14" t="str">
        <f>IFERROR(INDEX('نقاط التحقق'!$H$2:$H$31,MATCH($K214,'نقاط التحقق'!$A$2:$A$31,0))&amp;"","")</f>
        <v/>
      </c>
      <c r="N214" s="13">
        <v>60</v>
      </c>
      <c r="O214" s="15" t="str">
        <f>IF($N214="","غير مقيّمة",IF($N214&gt;المرجع!$K$3,"مستوفاة بشكل متقدم",IF($N214&lt;=المرجع!$K$2,"مستوفاة بشكل أولي","مستوفاة بشكل جزئي")))</f>
        <v>مستوفاة بشكل جزئي</v>
      </c>
      <c r="P214" s="18"/>
    </row>
    <row r="215" spans="1:16">
      <c r="A215" s="16" t="s">
        <v>599</v>
      </c>
      <c r="B215" s="16" t="s">
        <v>172</v>
      </c>
      <c r="C215" s="15" t="str">
        <f>IFERROR(INDEX('قائمة الوحدات'!$B$2:$B$41,MATCH($B215,'قائمة الوحدات'!$A$2:$A$41,0)),"")</f>
        <v>EXE</v>
      </c>
      <c r="D215" s="14" t="str">
        <f>IFERROR(INDEX('قائمة الوحدات'!$C$2:$C$41,MATCH($B215,'قائمة الوحدات'!$A$2:$A$41,0)),"")</f>
        <v>الشؤون التنفيذية</v>
      </c>
      <c r="E215" s="14" t="str">
        <f>IFERROR(INDEX('قائمة الوحدات'!$D$2:$D$41,MATCH($B215,'قائمة الوحدات'!$A$2:$A$41,0)),"")</f>
        <v>وكالة الخدمات المساندة</v>
      </c>
      <c r="F215" s="14" t="str">
        <f>IFERROR(INDEX('قائمة الوحدات'!$F$2:$F$41,MATCH($B215,'قائمة الوحدات'!$A$2:$A$41,0)),"")</f>
        <v>الإدارة العامة للموارد البشرية</v>
      </c>
      <c r="G215" s="16" t="s">
        <v>43</v>
      </c>
      <c r="H215" s="14" t="str">
        <f>IFERROR(INDEX(المرجع!$A$2:$A$19,MATCH($G215,المرجع!$B$2:$B$19,0)),"")</f>
        <v>التصميم</v>
      </c>
      <c r="I215" s="16" t="s">
        <v>51</v>
      </c>
      <c r="J215" s="14" t="str">
        <f>IFERROR(INDEX(المرجع!$D$2:$D$19,MATCH($I215,المرجع!$E$2:$E$19,0)),"")</f>
        <v>الحوكمة</v>
      </c>
      <c r="K215" s="16" t="s">
        <v>78</v>
      </c>
      <c r="L215" s="17" t="str">
        <f>IFERROR(INDEX('نقاط التحقق'!$G$2:$G$31,MATCH($K215,'نقاط التحقق'!$A$2:$A$31,0))&amp;"","")</f>
        <v>تفصيل القرارات ومصفوفة الصلاحيات واللجان ذات العلاقة لاعتماد مخرجات الوحدة التنظيمية</v>
      </c>
      <c r="M215" s="14" t="str">
        <f>IFERROR(INDEX('نقاط التحقق'!$H$2:$H$31,MATCH($K215,'نقاط التحقق'!$A$2:$A$31,0))&amp;"","")</f>
        <v/>
      </c>
      <c r="N215" s="13">
        <v>71</v>
      </c>
      <c r="O215" s="15" t="str">
        <f>IF($N215="","غير مقيّمة",IF($N215&gt;المرجع!$K$3,"مستوفاة بشكل متقدم",IF($N215&lt;=المرجع!$K$2,"مستوفاة بشكل أولي","مستوفاة بشكل جزئي")))</f>
        <v>مستوفاة بشكل متقدم</v>
      </c>
      <c r="P215" s="18"/>
    </row>
    <row r="216" spans="1:16">
      <c r="A216" s="16" t="s">
        <v>600</v>
      </c>
      <c r="B216" s="16" t="s">
        <v>172</v>
      </c>
      <c r="C216" s="15" t="str">
        <f>IFERROR(INDEX('قائمة الوحدات'!$B$2:$B$41,MATCH($B216,'قائمة الوحدات'!$A$2:$A$41,0)),"")</f>
        <v>EXE</v>
      </c>
      <c r="D216" s="14" t="str">
        <f>IFERROR(INDEX('قائمة الوحدات'!$C$2:$C$41,MATCH($B216,'قائمة الوحدات'!$A$2:$A$41,0)),"")</f>
        <v>الشؤون التنفيذية</v>
      </c>
      <c r="E216" s="14" t="str">
        <f>IFERROR(INDEX('قائمة الوحدات'!$D$2:$D$41,MATCH($B216,'قائمة الوحدات'!$A$2:$A$41,0)),"")</f>
        <v>وكالة الخدمات المساندة</v>
      </c>
      <c r="F216" s="14" t="str">
        <f>IFERROR(INDEX('قائمة الوحدات'!$F$2:$F$41,MATCH($B216,'قائمة الوحدات'!$A$2:$A$41,0)),"")</f>
        <v>الإدارة العامة للموارد البشرية</v>
      </c>
      <c r="G216" s="16" t="s">
        <v>43</v>
      </c>
      <c r="H216" s="14" t="str">
        <f>IFERROR(INDEX(المرجع!$A$2:$A$19,MATCH($G216,المرجع!$B$2:$B$19,0)),"")</f>
        <v>التصميم</v>
      </c>
      <c r="I216" s="16" t="s">
        <v>54</v>
      </c>
      <c r="J216" s="14" t="str">
        <f>IFERROR(INDEX(المرجع!$D$2:$D$19,MATCH($I216,المرجع!$E$2:$E$19,0)),"")</f>
        <v>التنظيم</v>
      </c>
      <c r="K216" s="16" t="s">
        <v>80</v>
      </c>
      <c r="L216" s="17" t="str">
        <f>IFERROR(INDEX('نقاط التحقق'!$G$2:$G$31,MATCH($K216,'نقاط التحقق'!$A$2:$A$31,0))&amp;"","")</f>
        <v>تطوير الأدوار والمسؤوليات للوحدة التنظيمية وتفصيل الهيكل التنظيمي</v>
      </c>
      <c r="M216" s="14" t="str">
        <f>IFERROR(INDEX('نقاط التحقق'!$H$2:$H$31,MATCH($K216,'نقاط التحقق'!$A$2:$A$31,0))&amp;"","")</f>
        <v/>
      </c>
      <c r="N216" s="13">
        <v>95</v>
      </c>
      <c r="O216" s="15" t="str">
        <f>IF($N216="","غير مقيّمة",IF($N216&gt;المرجع!$K$3,"مستوفاة بشكل متقدم",IF($N216&lt;=المرجع!$K$2,"مستوفاة بشكل أولي","مستوفاة بشكل جزئي")))</f>
        <v>مستوفاة بشكل متقدم</v>
      </c>
      <c r="P216" s="18"/>
    </row>
    <row r="217" spans="1:16">
      <c r="A217" s="16" t="s">
        <v>601</v>
      </c>
      <c r="B217" s="16" t="s">
        <v>172</v>
      </c>
      <c r="C217" s="15" t="str">
        <f>IFERROR(INDEX('قائمة الوحدات'!$B$2:$B$41,MATCH($B217,'قائمة الوحدات'!$A$2:$A$41,0)),"")</f>
        <v>EXE</v>
      </c>
      <c r="D217" s="14" t="str">
        <f>IFERROR(INDEX('قائمة الوحدات'!$C$2:$C$41,MATCH($B217,'قائمة الوحدات'!$A$2:$A$41,0)),"")</f>
        <v>الشؤون التنفيذية</v>
      </c>
      <c r="E217" s="14" t="str">
        <f>IFERROR(INDEX('قائمة الوحدات'!$D$2:$D$41,MATCH($B217,'قائمة الوحدات'!$A$2:$A$41,0)),"")</f>
        <v>وكالة الخدمات المساندة</v>
      </c>
      <c r="F217" s="14" t="str">
        <f>IFERROR(INDEX('قائمة الوحدات'!$F$2:$F$41,MATCH($B217,'قائمة الوحدات'!$A$2:$A$41,0)),"")</f>
        <v>الإدارة العامة للموارد البشرية</v>
      </c>
      <c r="G217" s="16" t="s">
        <v>43</v>
      </c>
      <c r="H217" s="14" t="str">
        <f>IFERROR(INDEX(المرجع!$A$2:$A$19,MATCH($G217,المرجع!$B$2:$B$19,0)),"")</f>
        <v>التصميم</v>
      </c>
      <c r="I217" s="16" t="s">
        <v>56</v>
      </c>
      <c r="J217" s="14" t="str">
        <f>IFERROR(INDEX(المرجع!$D$2:$D$19,MATCH($I217,المرجع!$E$2:$E$19,0)),"")</f>
        <v>الموارد</v>
      </c>
      <c r="K217" s="16" t="s">
        <v>82</v>
      </c>
      <c r="L217" s="17" t="str">
        <f>IFERROR(INDEX('نقاط التحقق'!$G$2:$G$31,MATCH($K217,'نقاط التحقق'!$A$2:$A$31,0))&amp;"","")</f>
        <v>تفصيل احتياج الموارد البشرية للوحدة التنظيمية</v>
      </c>
      <c r="M217" s="14" t="str">
        <f>IFERROR(INDEX('نقاط التحقق'!$H$2:$H$31,MATCH($K217,'نقاط التحقق'!$A$2:$A$31,0))&amp;"","")</f>
        <v/>
      </c>
      <c r="N217" s="13">
        <v>85</v>
      </c>
      <c r="O217" s="15" t="str">
        <f>IF($N217="","غير مقيّمة",IF($N217&gt;المرجع!$K$3,"مستوفاة بشكل متقدم",IF($N217&lt;=المرجع!$K$2,"مستوفاة بشكل أولي","مستوفاة بشكل جزئي")))</f>
        <v>مستوفاة بشكل متقدم</v>
      </c>
      <c r="P217" s="18"/>
    </row>
    <row r="218" spans="1:16">
      <c r="A218" s="16" t="s">
        <v>602</v>
      </c>
      <c r="B218" s="16" t="s">
        <v>172</v>
      </c>
      <c r="C218" s="15" t="str">
        <f>IFERROR(INDEX('قائمة الوحدات'!$B$2:$B$41,MATCH($B218,'قائمة الوحدات'!$A$2:$A$41,0)),"")</f>
        <v>EXE</v>
      </c>
      <c r="D218" s="14" t="str">
        <f>IFERROR(INDEX('قائمة الوحدات'!$C$2:$C$41,MATCH($B218,'قائمة الوحدات'!$A$2:$A$41,0)),"")</f>
        <v>الشؤون التنفيذية</v>
      </c>
      <c r="E218" s="14" t="str">
        <f>IFERROR(INDEX('قائمة الوحدات'!$D$2:$D$41,MATCH($B218,'قائمة الوحدات'!$A$2:$A$41,0)),"")</f>
        <v>وكالة الخدمات المساندة</v>
      </c>
      <c r="F218" s="14" t="str">
        <f>IFERROR(INDEX('قائمة الوحدات'!$F$2:$F$41,MATCH($B218,'قائمة الوحدات'!$A$2:$A$41,0)),"")</f>
        <v>الإدارة العامة للموارد البشرية</v>
      </c>
      <c r="G218" s="16" t="s">
        <v>43</v>
      </c>
      <c r="H218" s="14" t="str">
        <f>IFERROR(INDEX(المرجع!$A$2:$A$19,MATCH($G218,المرجع!$B$2:$B$19,0)),"")</f>
        <v>التصميم</v>
      </c>
      <c r="I218" s="16" t="s">
        <v>59</v>
      </c>
      <c r="J218" s="14" t="str">
        <f>IFERROR(INDEX(المرجع!$D$2:$D$19,MATCH($I218,المرجع!$E$2:$E$19,0)),"")</f>
        <v>الإجراءات</v>
      </c>
      <c r="K218" s="16" t="s">
        <v>84</v>
      </c>
      <c r="L218" s="17" t="str">
        <f>IFERROR(INDEX('نقاط التحقق'!$G$2:$G$31,MATCH($K218,'نقاط التحقق'!$A$2:$A$31,0))&amp;"","")</f>
        <v>تفصيل المخرجات إلى إجراءات عالية المستوى</v>
      </c>
      <c r="M218" s="14" t="str">
        <f>IFERROR(INDEX('نقاط التحقق'!$H$2:$H$31,MATCH($K218,'نقاط التحقق'!$A$2:$A$31,0))&amp;"","")</f>
        <v/>
      </c>
      <c r="N218" s="13">
        <v>77</v>
      </c>
      <c r="O218" s="15" t="str">
        <f>IF($N218="","غير مقيّمة",IF($N218&gt;المرجع!$K$3,"مستوفاة بشكل متقدم",IF($N218&lt;=المرجع!$K$2,"مستوفاة بشكل أولي","مستوفاة بشكل جزئي")))</f>
        <v>مستوفاة بشكل متقدم</v>
      </c>
      <c r="P218" s="18"/>
    </row>
    <row r="219" spans="1:16">
      <c r="A219" s="16" t="s">
        <v>603</v>
      </c>
      <c r="B219" s="16" t="s">
        <v>172</v>
      </c>
      <c r="C219" s="15" t="str">
        <f>IFERROR(INDEX('قائمة الوحدات'!$B$2:$B$41,MATCH($B219,'قائمة الوحدات'!$A$2:$A$41,0)),"")</f>
        <v>EXE</v>
      </c>
      <c r="D219" s="14" t="str">
        <f>IFERROR(INDEX('قائمة الوحدات'!$C$2:$C$41,MATCH($B219,'قائمة الوحدات'!$A$2:$A$41,0)),"")</f>
        <v>الشؤون التنفيذية</v>
      </c>
      <c r="E219" s="14" t="str">
        <f>IFERROR(INDEX('قائمة الوحدات'!$D$2:$D$41,MATCH($B219,'قائمة الوحدات'!$A$2:$A$41,0)),"")</f>
        <v>وكالة الخدمات المساندة</v>
      </c>
      <c r="F219" s="14" t="str">
        <f>IFERROR(INDEX('قائمة الوحدات'!$F$2:$F$41,MATCH($B219,'قائمة الوحدات'!$A$2:$A$41,0)),"")</f>
        <v>الإدارة العامة للموارد البشرية</v>
      </c>
      <c r="G219" s="16" t="s">
        <v>61</v>
      </c>
      <c r="H219" s="14" t="str">
        <f>IFERROR(INDEX(المرجع!$A$2:$A$19,MATCH($G219,المرجع!$B$2:$B$19,0)),"")</f>
        <v>البناء المؤسسي</v>
      </c>
      <c r="I219" s="16" t="s">
        <v>45</v>
      </c>
      <c r="J219" s="14" t="str">
        <f>IFERROR(INDEX(المرجع!$D$2:$D$19,MATCH($I219,المرجع!$E$2:$E$19,0)),"")</f>
        <v>الدور</v>
      </c>
      <c r="K219" s="16" t="s">
        <v>86</v>
      </c>
      <c r="L219" s="17" t="str">
        <f>IFERROR(INDEX('نقاط التحقق'!$G$2:$G$31,MATCH($K219,'نقاط التحقق'!$A$2:$A$31,0))&amp;"","")</f>
        <v>دور معتمد للوحدة التنظيمية</v>
      </c>
      <c r="M219" s="14" t="str">
        <f>IFERROR(INDEX('نقاط التحقق'!$H$2:$H$31,MATCH($K219,'نقاط التحقق'!$A$2:$A$31,0))&amp;"","")</f>
        <v/>
      </c>
      <c r="N219" s="13">
        <v>61</v>
      </c>
      <c r="O219" s="15" t="str">
        <f>IF($N219="","غير مقيّمة",IF($N219&gt;المرجع!$K$3,"مستوفاة بشكل متقدم",IF($N219&lt;=المرجع!$K$2,"مستوفاة بشكل أولي","مستوفاة بشكل جزئي")))</f>
        <v>مستوفاة بشكل جزئي</v>
      </c>
      <c r="P219" s="18"/>
    </row>
    <row r="220" spans="1:16">
      <c r="A220" s="16" t="s">
        <v>604</v>
      </c>
      <c r="B220" s="16" t="s">
        <v>172</v>
      </c>
      <c r="C220" s="15" t="str">
        <f>IFERROR(INDEX('قائمة الوحدات'!$B$2:$B$41,MATCH($B220,'قائمة الوحدات'!$A$2:$A$41,0)),"")</f>
        <v>EXE</v>
      </c>
      <c r="D220" s="14" t="str">
        <f>IFERROR(INDEX('قائمة الوحدات'!$C$2:$C$41,MATCH($B220,'قائمة الوحدات'!$A$2:$A$41,0)),"")</f>
        <v>الشؤون التنفيذية</v>
      </c>
      <c r="E220" s="14" t="str">
        <f>IFERROR(INDEX('قائمة الوحدات'!$D$2:$D$41,MATCH($B220,'قائمة الوحدات'!$A$2:$A$41,0)),"")</f>
        <v>وكالة الخدمات المساندة</v>
      </c>
      <c r="F220" s="14" t="str">
        <f>IFERROR(INDEX('قائمة الوحدات'!$F$2:$F$41,MATCH($B220,'قائمة الوحدات'!$A$2:$A$41,0)),"")</f>
        <v>الإدارة العامة للموارد البشرية</v>
      </c>
      <c r="G220" s="16" t="s">
        <v>61</v>
      </c>
      <c r="H220" s="14" t="str">
        <f>IFERROR(INDEX(المرجع!$A$2:$A$19,MATCH($G220,المرجع!$B$2:$B$19,0)),"")</f>
        <v>البناء المؤسسي</v>
      </c>
      <c r="I220" s="16" t="s">
        <v>48</v>
      </c>
      <c r="J220" s="14" t="str">
        <f>IFERROR(INDEX(المرجع!$D$2:$D$19,MATCH($I220,المرجع!$E$2:$E$19,0)),"")</f>
        <v>الأهداف ومؤشرات الأداء</v>
      </c>
      <c r="K220" s="16" t="s">
        <v>88</v>
      </c>
      <c r="L220" s="17" t="str">
        <f>IFERROR(INDEX('نقاط التحقق'!$G$2:$G$31,MATCH($K220,'نقاط التحقق'!$A$2:$A$31,0))&amp;"","")</f>
        <v>أهداف تشغيلية معتمدة من صاحب الصلاحية</v>
      </c>
      <c r="M220" s="14" t="str">
        <f>IFERROR(INDEX('نقاط التحقق'!$H$2:$H$31,MATCH($K220,'نقاط التحقق'!$A$2:$A$31,0))&amp;"","")</f>
        <v/>
      </c>
      <c r="N220" s="13">
        <v>55</v>
      </c>
      <c r="O220" s="15" t="str">
        <f>IF($N220="","غير مقيّمة",IF($N220&gt;المرجع!$K$3,"مستوفاة بشكل متقدم",IF($N220&lt;=المرجع!$K$2,"مستوفاة بشكل أولي","مستوفاة بشكل جزئي")))</f>
        <v>مستوفاة بشكل جزئي</v>
      </c>
      <c r="P220" s="18"/>
    </row>
    <row r="221" spans="1:16">
      <c r="A221" s="16" t="s">
        <v>605</v>
      </c>
      <c r="B221" s="16" t="s">
        <v>172</v>
      </c>
      <c r="C221" s="15" t="str">
        <f>IFERROR(INDEX('قائمة الوحدات'!$B$2:$B$41,MATCH($B221,'قائمة الوحدات'!$A$2:$A$41,0)),"")</f>
        <v>EXE</v>
      </c>
      <c r="D221" s="14" t="str">
        <f>IFERROR(INDEX('قائمة الوحدات'!$C$2:$C$41,MATCH($B221,'قائمة الوحدات'!$A$2:$A$41,0)),"")</f>
        <v>الشؤون التنفيذية</v>
      </c>
      <c r="E221" s="14" t="str">
        <f>IFERROR(INDEX('قائمة الوحدات'!$D$2:$D$41,MATCH($B221,'قائمة الوحدات'!$A$2:$A$41,0)),"")</f>
        <v>وكالة الخدمات المساندة</v>
      </c>
      <c r="F221" s="14" t="str">
        <f>IFERROR(INDEX('قائمة الوحدات'!$F$2:$F$41,MATCH($B221,'قائمة الوحدات'!$A$2:$A$41,0)),"")</f>
        <v>الإدارة العامة للموارد البشرية</v>
      </c>
      <c r="G221" s="16" t="s">
        <v>61</v>
      </c>
      <c r="H221" s="14" t="str">
        <f>IFERROR(INDEX(المرجع!$A$2:$A$19,MATCH($G221,المرجع!$B$2:$B$19,0)),"")</f>
        <v>البناء المؤسسي</v>
      </c>
      <c r="I221" s="16" t="s">
        <v>48</v>
      </c>
      <c r="J221" s="14" t="str">
        <f>IFERROR(INDEX(المرجع!$D$2:$D$19,MATCH($I221,المرجع!$E$2:$E$19,0)),"")</f>
        <v>الأهداف ومؤشرات الأداء</v>
      </c>
      <c r="K221" s="16" t="s">
        <v>90</v>
      </c>
      <c r="L221" s="17" t="str">
        <f>IFERROR(INDEX('نقاط التحقق'!$G$2:$G$31,MATCH($K221,'نقاط التحقق'!$A$2:$A$31,0))&amp;"","")</f>
        <v>نشر الأهداف التشغيلية على موظفي الوحدة التنظيمية</v>
      </c>
      <c r="M221" s="14" t="str">
        <f>IFERROR(INDEX('نقاط التحقق'!$H$2:$H$31,MATCH($K221,'نقاط التحقق'!$A$2:$A$31,0))&amp;"","")</f>
        <v/>
      </c>
      <c r="N221" s="13">
        <v>60</v>
      </c>
      <c r="O221" s="15" t="str">
        <f>IF($N221="","غير مقيّمة",IF($N221&gt;المرجع!$K$3,"مستوفاة بشكل متقدم",IF($N221&lt;=المرجع!$K$2,"مستوفاة بشكل أولي","مستوفاة بشكل جزئي")))</f>
        <v>مستوفاة بشكل جزئي</v>
      </c>
      <c r="P221" s="18"/>
    </row>
    <row r="222" spans="1:16">
      <c r="A222" s="16" t="s">
        <v>606</v>
      </c>
      <c r="B222" s="16" t="s">
        <v>172</v>
      </c>
      <c r="C222" s="15" t="str">
        <f>IFERROR(INDEX('قائمة الوحدات'!$B$2:$B$41,MATCH($B222,'قائمة الوحدات'!$A$2:$A$41,0)),"")</f>
        <v>EXE</v>
      </c>
      <c r="D222" s="14" t="str">
        <f>IFERROR(INDEX('قائمة الوحدات'!$C$2:$C$41,MATCH($B222,'قائمة الوحدات'!$A$2:$A$41,0)),"")</f>
        <v>الشؤون التنفيذية</v>
      </c>
      <c r="E222" s="14" t="str">
        <f>IFERROR(INDEX('قائمة الوحدات'!$D$2:$D$41,MATCH($B222,'قائمة الوحدات'!$A$2:$A$41,0)),"")</f>
        <v>وكالة الخدمات المساندة</v>
      </c>
      <c r="F222" s="14" t="str">
        <f>IFERROR(INDEX('قائمة الوحدات'!$F$2:$F$41,MATCH($B222,'قائمة الوحدات'!$A$2:$A$41,0)),"")</f>
        <v>الإدارة العامة للموارد البشرية</v>
      </c>
      <c r="G222" s="16" t="s">
        <v>61</v>
      </c>
      <c r="H222" s="14" t="str">
        <f>IFERROR(INDEX(المرجع!$A$2:$A$19,MATCH($G222,المرجع!$B$2:$B$19,0)),"")</f>
        <v>البناء المؤسسي</v>
      </c>
      <c r="I222" s="16" t="s">
        <v>51</v>
      </c>
      <c r="J222" s="14" t="str">
        <f>IFERROR(INDEX(المرجع!$D$2:$D$19,MATCH($I222,المرجع!$E$2:$E$19,0)),"")</f>
        <v>الحوكمة</v>
      </c>
      <c r="K222" s="16" t="s">
        <v>92</v>
      </c>
      <c r="L222" s="17" t="str">
        <f>IFERROR(INDEX('نقاط التحقق'!$G$2:$G$31,MATCH($K222,'نقاط التحقق'!$A$2:$A$31,0))&amp;"","")</f>
        <v>مصفوفة صلاحيات معتمدة ومعممة على أصحاب المصلحة</v>
      </c>
      <c r="M222" s="14" t="str">
        <f>IFERROR(INDEX('نقاط التحقق'!$H$2:$H$31,MATCH($K222,'نقاط التحقق'!$A$2:$A$31,0))&amp;"","")</f>
        <v/>
      </c>
      <c r="N222" s="13">
        <v>75</v>
      </c>
      <c r="O222" s="15" t="str">
        <f>IF($N222="","غير مقيّمة",IF($N222&gt;المرجع!$K$3,"مستوفاة بشكل متقدم",IF($N222&lt;=المرجع!$K$2,"مستوفاة بشكل أولي","مستوفاة بشكل جزئي")))</f>
        <v>مستوفاة بشكل متقدم</v>
      </c>
      <c r="P222" s="18"/>
    </row>
    <row r="223" spans="1:16">
      <c r="A223" s="16" t="s">
        <v>607</v>
      </c>
      <c r="B223" s="16" t="s">
        <v>172</v>
      </c>
      <c r="C223" s="15" t="str">
        <f>IFERROR(INDEX('قائمة الوحدات'!$B$2:$B$41,MATCH($B223,'قائمة الوحدات'!$A$2:$A$41,0)),"")</f>
        <v>EXE</v>
      </c>
      <c r="D223" s="14" t="str">
        <f>IFERROR(INDEX('قائمة الوحدات'!$C$2:$C$41,MATCH($B223,'قائمة الوحدات'!$A$2:$A$41,0)),"")</f>
        <v>الشؤون التنفيذية</v>
      </c>
      <c r="E223" s="14" t="str">
        <f>IFERROR(INDEX('قائمة الوحدات'!$D$2:$D$41,MATCH($B223,'قائمة الوحدات'!$A$2:$A$41,0)),"")</f>
        <v>وكالة الخدمات المساندة</v>
      </c>
      <c r="F223" s="14" t="str">
        <f>IFERROR(INDEX('قائمة الوحدات'!$F$2:$F$41,MATCH($B223,'قائمة الوحدات'!$A$2:$A$41,0)),"")</f>
        <v>الإدارة العامة للموارد البشرية</v>
      </c>
      <c r="G223" s="16" t="s">
        <v>61</v>
      </c>
      <c r="H223" s="14" t="str">
        <f>IFERROR(INDEX(المرجع!$A$2:$A$19,MATCH($G223,المرجع!$B$2:$B$19,0)),"")</f>
        <v>البناء المؤسسي</v>
      </c>
      <c r="I223" s="16" t="s">
        <v>51</v>
      </c>
      <c r="J223" s="14" t="str">
        <f>IFERROR(INDEX(المرجع!$D$2:$D$19,MATCH($I223,المرجع!$E$2:$E$19,0)),"")</f>
        <v>الحوكمة</v>
      </c>
      <c r="K223" s="16" t="s">
        <v>94</v>
      </c>
      <c r="L223" s="17" t="str">
        <f>IFERROR(INDEX('نقاط التحقق'!$G$2:$G$31,MATCH($K223,'نقاط التحقق'!$A$2:$A$31,0))&amp;"","")</f>
        <v>سياسات معتمدة للتي تملكها الوحدة التنظيمية</v>
      </c>
      <c r="M223" s="14" t="str">
        <f>IFERROR(INDEX('نقاط التحقق'!$H$2:$H$31,MATCH($K223,'نقاط التحقق'!$A$2:$A$31,0))&amp;"","")</f>
        <v/>
      </c>
      <c r="N223" s="13">
        <v>70</v>
      </c>
      <c r="O223" s="15" t="str">
        <f>IF($N223="","غير مقيّمة",IF($N223&gt;المرجع!$K$3,"مستوفاة بشكل متقدم",IF($N223&lt;=المرجع!$K$2,"مستوفاة بشكل أولي","مستوفاة بشكل جزئي")))</f>
        <v>مستوفاة بشكل جزئي</v>
      </c>
      <c r="P223" s="18"/>
    </row>
    <row r="224" spans="1:16">
      <c r="A224" s="16" t="s">
        <v>608</v>
      </c>
      <c r="B224" s="16" t="s">
        <v>172</v>
      </c>
      <c r="C224" s="15" t="str">
        <f>IFERROR(INDEX('قائمة الوحدات'!$B$2:$B$41,MATCH($B224,'قائمة الوحدات'!$A$2:$A$41,0)),"")</f>
        <v>EXE</v>
      </c>
      <c r="D224" s="14" t="str">
        <f>IFERROR(INDEX('قائمة الوحدات'!$C$2:$C$41,MATCH($B224,'قائمة الوحدات'!$A$2:$A$41,0)),"")</f>
        <v>الشؤون التنفيذية</v>
      </c>
      <c r="E224" s="14" t="str">
        <f>IFERROR(INDEX('قائمة الوحدات'!$D$2:$D$41,MATCH($B224,'قائمة الوحدات'!$A$2:$A$41,0)),"")</f>
        <v>وكالة الخدمات المساندة</v>
      </c>
      <c r="F224" s="14" t="str">
        <f>IFERROR(INDEX('قائمة الوحدات'!$F$2:$F$41,MATCH($B224,'قائمة الوحدات'!$A$2:$A$41,0)),"")</f>
        <v>الإدارة العامة للموارد البشرية</v>
      </c>
      <c r="G224" s="16" t="s">
        <v>61</v>
      </c>
      <c r="H224" s="14" t="str">
        <f>IFERROR(INDEX(المرجع!$A$2:$A$19,MATCH($G224,المرجع!$B$2:$B$19,0)),"")</f>
        <v>البناء المؤسسي</v>
      </c>
      <c r="I224" s="16" t="s">
        <v>51</v>
      </c>
      <c r="J224" s="14" t="str">
        <f>IFERROR(INDEX(المرجع!$D$2:$D$19,MATCH($I224,المرجع!$E$2:$E$19,0)),"")</f>
        <v>الحوكمة</v>
      </c>
      <c r="K224" s="16" t="s">
        <v>96</v>
      </c>
      <c r="L224" s="17" t="str">
        <f>IFERROR(INDEX('نقاط التحقق'!$G$2:$G$31,MATCH($K224,'نقاط التحقق'!$A$2:$A$31,0))&amp;"","")</f>
        <v>قرار تشكيل معتمد للجان ذات العلاقة</v>
      </c>
      <c r="M224" s="14" t="str">
        <f>IFERROR(INDEX('نقاط التحقق'!$H$2:$H$31,MATCH($K224,'نقاط التحقق'!$A$2:$A$31,0))&amp;"","")</f>
        <v/>
      </c>
      <c r="N224" s="13">
        <v>70</v>
      </c>
      <c r="O224" s="15" t="str">
        <f>IF($N224="","غير مقيّمة",IF($N224&gt;المرجع!$K$3,"مستوفاة بشكل متقدم",IF($N224&lt;=المرجع!$K$2,"مستوفاة بشكل أولي","مستوفاة بشكل جزئي")))</f>
        <v>مستوفاة بشكل جزئي</v>
      </c>
      <c r="P224" s="18"/>
    </row>
    <row r="225" spans="1:16">
      <c r="A225" s="16" t="s">
        <v>609</v>
      </c>
      <c r="B225" s="16" t="s">
        <v>172</v>
      </c>
      <c r="C225" s="15" t="str">
        <f>IFERROR(INDEX('قائمة الوحدات'!$B$2:$B$41,MATCH($B225,'قائمة الوحدات'!$A$2:$A$41,0)),"")</f>
        <v>EXE</v>
      </c>
      <c r="D225" s="14" t="str">
        <f>IFERROR(INDEX('قائمة الوحدات'!$C$2:$C$41,MATCH($B225,'قائمة الوحدات'!$A$2:$A$41,0)),"")</f>
        <v>الشؤون التنفيذية</v>
      </c>
      <c r="E225" s="14" t="str">
        <f>IFERROR(INDEX('قائمة الوحدات'!$D$2:$D$41,MATCH($B225,'قائمة الوحدات'!$A$2:$A$41,0)),"")</f>
        <v>وكالة الخدمات المساندة</v>
      </c>
      <c r="F225" s="14" t="str">
        <f>IFERROR(INDEX('قائمة الوحدات'!$F$2:$F$41,MATCH($B225,'قائمة الوحدات'!$A$2:$A$41,0)),"")</f>
        <v>الإدارة العامة للموارد البشرية</v>
      </c>
      <c r="G225" s="16" t="s">
        <v>61</v>
      </c>
      <c r="H225" s="14" t="str">
        <f>IFERROR(INDEX(المرجع!$A$2:$A$19,MATCH($G225,المرجع!$B$2:$B$19,0)),"")</f>
        <v>البناء المؤسسي</v>
      </c>
      <c r="I225" s="16" t="s">
        <v>54</v>
      </c>
      <c r="J225" s="14" t="str">
        <f>IFERROR(INDEX(المرجع!$D$2:$D$19,MATCH($I225,المرجع!$E$2:$E$19,0)),"")</f>
        <v>التنظيم</v>
      </c>
      <c r="K225" s="16" t="s">
        <v>98</v>
      </c>
      <c r="L225" s="17" t="str">
        <f>IFERROR(INDEX('نقاط التحقق'!$G$2:$G$31,MATCH($K225,'نقاط التحقق'!$A$2:$A$31,0))&amp;"","")</f>
        <v>هيكل تنظيمي معتمد من صاحب الصلاحية</v>
      </c>
      <c r="M225" s="14" t="str">
        <f>IFERROR(INDEX('نقاط التحقق'!$H$2:$H$31,MATCH($K225,'نقاط التحقق'!$A$2:$A$31,0))&amp;"","")</f>
        <v/>
      </c>
      <c r="N225" s="13">
        <v>90</v>
      </c>
      <c r="O225" s="15" t="str">
        <f>IF($N225="","غير مقيّمة",IF($N225&gt;المرجع!$K$3,"مستوفاة بشكل متقدم",IF($N225&lt;=المرجع!$K$2,"مستوفاة بشكل أولي","مستوفاة بشكل جزئي")))</f>
        <v>مستوفاة بشكل متقدم</v>
      </c>
      <c r="P225" s="18"/>
    </row>
    <row r="226" spans="1:16">
      <c r="A226" s="16" t="s">
        <v>610</v>
      </c>
      <c r="B226" s="16" t="s">
        <v>172</v>
      </c>
      <c r="C226" s="15" t="str">
        <f>IFERROR(INDEX('قائمة الوحدات'!$B$2:$B$41,MATCH($B226,'قائمة الوحدات'!$A$2:$A$41,0)),"")</f>
        <v>EXE</v>
      </c>
      <c r="D226" s="14" t="str">
        <f>IFERROR(INDEX('قائمة الوحدات'!$C$2:$C$41,MATCH($B226,'قائمة الوحدات'!$A$2:$A$41,0)),"")</f>
        <v>الشؤون التنفيذية</v>
      </c>
      <c r="E226" s="14" t="str">
        <f>IFERROR(INDEX('قائمة الوحدات'!$D$2:$D$41,MATCH($B226,'قائمة الوحدات'!$A$2:$A$41,0)),"")</f>
        <v>وكالة الخدمات المساندة</v>
      </c>
      <c r="F226" s="14" t="str">
        <f>IFERROR(INDEX('قائمة الوحدات'!$F$2:$F$41,MATCH($B226,'قائمة الوحدات'!$A$2:$A$41,0)),"")</f>
        <v>الإدارة العامة للموارد البشرية</v>
      </c>
      <c r="G226" s="16" t="s">
        <v>61</v>
      </c>
      <c r="H226" s="14" t="str">
        <f>IFERROR(INDEX(المرجع!$A$2:$A$19,MATCH($G226,المرجع!$B$2:$B$19,0)),"")</f>
        <v>البناء المؤسسي</v>
      </c>
      <c r="I226" s="16" t="s">
        <v>54</v>
      </c>
      <c r="J226" s="14" t="str">
        <f>IFERROR(INDEX(المرجع!$D$2:$D$19,MATCH($I226,المرجع!$E$2:$E$19,0)),"")</f>
        <v>التنظيم</v>
      </c>
      <c r="K226" s="16" t="s">
        <v>100</v>
      </c>
      <c r="L226" s="17" t="str">
        <f>IFERROR(INDEX('نقاط التحقق'!$G$2:$G$31,MATCH($K226,'نقاط التحقق'!$A$2:$A$31,0))&amp;"","")</f>
        <v>هيكل تنظيمي منشأ على نظام القوى العاملة</v>
      </c>
      <c r="M226" s="14" t="str">
        <f>IFERROR(INDEX('نقاط التحقق'!$H$2:$H$31,MATCH($K226,'نقاط التحقق'!$A$2:$A$31,0))&amp;"","")</f>
        <v/>
      </c>
      <c r="N226" s="13">
        <v>65</v>
      </c>
      <c r="O226" s="15" t="str">
        <f>IF($N226="","غير مقيّمة",IF($N226&gt;المرجع!$K$3,"مستوفاة بشكل متقدم",IF($N226&lt;=المرجع!$K$2,"مستوفاة بشكل أولي","مستوفاة بشكل جزئي")))</f>
        <v>مستوفاة بشكل جزئي</v>
      </c>
      <c r="P226" s="18"/>
    </row>
    <row r="227" spans="1:16">
      <c r="A227" s="16" t="s">
        <v>611</v>
      </c>
      <c r="B227" s="16" t="s">
        <v>172</v>
      </c>
      <c r="C227" s="15" t="str">
        <f>IFERROR(INDEX('قائمة الوحدات'!$B$2:$B$41,MATCH($B227,'قائمة الوحدات'!$A$2:$A$41,0)),"")</f>
        <v>EXE</v>
      </c>
      <c r="D227" s="14" t="str">
        <f>IFERROR(INDEX('قائمة الوحدات'!$C$2:$C$41,MATCH($B227,'قائمة الوحدات'!$A$2:$A$41,0)),"")</f>
        <v>الشؤون التنفيذية</v>
      </c>
      <c r="E227" s="14" t="str">
        <f>IFERROR(INDEX('قائمة الوحدات'!$D$2:$D$41,MATCH($B227,'قائمة الوحدات'!$A$2:$A$41,0)),"")</f>
        <v>وكالة الخدمات المساندة</v>
      </c>
      <c r="F227" s="14" t="str">
        <f>IFERROR(INDEX('قائمة الوحدات'!$F$2:$F$41,MATCH($B227,'قائمة الوحدات'!$A$2:$A$41,0)),"")</f>
        <v>الإدارة العامة للموارد البشرية</v>
      </c>
      <c r="G227" s="16" t="s">
        <v>61</v>
      </c>
      <c r="H227" s="14" t="str">
        <f>IFERROR(INDEX(المرجع!$A$2:$A$19,MATCH($G227,المرجع!$B$2:$B$19,0)),"")</f>
        <v>البناء المؤسسي</v>
      </c>
      <c r="I227" s="16" t="s">
        <v>54</v>
      </c>
      <c r="J227" s="14" t="str">
        <f>IFERROR(INDEX(المرجع!$D$2:$D$19,MATCH($I227,المرجع!$E$2:$E$19,0)),"")</f>
        <v>التنظيم</v>
      </c>
      <c r="K227" s="16" t="s">
        <v>102</v>
      </c>
      <c r="L227" s="17" t="str">
        <f>IFERROR(INDEX('نقاط التحقق'!$G$2:$G$31,MATCH($K227,'نقاط التحقق'!$A$2:$A$31,0))&amp;"","")</f>
        <v>الموظفون المحددون مسكّنون على الهيكل التنظيمي المستهدف</v>
      </c>
      <c r="M227" s="14" t="str">
        <f>IFERROR(INDEX('نقاط التحقق'!$H$2:$H$31,MATCH($K227,'نقاط التحقق'!$A$2:$A$31,0))&amp;"","")</f>
        <v/>
      </c>
      <c r="N227" s="13">
        <v>75</v>
      </c>
      <c r="O227" s="15" t="str">
        <f>IF($N227="","غير مقيّمة",IF($N227&gt;المرجع!$K$3,"مستوفاة بشكل متقدم",IF($N227&lt;=المرجع!$K$2,"مستوفاة بشكل أولي","مستوفاة بشكل جزئي")))</f>
        <v>مستوفاة بشكل متقدم</v>
      </c>
      <c r="P227" s="18"/>
    </row>
    <row r="228" spans="1:16">
      <c r="A228" s="16" t="s">
        <v>612</v>
      </c>
      <c r="B228" s="16" t="s">
        <v>172</v>
      </c>
      <c r="C228" s="15" t="str">
        <f>IFERROR(INDEX('قائمة الوحدات'!$B$2:$B$41,MATCH($B228,'قائمة الوحدات'!$A$2:$A$41,0)),"")</f>
        <v>EXE</v>
      </c>
      <c r="D228" s="14" t="str">
        <f>IFERROR(INDEX('قائمة الوحدات'!$C$2:$C$41,MATCH($B228,'قائمة الوحدات'!$A$2:$A$41,0)),"")</f>
        <v>الشؤون التنفيذية</v>
      </c>
      <c r="E228" s="14" t="str">
        <f>IFERROR(INDEX('قائمة الوحدات'!$D$2:$D$41,MATCH($B228,'قائمة الوحدات'!$A$2:$A$41,0)),"")</f>
        <v>وكالة الخدمات المساندة</v>
      </c>
      <c r="F228" s="14" t="str">
        <f>IFERROR(INDEX('قائمة الوحدات'!$F$2:$F$41,MATCH($B228,'قائمة الوحدات'!$A$2:$A$41,0)),"")</f>
        <v>الإدارة العامة للموارد البشرية</v>
      </c>
      <c r="G228" s="16" t="s">
        <v>61</v>
      </c>
      <c r="H228" s="14" t="str">
        <f>IFERROR(INDEX(المرجع!$A$2:$A$19,MATCH($G228,المرجع!$B$2:$B$19,0)),"")</f>
        <v>البناء المؤسسي</v>
      </c>
      <c r="I228" s="16" t="s">
        <v>56</v>
      </c>
      <c r="J228" s="14" t="str">
        <f>IFERROR(INDEX(المرجع!$D$2:$D$19,MATCH($I228,المرجع!$E$2:$E$19,0)),"")</f>
        <v>الموارد</v>
      </c>
      <c r="K228" s="16" t="s">
        <v>104</v>
      </c>
      <c r="L228" s="17" t="str">
        <f>IFERROR(INDEX('نقاط التحقق'!$G$2:$G$31,MATCH($K228,'نقاط التحقق'!$A$2:$A$31,0))&amp;"","")</f>
        <v>مدير الوحدة التنظيمية والموظفون الرئيسيون معينون/ملحقون</v>
      </c>
      <c r="M228" s="14" t="str">
        <f>IFERROR(INDEX('نقاط التحقق'!$H$2:$H$31,MATCH($K228,'نقاط التحقق'!$A$2:$A$31,0))&amp;"","")</f>
        <v/>
      </c>
      <c r="N228" s="13">
        <v>75</v>
      </c>
      <c r="O228" s="15" t="str">
        <f>IF($N228="","غير مقيّمة",IF($N228&gt;المرجع!$K$3,"مستوفاة بشكل متقدم",IF($N228&lt;=المرجع!$K$2,"مستوفاة بشكل أولي","مستوفاة بشكل جزئي")))</f>
        <v>مستوفاة بشكل متقدم</v>
      </c>
      <c r="P228" s="18"/>
    </row>
    <row r="229" spans="1:16">
      <c r="A229" s="16" t="s">
        <v>613</v>
      </c>
      <c r="B229" s="16" t="s">
        <v>172</v>
      </c>
      <c r="C229" s="15" t="str">
        <f>IFERROR(INDEX('قائمة الوحدات'!$B$2:$B$41,MATCH($B229,'قائمة الوحدات'!$A$2:$A$41,0)),"")</f>
        <v>EXE</v>
      </c>
      <c r="D229" s="14" t="str">
        <f>IFERROR(INDEX('قائمة الوحدات'!$C$2:$C$41,MATCH($B229,'قائمة الوحدات'!$A$2:$A$41,0)),"")</f>
        <v>الشؤون التنفيذية</v>
      </c>
      <c r="E229" s="14" t="str">
        <f>IFERROR(INDEX('قائمة الوحدات'!$D$2:$D$41,MATCH($B229,'قائمة الوحدات'!$A$2:$A$41,0)),"")</f>
        <v>وكالة الخدمات المساندة</v>
      </c>
      <c r="F229" s="14" t="str">
        <f>IFERROR(INDEX('قائمة الوحدات'!$F$2:$F$41,MATCH($B229,'قائمة الوحدات'!$A$2:$A$41,0)),"")</f>
        <v>الإدارة العامة للموارد البشرية</v>
      </c>
      <c r="G229" s="16" t="s">
        <v>61</v>
      </c>
      <c r="H229" s="14" t="str">
        <f>IFERROR(INDEX(المرجع!$A$2:$A$19,MATCH($G229,المرجع!$B$2:$B$19,0)),"")</f>
        <v>البناء المؤسسي</v>
      </c>
      <c r="I229" s="16" t="s">
        <v>56</v>
      </c>
      <c r="J229" s="14" t="str">
        <f>IFERROR(INDEX(المرجع!$D$2:$D$19,MATCH($I229,المرجع!$E$2:$E$19,0)),"")</f>
        <v>الموارد</v>
      </c>
      <c r="K229" s="16" t="s">
        <v>106</v>
      </c>
      <c r="L229" s="17" t="str">
        <f>IFERROR(INDEX('نقاط التحقق'!$G$2:$G$31,MATCH($K229,'نقاط التحقق'!$A$2:$A$31,0))&amp;"","")</f>
        <v>خطة توظيف وتدريب مستكملة</v>
      </c>
      <c r="M229" s="14" t="str">
        <f>IFERROR(INDEX('نقاط التحقق'!$H$2:$H$31,MATCH($K229,'نقاط التحقق'!$A$2:$A$31,0))&amp;"","")</f>
        <v/>
      </c>
      <c r="N229" s="13">
        <v>70</v>
      </c>
      <c r="O229" s="15" t="str">
        <f>IF($N229="","غير مقيّمة",IF($N229&gt;المرجع!$K$3,"مستوفاة بشكل متقدم",IF($N229&lt;=المرجع!$K$2,"مستوفاة بشكل أولي","مستوفاة بشكل جزئي")))</f>
        <v>مستوفاة بشكل جزئي</v>
      </c>
      <c r="P229" s="18"/>
    </row>
    <row r="230" spans="1:16">
      <c r="A230" s="16" t="s">
        <v>614</v>
      </c>
      <c r="B230" s="16" t="s">
        <v>172</v>
      </c>
      <c r="C230" s="15" t="str">
        <f>IFERROR(INDEX('قائمة الوحدات'!$B$2:$B$41,MATCH($B230,'قائمة الوحدات'!$A$2:$A$41,0)),"")</f>
        <v>EXE</v>
      </c>
      <c r="D230" s="14" t="str">
        <f>IFERROR(INDEX('قائمة الوحدات'!$C$2:$C$41,MATCH($B230,'قائمة الوحدات'!$A$2:$A$41,0)),"")</f>
        <v>الشؤون التنفيذية</v>
      </c>
      <c r="E230" s="14" t="str">
        <f>IFERROR(INDEX('قائمة الوحدات'!$D$2:$D$41,MATCH($B230,'قائمة الوحدات'!$A$2:$A$41,0)),"")</f>
        <v>وكالة الخدمات المساندة</v>
      </c>
      <c r="F230" s="14" t="str">
        <f>IFERROR(INDEX('قائمة الوحدات'!$F$2:$F$41,MATCH($B230,'قائمة الوحدات'!$A$2:$A$41,0)),"")</f>
        <v>الإدارة العامة للموارد البشرية</v>
      </c>
      <c r="G230" s="16" t="s">
        <v>61</v>
      </c>
      <c r="H230" s="14" t="str">
        <f>IFERROR(INDEX(المرجع!$A$2:$A$19,MATCH($G230,المرجع!$B$2:$B$19,0)),"")</f>
        <v>البناء المؤسسي</v>
      </c>
      <c r="I230" s="16" t="s">
        <v>56</v>
      </c>
      <c r="J230" s="14" t="str">
        <f>IFERROR(INDEX(المرجع!$D$2:$D$19,MATCH($I230,المرجع!$E$2:$E$19,0)),"")</f>
        <v>الموارد</v>
      </c>
      <c r="K230" s="16" t="s">
        <v>108</v>
      </c>
      <c r="L230" s="17" t="str">
        <f>IFERROR(INDEX('نقاط التحقق'!$G$2:$G$31,MATCH($K230,'نقاط التحقق'!$A$2:$A$31,0))&amp;"","")</f>
        <v>وجود مساحات مكتبية كافية</v>
      </c>
      <c r="M230" s="14" t="str">
        <f>IFERROR(INDEX('نقاط التحقق'!$H$2:$H$31,MATCH($K230,'نقاط التحقق'!$A$2:$A$31,0))&amp;"","")</f>
        <v/>
      </c>
      <c r="N230" s="13">
        <v>75</v>
      </c>
      <c r="O230" s="15" t="str">
        <f>IF($N230="","غير مقيّمة",IF($N230&gt;المرجع!$K$3,"مستوفاة بشكل متقدم",IF($N230&lt;=المرجع!$K$2,"مستوفاة بشكل أولي","مستوفاة بشكل جزئي")))</f>
        <v>مستوفاة بشكل متقدم</v>
      </c>
      <c r="P230" s="18"/>
    </row>
    <row r="231" spans="1:16">
      <c r="A231" s="16" t="s">
        <v>615</v>
      </c>
      <c r="B231" s="16" t="s">
        <v>172</v>
      </c>
      <c r="C231" s="15" t="str">
        <f>IFERROR(INDEX('قائمة الوحدات'!$B$2:$B$41,MATCH($B231,'قائمة الوحدات'!$A$2:$A$41,0)),"")</f>
        <v>EXE</v>
      </c>
      <c r="D231" s="14" t="str">
        <f>IFERROR(INDEX('قائمة الوحدات'!$C$2:$C$41,MATCH($B231,'قائمة الوحدات'!$A$2:$A$41,0)),"")</f>
        <v>الشؤون التنفيذية</v>
      </c>
      <c r="E231" s="14" t="str">
        <f>IFERROR(INDEX('قائمة الوحدات'!$D$2:$D$41,MATCH($B231,'قائمة الوحدات'!$A$2:$A$41,0)),"")</f>
        <v>وكالة الخدمات المساندة</v>
      </c>
      <c r="F231" s="14" t="str">
        <f>IFERROR(INDEX('قائمة الوحدات'!$F$2:$F$41,MATCH($B231,'قائمة الوحدات'!$A$2:$A$41,0)),"")</f>
        <v>الإدارة العامة للموارد البشرية</v>
      </c>
      <c r="G231" s="16" t="s">
        <v>61</v>
      </c>
      <c r="H231" s="14" t="str">
        <f>IFERROR(INDEX(المرجع!$A$2:$A$19,MATCH($G231,المرجع!$B$2:$B$19,0)),"")</f>
        <v>البناء المؤسسي</v>
      </c>
      <c r="I231" s="16" t="s">
        <v>56</v>
      </c>
      <c r="J231" s="14" t="str">
        <f>IFERROR(INDEX(المرجع!$D$2:$D$19,MATCH($I231,المرجع!$E$2:$E$19,0)),"")</f>
        <v>الموارد</v>
      </c>
      <c r="K231" s="16" t="s">
        <v>110</v>
      </c>
      <c r="L231" s="17" t="str">
        <f>IFERROR(INDEX('نقاط التحقق'!$G$2:$G$31,MATCH($K231,'نقاط التحقق'!$A$2:$A$31,0))&amp;"","")</f>
        <v>وجود الاحتياجات التقنية الأساسية</v>
      </c>
      <c r="M231" s="14" t="str">
        <f>IFERROR(INDEX('نقاط التحقق'!$H$2:$H$31,MATCH($K231,'نقاط التحقق'!$A$2:$A$31,0))&amp;"","")</f>
        <v/>
      </c>
      <c r="N231" s="13">
        <v>50</v>
      </c>
      <c r="O231" s="15" t="str">
        <f>IF($N231="","غير مقيّمة",IF($N231&gt;المرجع!$K$3,"مستوفاة بشكل متقدم",IF($N231&lt;=المرجع!$K$2,"مستوفاة بشكل أولي","مستوفاة بشكل جزئي")))</f>
        <v>مستوفاة بشكل جزئي</v>
      </c>
      <c r="P231" s="18"/>
    </row>
    <row r="232" spans="1:16">
      <c r="A232" s="16" t="s">
        <v>616</v>
      </c>
      <c r="B232" s="16" t="s">
        <v>172</v>
      </c>
      <c r="C232" s="15" t="str">
        <f>IFERROR(INDEX('قائمة الوحدات'!$B$2:$B$41,MATCH($B232,'قائمة الوحدات'!$A$2:$A$41,0)),"")</f>
        <v>EXE</v>
      </c>
      <c r="D232" s="14" t="str">
        <f>IFERROR(INDEX('قائمة الوحدات'!$C$2:$C$41,MATCH($B232,'قائمة الوحدات'!$A$2:$A$41,0)),"")</f>
        <v>الشؤون التنفيذية</v>
      </c>
      <c r="E232" s="14" t="str">
        <f>IFERROR(INDEX('قائمة الوحدات'!$D$2:$D$41,MATCH($B232,'قائمة الوحدات'!$A$2:$A$41,0)),"")</f>
        <v>وكالة الخدمات المساندة</v>
      </c>
      <c r="F232" s="14" t="str">
        <f>IFERROR(INDEX('قائمة الوحدات'!$F$2:$F$41,MATCH($B232,'قائمة الوحدات'!$A$2:$A$41,0)),"")</f>
        <v>الإدارة العامة للموارد البشرية</v>
      </c>
      <c r="G232" s="16" t="s">
        <v>61</v>
      </c>
      <c r="H232" s="14" t="str">
        <f>IFERROR(INDEX(المرجع!$A$2:$A$19,MATCH($G232,المرجع!$B$2:$B$19,0)),"")</f>
        <v>البناء المؤسسي</v>
      </c>
      <c r="I232" s="16" t="s">
        <v>59</v>
      </c>
      <c r="J232" s="14" t="str">
        <f>IFERROR(INDEX(المرجع!$D$2:$D$19,MATCH($I232,المرجع!$E$2:$E$19,0)),"")</f>
        <v>الإجراءات</v>
      </c>
      <c r="K232" s="16" t="s">
        <v>112</v>
      </c>
      <c r="L232" s="17" t="str">
        <f>IFERROR(INDEX('نقاط التحقق'!$G$2:$G$31,MATCH($K232,'نقاط التحقق'!$A$2:$A$31,0))&amp;"","")</f>
        <v>إجراءات معتمدة للوحدة التنظيمية</v>
      </c>
      <c r="M232" s="14" t="str">
        <f>IFERROR(INDEX('نقاط التحقق'!$H$2:$H$31,MATCH($K232,'نقاط التحقق'!$A$2:$A$31,0))&amp;"","")</f>
        <v/>
      </c>
      <c r="N232" s="13">
        <v>46</v>
      </c>
      <c r="O232" s="15" t="str">
        <f>IF($N232="","غير مقيّمة",IF($N232&gt;المرجع!$K$3,"مستوفاة بشكل متقدم",IF($N232&lt;=المرجع!$K$2,"مستوفاة بشكل أولي","مستوفاة بشكل جزئي")))</f>
        <v>مستوفاة بشكل جزئي</v>
      </c>
      <c r="P232" s="18"/>
    </row>
    <row r="233" spans="1:16">
      <c r="A233" s="16" t="s">
        <v>617</v>
      </c>
      <c r="B233" s="16" t="s">
        <v>172</v>
      </c>
      <c r="C233" s="15" t="str">
        <f>IFERROR(INDEX('قائمة الوحدات'!$B$2:$B$41,MATCH($B233,'قائمة الوحدات'!$A$2:$A$41,0)),"")</f>
        <v>EXE</v>
      </c>
      <c r="D233" s="14" t="str">
        <f>IFERROR(INDEX('قائمة الوحدات'!$C$2:$C$41,MATCH($B233,'قائمة الوحدات'!$A$2:$A$41,0)),"")</f>
        <v>الشؤون التنفيذية</v>
      </c>
      <c r="E233" s="14" t="str">
        <f>IFERROR(INDEX('قائمة الوحدات'!$D$2:$D$41,MATCH($B233,'قائمة الوحدات'!$A$2:$A$41,0)),"")</f>
        <v>وكالة الخدمات المساندة</v>
      </c>
      <c r="F233" s="14" t="str">
        <f>IFERROR(INDEX('قائمة الوحدات'!$F$2:$F$41,MATCH($B233,'قائمة الوحدات'!$A$2:$A$41,0)),"")</f>
        <v>الإدارة العامة للموارد البشرية</v>
      </c>
      <c r="G233" s="16" t="s">
        <v>61</v>
      </c>
      <c r="H233" s="14" t="str">
        <f>IFERROR(INDEX(المرجع!$A$2:$A$19,MATCH($G233,المرجع!$B$2:$B$19,0)),"")</f>
        <v>البناء المؤسسي</v>
      </c>
      <c r="I233" s="16" t="s">
        <v>63</v>
      </c>
      <c r="J233" s="14" t="str">
        <f>IFERROR(INDEX(المرجع!$D$2:$D$19,MATCH($I233,المرجع!$E$2:$E$19,0)),"")</f>
        <v>إنتاج المخرج الأول</v>
      </c>
      <c r="K233" s="16" t="s">
        <v>114</v>
      </c>
      <c r="L233" s="17" t="str">
        <f>IFERROR(INDEX('نقاط التحقق'!$G$2:$G$31,MATCH($K233,'نقاط التحقق'!$A$2:$A$31,0))&amp;"","")</f>
        <v>إنتاج المخرج الأول من قبل الوحدة التنظيمية</v>
      </c>
      <c r="M233" s="14" t="str">
        <f>IFERROR(INDEX('نقاط التحقق'!$H$2:$H$31,MATCH($K233,'نقاط التحقق'!$A$2:$A$31,0))&amp;"","")</f>
        <v/>
      </c>
      <c r="N233" s="13">
        <v>64</v>
      </c>
      <c r="O233" s="15" t="str">
        <f>IF($N233="","غير مقيّمة",IF($N233&gt;المرجع!$K$3,"مستوفاة بشكل متقدم",IF($N233&lt;=المرجع!$K$2,"مستوفاة بشكل أولي","مستوفاة بشكل جزئي")))</f>
        <v>مستوفاة بشكل جزئي</v>
      </c>
      <c r="P233" s="18"/>
    </row>
    <row r="234" spans="1:16">
      <c r="A234" s="16" t="s">
        <v>618</v>
      </c>
      <c r="B234" s="16" t="s">
        <v>172</v>
      </c>
      <c r="C234" s="15" t="str">
        <f>IFERROR(INDEX('قائمة الوحدات'!$B$2:$B$41,MATCH($B234,'قائمة الوحدات'!$A$2:$A$41,0)),"")</f>
        <v>EXE</v>
      </c>
      <c r="D234" s="14" t="str">
        <f>IFERROR(INDEX('قائمة الوحدات'!$C$2:$C$41,MATCH($B234,'قائمة الوحدات'!$A$2:$A$41,0)),"")</f>
        <v>الشؤون التنفيذية</v>
      </c>
      <c r="E234" s="14" t="str">
        <f>IFERROR(INDEX('قائمة الوحدات'!$D$2:$D$41,MATCH($B234,'قائمة الوحدات'!$A$2:$A$41,0)),"")</f>
        <v>وكالة الخدمات المساندة</v>
      </c>
      <c r="F234" s="14" t="str">
        <f>IFERROR(INDEX('قائمة الوحدات'!$F$2:$F$41,MATCH($B234,'قائمة الوحدات'!$A$2:$A$41,0)),"")</f>
        <v>الإدارة العامة للموارد البشرية</v>
      </c>
      <c r="G234" s="16" t="s">
        <v>65</v>
      </c>
      <c r="H234" s="14" t="str">
        <f>IFERROR(INDEX(المرجع!$A$2:$A$19,MATCH($G234,المرجع!$B$2:$B$19,0)),"")</f>
        <v>التشغيل</v>
      </c>
      <c r="I234" s="16" t="s">
        <v>48</v>
      </c>
      <c r="J234" s="14" t="str">
        <f>IFERROR(INDEX(المرجع!$D$2:$D$19,MATCH($I234,المرجع!$E$2:$E$19,0)),"")</f>
        <v>الأهداف ومؤشرات الأداء</v>
      </c>
      <c r="K234" s="16" t="s">
        <v>116</v>
      </c>
      <c r="L234" s="17" t="str">
        <f>IFERROR(INDEX('نقاط التحقق'!$G$2:$G$31,MATCH($K234,'نقاط التحقق'!$A$2:$A$31,0))&amp;"","")</f>
        <v>تحرك مؤشرات الأداء التشغيلي للوحدة التنظيمية بشكل إيجابي</v>
      </c>
      <c r="M234" s="14" t="str">
        <f>IFERROR(INDEX('نقاط التحقق'!$H$2:$H$31,MATCH($K234,'نقاط التحقق'!$A$2:$A$31,0))&amp;"","")</f>
        <v/>
      </c>
      <c r="N234" s="13">
        <v>40</v>
      </c>
      <c r="O234" s="15" t="str">
        <f>IF($N234="","غير مقيّمة",IF($N234&gt;المرجع!$K$3,"مستوفاة بشكل متقدم",IF($N234&lt;=المرجع!$K$2,"مستوفاة بشكل أولي","مستوفاة بشكل جزئي")))</f>
        <v>مستوفاة بشكل جزئي</v>
      </c>
      <c r="P234" s="18"/>
    </row>
    <row r="235" spans="1:16">
      <c r="A235" s="16" t="s">
        <v>619</v>
      </c>
      <c r="B235" s="16" t="s">
        <v>172</v>
      </c>
      <c r="C235" s="15" t="str">
        <f>IFERROR(INDEX('قائمة الوحدات'!$B$2:$B$41,MATCH($B235,'قائمة الوحدات'!$A$2:$A$41,0)),"")</f>
        <v>EXE</v>
      </c>
      <c r="D235" s="14" t="str">
        <f>IFERROR(INDEX('قائمة الوحدات'!$C$2:$C$41,MATCH($B235,'قائمة الوحدات'!$A$2:$A$41,0)),"")</f>
        <v>الشؤون التنفيذية</v>
      </c>
      <c r="E235" s="14" t="str">
        <f>IFERROR(INDEX('قائمة الوحدات'!$D$2:$D$41,MATCH($B235,'قائمة الوحدات'!$A$2:$A$41,0)),"")</f>
        <v>وكالة الخدمات المساندة</v>
      </c>
      <c r="F235" s="14" t="str">
        <f>IFERROR(INDEX('قائمة الوحدات'!$F$2:$F$41,MATCH($B235,'قائمة الوحدات'!$A$2:$A$41,0)),"")</f>
        <v>الإدارة العامة للموارد البشرية</v>
      </c>
      <c r="G235" s="16" t="s">
        <v>65</v>
      </c>
      <c r="H235" s="14" t="str">
        <f>IFERROR(INDEX(المرجع!$A$2:$A$19,MATCH($G235,المرجع!$B$2:$B$19,0)),"")</f>
        <v>التشغيل</v>
      </c>
      <c r="I235" s="16" t="s">
        <v>48</v>
      </c>
      <c r="J235" s="14" t="str">
        <f>IFERROR(INDEX(المرجع!$D$2:$D$19,MATCH($I235,المرجع!$E$2:$E$19,0)),"")</f>
        <v>الأهداف ومؤشرات الأداء</v>
      </c>
      <c r="K235" s="16" t="s">
        <v>118</v>
      </c>
      <c r="L235" s="17" t="str">
        <f>IFERROR(INDEX('نقاط التحقق'!$G$2:$G$31,MATCH($K235,'نقاط التحقق'!$A$2:$A$31,0))&amp;"","")</f>
        <v>خطة سنوية معتمدة للوحدة التنظيمية</v>
      </c>
      <c r="M235" s="14" t="str">
        <f>IFERROR(INDEX('نقاط التحقق'!$H$2:$H$31,MATCH($K235,'نقاط التحقق'!$A$2:$A$31,0))&amp;"","")</f>
        <v/>
      </c>
      <c r="N235" s="13">
        <v>30</v>
      </c>
      <c r="O235" s="15" t="str">
        <f>IF($N235="","غير مقيّمة",IF($N235&gt;المرجع!$K$3,"مستوفاة بشكل متقدم",IF($N235&lt;=المرجع!$K$2,"مستوفاة بشكل أولي","مستوفاة بشكل جزئي")))</f>
        <v>مستوفاة بشكل أولي</v>
      </c>
      <c r="P235" s="18"/>
    </row>
    <row r="236" spans="1:16">
      <c r="A236" s="16" t="s">
        <v>620</v>
      </c>
      <c r="B236" s="16" t="s">
        <v>172</v>
      </c>
      <c r="C236" s="15" t="str">
        <f>IFERROR(INDEX('قائمة الوحدات'!$B$2:$B$41,MATCH($B236,'قائمة الوحدات'!$A$2:$A$41,0)),"")</f>
        <v>EXE</v>
      </c>
      <c r="D236" s="14" t="str">
        <f>IFERROR(INDEX('قائمة الوحدات'!$C$2:$C$41,MATCH($B236,'قائمة الوحدات'!$A$2:$A$41,0)),"")</f>
        <v>الشؤون التنفيذية</v>
      </c>
      <c r="E236" s="14" t="str">
        <f>IFERROR(INDEX('قائمة الوحدات'!$D$2:$D$41,MATCH($B236,'قائمة الوحدات'!$A$2:$A$41,0)),"")</f>
        <v>وكالة الخدمات المساندة</v>
      </c>
      <c r="F236" s="14" t="str">
        <f>IFERROR(INDEX('قائمة الوحدات'!$F$2:$F$41,MATCH($B236,'قائمة الوحدات'!$A$2:$A$41,0)),"")</f>
        <v>الإدارة العامة للموارد البشرية</v>
      </c>
      <c r="G236" s="16" t="s">
        <v>65</v>
      </c>
      <c r="H236" s="14" t="str">
        <f>IFERROR(INDEX(المرجع!$A$2:$A$19,MATCH($G236,المرجع!$B$2:$B$19,0)),"")</f>
        <v>التشغيل</v>
      </c>
      <c r="I236" s="16" t="s">
        <v>51</v>
      </c>
      <c r="J236" s="14" t="str">
        <f>IFERROR(INDEX(المرجع!$D$2:$D$19,MATCH($I236,المرجع!$E$2:$E$19,0)),"")</f>
        <v>الحوكمة</v>
      </c>
      <c r="K236" s="16" t="s">
        <v>120</v>
      </c>
      <c r="L236" s="17" t="str">
        <f>IFERROR(INDEX('نقاط التحقق'!$G$2:$G$31,MATCH($K236,'نقاط التحقق'!$A$2:$A$31,0))&amp;"","")</f>
        <v>محاضر لجان موثقة</v>
      </c>
      <c r="M236" s="14" t="str">
        <f>IFERROR(INDEX('نقاط التحقق'!$H$2:$H$31,MATCH($K236,'نقاط التحقق'!$A$2:$A$31,0))&amp;"","")</f>
        <v/>
      </c>
      <c r="N236" s="13">
        <v>25</v>
      </c>
      <c r="O236" s="15" t="str">
        <f>IF($N236="","غير مقيّمة",IF($N236&gt;المرجع!$K$3,"مستوفاة بشكل متقدم",IF($N236&lt;=المرجع!$K$2,"مستوفاة بشكل أولي","مستوفاة بشكل جزئي")))</f>
        <v>مستوفاة بشكل أولي</v>
      </c>
      <c r="P236" s="18"/>
    </row>
    <row r="237" spans="1:16">
      <c r="A237" s="16" t="s">
        <v>621</v>
      </c>
      <c r="B237" s="16" t="s">
        <v>172</v>
      </c>
      <c r="C237" s="15" t="str">
        <f>IFERROR(INDEX('قائمة الوحدات'!$B$2:$B$41,MATCH($B237,'قائمة الوحدات'!$A$2:$A$41,0)),"")</f>
        <v>EXE</v>
      </c>
      <c r="D237" s="14" t="str">
        <f>IFERROR(INDEX('قائمة الوحدات'!$C$2:$C$41,MATCH($B237,'قائمة الوحدات'!$A$2:$A$41,0)),"")</f>
        <v>الشؤون التنفيذية</v>
      </c>
      <c r="E237" s="14" t="str">
        <f>IFERROR(INDEX('قائمة الوحدات'!$D$2:$D$41,MATCH($B237,'قائمة الوحدات'!$A$2:$A$41,0)),"")</f>
        <v>وكالة الخدمات المساندة</v>
      </c>
      <c r="F237" s="14" t="str">
        <f>IFERROR(INDEX('قائمة الوحدات'!$F$2:$F$41,MATCH($B237,'قائمة الوحدات'!$A$2:$A$41,0)),"")</f>
        <v>الإدارة العامة للموارد البشرية</v>
      </c>
      <c r="G237" s="16" t="s">
        <v>65</v>
      </c>
      <c r="H237" s="14" t="str">
        <f>IFERROR(INDEX(المرجع!$A$2:$A$19,MATCH($G237,المرجع!$B$2:$B$19,0)),"")</f>
        <v>التشغيل</v>
      </c>
      <c r="I237" s="16" t="s">
        <v>51</v>
      </c>
      <c r="J237" s="14" t="str">
        <f>IFERROR(INDEX(المرجع!$D$2:$D$19,MATCH($I237,المرجع!$E$2:$E$19,0)),"")</f>
        <v>الحوكمة</v>
      </c>
      <c r="K237" s="16" t="s">
        <v>122</v>
      </c>
      <c r="L237" s="17" t="str">
        <f>IFERROR(INDEX('نقاط التحقق'!$G$2:$G$31,MATCH($K237,'نقاط التحقق'!$A$2:$A$31,0))&amp;"","")</f>
        <v>نشر السياسات التي تملكها الوحدة التنظيمية</v>
      </c>
      <c r="M237" s="14" t="str">
        <f>IFERROR(INDEX('نقاط التحقق'!$H$2:$H$31,MATCH($K237,'نقاط التحقق'!$A$2:$A$31,0))&amp;"","")</f>
        <v/>
      </c>
      <c r="N237" s="13">
        <v>45</v>
      </c>
      <c r="O237" s="15" t="str">
        <f>IF($N237="","غير مقيّمة",IF($N237&gt;المرجع!$K$3,"مستوفاة بشكل متقدم",IF($N237&lt;=المرجع!$K$2,"مستوفاة بشكل أولي","مستوفاة بشكل جزئي")))</f>
        <v>مستوفاة بشكل جزئي</v>
      </c>
      <c r="P237" s="18"/>
    </row>
    <row r="238" spans="1:16">
      <c r="A238" s="16" t="s">
        <v>622</v>
      </c>
      <c r="B238" s="16" t="s">
        <v>172</v>
      </c>
      <c r="C238" s="15" t="str">
        <f>IFERROR(INDEX('قائمة الوحدات'!$B$2:$B$41,MATCH($B238,'قائمة الوحدات'!$A$2:$A$41,0)),"")</f>
        <v>EXE</v>
      </c>
      <c r="D238" s="14" t="str">
        <f>IFERROR(INDEX('قائمة الوحدات'!$C$2:$C$41,MATCH($B238,'قائمة الوحدات'!$A$2:$A$41,0)),"")</f>
        <v>الشؤون التنفيذية</v>
      </c>
      <c r="E238" s="14" t="str">
        <f>IFERROR(INDEX('قائمة الوحدات'!$D$2:$D$41,MATCH($B238,'قائمة الوحدات'!$A$2:$A$41,0)),"")</f>
        <v>وكالة الخدمات المساندة</v>
      </c>
      <c r="F238" s="14" t="str">
        <f>IFERROR(INDEX('قائمة الوحدات'!$F$2:$F$41,MATCH($B238,'قائمة الوحدات'!$A$2:$A$41,0)),"")</f>
        <v>الإدارة العامة للموارد البشرية</v>
      </c>
      <c r="G238" s="16" t="s">
        <v>65</v>
      </c>
      <c r="H238" s="14" t="str">
        <f>IFERROR(INDEX(المرجع!$A$2:$A$19,MATCH($G238,المرجع!$B$2:$B$19,0)),"")</f>
        <v>التشغيل</v>
      </c>
      <c r="I238" s="16" t="s">
        <v>51</v>
      </c>
      <c r="J238" s="14" t="str">
        <f>IFERROR(INDEX(المرجع!$D$2:$D$19,MATCH($I238,المرجع!$E$2:$E$19,0)),"")</f>
        <v>الحوكمة</v>
      </c>
      <c r="K238" s="16" t="s">
        <v>124</v>
      </c>
      <c r="L238" s="17" t="str">
        <f>IFERROR(INDEX('نقاط التحقق'!$G$2:$G$31,MATCH($K238,'نقاط التحقق'!$A$2:$A$31,0))&amp;"","")</f>
        <v>اتخاذ القرارات في نطاق الصلاحيات (وجود شواهد)</v>
      </c>
      <c r="M238" s="14" t="str">
        <f>IFERROR(INDEX('نقاط التحقق'!$H$2:$H$31,MATCH($K238,'نقاط التحقق'!$A$2:$A$31,0))&amp;"","")</f>
        <v/>
      </c>
      <c r="N238" s="13">
        <v>40</v>
      </c>
      <c r="O238" s="15" t="str">
        <f>IF($N238="","غير مقيّمة",IF($N238&gt;المرجع!$K$3,"مستوفاة بشكل متقدم",IF($N238&lt;=المرجع!$K$2,"مستوفاة بشكل أولي","مستوفاة بشكل جزئي")))</f>
        <v>مستوفاة بشكل جزئي</v>
      </c>
      <c r="P238" s="18"/>
    </row>
    <row r="239" spans="1:16">
      <c r="A239" s="16" t="s">
        <v>623</v>
      </c>
      <c r="B239" s="16" t="s">
        <v>172</v>
      </c>
      <c r="C239" s="15" t="str">
        <f>IFERROR(INDEX('قائمة الوحدات'!$B$2:$B$41,MATCH($B239,'قائمة الوحدات'!$A$2:$A$41,0)),"")</f>
        <v>EXE</v>
      </c>
      <c r="D239" s="14" t="str">
        <f>IFERROR(INDEX('قائمة الوحدات'!$C$2:$C$41,MATCH($B239,'قائمة الوحدات'!$A$2:$A$41,0)),"")</f>
        <v>الشؤون التنفيذية</v>
      </c>
      <c r="E239" s="14" t="str">
        <f>IFERROR(INDEX('قائمة الوحدات'!$D$2:$D$41,MATCH($B239,'قائمة الوحدات'!$A$2:$A$41,0)),"")</f>
        <v>وكالة الخدمات المساندة</v>
      </c>
      <c r="F239" s="14" t="str">
        <f>IFERROR(INDEX('قائمة الوحدات'!$F$2:$F$41,MATCH($B239,'قائمة الوحدات'!$A$2:$A$41,0)),"")</f>
        <v>الإدارة العامة للموارد البشرية</v>
      </c>
      <c r="G239" s="16" t="s">
        <v>65</v>
      </c>
      <c r="H239" s="14" t="str">
        <f>IFERROR(INDEX(المرجع!$A$2:$A$19,MATCH($G239,المرجع!$B$2:$B$19,0)),"")</f>
        <v>التشغيل</v>
      </c>
      <c r="I239" s="16" t="s">
        <v>56</v>
      </c>
      <c r="J239" s="14" t="str">
        <f>IFERROR(INDEX(المرجع!$D$2:$D$19,MATCH($I239,المرجع!$E$2:$E$19,0)),"")</f>
        <v>الموارد</v>
      </c>
      <c r="K239" s="16" t="s">
        <v>126</v>
      </c>
      <c r="L239" s="17" t="str">
        <f>IFERROR(INDEX('نقاط التحقق'!$G$2:$G$31,MATCH($K239,'نقاط التحقق'!$A$2:$A$31,0))&amp;"","")</f>
        <v>موارد مستكملة للحد الأدنى الذي يغطي كافة محاور سلسلة القيمة</v>
      </c>
      <c r="M239" s="14" t="str">
        <f>IFERROR(INDEX('نقاط التحقق'!$H$2:$H$31,MATCH($K239,'نقاط التحقق'!$A$2:$A$31,0))&amp;"","")</f>
        <v/>
      </c>
      <c r="N239" s="13">
        <v>50</v>
      </c>
      <c r="O239" s="15" t="str">
        <f>IF($N239="","غير مقيّمة",IF($N239&gt;المرجع!$K$3,"مستوفاة بشكل متقدم",IF($N239&lt;=المرجع!$K$2,"مستوفاة بشكل أولي","مستوفاة بشكل جزئي")))</f>
        <v>مستوفاة بشكل جزئي</v>
      </c>
      <c r="P239" s="18"/>
    </row>
    <row r="240" spans="1:16">
      <c r="A240" s="16" t="s">
        <v>624</v>
      </c>
      <c r="B240" s="16" t="s">
        <v>172</v>
      </c>
      <c r="C240" s="15" t="str">
        <f>IFERROR(INDEX('قائمة الوحدات'!$B$2:$B$41,MATCH($B240,'قائمة الوحدات'!$A$2:$A$41,0)),"")</f>
        <v>EXE</v>
      </c>
      <c r="D240" s="14" t="str">
        <f>IFERROR(INDEX('قائمة الوحدات'!$C$2:$C$41,MATCH($B240,'قائمة الوحدات'!$A$2:$A$41,0)),"")</f>
        <v>الشؤون التنفيذية</v>
      </c>
      <c r="E240" s="14" t="str">
        <f>IFERROR(INDEX('قائمة الوحدات'!$D$2:$D$41,MATCH($B240,'قائمة الوحدات'!$A$2:$A$41,0)),"")</f>
        <v>وكالة الخدمات المساندة</v>
      </c>
      <c r="F240" s="14" t="str">
        <f>IFERROR(INDEX('قائمة الوحدات'!$F$2:$F$41,MATCH($B240,'قائمة الوحدات'!$A$2:$A$41,0)),"")</f>
        <v>الإدارة العامة للموارد البشرية</v>
      </c>
      <c r="G240" s="16" t="s">
        <v>65</v>
      </c>
      <c r="H240" s="14" t="str">
        <f>IFERROR(INDEX(المرجع!$A$2:$A$19,MATCH($G240,المرجع!$B$2:$B$19,0)),"")</f>
        <v>التشغيل</v>
      </c>
      <c r="I240" s="16" t="s">
        <v>59</v>
      </c>
      <c r="J240" s="14" t="str">
        <f>IFERROR(INDEX(المرجع!$D$2:$D$19,MATCH($I240,المرجع!$E$2:$E$19,0)),"")</f>
        <v>الإجراءات</v>
      </c>
      <c r="K240" s="16" t="s">
        <v>128</v>
      </c>
      <c r="L240" s="17" t="str">
        <f>IFERROR(INDEX('نقاط التحقق'!$G$2:$G$31,MATCH($K240,'نقاط التحقق'!$A$2:$A$31,0))&amp;"","")</f>
        <v>تحقيق تقييم "مطبق بشكل كامل" من منهجية تقييم فعالية الإجراءات</v>
      </c>
      <c r="M240" s="14" t="str">
        <f>IFERROR(INDEX('نقاط التحقق'!$H$2:$H$31,MATCH($K240,'نقاط التحقق'!$A$2:$A$31,0))&amp;"","")</f>
        <v/>
      </c>
      <c r="N240" s="13">
        <v>60</v>
      </c>
      <c r="O240" s="15" t="str">
        <f>IF($N240="","غير مقيّمة",IF($N240&gt;المرجع!$K$3,"مستوفاة بشكل متقدم",IF($N240&lt;=المرجع!$K$2,"مستوفاة بشكل أولي","مستوفاة بشكل جزئي")))</f>
        <v>مستوفاة بشكل جزئي</v>
      </c>
      <c r="P240" s="18" t="s">
        <v>2170</v>
      </c>
    </row>
    <row r="241" spans="1:16">
      <c r="A241" s="16" t="s">
        <v>625</v>
      </c>
      <c r="B241" s="16" t="s">
        <v>172</v>
      </c>
      <c r="C241" s="15" t="str">
        <f>IFERROR(INDEX('قائمة الوحدات'!$B$2:$B$41,MATCH($B241,'قائمة الوحدات'!$A$2:$A$41,0)),"")</f>
        <v>EXE</v>
      </c>
      <c r="D241" s="14" t="str">
        <f>IFERROR(INDEX('قائمة الوحدات'!$C$2:$C$41,MATCH($B241,'قائمة الوحدات'!$A$2:$A$41,0)),"")</f>
        <v>الشؤون التنفيذية</v>
      </c>
      <c r="E241" s="14" t="str">
        <f>IFERROR(INDEX('قائمة الوحدات'!$D$2:$D$41,MATCH($B241,'قائمة الوحدات'!$A$2:$A$41,0)),"")</f>
        <v>وكالة الخدمات المساندة</v>
      </c>
      <c r="F241" s="14" t="str">
        <f>IFERROR(INDEX('قائمة الوحدات'!$F$2:$F$41,MATCH($B241,'قائمة الوحدات'!$A$2:$A$41,0)),"")</f>
        <v>الإدارة العامة للموارد البشرية</v>
      </c>
      <c r="G241" s="16" t="s">
        <v>65</v>
      </c>
      <c r="H241" s="14" t="str">
        <f>IFERROR(INDEX(المرجع!$A$2:$A$19,MATCH($G241,المرجع!$B$2:$B$19,0)),"")</f>
        <v>التشغيل</v>
      </c>
      <c r="I241" s="16" t="s">
        <v>67</v>
      </c>
      <c r="J241" s="14" t="str">
        <f>IFERROR(INDEX(المرجع!$D$2:$D$19,MATCH($I241,المرجع!$E$2:$E$19,0)),"")</f>
        <v>اكتمال المخرجات المستهدفة</v>
      </c>
      <c r="K241" s="16" t="s">
        <v>130</v>
      </c>
      <c r="L241" s="17" t="str">
        <f>IFERROR(INDEX('نقاط التحقق'!$G$2:$G$31,MATCH($K241,'نقاط التحقق'!$A$2:$A$31,0))&amp;"","")</f>
        <v>اكتمال مخرجات النموذج التشغيلي المستهدف للوحدة التنظيمية</v>
      </c>
      <c r="M241" s="14" t="str">
        <f>IFERROR(INDEX('نقاط التحقق'!$H$2:$H$31,MATCH($K241,'نقاط التحقق'!$A$2:$A$31,0))&amp;"","")</f>
        <v/>
      </c>
      <c r="N241" s="13">
        <v>31</v>
      </c>
      <c r="O241" s="15" t="str">
        <f>IF($N241="","غير مقيّمة",IF($N241&gt;المرجع!$K$3,"مستوفاة بشكل متقدم",IF($N241&lt;=المرجع!$K$2,"مستوفاة بشكل أولي","مستوفاة بشكل جزئي")))</f>
        <v>مستوفاة بشكل جزئي</v>
      </c>
      <c r="P241" s="18" t="s">
        <v>2170</v>
      </c>
    </row>
    <row r="242" spans="1:16">
      <c r="A242" s="16" t="s">
        <v>626</v>
      </c>
      <c r="B242" s="16" t="s">
        <v>175</v>
      </c>
      <c r="C242" s="15" t="str">
        <f>IFERROR(INDEX('قائمة الوحدات'!$B$2:$B$41,MATCH($B242,'قائمة الوحدات'!$A$2:$A$41,0)),"")</f>
        <v>EXE</v>
      </c>
      <c r="D242" s="14" t="str">
        <f>IFERROR(INDEX('قائمة الوحدات'!$C$2:$C$41,MATCH($B242,'قائمة الوحدات'!$A$2:$A$41,0)),"")</f>
        <v>الشؤون التنفيذية</v>
      </c>
      <c r="E242" s="14" t="str">
        <f>IFERROR(INDEX('قائمة الوحدات'!$D$2:$D$41,MATCH($B242,'قائمة الوحدات'!$A$2:$A$41,0)),"")</f>
        <v>وكالة الخدمات المساندة</v>
      </c>
      <c r="F242" s="14" t="str">
        <f>IFERROR(INDEX('قائمة الوحدات'!$F$2:$F$41,MATCH($B242,'قائمة الوحدات'!$A$2:$A$41,0)),"")</f>
        <v>الإدارة العامة للشؤون المالية</v>
      </c>
      <c r="G242" s="16" t="s">
        <v>43</v>
      </c>
      <c r="H242" s="14" t="str">
        <f>IFERROR(INDEX(المرجع!$A$2:$A$19,MATCH($G242,المرجع!$B$2:$B$19,0)),"")</f>
        <v>التصميم</v>
      </c>
      <c r="I242" s="16" t="s">
        <v>45</v>
      </c>
      <c r="J242" s="14" t="str">
        <f>IFERROR(INDEX(المرجع!$D$2:$D$19,MATCH($I242,المرجع!$E$2:$E$19,0)),"")</f>
        <v>الدور</v>
      </c>
      <c r="K242" s="16" t="s">
        <v>72</v>
      </c>
      <c r="L242" s="17" t="str">
        <f>IFERROR(INDEX('نقاط التحقق'!$G$2:$G$31,MATCH($K242,'نقاط التحقق'!$A$2:$A$31,0))&amp;"","")</f>
        <v>دور مفصل للوحدة التنظيمية</v>
      </c>
      <c r="M242" s="14" t="str">
        <f>IFERROR(INDEX('نقاط التحقق'!$H$2:$H$31,MATCH($K242,'نقاط التحقق'!$A$2:$A$31,0))&amp;"","")</f>
        <v/>
      </c>
      <c r="N242" s="13">
        <v>70</v>
      </c>
      <c r="O242" s="15" t="str">
        <f>IF($N242="","غير مقيّمة",IF($N242&gt;المرجع!$K$3,"مستوفاة بشكل متقدم",IF($N242&lt;=المرجع!$K$2,"مستوفاة بشكل أولي","مستوفاة بشكل جزئي")))</f>
        <v>مستوفاة بشكل جزئي</v>
      </c>
      <c r="P242" s="18" t="s">
        <v>2170</v>
      </c>
    </row>
    <row r="243" spans="1:16">
      <c r="A243" s="16" t="s">
        <v>627</v>
      </c>
      <c r="B243" s="16" t="s">
        <v>175</v>
      </c>
      <c r="C243" s="15" t="str">
        <f>IFERROR(INDEX('قائمة الوحدات'!$B$2:$B$41,MATCH($B243,'قائمة الوحدات'!$A$2:$A$41,0)),"")</f>
        <v>EXE</v>
      </c>
      <c r="D243" s="14" t="str">
        <f>IFERROR(INDEX('قائمة الوحدات'!$C$2:$C$41,MATCH($B243,'قائمة الوحدات'!$A$2:$A$41,0)),"")</f>
        <v>الشؤون التنفيذية</v>
      </c>
      <c r="E243" s="14" t="str">
        <f>IFERROR(INDEX('قائمة الوحدات'!$D$2:$D$41,MATCH($B243,'قائمة الوحدات'!$A$2:$A$41,0)),"")</f>
        <v>وكالة الخدمات المساندة</v>
      </c>
      <c r="F243" s="14" t="str">
        <f>IFERROR(INDEX('قائمة الوحدات'!$F$2:$F$41,MATCH($B243,'قائمة الوحدات'!$A$2:$A$41,0)),"")</f>
        <v>الإدارة العامة للشؤون المالية</v>
      </c>
      <c r="G243" s="16" t="s">
        <v>43</v>
      </c>
      <c r="H243" s="14" t="str">
        <f>IFERROR(INDEX(المرجع!$A$2:$A$19,MATCH($G243,المرجع!$B$2:$B$19,0)),"")</f>
        <v>التصميم</v>
      </c>
      <c r="I243" s="16" t="s">
        <v>48</v>
      </c>
      <c r="J243" s="14" t="str">
        <f>IFERROR(INDEX(المرجع!$D$2:$D$19,MATCH($I243,المرجع!$E$2:$E$19,0)),"")</f>
        <v>الأهداف ومؤشرات الأداء</v>
      </c>
      <c r="K243" s="16" t="s">
        <v>74</v>
      </c>
      <c r="L243" s="17" t="str">
        <f>IFERROR(INDEX('نقاط التحقق'!$G$2:$G$31,MATCH($K243,'نقاط التحقق'!$A$2:$A$31,0))&amp;"","")</f>
        <v>أهداف محددة للوحدة التنظيمية وربطها بمؤشرات أداء لقياسها</v>
      </c>
      <c r="M243" s="14" t="str">
        <f>IFERROR(INDEX('نقاط التحقق'!$H$2:$H$31,MATCH($K243,'نقاط التحقق'!$A$2:$A$31,0))&amp;"","")</f>
        <v/>
      </c>
      <c r="N243" s="13">
        <v>95</v>
      </c>
      <c r="O243" s="15" t="str">
        <f>IF($N243="","غير مقيّمة",IF($N243&gt;المرجع!$K$3,"مستوفاة بشكل متقدم",IF($N243&lt;=المرجع!$K$2,"مستوفاة بشكل أولي","مستوفاة بشكل جزئي")))</f>
        <v>مستوفاة بشكل متقدم</v>
      </c>
      <c r="P243" s="18" t="s">
        <v>2170</v>
      </c>
    </row>
    <row r="244" spans="1:16">
      <c r="A244" s="16" t="s">
        <v>628</v>
      </c>
      <c r="B244" s="16" t="s">
        <v>175</v>
      </c>
      <c r="C244" s="15" t="str">
        <f>IFERROR(INDEX('قائمة الوحدات'!$B$2:$B$41,MATCH($B244,'قائمة الوحدات'!$A$2:$A$41,0)),"")</f>
        <v>EXE</v>
      </c>
      <c r="D244" s="14" t="str">
        <f>IFERROR(INDEX('قائمة الوحدات'!$C$2:$C$41,MATCH($B244,'قائمة الوحدات'!$A$2:$A$41,0)),"")</f>
        <v>الشؤون التنفيذية</v>
      </c>
      <c r="E244" s="14" t="str">
        <f>IFERROR(INDEX('قائمة الوحدات'!$D$2:$D$41,MATCH($B244,'قائمة الوحدات'!$A$2:$A$41,0)),"")</f>
        <v>وكالة الخدمات المساندة</v>
      </c>
      <c r="F244" s="14" t="str">
        <f>IFERROR(INDEX('قائمة الوحدات'!$F$2:$F$41,MATCH($B244,'قائمة الوحدات'!$A$2:$A$41,0)),"")</f>
        <v>الإدارة العامة للشؤون المالية</v>
      </c>
      <c r="G244" s="16" t="s">
        <v>43</v>
      </c>
      <c r="H244" s="14" t="str">
        <f>IFERROR(INDEX(المرجع!$A$2:$A$19,MATCH($G244,المرجع!$B$2:$B$19,0)),"")</f>
        <v>التصميم</v>
      </c>
      <c r="I244" s="16" t="s">
        <v>48</v>
      </c>
      <c r="J244" s="14" t="str">
        <f>IFERROR(INDEX(المرجع!$D$2:$D$19,MATCH($I244,المرجع!$E$2:$E$19,0)),"")</f>
        <v>الأهداف ومؤشرات الأداء</v>
      </c>
      <c r="K244" s="16" t="s">
        <v>76</v>
      </c>
      <c r="L244" s="17" t="str">
        <f>IFERROR(INDEX('نقاط التحقق'!$G$2:$G$31,MATCH($K244,'نقاط التحقق'!$A$2:$A$31,0))&amp;"","")</f>
        <v>مؤشرات أداء الوحدة التنظيمية</v>
      </c>
      <c r="M244" s="14" t="str">
        <f>IFERROR(INDEX('نقاط التحقق'!$H$2:$H$31,MATCH($K244,'نقاط التحقق'!$A$2:$A$31,0))&amp;"","")</f>
        <v/>
      </c>
      <c r="N244" s="13">
        <v>70</v>
      </c>
      <c r="O244" s="15" t="str">
        <f>IF($N244="","غير مقيّمة",IF($N244&gt;المرجع!$K$3,"مستوفاة بشكل متقدم",IF($N244&lt;=المرجع!$K$2,"مستوفاة بشكل أولي","مستوفاة بشكل جزئي")))</f>
        <v>مستوفاة بشكل جزئي</v>
      </c>
      <c r="P244" s="18" t="s">
        <v>2170</v>
      </c>
    </row>
    <row r="245" spans="1:16">
      <c r="A245" s="16" t="s">
        <v>629</v>
      </c>
      <c r="B245" s="16" t="s">
        <v>175</v>
      </c>
      <c r="C245" s="15" t="str">
        <f>IFERROR(INDEX('قائمة الوحدات'!$B$2:$B$41,MATCH($B245,'قائمة الوحدات'!$A$2:$A$41,0)),"")</f>
        <v>EXE</v>
      </c>
      <c r="D245" s="14" t="str">
        <f>IFERROR(INDEX('قائمة الوحدات'!$C$2:$C$41,MATCH($B245,'قائمة الوحدات'!$A$2:$A$41,0)),"")</f>
        <v>الشؤون التنفيذية</v>
      </c>
      <c r="E245" s="14" t="str">
        <f>IFERROR(INDEX('قائمة الوحدات'!$D$2:$D$41,MATCH($B245,'قائمة الوحدات'!$A$2:$A$41,0)),"")</f>
        <v>وكالة الخدمات المساندة</v>
      </c>
      <c r="F245" s="14" t="str">
        <f>IFERROR(INDEX('قائمة الوحدات'!$F$2:$F$41,MATCH($B245,'قائمة الوحدات'!$A$2:$A$41,0)),"")</f>
        <v>الإدارة العامة للشؤون المالية</v>
      </c>
      <c r="G245" s="16" t="s">
        <v>43</v>
      </c>
      <c r="H245" s="14" t="str">
        <f>IFERROR(INDEX(المرجع!$A$2:$A$19,MATCH($G245,المرجع!$B$2:$B$19,0)),"")</f>
        <v>التصميم</v>
      </c>
      <c r="I245" s="16" t="s">
        <v>51</v>
      </c>
      <c r="J245" s="14" t="str">
        <f>IFERROR(INDEX(المرجع!$D$2:$D$19,MATCH($I245,المرجع!$E$2:$E$19,0)),"")</f>
        <v>الحوكمة</v>
      </c>
      <c r="K245" s="16" t="s">
        <v>78</v>
      </c>
      <c r="L245" s="17" t="str">
        <f>IFERROR(INDEX('نقاط التحقق'!$G$2:$G$31,MATCH($K245,'نقاط التحقق'!$A$2:$A$31,0))&amp;"","")</f>
        <v>تفصيل القرارات ومصفوفة الصلاحيات واللجان ذات العلاقة لاعتماد مخرجات الوحدة التنظيمية</v>
      </c>
      <c r="M245" s="14" t="str">
        <f>IFERROR(INDEX('نقاط التحقق'!$H$2:$H$31,MATCH($K245,'نقاط التحقق'!$A$2:$A$31,0))&amp;"","")</f>
        <v/>
      </c>
      <c r="N245" s="13">
        <v>71</v>
      </c>
      <c r="O245" s="15" t="str">
        <f>IF($N245="","غير مقيّمة",IF($N245&gt;المرجع!$K$3,"مستوفاة بشكل متقدم",IF($N245&lt;=المرجع!$K$2,"مستوفاة بشكل أولي","مستوفاة بشكل جزئي")))</f>
        <v>مستوفاة بشكل متقدم</v>
      </c>
      <c r="P245" s="18" t="s">
        <v>2170</v>
      </c>
    </row>
    <row r="246" spans="1:16">
      <c r="A246" s="16" t="s">
        <v>630</v>
      </c>
      <c r="B246" s="16" t="s">
        <v>175</v>
      </c>
      <c r="C246" s="15" t="str">
        <f>IFERROR(INDEX('قائمة الوحدات'!$B$2:$B$41,MATCH($B246,'قائمة الوحدات'!$A$2:$A$41,0)),"")</f>
        <v>EXE</v>
      </c>
      <c r="D246" s="14" t="str">
        <f>IFERROR(INDEX('قائمة الوحدات'!$C$2:$C$41,MATCH($B246,'قائمة الوحدات'!$A$2:$A$41,0)),"")</f>
        <v>الشؤون التنفيذية</v>
      </c>
      <c r="E246" s="14" t="str">
        <f>IFERROR(INDEX('قائمة الوحدات'!$D$2:$D$41,MATCH($B246,'قائمة الوحدات'!$A$2:$A$41,0)),"")</f>
        <v>وكالة الخدمات المساندة</v>
      </c>
      <c r="F246" s="14" t="str">
        <f>IFERROR(INDEX('قائمة الوحدات'!$F$2:$F$41,MATCH($B246,'قائمة الوحدات'!$A$2:$A$41,0)),"")</f>
        <v>الإدارة العامة للشؤون المالية</v>
      </c>
      <c r="G246" s="16" t="s">
        <v>43</v>
      </c>
      <c r="H246" s="14" t="str">
        <f>IFERROR(INDEX(المرجع!$A$2:$A$19,MATCH($G246,المرجع!$B$2:$B$19,0)),"")</f>
        <v>التصميم</v>
      </c>
      <c r="I246" s="16" t="s">
        <v>54</v>
      </c>
      <c r="J246" s="14" t="str">
        <f>IFERROR(INDEX(المرجع!$D$2:$D$19,MATCH($I246,المرجع!$E$2:$E$19,0)),"")</f>
        <v>التنظيم</v>
      </c>
      <c r="K246" s="16" t="s">
        <v>80</v>
      </c>
      <c r="L246" s="17" t="str">
        <f>IFERROR(INDEX('نقاط التحقق'!$G$2:$G$31,MATCH($K246,'نقاط التحقق'!$A$2:$A$31,0))&amp;"","")</f>
        <v>تطوير الأدوار والمسؤوليات للوحدة التنظيمية وتفصيل الهيكل التنظيمي</v>
      </c>
      <c r="M246" s="14" t="str">
        <f>IFERROR(INDEX('نقاط التحقق'!$H$2:$H$31,MATCH($K246,'نقاط التحقق'!$A$2:$A$31,0))&amp;"","")</f>
        <v/>
      </c>
      <c r="N246" s="13">
        <v>80</v>
      </c>
      <c r="O246" s="15" t="str">
        <f>IF($N246="","غير مقيّمة",IF($N246&gt;المرجع!$K$3,"مستوفاة بشكل متقدم",IF($N246&lt;=المرجع!$K$2,"مستوفاة بشكل أولي","مستوفاة بشكل جزئي")))</f>
        <v>مستوفاة بشكل متقدم</v>
      </c>
      <c r="P246" s="18" t="s">
        <v>2170</v>
      </c>
    </row>
    <row r="247" spans="1:16">
      <c r="A247" s="16" t="s">
        <v>631</v>
      </c>
      <c r="B247" s="16" t="s">
        <v>175</v>
      </c>
      <c r="C247" s="15" t="str">
        <f>IFERROR(INDEX('قائمة الوحدات'!$B$2:$B$41,MATCH($B247,'قائمة الوحدات'!$A$2:$A$41,0)),"")</f>
        <v>EXE</v>
      </c>
      <c r="D247" s="14" t="str">
        <f>IFERROR(INDEX('قائمة الوحدات'!$C$2:$C$41,MATCH($B247,'قائمة الوحدات'!$A$2:$A$41,0)),"")</f>
        <v>الشؤون التنفيذية</v>
      </c>
      <c r="E247" s="14" t="str">
        <f>IFERROR(INDEX('قائمة الوحدات'!$D$2:$D$41,MATCH($B247,'قائمة الوحدات'!$A$2:$A$41,0)),"")</f>
        <v>وكالة الخدمات المساندة</v>
      </c>
      <c r="F247" s="14" t="str">
        <f>IFERROR(INDEX('قائمة الوحدات'!$F$2:$F$41,MATCH($B247,'قائمة الوحدات'!$A$2:$A$41,0)),"")</f>
        <v>الإدارة العامة للشؤون المالية</v>
      </c>
      <c r="G247" s="16" t="s">
        <v>43</v>
      </c>
      <c r="H247" s="14" t="str">
        <f>IFERROR(INDEX(المرجع!$A$2:$A$19,MATCH($G247,المرجع!$B$2:$B$19,0)),"")</f>
        <v>التصميم</v>
      </c>
      <c r="I247" s="16" t="s">
        <v>56</v>
      </c>
      <c r="J247" s="14" t="str">
        <f>IFERROR(INDEX(المرجع!$D$2:$D$19,MATCH($I247,المرجع!$E$2:$E$19,0)),"")</f>
        <v>الموارد</v>
      </c>
      <c r="K247" s="16" t="s">
        <v>82</v>
      </c>
      <c r="L247" s="17" t="str">
        <f>IFERROR(INDEX('نقاط التحقق'!$G$2:$G$31,MATCH($K247,'نقاط التحقق'!$A$2:$A$31,0))&amp;"","")</f>
        <v>تفصيل احتياج الموارد البشرية للوحدة التنظيمية</v>
      </c>
      <c r="M247" s="14" t="str">
        <f>IFERROR(INDEX('نقاط التحقق'!$H$2:$H$31,MATCH($K247,'نقاط التحقق'!$A$2:$A$31,0))&amp;"","")</f>
        <v/>
      </c>
      <c r="N247" s="13">
        <v>89</v>
      </c>
      <c r="O247" s="15" t="str">
        <f>IF($N247="","غير مقيّمة",IF($N247&gt;المرجع!$K$3,"مستوفاة بشكل متقدم",IF($N247&lt;=المرجع!$K$2,"مستوفاة بشكل أولي","مستوفاة بشكل جزئي")))</f>
        <v>مستوفاة بشكل متقدم</v>
      </c>
      <c r="P247" s="18" t="s">
        <v>2170</v>
      </c>
    </row>
    <row r="248" spans="1:16">
      <c r="A248" s="16" t="s">
        <v>632</v>
      </c>
      <c r="B248" s="16" t="s">
        <v>175</v>
      </c>
      <c r="C248" s="15" t="str">
        <f>IFERROR(INDEX('قائمة الوحدات'!$B$2:$B$41,MATCH($B248,'قائمة الوحدات'!$A$2:$A$41,0)),"")</f>
        <v>EXE</v>
      </c>
      <c r="D248" s="14" t="str">
        <f>IFERROR(INDEX('قائمة الوحدات'!$C$2:$C$41,MATCH($B248,'قائمة الوحدات'!$A$2:$A$41,0)),"")</f>
        <v>الشؤون التنفيذية</v>
      </c>
      <c r="E248" s="14" t="str">
        <f>IFERROR(INDEX('قائمة الوحدات'!$D$2:$D$41,MATCH($B248,'قائمة الوحدات'!$A$2:$A$41,0)),"")</f>
        <v>وكالة الخدمات المساندة</v>
      </c>
      <c r="F248" s="14" t="str">
        <f>IFERROR(INDEX('قائمة الوحدات'!$F$2:$F$41,MATCH($B248,'قائمة الوحدات'!$A$2:$A$41,0)),"")</f>
        <v>الإدارة العامة للشؤون المالية</v>
      </c>
      <c r="G248" s="16" t="s">
        <v>43</v>
      </c>
      <c r="H248" s="14" t="str">
        <f>IFERROR(INDEX(المرجع!$A$2:$A$19,MATCH($G248,المرجع!$B$2:$B$19,0)),"")</f>
        <v>التصميم</v>
      </c>
      <c r="I248" s="16" t="s">
        <v>59</v>
      </c>
      <c r="J248" s="14" t="str">
        <f>IFERROR(INDEX(المرجع!$D$2:$D$19,MATCH($I248,المرجع!$E$2:$E$19,0)),"")</f>
        <v>الإجراءات</v>
      </c>
      <c r="K248" s="16" t="s">
        <v>84</v>
      </c>
      <c r="L248" s="17" t="str">
        <f>IFERROR(INDEX('نقاط التحقق'!$G$2:$G$31,MATCH($K248,'نقاط التحقق'!$A$2:$A$31,0))&amp;"","")</f>
        <v>تفصيل المخرجات إلى إجراءات عالية المستوى</v>
      </c>
      <c r="M248" s="14" t="str">
        <f>IFERROR(INDEX('نقاط التحقق'!$H$2:$H$31,MATCH($K248,'نقاط التحقق'!$A$2:$A$31,0))&amp;"","")</f>
        <v/>
      </c>
      <c r="N248" s="13">
        <v>81</v>
      </c>
      <c r="O248" s="15" t="str">
        <f>IF($N248="","غير مقيّمة",IF($N248&gt;المرجع!$K$3,"مستوفاة بشكل متقدم",IF($N248&lt;=المرجع!$K$2,"مستوفاة بشكل أولي","مستوفاة بشكل جزئي")))</f>
        <v>مستوفاة بشكل متقدم</v>
      </c>
      <c r="P248" s="18" t="s">
        <v>2170</v>
      </c>
    </row>
    <row r="249" spans="1:16">
      <c r="A249" s="16" t="s">
        <v>633</v>
      </c>
      <c r="B249" s="16" t="s">
        <v>175</v>
      </c>
      <c r="C249" s="15" t="str">
        <f>IFERROR(INDEX('قائمة الوحدات'!$B$2:$B$41,MATCH($B249,'قائمة الوحدات'!$A$2:$A$41,0)),"")</f>
        <v>EXE</v>
      </c>
      <c r="D249" s="14" t="str">
        <f>IFERROR(INDEX('قائمة الوحدات'!$C$2:$C$41,MATCH($B249,'قائمة الوحدات'!$A$2:$A$41,0)),"")</f>
        <v>الشؤون التنفيذية</v>
      </c>
      <c r="E249" s="14" t="str">
        <f>IFERROR(INDEX('قائمة الوحدات'!$D$2:$D$41,MATCH($B249,'قائمة الوحدات'!$A$2:$A$41,0)),"")</f>
        <v>وكالة الخدمات المساندة</v>
      </c>
      <c r="F249" s="14" t="str">
        <f>IFERROR(INDEX('قائمة الوحدات'!$F$2:$F$41,MATCH($B249,'قائمة الوحدات'!$A$2:$A$41,0)),"")</f>
        <v>الإدارة العامة للشؤون المالية</v>
      </c>
      <c r="G249" s="16" t="s">
        <v>61</v>
      </c>
      <c r="H249" s="14" t="str">
        <f>IFERROR(INDEX(المرجع!$A$2:$A$19,MATCH($G249,المرجع!$B$2:$B$19,0)),"")</f>
        <v>البناء المؤسسي</v>
      </c>
      <c r="I249" s="16" t="s">
        <v>45</v>
      </c>
      <c r="J249" s="14" t="str">
        <f>IFERROR(INDEX(المرجع!$D$2:$D$19,MATCH($I249,المرجع!$E$2:$E$19,0)),"")</f>
        <v>الدور</v>
      </c>
      <c r="K249" s="16" t="s">
        <v>86</v>
      </c>
      <c r="L249" s="17" t="str">
        <f>IFERROR(INDEX('نقاط التحقق'!$G$2:$G$31,MATCH($K249,'نقاط التحقق'!$A$2:$A$31,0))&amp;"","")</f>
        <v>دور معتمد للوحدة التنظيمية</v>
      </c>
      <c r="M249" s="14" t="str">
        <f>IFERROR(INDEX('نقاط التحقق'!$H$2:$H$31,MATCH($K249,'نقاط التحقق'!$A$2:$A$31,0))&amp;"","")</f>
        <v/>
      </c>
      <c r="N249" s="13">
        <v>53</v>
      </c>
      <c r="O249" s="15" t="str">
        <f>IF($N249="","غير مقيّمة",IF($N249&gt;المرجع!$K$3,"مستوفاة بشكل متقدم",IF($N249&lt;=المرجع!$K$2,"مستوفاة بشكل أولي","مستوفاة بشكل جزئي")))</f>
        <v>مستوفاة بشكل جزئي</v>
      </c>
      <c r="P249" s="18" t="s">
        <v>2170</v>
      </c>
    </row>
    <row r="250" spans="1:16">
      <c r="A250" s="16" t="s">
        <v>634</v>
      </c>
      <c r="B250" s="16" t="s">
        <v>175</v>
      </c>
      <c r="C250" s="15" t="str">
        <f>IFERROR(INDEX('قائمة الوحدات'!$B$2:$B$41,MATCH($B250,'قائمة الوحدات'!$A$2:$A$41,0)),"")</f>
        <v>EXE</v>
      </c>
      <c r="D250" s="14" t="str">
        <f>IFERROR(INDEX('قائمة الوحدات'!$C$2:$C$41,MATCH($B250,'قائمة الوحدات'!$A$2:$A$41,0)),"")</f>
        <v>الشؤون التنفيذية</v>
      </c>
      <c r="E250" s="14" t="str">
        <f>IFERROR(INDEX('قائمة الوحدات'!$D$2:$D$41,MATCH($B250,'قائمة الوحدات'!$A$2:$A$41,0)),"")</f>
        <v>وكالة الخدمات المساندة</v>
      </c>
      <c r="F250" s="14" t="str">
        <f>IFERROR(INDEX('قائمة الوحدات'!$F$2:$F$41,MATCH($B250,'قائمة الوحدات'!$A$2:$A$41,0)),"")</f>
        <v>الإدارة العامة للشؤون المالية</v>
      </c>
      <c r="G250" s="16" t="s">
        <v>61</v>
      </c>
      <c r="H250" s="14" t="str">
        <f>IFERROR(INDEX(المرجع!$A$2:$A$19,MATCH($G250,المرجع!$B$2:$B$19,0)),"")</f>
        <v>البناء المؤسسي</v>
      </c>
      <c r="I250" s="16" t="s">
        <v>48</v>
      </c>
      <c r="J250" s="14" t="str">
        <f>IFERROR(INDEX(المرجع!$D$2:$D$19,MATCH($I250,المرجع!$E$2:$E$19,0)),"")</f>
        <v>الأهداف ومؤشرات الأداء</v>
      </c>
      <c r="K250" s="16" t="s">
        <v>88</v>
      </c>
      <c r="L250" s="17" t="str">
        <f>IFERROR(INDEX('نقاط التحقق'!$G$2:$G$31,MATCH($K250,'نقاط التحقق'!$A$2:$A$31,0))&amp;"","")</f>
        <v>أهداف تشغيلية معتمدة من صاحب الصلاحية</v>
      </c>
      <c r="M250" s="14" t="str">
        <f>IFERROR(INDEX('نقاط التحقق'!$H$2:$H$31,MATCH($K250,'نقاط التحقق'!$A$2:$A$31,0))&amp;"","")</f>
        <v/>
      </c>
      <c r="N250" s="13">
        <v>90</v>
      </c>
      <c r="O250" s="15" t="str">
        <f>IF($N250="","غير مقيّمة",IF($N250&gt;المرجع!$K$3,"مستوفاة بشكل متقدم",IF($N250&lt;=المرجع!$K$2,"مستوفاة بشكل أولي","مستوفاة بشكل جزئي")))</f>
        <v>مستوفاة بشكل متقدم</v>
      </c>
      <c r="P250" s="18" t="s">
        <v>2170</v>
      </c>
    </row>
    <row r="251" spans="1:16">
      <c r="A251" s="16" t="s">
        <v>635</v>
      </c>
      <c r="B251" s="16" t="s">
        <v>175</v>
      </c>
      <c r="C251" s="15" t="str">
        <f>IFERROR(INDEX('قائمة الوحدات'!$B$2:$B$41,MATCH($B251,'قائمة الوحدات'!$A$2:$A$41,0)),"")</f>
        <v>EXE</v>
      </c>
      <c r="D251" s="14" t="str">
        <f>IFERROR(INDEX('قائمة الوحدات'!$C$2:$C$41,MATCH($B251,'قائمة الوحدات'!$A$2:$A$41,0)),"")</f>
        <v>الشؤون التنفيذية</v>
      </c>
      <c r="E251" s="14" t="str">
        <f>IFERROR(INDEX('قائمة الوحدات'!$D$2:$D$41,MATCH($B251,'قائمة الوحدات'!$A$2:$A$41,0)),"")</f>
        <v>وكالة الخدمات المساندة</v>
      </c>
      <c r="F251" s="14" t="str">
        <f>IFERROR(INDEX('قائمة الوحدات'!$F$2:$F$41,MATCH($B251,'قائمة الوحدات'!$A$2:$A$41,0)),"")</f>
        <v>الإدارة العامة للشؤون المالية</v>
      </c>
      <c r="G251" s="16" t="s">
        <v>61</v>
      </c>
      <c r="H251" s="14" t="str">
        <f>IFERROR(INDEX(المرجع!$A$2:$A$19,MATCH($G251,المرجع!$B$2:$B$19,0)),"")</f>
        <v>البناء المؤسسي</v>
      </c>
      <c r="I251" s="16" t="s">
        <v>48</v>
      </c>
      <c r="J251" s="14" t="str">
        <f>IFERROR(INDEX(المرجع!$D$2:$D$19,MATCH($I251,المرجع!$E$2:$E$19,0)),"")</f>
        <v>الأهداف ومؤشرات الأداء</v>
      </c>
      <c r="K251" s="16" t="s">
        <v>90</v>
      </c>
      <c r="L251" s="17" t="str">
        <f>IFERROR(INDEX('نقاط التحقق'!$G$2:$G$31,MATCH($K251,'نقاط التحقق'!$A$2:$A$31,0))&amp;"","")</f>
        <v>نشر الأهداف التشغيلية على موظفي الوحدة التنظيمية</v>
      </c>
      <c r="M251" s="14" t="str">
        <f>IFERROR(INDEX('نقاط التحقق'!$H$2:$H$31,MATCH($K251,'نقاط التحقق'!$A$2:$A$31,0))&amp;"","")</f>
        <v/>
      </c>
      <c r="N251" s="13">
        <v>75</v>
      </c>
      <c r="O251" s="15" t="str">
        <f>IF($N251="","غير مقيّمة",IF($N251&gt;المرجع!$K$3,"مستوفاة بشكل متقدم",IF($N251&lt;=المرجع!$K$2,"مستوفاة بشكل أولي","مستوفاة بشكل جزئي")))</f>
        <v>مستوفاة بشكل متقدم</v>
      </c>
      <c r="P251" s="18" t="s">
        <v>2170</v>
      </c>
    </row>
    <row r="252" spans="1:16">
      <c r="A252" s="16" t="s">
        <v>636</v>
      </c>
      <c r="B252" s="16" t="s">
        <v>175</v>
      </c>
      <c r="C252" s="15" t="str">
        <f>IFERROR(INDEX('قائمة الوحدات'!$B$2:$B$41,MATCH($B252,'قائمة الوحدات'!$A$2:$A$41,0)),"")</f>
        <v>EXE</v>
      </c>
      <c r="D252" s="14" t="str">
        <f>IFERROR(INDEX('قائمة الوحدات'!$C$2:$C$41,MATCH($B252,'قائمة الوحدات'!$A$2:$A$41,0)),"")</f>
        <v>الشؤون التنفيذية</v>
      </c>
      <c r="E252" s="14" t="str">
        <f>IFERROR(INDEX('قائمة الوحدات'!$D$2:$D$41,MATCH($B252,'قائمة الوحدات'!$A$2:$A$41,0)),"")</f>
        <v>وكالة الخدمات المساندة</v>
      </c>
      <c r="F252" s="14" t="str">
        <f>IFERROR(INDEX('قائمة الوحدات'!$F$2:$F$41,MATCH($B252,'قائمة الوحدات'!$A$2:$A$41,0)),"")</f>
        <v>الإدارة العامة للشؤون المالية</v>
      </c>
      <c r="G252" s="16" t="s">
        <v>61</v>
      </c>
      <c r="H252" s="14" t="str">
        <f>IFERROR(INDEX(المرجع!$A$2:$A$19,MATCH($G252,المرجع!$B$2:$B$19,0)),"")</f>
        <v>البناء المؤسسي</v>
      </c>
      <c r="I252" s="16" t="s">
        <v>51</v>
      </c>
      <c r="J252" s="14" t="str">
        <f>IFERROR(INDEX(المرجع!$D$2:$D$19,MATCH($I252,المرجع!$E$2:$E$19,0)),"")</f>
        <v>الحوكمة</v>
      </c>
      <c r="K252" s="16" t="s">
        <v>92</v>
      </c>
      <c r="L252" s="17" t="str">
        <f>IFERROR(INDEX('نقاط التحقق'!$G$2:$G$31,MATCH($K252,'نقاط التحقق'!$A$2:$A$31,0))&amp;"","")</f>
        <v>مصفوفة صلاحيات معتمدة ومعممة على أصحاب المصلحة</v>
      </c>
      <c r="M252" s="14" t="str">
        <f>IFERROR(INDEX('نقاط التحقق'!$H$2:$H$31,MATCH($K252,'نقاط التحقق'!$A$2:$A$31,0))&amp;"","")</f>
        <v/>
      </c>
      <c r="N252" s="13">
        <v>95</v>
      </c>
      <c r="O252" s="15" t="str">
        <f>IF($N252="","غير مقيّمة",IF($N252&gt;المرجع!$K$3,"مستوفاة بشكل متقدم",IF($N252&lt;=المرجع!$K$2,"مستوفاة بشكل أولي","مستوفاة بشكل جزئي")))</f>
        <v>مستوفاة بشكل متقدم</v>
      </c>
      <c r="P252" s="18" t="s">
        <v>2170</v>
      </c>
    </row>
    <row r="253" spans="1:16">
      <c r="A253" s="16" t="s">
        <v>637</v>
      </c>
      <c r="B253" s="16" t="s">
        <v>175</v>
      </c>
      <c r="C253" s="15" t="str">
        <f>IFERROR(INDEX('قائمة الوحدات'!$B$2:$B$41,MATCH($B253,'قائمة الوحدات'!$A$2:$A$41,0)),"")</f>
        <v>EXE</v>
      </c>
      <c r="D253" s="14" t="str">
        <f>IFERROR(INDEX('قائمة الوحدات'!$C$2:$C$41,MATCH($B253,'قائمة الوحدات'!$A$2:$A$41,0)),"")</f>
        <v>الشؤون التنفيذية</v>
      </c>
      <c r="E253" s="14" t="str">
        <f>IFERROR(INDEX('قائمة الوحدات'!$D$2:$D$41,MATCH($B253,'قائمة الوحدات'!$A$2:$A$41,0)),"")</f>
        <v>وكالة الخدمات المساندة</v>
      </c>
      <c r="F253" s="14" t="str">
        <f>IFERROR(INDEX('قائمة الوحدات'!$F$2:$F$41,MATCH($B253,'قائمة الوحدات'!$A$2:$A$41,0)),"")</f>
        <v>الإدارة العامة للشؤون المالية</v>
      </c>
      <c r="G253" s="16" t="s">
        <v>61</v>
      </c>
      <c r="H253" s="14" t="str">
        <f>IFERROR(INDEX(المرجع!$A$2:$A$19,MATCH($G253,المرجع!$B$2:$B$19,0)),"")</f>
        <v>البناء المؤسسي</v>
      </c>
      <c r="I253" s="16" t="s">
        <v>51</v>
      </c>
      <c r="J253" s="14" t="str">
        <f>IFERROR(INDEX(المرجع!$D$2:$D$19,MATCH($I253,المرجع!$E$2:$E$19,0)),"")</f>
        <v>الحوكمة</v>
      </c>
      <c r="K253" s="16" t="s">
        <v>94</v>
      </c>
      <c r="L253" s="17" t="str">
        <f>IFERROR(INDEX('نقاط التحقق'!$G$2:$G$31,MATCH($K253,'نقاط التحقق'!$A$2:$A$31,0))&amp;"","")</f>
        <v>سياسات معتمدة للتي تملكها الوحدة التنظيمية</v>
      </c>
      <c r="M253" s="14" t="str">
        <f>IFERROR(INDEX('نقاط التحقق'!$H$2:$H$31,MATCH($K253,'نقاط التحقق'!$A$2:$A$31,0))&amp;"","")</f>
        <v/>
      </c>
      <c r="N253" s="13">
        <v>90</v>
      </c>
      <c r="O253" s="15" t="str">
        <f>IF($N253="","غير مقيّمة",IF($N253&gt;المرجع!$K$3,"مستوفاة بشكل متقدم",IF($N253&lt;=المرجع!$K$2,"مستوفاة بشكل أولي","مستوفاة بشكل جزئي")))</f>
        <v>مستوفاة بشكل متقدم</v>
      </c>
      <c r="P253" s="18" t="s">
        <v>2170</v>
      </c>
    </row>
    <row r="254" spans="1:16">
      <c r="A254" s="16" t="s">
        <v>638</v>
      </c>
      <c r="B254" s="16" t="s">
        <v>175</v>
      </c>
      <c r="C254" s="15" t="str">
        <f>IFERROR(INDEX('قائمة الوحدات'!$B$2:$B$41,MATCH($B254,'قائمة الوحدات'!$A$2:$A$41,0)),"")</f>
        <v>EXE</v>
      </c>
      <c r="D254" s="14" t="str">
        <f>IFERROR(INDEX('قائمة الوحدات'!$C$2:$C$41,MATCH($B254,'قائمة الوحدات'!$A$2:$A$41,0)),"")</f>
        <v>الشؤون التنفيذية</v>
      </c>
      <c r="E254" s="14" t="str">
        <f>IFERROR(INDEX('قائمة الوحدات'!$D$2:$D$41,MATCH($B254,'قائمة الوحدات'!$A$2:$A$41,0)),"")</f>
        <v>وكالة الخدمات المساندة</v>
      </c>
      <c r="F254" s="14" t="str">
        <f>IFERROR(INDEX('قائمة الوحدات'!$F$2:$F$41,MATCH($B254,'قائمة الوحدات'!$A$2:$A$41,0)),"")</f>
        <v>الإدارة العامة للشؤون المالية</v>
      </c>
      <c r="G254" s="16" t="s">
        <v>61</v>
      </c>
      <c r="H254" s="14" t="str">
        <f>IFERROR(INDEX(المرجع!$A$2:$A$19,MATCH($G254,المرجع!$B$2:$B$19,0)),"")</f>
        <v>البناء المؤسسي</v>
      </c>
      <c r="I254" s="16" t="s">
        <v>51</v>
      </c>
      <c r="J254" s="14" t="str">
        <f>IFERROR(INDEX(المرجع!$D$2:$D$19,MATCH($I254,المرجع!$E$2:$E$19,0)),"")</f>
        <v>الحوكمة</v>
      </c>
      <c r="K254" s="16" t="s">
        <v>96</v>
      </c>
      <c r="L254" s="17" t="str">
        <f>IFERROR(INDEX('نقاط التحقق'!$G$2:$G$31,MATCH($K254,'نقاط التحقق'!$A$2:$A$31,0))&amp;"","")</f>
        <v>قرار تشكيل معتمد للجان ذات العلاقة</v>
      </c>
      <c r="M254" s="14" t="str">
        <f>IFERROR(INDEX('نقاط التحقق'!$H$2:$H$31,MATCH($K254,'نقاط التحقق'!$A$2:$A$31,0))&amp;"","")</f>
        <v/>
      </c>
      <c r="N254" s="13">
        <v>95</v>
      </c>
      <c r="O254" s="15" t="str">
        <f>IF($N254="","غير مقيّمة",IF($N254&gt;المرجع!$K$3,"مستوفاة بشكل متقدم",IF($N254&lt;=المرجع!$K$2,"مستوفاة بشكل أولي","مستوفاة بشكل جزئي")))</f>
        <v>مستوفاة بشكل متقدم</v>
      </c>
      <c r="P254" s="18" t="s">
        <v>2170</v>
      </c>
    </row>
    <row r="255" spans="1:16">
      <c r="A255" s="16" t="s">
        <v>639</v>
      </c>
      <c r="B255" s="16" t="s">
        <v>175</v>
      </c>
      <c r="C255" s="15" t="str">
        <f>IFERROR(INDEX('قائمة الوحدات'!$B$2:$B$41,MATCH($B255,'قائمة الوحدات'!$A$2:$A$41,0)),"")</f>
        <v>EXE</v>
      </c>
      <c r="D255" s="14" t="str">
        <f>IFERROR(INDEX('قائمة الوحدات'!$C$2:$C$41,MATCH($B255,'قائمة الوحدات'!$A$2:$A$41,0)),"")</f>
        <v>الشؤون التنفيذية</v>
      </c>
      <c r="E255" s="14" t="str">
        <f>IFERROR(INDEX('قائمة الوحدات'!$D$2:$D$41,MATCH($B255,'قائمة الوحدات'!$A$2:$A$41,0)),"")</f>
        <v>وكالة الخدمات المساندة</v>
      </c>
      <c r="F255" s="14" t="str">
        <f>IFERROR(INDEX('قائمة الوحدات'!$F$2:$F$41,MATCH($B255,'قائمة الوحدات'!$A$2:$A$41,0)),"")</f>
        <v>الإدارة العامة للشؤون المالية</v>
      </c>
      <c r="G255" s="16" t="s">
        <v>61</v>
      </c>
      <c r="H255" s="14" t="str">
        <f>IFERROR(INDEX(المرجع!$A$2:$A$19,MATCH($G255,المرجع!$B$2:$B$19,0)),"")</f>
        <v>البناء المؤسسي</v>
      </c>
      <c r="I255" s="16" t="s">
        <v>54</v>
      </c>
      <c r="J255" s="14" t="str">
        <f>IFERROR(INDEX(المرجع!$D$2:$D$19,MATCH($I255,المرجع!$E$2:$E$19,0)),"")</f>
        <v>التنظيم</v>
      </c>
      <c r="K255" s="16" t="s">
        <v>98</v>
      </c>
      <c r="L255" s="17" t="str">
        <f>IFERROR(INDEX('نقاط التحقق'!$G$2:$G$31,MATCH($K255,'نقاط التحقق'!$A$2:$A$31,0))&amp;"","")</f>
        <v>هيكل تنظيمي معتمد من صاحب الصلاحية</v>
      </c>
      <c r="M255" s="14" t="str">
        <f>IFERROR(INDEX('نقاط التحقق'!$H$2:$H$31,MATCH($K255,'نقاط التحقق'!$A$2:$A$31,0))&amp;"","")</f>
        <v/>
      </c>
      <c r="N255" s="13">
        <v>55</v>
      </c>
      <c r="O255" s="15" t="str">
        <f>IF($N255="","غير مقيّمة",IF($N255&gt;المرجع!$K$3,"مستوفاة بشكل متقدم",IF($N255&lt;=المرجع!$K$2,"مستوفاة بشكل أولي","مستوفاة بشكل جزئي")))</f>
        <v>مستوفاة بشكل جزئي</v>
      </c>
      <c r="P255" s="18" t="s">
        <v>2170</v>
      </c>
    </row>
    <row r="256" spans="1:16">
      <c r="A256" s="16" t="s">
        <v>640</v>
      </c>
      <c r="B256" s="16" t="s">
        <v>175</v>
      </c>
      <c r="C256" s="15" t="str">
        <f>IFERROR(INDEX('قائمة الوحدات'!$B$2:$B$41,MATCH($B256,'قائمة الوحدات'!$A$2:$A$41,0)),"")</f>
        <v>EXE</v>
      </c>
      <c r="D256" s="14" t="str">
        <f>IFERROR(INDEX('قائمة الوحدات'!$C$2:$C$41,MATCH($B256,'قائمة الوحدات'!$A$2:$A$41,0)),"")</f>
        <v>الشؤون التنفيذية</v>
      </c>
      <c r="E256" s="14" t="str">
        <f>IFERROR(INDEX('قائمة الوحدات'!$D$2:$D$41,MATCH($B256,'قائمة الوحدات'!$A$2:$A$41,0)),"")</f>
        <v>وكالة الخدمات المساندة</v>
      </c>
      <c r="F256" s="14" t="str">
        <f>IFERROR(INDEX('قائمة الوحدات'!$F$2:$F$41,MATCH($B256,'قائمة الوحدات'!$A$2:$A$41,0)),"")</f>
        <v>الإدارة العامة للشؤون المالية</v>
      </c>
      <c r="G256" s="16" t="s">
        <v>61</v>
      </c>
      <c r="H256" s="14" t="str">
        <f>IFERROR(INDEX(المرجع!$A$2:$A$19,MATCH($G256,المرجع!$B$2:$B$19,0)),"")</f>
        <v>البناء المؤسسي</v>
      </c>
      <c r="I256" s="16" t="s">
        <v>54</v>
      </c>
      <c r="J256" s="14" t="str">
        <f>IFERROR(INDEX(المرجع!$D$2:$D$19,MATCH($I256,المرجع!$E$2:$E$19,0)),"")</f>
        <v>التنظيم</v>
      </c>
      <c r="K256" s="16" t="s">
        <v>100</v>
      </c>
      <c r="L256" s="17" t="str">
        <f>IFERROR(INDEX('نقاط التحقق'!$G$2:$G$31,MATCH($K256,'نقاط التحقق'!$A$2:$A$31,0))&amp;"","")</f>
        <v>هيكل تنظيمي منشأ على نظام القوى العاملة</v>
      </c>
      <c r="M256" s="14" t="str">
        <f>IFERROR(INDEX('نقاط التحقق'!$H$2:$H$31,MATCH($K256,'نقاط التحقق'!$A$2:$A$31,0))&amp;"","")</f>
        <v/>
      </c>
      <c r="N256" s="13">
        <v>50</v>
      </c>
      <c r="O256" s="15" t="str">
        <f>IF($N256="","غير مقيّمة",IF($N256&gt;المرجع!$K$3,"مستوفاة بشكل متقدم",IF($N256&lt;=المرجع!$K$2,"مستوفاة بشكل أولي","مستوفاة بشكل جزئي")))</f>
        <v>مستوفاة بشكل جزئي</v>
      </c>
      <c r="P256" s="18" t="s">
        <v>2170</v>
      </c>
    </row>
    <row r="257" spans="1:16">
      <c r="A257" s="16" t="s">
        <v>641</v>
      </c>
      <c r="B257" s="16" t="s">
        <v>175</v>
      </c>
      <c r="C257" s="15" t="str">
        <f>IFERROR(INDEX('قائمة الوحدات'!$B$2:$B$41,MATCH($B257,'قائمة الوحدات'!$A$2:$A$41,0)),"")</f>
        <v>EXE</v>
      </c>
      <c r="D257" s="14" t="str">
        <f>IFERROR(INDEX('قائمة الوحدات'!$C$2:$C$41,MATCH($B257,'قائمة الوحدات'!$A$2:$A$41,0)),"")</f>
        <v>الشؤون التنفيذية</v>
      </c>
      <c r="E257" s="14" t="str">
        <f>IFERROR(INDEX('قائمة الوحدات'!$D$2:$D$41,MATCH($B257,'قائمة الوحدات'!$A$2:$A$41,0)),"")</f>
        <v>وكالة الخدمات المساندة</v>
      </c>
      <c r="F257" s="14" t="str">
        <f>IFERROR(INDEX('قائمة الوحدات'!$F$2:$F$41,MATCH($B257,'قائمة الوحدات'!$A$2:$A$41,0)),"")</f>
        <v>الإدارة العامة للشؤون المالية</v>
      </c>
      <c r="G257" s="16" t="s">
        <v>61</v>
      </c>
      <c r="H257" s="14" t="str">
        <f>IFERROR(INDEX(المرجع!$A$2:$A$19,MATCH($G257,المرجع!$B$2:$B$19,0)),"")</f>
        <v>البناء المؤسسي</v>
      </c>
      <c r="I257" s="16" t="s">
        <v>54</v>
      </c>
      <c r="J257" s="14" t="str">
        <f>IFERROR(INDEX(المرجع!$D$2:$D$19,MATCH($I257,المرجع!$E$2:$E$19,0)),"")</f>
        <v>التنظيم</v>
      </c>
      <c r="K257" s="16" t="s">
        <v>102</v>
      </c>
      <c r="L257" s="17" t="str">
        <f>IFERROR(INDEX('نقاط التحقق'!$G$2:$G$31,MATCH($K257,'نقاط التحقق'!$A$2:$A$31,0))&amp;"","")</f>
        <v>الموظفون المحددون مسكّنون على الهيكل التنظيمي المستهدف</v>
      </c>
      <c r="M257" s="14" t="str">
        <f>IFERROR(INDEX('نقاط التحقق'!$H$2:$H$31,MATCH($K257,'نقاط التحقق'!$A$2:$A$31,0))&amp;"","")</f>
        <v/>
      </c>
      <c r="N257" s="13">
        <v>65</v>
      </c>
      <c r="O257" s="15" t="str">
        <f>IF($N257="","غير مقيّمة",IF($N257&gt;المرجع!$K$3,"مستوفاة بشكل متقدم",IF($N257&lt;=المرجع!$K$2,"مستوفاة بشكل أولي","مستوفاة بشكل جزئي")))</f>
        <v>مستوفاة بشكل جزئي</v>
      </c>
      <c r="P257" s="18" t="s">
        <v>2170</v>
      </c>
    </row>
    <row r="258" spans="1:16">
      <c r="A258" s="16" t="s">
        <v>642</v>
      </c>
      <c r="B258" s="16" t="s">
        <v>175</v>
      </c>
      <c r="C258" s="15" t="str">
        <f>IFERROR(INDEX('قائمة الوحدات'!$B$2:$B$41,MATCH($B258,'قائمة الوحدات'!$A$2:$A$41,0)),"")</f>
        <v>EXE</v>
      </c>
      <c r="D258" s="14" t="str">
        <f>IFERROR(INDEX('قائمة الوحدات'!$C$2:$C$41,MATCH($B258,'قائمة الوحدات'!$A$2:$A$41,0)),"")</f>
        <v>الشؤون التنفيذية</v>
      </c>
      <c r="E258" s="14" t="str">
        <f>IFERROR(INDEX('قائمة الوحدات'!$D$2:$D$41,MATCH($B258,'قائمة الوحدات'!$A$2:$A$41,0)),"")</f>
        <v>وكالة الخدمات المساندة</v>
      </c>
      <c r="F258" s="14" t="str">
        <f>IFERROR(INDEX('قائمة الوحدات'!$F$2:$F$41,MATCH($B258,'قائمة الوحدات'!$A$2:$A$41,0)),"")</f>
        <v>الإدارة العامة للشؤون المالية</v>
      </c>
      <c r="G258" s="16" t="s">
        <v>61</v>
      </c>
      <c r="H258" s="14" t="str">
        <f>IFERROR(INDEX(المرجع!$A$2:$A$19,MATCH($G258,المرجع!$B$2:$B$19,0)),"")</f>
        <v>البناء المؤسسي</v>
      </c>
      <c r="I258" s="16" t="s">
        <v>56</v>
      </c>
      <c r="J258" s="14" t="str">
        <f>IFERROR(INDEX(المرجع!$D$2:$D$19,MATCH($I258,المرجع!$E$2:$E$19,0)),"")</f>
        <v>الموارد</v>
      </c>
      <c r="K258" s="16" t="s">
        <v>104</v>
      </c>
      <c r="L258" s="17" t="str">
        <f>IFERROR(INDEX('نقاط التحقق'!$G$2:$G$31,MATCH($K258,'نقاط التحقق'!$A$2:$A$31,0))&amp;"","")</f>
        <v>مدير الوحدة التنظيمية والموظفون الرئيسيون معينون/ملحقون</v>
      </c>
      <c r="M258" s="14" t="str">
        <f>IFERROR(INDEX('نقاط التحقق'!$H$2:$H$31,MATCH($K258,'نقاط التحقق'!$A$2:$A$31,0))&amp;"","")</f>
        <v/>
      </c>
      <c r="N258" s="13">
        <v>65</v>
      </c>
      <c r="O258" s="15" t="str">
        <f>IF($N258="","غير مقيّمة",IF($N258&gt;المرجع!$K$3,"مستوفاة بشكل متقدم",IF($N258&lt;=المرجع!$K$2,"مستوفاة بشكل أولي","مستوفاة بشكل جزئي")))</f>
        <v>مستوفاة بشكل جزئي</v>
      </c>
      <c r="P258" s="18" t="s">
        <v>2170</v>
      </c>
    </row>
    <row r="259" spans="1:16">
      <c r="A259" s="16" t="s">
        <v>643</v>
      </c>
      <c r="B259" s="16" t="s">
        <v>175</v>
      </c>
      <c r="C259" s="15" t="str">
        <f>IFERROR(INDEX('قائمة الوحدات'!$B$2:$B$41,MATCH($B259,'قائمة الوحدات'!$A$2:$A$41,0)),"")</f>
        <v>EXE</v>
      </c>
      <c r="D259" s="14" t="str">
        <f>IFERROR(INDEX('قائمة الوحدات'!$C$2:$C$41,MATCH($B259,'قائمة الوحدات'!$A$2:$A$41,0)),"")</f>
        <v>الشؤون التنفيذية</v>
      </c>
      <c r="E259" s="14" t="str">
        <f>IFERROR(INDEX('قائمة الوحدات'!$D$2:$D$41,MATCH($B259,'قائمة الوحدات'!$A$2:$A$41,0)),"")</f>
        <v>وكالة الخدمات المساندة</v>
      </c>
      <c r="F259" s="14" t="str">
        <f>IFERROR(INDEX('قائمة الوحدات'!$F$2:$F$41,MATCH($B259,'قائمة الوحدات'!$A$2:$A$41,0)),"")</f>
        <v>الإدارة العامة للشؤون المالية</v>
      </c>
      <c r="G259" s="16" t="s">
        <v>61</v>
      </c>
      <c r="H259" s="14" t="str">
        <f>IFERROR(INDEX(المرجع!$A$2:$A$19,MATCH($G259,المرجع!$B$2:$B$19,0)),"")</f>
        <v>البناء المؤسسي</v>
      </c>
      <c r="I259" s="16" t="s">
        <v>56</v>
      </c>
      <c r="J259" s="14" t="str">
        <f>IFERROR(INDEX(المرجع!$D$2:$D$19,MATCH($I259,المرجع!$E$2:$E$19,0)),"")</f>
        <v>الموارد</v>
      </c>
      <c r="K259" s="16" t="s">
        <v>106</v>
      </c>
      <c r="L259" s="17" t="str">
        <f>IFERROR(INDEX('نقاط التحقق'!$G$2:$G$31,MATCH($K259,'نقاط التحقق'!$A$2:$A$31,0))&amp;"","")</f>
        <v>خطة توظيف وتدريب مستكملة</v>
      </c>
      <c r="M259" s="14" t="str">
        <f>IFERROR(INDEX('نقاط التحقق'!$H$2:$H$31,MATCH($K259,'نقاط التحقق'!$A$2:$A$31,0))&amp;"","")</f>
        <v/>
      </c>
      <c r="N259" s="13">
        <v>60</v>
      </c>
      <c r="O259" s="15" t="str">
        <f>IF($N259="","غير مقيّمة",IF($N259&gt;المرجع!$K$3,"مستوفاة بشكل متقدم",IF($N259&lt;=المرجع!$K$2,"مستوفاة بشكل أولي","مستوفاة بشكل جزئي")))</f>
        <v>مستوفاة بشكل جزئي</v>
      </c>
      <c r="P259" s="18" t="s">
        <v>2170</v>
      </c>
    </row>
    <row r="260" spans="1:16">
      <c r="A260" s="16" t="s">
        <v>644</v>
      </c>
      <c r="B260" s="16" t="s">
        <v>175</v>
      </c>
      <c r="C260" s="15" t="str">
        <f>IFERROR(INDEX('قائمة الوحدات'!$B$2:$B$41,MATCH($B260,'قائمة الوحدات'!$A$2:$A$41,0)),"")</f>
        <v>EXE</v>
      </c>
      <c r="D260" s="14" t="str">
        <f>IFERROR(INDEX('قائمة الوحدات'!$C$2:$C$41,MATCH($B260,'قائمة الوحدات'!$A$2:$A$41,0)),"")</f>
        <v>الشؤون التنفيذية</v>
      </c>
      <c r="E260" s="14" t="str">
        <f>IFERROR(INDEX('قائمة الوحدات'!$D$2:$D$41,MATCH($B260,'قائمة الوحدات'!$A$2:$A$41,0)),"")</f>
        <v>وكالة الخدمات المساندة</v>
      </c>
      <c r="F260" s="14" t="str">
        <f>IFERROR(INDEX('قائمة الوحدات'!$F$2:$F$41,MATCH($B260,'قائمة الوحدات'!$A$2:$A$41,0)),"")</f>
        <v>الإدارة العامة للشؤون المالية</v>
      </c>
      <c r="G260" s="16" t="s">
        <v>61</v>
      </c>
      <c r="H260" s="14" t="str">
        <f>IFERROR(INDEX(المرجع!$A$2:$A$19,MATCH($G260,المرجع!$B$2:$B$19,0)),"")</f>
        <v>البناء المؤسسي</v>
      </c>
      <c r="I260" s="16" t="s">
        <v>56</v>
      </c>
      <c r="J260" s="14" t="str">
        <f>IFERROR(INDEX(المرجع!$D$2:$D$19,MATCH($I260,المرجع!$E$2:$E$19,0)),"")</f>
        <v>الموارد</v>
      </c>
      <c r="K260" s="16" t="s">
        <v>108</v>
      </c>
      <c r="L260" s="17" t="str">
        <f>IFERROR(INDEX('نقاط التحقق'!$G$2:$G$31,MATCH($K260,'نقاط التحقق'!$A$2:$A$31,0))&amp;"","")</f>
        <v>وجود مساحات مكتبية كافية</v>
      </c>
      <c r="M260" s="14" t="str">
        <f>IFERROR(INDEX('نقاط التحقق'!$H$2:$H$31,MATCH($K260,'نقاط التحقق'!$A$2:$A$31,0))&amp;"","")</f>
        <v/>
      </c>
      <c r="N260" s="13">
        <v>65</v>
      </c>
      <c r="O260" s="15" t="str">
        <f>IF($N260="","غير مقيّمة",IF($N260&gt;المرجع!$K$3,"مستوفاة بشكل متقدم",IF($N260&lt;=المرجع!$K$2,"مستوفاة بشكل أولي","مستوفاة بشكل جزئي")))</f>
        <v>مستوفاة بشكل جزئي</v>
      </c>
      <c r="P260" s="18" t="s">
        <v>2170</v>
      </c>
    </row>
    <row r="261" spans="1:16">
      <c r="A261" s="16" t="s">
        <v>645</v>
      </c>
      <c r="B261" s="16" t="s">
        <v>175</v>
      </c>
      <c r="C261" s="15" t="str">
        <f>IFERROR(INDEX('قائمة الوحدات'!$B$2:$B$41,MATCH($B261,'قائمة الوحدات'!$A$2:$A$41,0)),"")</f>
        <v>EXE</v>
      </c>
      <c r="D261" s="14" t="str">
        <f>IFERROR(INDEX('قائمة الوحدات'!$C$2:$C$41,MATCH($B261,'قائمة الوحدات'!$A$2:$A$41,0)),"")</f>
        <v>الشؤون التنفيذية</v>
      </c>
      <c r="E261" s="14" t="str">
        <f>IFERROR(INDEX('قائمة الوحدات'!$D$2:$D$41,MATCH($B261,'قائمة الوحدات'!$A$2:$A$41,0)),"")</f>
        <v>وكالة الخدمات المساندة</v>
      </c>
      <c r="F261" s="14" t="str">
        <f>IFERROR(INDEX('قائمة الوحدات'!$F$2:$F$41,MATCH($B261,'قائمة الوحدات'!$A$2:$A$41,0)),"")</f>
        <v>الإدارة العامة للشؤون المالية</v>
      </c>
      <c r="G261" s="16" t="s">
        <v>61</v>
      </c>
      <c r="H261" s="14" t="str">
        <f>IFERROR(INDEX(المرجع!$A$2:$A$19,MATCH($G261,المرجع!$B$2:$B$19,0)),"")</f>
        <v>البناء المؤسسي</v>
      </c>
      <c r="I261" s="16" t="s">
        <v>56</v>
      </c>
      <c r="J261" s="14" t="str">
        <f>IFERROR(INDEX(المرجع!$D$2:$D$19,MATCH($I261,المرجع!$E$2:$E$19,0)),"")</f>
        <v>الموارد</v>
      </c>
      <c r="K261" s="16" t="s">
        <v>110</v>
      </c>
      <c r="L261" s="17" t="str">
        <f>IFERROR(INDEX('نقاط التحقق'!$G$2:$G$31,MATCH($K261,'نقاط التحقق'!$A$2:$A$31,0))&amp;"","")</f>
        <v>وجود الاحتياجات التقنية الأساسية</v>
      </c>
      <c r="M261" s="14" t="str">
        <f>IFERROR(INDEX('نقاط التحقق'!$H$2:$H$31,MATCH($K261,'نقاط التحقق'!$A$2:$A$31,0))&amp;"","")</f>
        <v/>
      </c>
      <c r="N261" s="13">
        <v>35</v>
      </c>
      <c r="O261" s="15" t="str">
        <f>IF($N261="","غير مقيّمة",IF($N261&gt;المرجع!$K$3,"مستوفاة بشكل متقدم",IF($N261&lt;=المرجع!$K$2,"مستوفاة بشكل أولي","مستوفاة بشكل جزئي")))</f>
        <v>مستوفاة بشكل جزئي</v>
      </c>
      <c r="P261" s="18" t="s">
        <v>2170</v>
      </c>
    </row>
    <row r="262" spans="1:16">
      <c r="A262" s="16" t="s">
        <v>646</v>
      </c>
      <c r="B262" s="16" t="s">
        <v>175</v>
      </c>
      <c r="C262" s="15" t="str">
        <f>IFERROR(INDEX('قائمة الوحدات'!$B$2:$B$41,MATCH($B262,'قائمة الوحدات'!$A$2:$A$41,0)),"")</f>
        <v>EXE</v>
      </c>
      <c r="D262" s="14" t="str">
        <f>IFERROR(INDEX('قائمة الوحدات'!$C$2:$C$41,MATCH($B262,'قائمة الوحدات'!$A$2:$A$41,0)),"")</f>
        <v>الشؤون التنفيذية</v>
      </c>
      <c r="E262" s="14" t="str">
        <f>IFERROR(INDEX('قائمة الوحدات'!$D$2:$D$41,MATCH($B262,'قائمة الوحدات'!$A$2:$A$41,0)),"")</f>
        <v>وكالة الخدمات المساندة</v>
      </c>
      <c r="F262" s="14" t="str">
        <f>IFERROR(INDEX('قائمة الوحدات'!$F$2:$F$41,MATCH($B262,'قائمة الوحدات'!$A$2:$A$41,0)),"")</f>
        <v>الإدارة العامة للشؤون المالية</v>
      </c>
      <c r="G262" s="16" t="s">
        <v>61</v>
      </c>
      <c r="H262" s="14" t="str">
        <f>IFERROR(INDEX(المرجع!$A$2:$A$19,MATCH($G262,المرجع!$B$2:$B$19,0)),"")</f>
        <v>البناء المؤسسي</v>
      </c>
      <c r="I262" s="16" t="s">
        <v>59</v>
      </c>
      <c r="J262" s="14" t="str">
        <f>IFERROR(INDEX(المرجع!$D$2:$D$19,MATCH($I262,المرجع!$E$2:$E$19,0)),"")</f>
        <v>الإجراءات</v>
      </c>
      <c r="K262" s="16" t="s">
        <v>112</v>
      </c>
      <c r="L262" s="17" t="str">
        <f>IFERROR(INDEX('نقاط التحقق'!$G$2:$G$31,MATCH($K262,'نقاط التحقق'!$A$2:$A$31,0))&amp;"","")</f>
        <v>إجراءات معتمدة للوحدة التنظيمية</v>
      </c>
      <c r="M262" s="14" t="str">
        <f>IFERROR(INDEX('نقاط التحقق'!$H$2:$H$31,MATCH($K262,'نقاط التحقق'!$A$2:$A$31,0))&amp;"","")</f>
        <v/>
      </c>
      <c r="N262" s="13">
        <v>66</v>
      </c>
      <c r="O262" s="15" t="str">
        <f>IF($N262="","غير مقيّمة",IF($N262&gt;المرجع!$K$3,"مستوفاة بشكل متقدم",IF($N262&lt;=المرجع!$K$2,"مستوفاة بشكل أولي","مستوفاة بشكل جزئي")))</f>
        <v>مستوفاة بشكل جزئي</v>
      </c>
      <c r="P262" s="18" t="s">
        <v>2170</v>
      </c>
    </row>
    <row r="263" spans="1:16">
      <c r="A263" s="16" t="s">
        <v>647</v>
      </c>
      <c r="B263" s="16" t="s">
        <v>175</v>
      </c>
      <c r="C263" s="15" t="str">
        <f>IFERROR(INDEX('قائمة الوحدات'!$B$2:$B$41,MATCH($B263,'قائمة الوحدات'!$A$2:$A$41,0)),"")</f>
        <v>EXE</v>
      </c>
      <c r="D263" s="14" t="str">
        <f>IFERROR(INDEX('قائمة الوحدات'!$C$2:$C$41,MATCH($B263,'قائمة الوحدات'!$A$2:$A$41,0)),"")</f>
        <v>الشؤون التنفيذية</v>
      </c>
      <c r="E263" s="14" t="str">
        <f>IFERROR(INDEX('قائمة الوحدات'!$D$2:$D$41,MATCH($B263,'قائمة الوحدات'!$A$2:$A$41,0)),"")</f>
        <v>وكالة الخدمات المساندة</v>
      </c>
      <c r="F263" s="14" t="str">
        <f>IFERROR(INDEX('قائمة الوحدات'!$F$2:$F$41,MATCH($B263,'قائمة الوحدات'!$A$2:$A$41,0)),"")</f>
        <v>الإدارة العامة للشؤون المالية</v>
      </c>
      <c r="G263" s="16" t="s">
        <v>61</v>
      </c>
      <c r="H263" s="14" t="str">
        <f>IFERROR(INDEX(المرجع!$A$2:$A$19,MATCH($G263,المرجع!$B$2:$B$19,0)),"")</f>
        <v>البناء المؤسسي</v>
      </c>
      <c r="I263" s="16" t="s">
        <v>63</v>
      </c>
      <c r="J263" s="14" t="str">
        <f>IFERROR(INDEX(المرجع!$D$2:$D$19,MATCH($I263,المرجع!$E$2:$E$19,0)),"")</f>
        <v>إنتاج المخرج الأول</v>
      </c>
      <c r="K263" s="16" t="s">
        <v>114</v>
      </c>
      <c r="L263" s="17" t="str">
        <f>IFERROR(INDEX('نقاط التحقق'!$G$2:$G$31,MATCH($K263,'نقاط التحقق'!$A$2:$A$31,0))&amp;"","")</f>
        <v>إنتاج المخرج الأول من قبل الوحدة التنظيمية</v>
      </c>
      <c r="M263" s="14" t="str">
        <f>IFERROR(INDEX('نقاط التحقق'!$H$2:$H$31,MATCH($K263,'نقاط التحقق'!$A$2:$A$31,0))&amp;"","")</f>
        <v/>
      </c>
      <c r="N263" s="13">
        <v>43</v>
      </c>
      <c r="O263" s="15" t="str">
        <f>IF($N263="","غير مقيّمة",IF($N263&gt;المرجع!$K$3,"مستوفاة بشكل متقدم",IF($N263&lt;=المرجع!$K$2,"مستوفاة بشكل أولي","مستوفاة بشكل جزئي")))</f>
        <v>مستوفاة بشكل جزئي</v>
      </c>
      <c r="P263" s="18" t="s">
        <v>2170</v>
      </c>
    </row>
    <row r="264" spans="1:16">
      <c r="A264" s="16" t="s">
        <v>648</v>
      </c>
      <c r="B264" s="16" t="s">
        <v>175</v>
      </c>
      <c r="C264" s="15" t="str">
        <f>IFERROR(INDEX('قائمة الوحدات'!$B$2:$B$41,MATCH($B264,'قائمة الوحدات'!$A$2:$A$41,0)),"")</f>
        <v>EXE</v>
      </c>
      <c r="D264" s="14" t="str">
        <f>IFERROR(INDEX('قائمة الوحدات'!$C$2:$C$41,MATCH($B264,'قائمة الوحدات'!$A$2:$A$41,0)),"")</f>
        <v>الشؤون التنفيذية</v>
      </c>
      <c r="E264" s="14" t="str">
        <f>IFERROR(INDEX('قائمة الوحدات'!$D$2:$D$41,MATCH($B264,'قائمة الوحدات'!$A$2:$A$41,0)),"")</f>
        <v>وكالة الخدمات المساندة</v>
      </c>
      <c r="F264" s="14" t="str">
        <f>IFERROR(INDEX('قائمة الوحدات'!$F$2:$F$41,MATCH($B264,'قائمة الوحدات'!$A$2:$A$41,0)),"")</f>
        <v>الإدارة العامة للشؤون المالية</v>
      </c>
      <c r="G264" s="16" t="s">
        <v>65</v>
      </c>
      <c r="H264" s="14" t="str">
        <f>IFERROR(INDEX(المرجع!$A$2:$A$19,MATCH($G264,المرجع!$B$2:$B$19,0)),"")</f>
        <v>التشغيل</v>
      </c>
      <c r="I264" s="16" t="s">
        <v>48</v>
      </c>
      <c r="J264" s="14" t="str">
        <f>IFERROR(INDEX(المرجع!$D$2:$D$19,MATCH($I264,المرجع!$E$2:$E$19,0)),"")</f>
        <v>الأهداف ومؤشرات الأداء</v>
      </c>
      <c r="K264" s="16" t="s">
        <v>116</v>
      </c>
      <c r="L264" s="17" t="str">
        <f>IFERROR(INDEX('نقاط التحقق'!$G$2:$G$31,MATCH($K264,'نقاط التحقق'!$A$2:$A$31,0))&amp;"","")</f>
        <v>تحرك مؤشرات الأداء التشغيلي للوحدة التنظيمية بشكل إيجابي</v>
      </c>
      <c r="M264" s="14" t="str">
        <f>IFERROR(INDEX('نقاط التحقق'!$H$2:$H$31,MATCH($K264,'نقاط التحقق'!$A$2:$A$31,0))&amp;"","")</f>
        <v/>
      </c>
      <c r="N264" s="13">
        <v>30</v>
      </c>
      <c r="O264" s="15" t="str">
        <f>IF($N264="","غير مقيّمة",IF($N264&gt;المرجع!$K$3,"مستوفاة بشكل متقدم",IF($N264&lt;=المرجع!$K$2,"مستوفاة بشكل أولي","مستوفاة بشكل جزئي")))</f>
        <v>مستوفاة بشكل أولي</v>
      </c>
      <c r="P264" s="18" t="s">
        <v>2170</v>
      </c>
    </row>
    <row r="265" spans="1:16">
      <c r="A265" s="16" t="s">
        <v>649</v>
      </c>
      <c r="B265" s="16" t="s">
        <v>175</v>
      </c>
      <c r="C265" s="15" t="str">
        <f>IFERROR(INDEX('قائمة الوحدات'!$B$2:$B$41,MATCH($B265,'قائمة الوحدات'!$A$2:$A$41,0)),"")</f>
        <v>EXE</v>
      </c>
      <c r="D265" s="14" t="str">
        <f>IFERROR(INDEX('قائمة الوحدات'!$C$2:$C$41,MATCH($B265,'قائمة الوحدات'!$A$2:$A$41,0)),"")</f>
        <v>الشؤون التنفيذية</v>
      </c>
      <c r="E265" s="14" t="str">
        <f>IFERROR(INDEX('قائمة الوحدات'!$D$2:$D$41,MATCH($B265,'قائمة الوحدات'!$A$2:$A$41,0)),"")</f>
        <v>وكالة الخدمات المساندة</v>
      </c>
      <c r="F265" s="14" t="str">
        <f>IFERROR(INDEX('قائمة الوحدات'!$F$2:$F$41,MATCH($B265,'قائمة الوحدات'!$A$2:$A$41,0)),"")</f>
        <v>الإدارة العامة للشؤون المالية</v>
      </c>
      <c r="G265" s="16" t="s">
        <v>65</v>
      </c>
      <c r="H265" s="14" t="str">
        <f>IFERROR(INDEX(المرجع!$A$2:$A$19,MATCH($G265,المرجع!$B$2:$B$19,0)),"")</f>
        <v>التشغيل</v>
      </c>
      <c r="I265" s="16" t="s">
        <v>48</v>
      </c>
      <c r="J265" s="14" t="str">
        <f>IFERROR(INDEX(المرجع!$D$2:$D$19,MATCH($I265,المرجع!$E$2:$E$19,0)),"")</f>
        <v>الأهداف ومؤشرات الأداء</v>
      </c>
      <c r="K265" s="16" t="s">
        <v>118</v>
      </c>
      <c r="L265" s="17" t="str">
        <f>IFERROR(INDEX('نقاط التحقق'!$G$2:$G$31,MATCH($K265,'نقاط التحقق'!$A$2:$A$31,0))&amp;"","")</f>
        <v>خطة سنوية معتمدة للوحدة التنظيمية</v>
      </c>
      <c r="M265" s="14" t="str">
        <f>IFERROR(INDEX('نقاط التحقق'!$H$2:$H$31,MATCH($K265,'نقاط التحقق'!$A$2:$A$31,0))&amp;"","")</f>
        <v/>
      </c>
      <c r="N265" s="13">
        <v>20</v>
      </c>
      <c r="O265" s="15" t="str">
        <f>IF($N265="","غير مقيّمة",IF($N265&gt;المرجع!$K$3,"مستوفاة بشكل متقدم",IF($N265&lt;=المرجع!$K$2,"مستوفاة بشكل أولي","مستوفاة بشكل جزئي")))</f>
        <v>مستوفاة بشكل أولي</v>
      </c>
      <c r="P265" s="18" t="s">
        <v>2170</v>
      </c>
    </row>
    <row r="266" spans="1:16">
      <c r="A266" s="16" t="s">
        <v>650</v>
      </c>
      <c r="B266" s="16" t="s">
        <v>175</v>
      </c>
      <c r="C266" s="15" t="str">
        <f>IFERROR(INDEX('قائمة الوحدات'!$B$2:$B$41,MATCH($B266,'قائمة الوحدات'!$A$2:$A$41,0)),"")</f>
        <v>EXE</v>
      </c>
      <c r="D266" s="14" t="str">
        <f>IFERROR(INDEX('قائمة الوحدات'!$C$2:$C$41,MATCH($B266,'قائمة الوحدات'!$A$2:$A$41,0)),"")</f>
        <v>الشؤون التنفيذية</v>
      </c>
      <c r="E266" s="14" t="str">
        <f>IFERROR(INDEX('قائمة الوحدات'!$D$2:$D$41,MATCH($B266,'قائمة الوحدات'!$A$2:$A$41,0)),"")</f>
        <v>وكالة الخدمات المساندة</v>
      </c>
      <c r="F266" s="14" t="str">
        <f>IFERROR(INDEX('قائمة الوحدات'!$F$2:$F$41,MATCH($B266,'قائمة الوحدات'!$A$2:$A$41,0)),"")</f>
        <v>الإدارة العامة للشؤون المالية</v>
      </c>
      <c r="G266" s="16" t="s">
        <v>65</v>
      </c>
      <c r="H266" s="14" t="str">
        <f>IFERROR(INDEX(المرجع!$A$2:$A$19,MATCH($G266,المرجع!$B$2:$B$19,0)),"")</f>
        <v>التشغيل</v>
      </c>
      <c r="I266" s="16" t="s">
        <v>51</v>
      </c>
      <c r="J266" s="14" t="str">
        <f>IFERROR(INDEX(المرجع!$D$2:$D$19,MATCH($I266,المرجع!$E$2:$E$19,0)),"")</f>
        <v>الحوكمة</v>
      </c>
      <c r="K266" s="16" t="s">
        <v>120</v>
      </c>
      <c r="L266" s="17" t="str">
        <f>IFERROR(INDEX('نقاط التحقق'!$G$2:$G$31,MATCH($K266,'نقاط التحقق'!$A$2:$A$31,0))&amp;"","")</f>
        <v>محاضر لجان موثقة</v>
      </c>
      <c r="M266" s="14" t="str">
        <f>IFERROR(INDEX('نقاط التحقق'!$H$2:$H$31,MATCH($K266,'نقاط التحقق'!$A$2:$A$31,0))&amp;"","")</f>
        <v/>
      </c>
      <c r="N266" s="13">
        <v>35</v>
      </c>
      <c r="O266" s="15" t="str">
        <f>IF($N266="","غير مقيّمة",IF($N266&gt;المرجع!$K$3,"مستوفاة بشكل متقدم",IF($N266&lt;=المرجع!$K$2,"مستوفاة بشكل أولي","مستوفاة بشكل جزئي")))</f>
        <v>مستوفاة بشكل جزئي</v>
      </c>
      <c r="P266" s="18" t="s">
        <v>2170</v>
      </c>
    </row>
    <row r="267" spans="1:16">
      <c r="A267" s="16" t="s">
        <v>651</v>
      </c>
      <c r="B267" s="16" t="s">
        <v>175</v>
      </c>
      <c r="C267" s="15" t="str">
        <f>IFERROR(INDEX('قائمة الوحدات'!$B$2:$B$41,MATCH($B267,'قائمة الوحدات'!$A$2:$A$41,0)),"")</f>
        <v>EXE</v>
      </c>
      <c r="D267" s="14" t="str">
        <f>IFERROR(INDEX('قائمة الوحدات'!$C$2:$C$41,MATCH($B267,'قائمة الوحدات'!$A$2:$A$41,0)),"")</f>
        <v>الشؤون التنفيذية</v>
      </c>
      <c r="E267" s="14" t="str">
        <f>IFERROR(INDEX('قائمة الوحدات'!$D$2:$D$41,MATCH($B267,'قائمة الوحدات'!$A$2:$A$41,0)),"")</f>
        <v>وكالة الخدمات المساندة</v>
      </c>
      <c r="F267" s="14" t="str">
        <f>IFERROR(INDEX('قائمة الوحدات'!$F$2:$F$41,MATCH($B267,'قائمة الوحدات'!$A$2:$A$41,0)),"")</f>
        <v>الإدارة العامة للشؤون المالية</v>
      </c>
      <c r="G267" s="16" t="s">
        <v>65</v>
      </c>
      <c r="H267" s="14" t="str">
        <f>IFERROR(INDEX(المرجع!$A$2:$A$19,MATCH($G267,المرجع!$B$2:$B$19,0)),"")</f>
        <v>التشغيل</v>
      </c>
      <c r="I267" s="16" t="s">
        <v>51</v>
      </c>
      <c r="J267" s="14" t="str">
        <f>IFERROR(INDEX(المرجع!$D$2:$D$19,MATCH($I267,المرجع!$E$2:$E$19,0)),"")</f>
        <v>الحوكمة</v>
      </c>
      <c r="K267" s="16" t="s">
        <v>122</v>
      </c>
      <c r="L267" s="17" t="str">
        <f>IFERROR(INDEX('نقاط التحقق'!$G$2:$G$31,MATCH($K267,'نقاط التحقق'!$A$2:$A$31,0))&amp;"","")</f>
        <v>نشر السياسات التي تملكها الوحدة التنظيمية</v>
      </c>
      <c r="M267" s="14" t="str">
        <f>IFERROR(INDEX('نقاط التحقق'!$H$2:$H$31,MATCH($K267,'نقاط التحقق'!$A$2:$A$31,0))&amp;"","")</f>
        <v/>
      </c>
      <c r="N267" s="13">
        <v>20</v>
      </c>
      <c r="O267" s="15" t="str">
        <f>IF($N267="","غير مقيّمة",IF($N267&gt;المرجع!$K$3,"مستوفاة بشكل متقدم",IF($N267&lt;=المرجع!$K$2,"مستوفاة بشكل أولي","مستوفاة بشكل جزئي")))</f>
        <v>مستوفاة بشكل أولي</v>
      </c>
      <c r="P267" s="18" t="s">
        <v>2170</v>
      </c>
    </row>
    <row r="268" spans="1:16">
      <c r="A268" s="16" t="s">
        <v>652</v>
      </c>
      <c r="B268" s="16" t="s">
        <v>175</v>
      </c>
      <c r="C268" s="15" t="str">
        <f>IFERROR(INDEX('قائمة الوحدات'!$B$2:$B$41,MATCH($B268,'قائمة الوحدات'!$A$2:$A$41,0)),"")</f>
        <v>EXE</v>
      </c>
      <c r="D268" s="14" t="str">
        <f>IFERROR(INDEX('قائمة الوحدات'!$C$2:$C$41,MATCH($B268,'قائمة الوحدات'!$A$2:$A$41,0)),"")</f>
        <v>الشؤون التنفيذية</v>
      </c>
      <c r="E268" s="14" t="str">
        <f>IFERROR(INDEX('قائمة الوحدات'!$D$2:$D$41,MATCH($B268,'قائمة الوحدات'!$A$2:$A$41,0)),"")</f>
        <v>وكالة الخدمات المساندة</v>
      </c>
      <c r="F268" s="14" t="str">
        <f>IFERROR(INDEX('قائمة الوحدات'!$F$2:$F$41,MATCH($B268,'قائمة الوحدات'!$A$2:$A$41,0)),"")</f>
        <v>الإدارة العامة للشؤون المالية</v>
      </c>
      <c r="G268" s="16" t="s">
        <v>65</v>
      </c>
      <c r="H268" s="14" t="str">
        <f>IFERROR(INDEX(المرجع!$A$2:$A$19,MATCH($G268,المرجع!$B$2:$B$19,0)),"")</f>
        <v>التشغيل</v>
      </c>
      <c r="I268" s="16" t="s">
        <v>51</v>
      </c>
      <c r="J268" s="14" t="str">
        <f>IFERROR(INDEX(المرجع!$D$2:$D$19,MATCH($I268,المرجع!$E$2:$E$19,0)),"")</f>
        <v>الحوكمة</v>
      </c>
      <c r="K268" s="16" t="s">
        <v>124</v>
      </c>
      <c r="L268" s="17" t="str">
        <f>IFERROR(INDEX('نقاط التحقق'!$G$2:$G$31,MATCH($K268,'نقاط التحقق'!$A$2:$A$31,0))&amp;"","")</f>
        <v>اتخاذ القرارات في نطاق الصلاحيات (وجود شواهد)</v>
      </c>
      <c r="M268" s="14" t="str">
        <f>IFERROR(INDEX('نقاط التحقق'!$H$2:$H$31,MATCH($K268,'نقاط التحقق'!$A$2:$A$31,0))&amp;"","")</f>
        <v/>
      </c>
      <c r="N268" s="13">
        <v>30</v>
      </c>
      <c r="O268" s="15" t="str">
        <f>IF($N268="","غير مقيّمة",IF($N268&gt;المرجع!$K$3,"مستوفاة بشكل متقدم",IF($N268&lt;=المرجع!$K$2,"مستوفاة بشكل أولي","مستوفاة بشكل جزئي")))</f>
        <v>مستوفاة بشكل أولي</v>
      </c>
      <c r="P268" s="18" t="s">
        <v>2170</v>
      </c>
    </row>
    <row r="269" spans="1:16">
      <c r="A269" s="16" t="s">
        <v>653</v>
      </c>
      <c r="B269" s="16" t="s">
        <v>175</v>
      </c>
      <c r="C269" s="15" t="str">
        <f>IFERROR(INDEX('قائمة الوحدات'!$B$2:$B$41,MATCH($B269,'قائمة الوحدات'!$A$2:$A$41,0)),"")</f>
        <v>EXE</v>
      </c>
      <c r="D269" s="14" t="str">
        <f>IFERROR(INDEX('قائمة الوحدات'!$C$2:$C$41,MATCH($B269,'قائمة الوحدات'!$A$2:$A$41,0)),"")</f>
        <v>الشؤون التنفيذية</v>
      </c>
      <c r="E269" s="14" t="str">
        <f>IFERROR(INDEX('قائمة الوحدات'!$D$2:$D$41,MATCH($B269,'قائمة الوحدات'!$A$2:$A$41,0)),"")</f>
        <v>وكالة الخدمات المساندة</v>
      </c>
      <c r="F269" s="14" t="str">
        <f>IFERROR(INDEX('قائمة الوحدات'!$F$2:$F$41,MATCH($B269,'قائمة الوحدات'!$A$2:$A$41,0)),"")</f>
        <v>الإدارة العامة للشؤون المالية</v>
      </c>
      <c r="G269" s="16" t="s">
        <v>65</v>
      </c>
      <c r="H269" s="14" t="str">
        <f>IFERROR(INDEX(المرجع!$A$2:$A$19,MATCH($G269,المرجع!$B$2:$B$19,0)),"")</f>
        <v>التشغيل</v>
      </c>
      <c r="I269" s="16" t="s">
        <v>56</v>
      </c>
      <c r="J269" s="14" t="str">
        <f>IFERROR(INDEX(المرجع!$D$2:$D$19,MATCH($I269,المرجع!$E$2:$E$19,0)),"")</f>
        <v>الموارد</v>
      </c>
      <c r="K269" s="16" t="s">
        <v>126</v>
      </c>
      <c r="L269" s="17" t="str">
        <f>IFERROR(INDEX('نقاط التحقق'!$G$2:$G$31,MATCH($K269,'نقاط التحقق'!$A$2:$A$31,0))&amp;"","")</f>
        <v>موارد مستكملة للحد الأدنى الذي يغطي كافة محاور سلسلة القيمة</v>
      </c>
      <c r="M269" s="14" t="str">
        <f>IFERROR(INDEX('نقاط التحقق'!$H$2:$H$31,MATCH($K269,'نقاط التحقق'!$A$2:$A$31,0))&amp;"","")</f>
        <v/>
      </c>
      <c r="N269" s="13">
        <v>36</v>
      </c>
      <c r="O269" s="15" t="str">
        <f>IF($N269="","غير مقيّمة",IF($N269&gt;المرجع!$K$3,"مستوفاة بشكل متقدم",IF($N269&lt;=المرجع!$K$2,"مستوفاة بشكل أولي","مستوفاة بشكل جزئي")))</f>
        <v>مستوفاة بشكل جزئي</v>
      </c>
      <c r="P269" s="18" t="s">
        <v>2170</v>
      </c>
    </row>
    <row r="270" spans="1:16">
      <c r="A270" s="16" t="s">
        <v>654</v>
      </c>
      <c r="B270" s="16" t="s">
        <v>175</v>
      </c>
      <c r="C270" s="15" t="str">
        <f>IFERROR(INDEX('قائمة الوحدات'!$B$2:$B$41,MATCH($B270,'قائمة الوحدات'!$A$2:$A$41,0)),"")</f>
        <v>EXE</v>
      </c>
      <c r="D270" s="14" t="str">
        <f>IFERROR(INDEX('قائمة الوحدات'!$C$2:$C$41,MATCH($B270,'قائمة الوحدات'!$A$2:$A$41,0)),"")</f>
        <v>الشؤون التنفيذية</v>
      </c>
      <c r="E270" s="14" t="str">
        <f>IFERROR(INDEX('قائمة الوحدات'!$D$2:$D$41,MATCH($B270,'قائمة الوحدات'!$A$2:$A$41,0)),"")</f>
        <v>وكالة الخدمات المساندة</v>
      </c>
      <c r="F270" s="14" t="str">
        <f>IFERROR(INDEX('قائمة الوحدات'!$F$2:$F$41,MATCH($B270,'قائمة الوحدات'!$A$2:$A$41,0)),"")</f>
        <v>الإدارة العامة للشؤون المالية</v>
      </c>
      <c r="G270" s="16" t="s">
        <v>65</v>
      </c>
      <c r="H270" s="14" t="str">
        <f>IFERROR(INDEX(المرجع!$A$2:$A$19,MATCH($G270,المرجع!$B$2:$B$19,0)),"")</f>
        <v>التشغيل</v>
      </c>
      <c r="I270" s="16" t="s">
        <v>59</v>
      </c>
      <c r="J270" s="14" t="str">
        <f>IFERROR(INDEX(المرجع!$D$2:$D$19,MATCH($I270,المرجع!$E$2:$E$19,0)),"")</f>
        <v>الإجراءات</v>
      </c>
      <c r="K270" s="16" t="s">
        <v>128</v>
      </c>
      <c r="L270" s="17" t="str">
        <f>IFERROR(INDEX('نقاط التحقق'!$G$2:$G$31,MATCH($K270,'نقاط التحقق'!$A$2:$A$31,0))&amp;"","")</f>
        <v>تحقيق تقييم "مطبق بشكل كامل" من منهجية تقييم فعالية الإجراءات</v>
      </c>
      <c r="M270" s="14" t="str">
        <f>IFERROR(INDEX('نقاط التحقق'!$H$2:$H$31,MATCH($K270,'نقاط التحقق'!$A$2:$A$31,0))&amp;"","")</f>
        <v/>
      </c>
      <c r="N270" s="13">
        <v>32</v>
      </c>
      <c r="O270" s="15" t="str">
        <f>IF($N270="","غير مقيّمة",IF($N270&gt;المرجع!$K$3,"مستوفاة بشكل متقدم",IF($N270&lt;=المرجع!$K$2,"مستوفاة بشكل أولي","مستوفاة بشكل جزئي")))</f>
        <v>مستوفاة بشكل جزئي</v>
      </c>
      <c r="P270" s="18" t="s">
        <v>2170</v>
      </c>
    </row>
    <row r="271" spans="1:16">
      <c r="A271" s="16" t="s">
        <v>655</v>
      </c>
      <c r="B271" s="16" t="s">
        <v>175</v>
      </c>
      <c r="C271" s="15" t="str">
        <f>IFERROR(INDEX('قائمة الوحدات'!$B$2:$B$41,MATCH($B271,'قائمة الوحدات'!$A$2:$A$41,0)),"")</f>
        <v>EXE</v>
      </c>
      <c r="D271" s="14" t="str">
        <f>IFERROR(INDEX('قائمة الوحدات'!$C$2:$C$41,MATCH($B271,'قائمة الوحدات'!$A$2:$A$41,0)),"")</f>
        <v>الشؤون التنفيذية</v>
      </c>
      <c r="E271" s="14" t="str">
        <f>IFERROR(INDEX('قائمة الوحدات'!$D$2:$D$41,MATCH($B271,'قائمة الوحدات'!$A$2:$A$41,0)),"")</f>
        <v>وكالة الخدمات المساندة</v>
      </c>
      <c r="F271" s="14" t="str">
        <f>IFERROR(INDEX('قائمة الوحدات'!$F$2:$F$41,MATCH($B271,'قائمة الوحدات'!$A$2:$A$41,0)),"")</f>
        <v>الإدارة العامة للشؤون المالية</v>
      </c>
      <c r="G271" s="16" t="s">
        <v>65</v>
      </c>
      <c r="H271" s="14" t="str">
        <f>IFERROR(INDEX(المرجع!$A$2:$A$19,MATCH($G271,المرجع!$B$2:$B$19,0)),"")</f>
        <v>التشغيل</v>
      </c>
      <c r="I271" s="16" t="s">
        <v>67</v>
      </c>
      <c r="J271" s="14" t="str">
        <f>IFERROR(INDEX(المرجع!$D$2:$D$19,MATCH($I271,المرجع!$E$2:$E$19,0)),"")</f>
        <v>اكتمال المخرجات المستهدفة</v>
      </c>
      <c r="K271" s="16" t="s">
        <v>130</v>
      </c>
      <c r="L271" s="17" t="str">
        <f>IFERROR(INDEX('نقاط التحقق'!$G$2:$G$31,MATCH($K271,'نقاط التحقق'!$A$2:$A$31,0))&amp;"","")</f>
        <v>اكتمال مخرجات النموذج التشغيلي المستهدف للوحدة التنظيمية</v>
      </c>
      <c r="M271" s="14" t="str">
        <f>IFERROR(INDEX('نقاط التحقق'!$H$2:$H$31,MATCH($K271,'نقاط التحقق'!$A$2:$A$31,0))&amp;"","")</f>
        <v/>
      </c>
      <c r="N271" s="13">
        <v>57</v>
      </c>
      <c r="O271" s="15" t="str">
        <f>IF($N271="","غير مقيّمة",IF($N271&gt;المرجع!$K$3,"مستوفاة بشكل متقدم",IF($N271&lt;=المرجع!$K$2,"مستوفاة بشكل أولي","مستوفاة بشكل جزئي")))</f>
        <v>مستوفاة بشكل جزئي</v>
      </c>
      <c r="P271" s="18" t="s">
        <v>2170</v>
      </c>
    </row>
    <row r="272" spans="1:16">
      <c r="A272" s="16" t="s">
        <v>656</v>
      </c>
      <c r="B272" s="16" t="s">
        <v>177</v>
      </c>
      <c r="C272" s="15" t="str">
        <f>IFERROR(INDEX('قائمة الوحدات'!$B$2:$B$41,MATCH($B272,'قائمة الوحدات'!$A$2:$A$41,0)),"")</f>
        <v>EXE</v>
      </c>
      <c r="D272" s="14" t="str">
        <f>IFERROR(INDEX('قائمة الوحدات'!$C$2:$C$41,MATCH($B272,'قائمة الوحدات'!$A$2:$A$41,0)),"")</f>
        <v>الشؤون التنفيذية</v>
      </c>
      <c r="E272" s="14" t="str">
        <f>IFERROR(INDEX('قائمة الوحدات'!$D$2:$D$41,MATCH($B272,'قائمة الوحدات'!$A$2:$A$41,0)),"")</f>
        <v>وكالة الخدمات المساندة</v>
      </c>
      <c r="F272" s="14" t="str">
        <f>IFERROR(INDEX('قائمة الوحدات'!$F$2:$F$41,MATCH($B272,'قائمة الوحدات'!$A$2:$A$41,0)),"")</f>
        <v>الإدارة العامة لتقنية المعلومات</v>
      </c>
      <c r="G272" s="16" t="s">
        <v>43</v>
      </c>
      <c r="H272" s="14" t="str">
        <f>IFERROR(INDEX(المرجع!$A$2:$A$19,MATCH($G272,المرجع!$B$2:$B$19,0)),"")</f>
        <v>التصميم</v>
      </c>
      <c r="I272" s="16" t="s">
        <v>45</v>
      </c>
      <c r="J272" s="14" t="str">
        <f>IFERROR(INDEX(المرجع!$D$2:$D$19,MATCH($I272,المرجع!$E$2:$E$19,0)),"")</f>
        <v>الدور</v>
      </c>
      <c r="K272" s="16" t="s">
        <v>72</v>
      </c>
      <c r="L272" s="17" t="str">
        <f>IFERROR(INDEX('نقاط التحقق'!$G$2:$G$31,MATCH($K272,'نقاط التحقق'!$A$2:$A$31,0))&amp;"","")</f>
        <v>دور مفصل للوحدة التنظيمية</v>
      </c>
      <c r="M272" s="14" t="str">
        <f>IFERROR(INDEX('نقاط التحقق'!$H$2:$H$31,MATCH($K272,'نقاط التحقق'!$A$2:$A$31,0))&amp;"","")</f>
        <v/>
      </c>
      <c r="N272" s="13">
        <v>85</v>
      </c>
      <c r="O272" s="15" t="str">
        <f>IF($N272="","غير مقيّمة",IF($N272&gt;المرجع!$K$3,"مستوفاة بشكل متقدم",IF($N272&lt;=المرجع!$K$2,"مستوفاة بشكل أولي","مستوفاة بشكل جزئي")))</f>
        <v>مستوفاة بشكل متقدم</v>
      </c>
      <c r="P272" s="18" t="s">
        <v>2170</v>
      </c>
    </row>
    <row r="273" spans="1:16">
      <c r="A273" s="16" t="s">
        <v>657</v>
      </c>
      <c r="B273" s="16" t="s">
        <v>177</v>
      </c>
      <c r="C273" s="15" t="str">
        <f>IFERROR(INDEX('قائمة الوحدات'!$B$2:$B$41,MATCH($B273,'قائمة الوحدات'!$A$2:$A$41,0)),"")</f>
        <v>EXE</v>
      </c>
      <c r="D273" s="14" t="str">
        <f>IFERROR(INDEX('قائمة الوحدات'!$C$2:$C$41,MATCH($B273,'قائمة الوحدات'!$A$2:$A$41,0)),"")</f>
        <v>الشؤون التنفيذية</v>
      </c>
      <c r="E273" s="14" t="str">
        <f>IFERROR(INDEX('قائمة الوحدات'!$D$2:$D$41,MATCH($B273,'قائمة الوحدات'!$A$2:$A$41,0)),"")</f>
        <v>وكالة الخدمات المساندة</v>
      </c>
      <c r="F273" s="14" t="str">
        <f>IFERROR(INDEX('قائمة الوحدات'!$F$2:$F$41,MATCH($B273,'قائمة الوحدات'!$A$2:$A$41,0)),"")</f>
        <v>الإدارة العامة لتقنية المعلومات</v>
      </c>
      <c r="G273" s="16" t="s">
        <v>43</v>
      </c>
      <c r="H273" s="14" t="str">
        <f>IFERROR(INDEX(المرجع!$A$2:$A$19,MATCH($G273,المرجع!$B$2:$B$19,0)),"")</f>
        <v>التصميم</v>
      </c>
      <c r="I273" s="16" t="s">
        <v>48</v>
      </c>
      <c r="J273" s="14" t="str">
        <f>IFERROR(INDEX(المرجع!$D$2:$D$19,MATCH($I273,المرجع!$E$2:$E$19,0)),"")</f>
        <v>الأهداف ومؤشرات الأداء</v>
      </c>
      <c r="K273" s="16" t="s">
        <v>74</v>
      </c>
      <c r="L273" s="17" t="str">
        <f>IFERROR(INDEX('نقاط التحقق'!$G$2:$G$31,MATCH($K273,'نقاط التحقق'!$A$2:$A$31,0))&amp;"","")</f>
        <v>أهداف محددة للوحدة التنظيمية وربطها بمؤشرات أداء لقياسها</v>
      </c>
      <c r="M273" s="14" t="str">
        <f>IFERROR(INDEX('نقاط التحقق'!$H$2:$H$31,MATCH($K273,'نقاط التحقق'!$A$2:$A$31,0))&amp;"","")</f>
        <v/>
      </c>
      <c r="N273" s="13">
        <v>70</v>
      </c>
      <c r="O273" s="15" t="str">
        <f>IF($N273="","غير مقيّمة",IF($N273&gt;المرجع!$K$3,"مستوفاة بشكل متقدم",IF($N273&lt;=المرجع!$K$2,"مستوفاة بشكل أولي","مستوفاة بشكل جزئي")))</f>
        <v>مستوفاة بشكل جزئي</v>
      </c>
      <c r="P273" s="18" t="s">
        <v>2170</v>
      </c>
    </row>
    <row r="274" spans="1:16">
      <c r="A274" s="16" t="s">
        <v>658</v>
      </c>
      <c r="B274" s="16" t="s">
        <v>177</v>
      </c>
      <c r="C274" s="15" t="str">
        <f>IFERROR(INDEX('قائمة الوحدات'!$B$2:$B$41,MATCH($B274,'قائمة الوحدات'!$A$2:$A$41,0)),"")</f>
        <v>EXE</v>
      </c>
      <c r="D274" s="14" t="str">
        <f>IFERROR(INDEX('قائمة الوحدات'!$C$2:$C$41,MATCH($B274,'قائمة الوحدات'!$A$2:$A$41,0)),"")</f>
        <v>الشؤون التنفيذية</v>
      </c>
      <c r="E274" s="14" t="str">
        <f>IFERROR(INDEX('قائمة الوحدات'!$D$2:$D$41,MATCH($B274,'قائمة الوحدات'!$A$2:$A$41,0)),"")</f>
        <v>وكالة الخدمات المساندة</v>
      </c>
      <c r="F274" s="14" t="str">
        <f>IFERROR(INDEX('قائمة الوحدات'!$F$2:$F$41,MATCH($B274,'قائمة الوحدات'!$A$2:$A$41,0)),"")</f>
        <v>الإدارة العامة لتقنية المعلومات</v>
      </c>
      <c r="G274" s="16" t="s">
        <v>43</v>
      </c>
      <c r="H274" s="14" t="str">
        <f>IFERROR(INDEX(المرجع!$A$2:$A$19,MATCH($G274,المرجع!$B$2:$B$19,0)),"")</f>
        <v>التصميم</v>
      </c>
      <c r="I274" s="16" t="s">
        <v>48</v>
      </c>
      <c r="J274" s="14" t="str">
        <f>IFERROR(INDEX(المرجع!$D$2:$D$19,MATCH($I274,المرجع!$E$2:$E$19,0)),"")</f>
        <v>الأهداف ومؤشرات الأداء</v>
      </c>
      <c r="K274" s="16" t="s">
        <v>76</v>
      </c>
      <c r="L274" s="17" t="str">
        <f>IFERROR(INDEX('نقاط التحقق'!$G$2:$G$31,MATCH($K274,'نقاط التحقق'!$A$2:$A$31,0))&amp;"","")</f>
        <v>مؤشرات أداء الوحدة التنظيمية</v>
      </c>
      <c r="M274" s="14" t="str">
        <f>IFERROR(INDEX('نقاط التحقق'!$H$2:$H$31,MATCH($K274,'نقاط التحقق'!$A$2:$A$31,0))&amp;"","")</f>
        <v/>
      </c>
      <c r="N274" s="13">
        <v>65</v>
      </c>
      <c r="O274" s="15" t="str">
        <f>IF($N274="","غير مقيّمة",IF($N274&gt;المرجع!$K$3,"مستوفاة بشكل متقدم",IF($N274&lt;=المرجع!$K$2,"مستوفاة بشكل أولي","مستوفاة بشكل جزئي")))</f>
        <v>مستوفاة بشكل جزئي</v>
      </c>
      <c r="P274" s="18" t="s">
        <v>2170</v>
      </c>
    </row>
    <row r="275" spans="1:16">
      <c r="A275" s="16" t="s">
        <v>659</v>
      </c>
      <c r="B275" s="16" t="s">
        <v>177</v>
      </c>
      <c r="C275" s="15" t="str">
        <f>IFERROR(INDEX('قائمة الوحدات'!$B$2:$B$41,MATCH($B275,'قائمة الوحدات'!$A$2:$A$41,0)),"")</f>
        <v>EXE</v>
      </c>
      <c r="D275" s="14" t="str">
        <f>IFERROR(INDEX('قائمة الوحدات'!$C$2:$C$41,MATCH($B275,'قائمة الوحدات'!$A$2:$A$41,0)),"")</f>
        <v>الشؤون التنفيذية</v>
      </c>
      <c r="E275" s="14" t="str">
        <f>IFERROR(INDEX('قائمة الوحدات'!$D$2:$D$41,MATCH($B275,'قائمة الوحدات'!$A$2:$A$41,0)),"")</f>
        <v>وكالة الخدمات المساندة</v>
      </c>
      <c r="F275" s="14" t="str">
        <f>IFERROR(INDEX('قائمة الوحدات'!$F$2:$F$41,MATCH($B275,'قائمة الوحدات'!$A$2:$A$41,0)),"")</f>
        <v>الإدارة العامة لتقنية المعلومات</v>
      </c>
      <c r="G275" s="16" t="s">
        <v>43</v>
      </c>
      <c r="H275" s="14" t="str">
        <f>IFERROR(INDEX(المرجع!$A$2:$A$19,MATCH($G275,المرجع!$B$2:$B$19,0)),"")</f>
        <v>التصميم</v>
      </c>
      <c r="I275" s="16" t="s">
        <v>51</v>
      </c>
      <c r="J275" s="14" t="str">
        <f>IFERROR(INDEX(المرجع!$D$2:$D$19,MATCH($I275,المرجع!$E$2:$E$19,0)),"")</f>
        <v>الحوكمة</v>
      </c>
      <c r="K275" s="16" t="s">
        <v>78</v>
      </c>
      <c r="L275" s="17" t="str">
        <f>IFERROR(INDEX('نقاط التحقق'!$G$2:$G$31,MATCH($K275,'نقاط التحقق'!$A$2:$A$31,0))&amp;"","")</f>
        <v>تفصيل القرارات ومصفوفة الصلاحيات واللجان ذات العلاقة لاعتماد مخرجات الوحدة التنظيمية</v>
      </c>
      <c r="M275" s="14" t="str">
        <f>IFERROR(INDEX('نقاط التحقق'!$H$2:$H$31,MATCH($K275,'نقاط التحقق'!$A$2:$A$31,0))&amp;"","")</f>
        <v/>
      </c>
      <c r="N275" s="13">
        <v>69</v>
      </c>
      <c r="O275" s="15" t="str">
        <f>IF($N275="","غير مقيّمة",IF($N275&gt;المرجع!$K$3,"مستوفاة بشكل متقدم",IF($N275&lt;=المرجع!$K$2,"مستوفاة بشكل أولي","مستوفاة بشكل جزئي")))</f>
        <v>مستوفاة بشكل جزئي</v>
      </c>
      <c r="P275" s="18" t="s">
        <v>2170</v>
      </c>
    </row>
    <row r="276" spans="1:16">
      <c r="A276" s="16" t="s">
        <v>660</v>
      </c>
      <c r="B276" s="16" t="s">
        <v>177</v>
      </c>
      <c r="C276" s="15" t="str">
        <f>IFERROR(INDEX('قائمة الوحدات'!$B$2:$B$41,MATCH($B276,'قائمة الوحدات'!$A$2:$A$41,0)),"")</f>
        <v>EXE</v>
      </c>
      <c r="D276" s="14" t="str">
        <f>IFERROR(INDEX('قائمة الوحدات'!$C$2:$C$41,MATCH($B276,'قائمة الوحدات'!$A$2:$A$41,0)),"")</f>
        <v>الشؤون التنفيذية</v>
      </c>
      <c r="E276" s="14" t="str">
        <f>IFERROR(INDEX('قائمة الوحدات'!$D$2:$D$41,MATCH($B276,'قائمة الوحدات'!$A$2:$A$41,0)),"")</f>
        <v>وكالة الخدمات المساندة</v>
      </c>
      <c r="F276" s="14" t="str">
        <f>IFERROR(INDEX('قائمة الوحدات'!$F$2:$F$41,MATCH($B276,'قائمة الوحدات'!$A$2:$A$41,0)),"")</f>
        <v>الإدارة العامة لتقنية المعلومات</v>
      </c>
      <c r="G276" s="16" t="s">
        <v>43</v>
      </c>
      <c r="H276" s="14" t="str">
        <f>IFERROR(INDEX(المرجع!$A$2:$A$19,MATCH($G276,المرجع!$B$2:$B$19,0)),"")</f>
        <v>التصميم</v>
      </c>
      <c r="I276" s="16" t="s">
        <v>54</v>
      </c>
      <c r="J276" s="14" t="str">
        <f>IFERROR(INDEX(المرجع!$D$2:$D$19,MATCH($I276,المرجع!$E$2:$E$19,0)),"")</f>
        <v>التنظيم</v>
      </c>
      <c r="K276" s="16" t="s">
        <v>80</v>
      </c>
      <c r="L276" s="17" t="str">
        <f>IFERROR(INDEX('نقاط التحقق'!$G$2:$G$31,MATCH($K276,'نقاط التحقق'!$A$2:$A$31,0))&amp;"","")</f>
        <v>تطوير الأدوار والمسؤوليات للوحدة التنظيمية وتفصيل الهيكل التنظيمي</v>
      </c>
      <c r="M276" s="14" t="str">
        <f>IFERROR(INDEX('نقاط التحقق'!$H$2:$H$31,MATCH($K276,'نقاط التحقق'!$A$2:$A$31,0))&amp;"","")</f>
        <v/>
      </c>
      <c r="N276" s="13">
        <v>71</v>
      </c>
      <c r="O276" s="15" t="str">
        <f>IF($N276="","غير مقيّمة",IF($N276&gt;المرجع!$K$3,"مستوفاة بشكل متقدم",IF($N276&lt;=المرجع!$K$2,"مستوفاة بشكل أولي","مستوفاة بشكل جزئي")))</f>
        <v>مستوفاة بشكل متقدم</v>
      </c>
      <c r="P276" s="18" t="s">
        <v>2170</v>
      </c>
    </row>
    <row r="277" spans="1:16">
      <c r="A277" s="16" t="s">
        <v>661</v>
      </c>
      <c r="B277" s="16" t="s">
        <v>177</v>
      </c>
      <c r="C277" s="15" t="str">
        <f>IFERROR(INDEX('قائمة الوحدات'!$B$2:$B$41,MATCH($B277,'قائمة الوحدات'!$A$2:$A$41,0)),"")</f>
        <v>EXE</v>
      </c>
      <c r="D277" s="14" t="str">
        <f>IFERROR(INDEX('قائمة الوحدات'!$C$2:$C$41,MATCH($B277,'قائمة الوحدات'!$A$2:$A$41,0)),"")</f>
        <v>الشؤون التنفيذية</v>
      </c>
      <c r="E277" s="14" t="str">
        <f>IFERROR(INDEX('قائمة الوحدات'!$D$2:$D$41,MATCH($B277,'قائمة الوحدات'!$A$2:$A$41,0)),"")</f>
        <v>وكالة الخدمات المساندة</v>
      </c>
      <c r="F277" s="14" t="str">
        <f>IFERROR(INDEX('قائمة الوحدات'!$F$2:$F$41,MATCH($B277,'قائمة الوحدات'!$A$2:$A$41,0)),"")</f>
        <v>الإدارة العامة لتقنية المعلومات</v>
      </c>
      <c r="G277" s="16" t="s">
        <v>43</v>
      </c>
      <c r="H277" s="14" t="str">
        <f>IFERROR(INDEX(المرجع!$A$2:$A$19,MATCH($G277,المرجع!$B$2:$B$19,0)),"")</f>
        <v>التصميم</v>
      </c>
      <c r="I277" s="16" t="s">
        <v>56</v>
      </c>
      <c r="J277" s="14" t="str">
        <f>IFERROR(INDEX(المرجع!$D$2:$D$19,MATCH($I277,المرجع!$E$2:$E$19,0)),"")</f>
        <v>الموارد</v>
      </c>
      <c r="K277" s="16" t="s">
        <v>82</v>
      </c>
      <c r="L277" s="17" t="str">
        <f>IFERROR(INDEX('نقاط التحقق'!$G$2:$G$31,MATCH($K277,'نقاط التحقق'!$A$2:$A$31,0))&amp;"","")</f>
        <v>تفصيل احتياج الموارد البشرية للوحدة التنظيمية</v>
      </c>
      <c r="M277" s="14" t="str">
        <f>IFERROR(INDEX('نقاط التحقق'!$H$2:$H$31,MATCH($K277,'نقاط التحقق'!$A$2:$A$31,0))&amp;"","")</f>
        <v/>
      </c>
      <c r="N277" s="13">
        <v>68</v>
      </c>
      <c r="O277" s="15" t="str">
        <f>IF($N277="","غير مقيّمة",IF($N277&gt;المرجع!$K$3,"مستوفاة بشكل متقدم",IF($N277&lt;=المرجع!$K$2,"مستوفاة بشكل أولي","مستوفاة بشكل جزئي")))</f>
        <v>مستوفاة بشكل جزئي</v>
      </c>
      <c r="P277" s="18" t="s">
        <v>2170</v>
      </c>
    </row>
    <row r="278" spans="1:16">
      <c r="A278" s="16" t="s">
        <v>662</v>
      </c>
      <c r="B278" s="16" t="s">
        <v>177</v>
      </c>
      <c r="C278" s="15" t="str">
        <f>IFERROR(INDEX('قائمة الوحدات'!$B$2:$B$41,MATCH($B278,'قائمة الوحدات'!$A$2:$A$41,0)),"")</f>
        <v>EXE</v>
      </c>
      <c r="D278" s="14" t="str">
        <f>IFERROR(INDEX('قائمة الوحدات'!$C$2:$C$41,MATCH($B278,'قائمة الوحدات'!$A$2:$A$41,0)),"")</f>
        <v>الشؤون التنفيذية</v>
      </c>
      <c r="E278" s="14" t="str">
        <f>IFERROR(INDEX('قائمة الوحدات'!$D$2:$D$41,MATCH($B278,'قائمة الوحدات'!$A$2:$A$41,0)),"")</f>
        <v>وكالة الخدمات المساندة</v>
      </c>
      <c r="F278" s="14" t="str">
        <f>IFERROR(INDEX('قائمة الوحدات'!$F$2:$F$41,MATCH($B278,'قائمة الوحدات'!$A$2:$A$41,0)),"")</f>
        <v>الإدارة العامة لتقنية المعلومات</v>
      </c>
      <c r="G278" s="16" t="s">
        <v>43</v>
      </c>
      <c r="H278" s="14" t="str">
        <f>IFERROR(INDEX(المرجع!$A$2:$A$19,MATCH($G278,المرجع!$B$2:$B$19,0)),"")</f>
        <v>التصميم</v>
      </c>
      <c r="I278" s="16" t="s">
        <v>59</v>
      </c>
      <c r="J278" s="14" t="str">
        <f>IFERROR(INDEX(المرجع!$D$2:$D$19,MATCH($I278,المرجع!$E$2:$E$19,0)),"")</f>
        <v>الإجراءات</v>
      </c>
      <c r="K278" s="16" t="s">
        <v>84</v>
      </c>
      <c r="L278" s="17" t="str">
        <f>IFERROR(INDEX('نقاط التحقق'!$G$2:$G$31,MATCH($K278,'نقاط التحقق'!$A$2:$A$31,0))&amp;"","")</f>
        <v>تفصيل المخرجات إلى إجراءات عالية المستوى</v>
      </c>
      <c r="M278" s="14" t="str">
        <f>IFERROR(INDEX('نقاط التحقق'!$H$2:$H$31,MATCH($K278,'نقاط التحقق'!$A$2:$A$31,0))&amp;"","")</f>
        <v/>
      </c>
      <c r="N278" s="13">
        <v>77</v>
      </c>
      <c r="O278" s="15" t="str">
        <f>IF($N278="","غير مقيّمة",IF($N278&gt;المرجع!$K$3,"مستوفاة بشكل متقدم",IF($N278&lt;=المرجع!$K$2,"مستوفاة بشكل أولي","مستوفاة بشكل جزئي")))</f>
        <v>مستوفاة بشكل متقدم</v>
      </c>
      <c r="P278" s="18" t="s">
        <v>2170</v>
      </c>
    </row>
    <row r="279" spans="1:16">
      <c r="A279" s="16" t="s">
        <v>663</v>
      </c>
      <c r="B279" s="16" t="s">
        <v>177</v>
      </c>
      <c r="C279" s="15" t="str">
        <f>IFERROR(INDEX('قائمة الوحدات'!$B$2:$B$41,MATCH($B279,'قائمة الوحدات'!$A$2:$A$41,0)),"")</f>
        <v>EXE</v>
      </c>
      <c r="D279" s="14" t="str">
        <f>IFERROR(INDEX('قائمة الوحدات'!$C$2:$C$41,MATCH($B279,'قائمة الوحدات'!$A$2:$A$41,0)),"")</f>
        <v>الشؤون التنفيذية</v>
      </c>
      <c r="E279" s="14" t="str">
        <f>IFERROR(INDEX('قائمة الوحدات'!$D$2:$D$41,MATCH($B279,'قائمة الوحدات'!$A$2:$A$41,0)),"")</f>
        <v>وكالة الخدمات المساندة</v>
      </c>
      <c r="F279" s="14" t="str">
        <f>IFERROR(INDEX('قائمة الوحدات'!$F$2:$F$41,MATCH($B279,'قائمة الوحدات'!$A$2:$A$41,0)),"")</f>
        <v>الإدارة العامة لتقنية المعلومات</v>
      </c>
      <c r="G279" s="16" t="s">
        <v>61</v>
      </c>
      <c r="H279" s="14" t="str">
        <f>IFERROR(INDEX(المرجع!$A$2:$A$19,MATCH($G279,المرجع!$B$2:$B$19,0)),"")</f>
        <v>البناء المؤسسي</v>
      </c>
      <c r="I279" s="16" t="s">
        <v>45</v>
      </c>
      <c r="J279" s="14" t="str">
        <f>IFERROR(INDEX(المرجع!$D$2:$D$19,MATCH($I279,المرجع!$E$2:$E$19,0)),"")</f>
        <v>الدور</v>
      </c>
      <c r="K279" s="16" t="s">
        <v>86</v>
      </c>
      <c r="L279" s="17" t="str">
        <f>IFERROR(INDEX('نقاط التحقق'!$G$2:$G$31,MATCH($K279,'نقاط التحقق'!$A$2:$A$31,0))&amp;"","")</f>
        <v>دور معتمد للوحدة التنظيمية</v>
      </c>
      <c r="M279" s="14" t="str">
        <f>IFERROR(INDEX('نقاط التحقق'!$H$2:$H$31,MATCH($K279,'نقاط التحقق'!$A$2:$A$31,0))&amp;"","")</f>
        <v/>
      </c>
      <c r="N279" s="13">
        <v>58</v>
      </c>
      <c r="O279" s="15" t="str">
        <f>IF($N279="","غير مقيّمة",IF($N279&gt;المرجع!$K$3,"مستوفاة بشكل متقدم",IF($N279&lt;=المرجع!$K$2,"مستوفاة بشكل أولي","مستوفاة بشكل جزئي")))</f>
        <v>مستوفاة بشكل جزئي</v>
      </c>
      <c r="P279" s="18" t="s">
        <v>2170</v>
      </c>
    </row>
    <row r="280" spans="1:16">
      <c r="A280" s="16" t="s">
        <v>664</v>
      </c>
      <c r="B280" s="16" t="s">
        <v>177</v>
      </c>
      <c r="C280" s="15" t="str">
        <f>IFERROR(INDEX('قائمة الوحدات'!$B$2:$B$41,MATCH($B280,'قائمة الوحدات'!$A$2:$A$41,0)),"")</f>
        <v>EXE</v>
      </c>
      <c r="D280" s="14" t="str">
        <f>IFERROR(INDEX('قائمة الوحدات'!$C$2:$C$41,MATCH($B280,'قائمة الوحدات'!$A$2:$A$41,0)),"")</f>
        <v>الشؤون التنفيذية</v>
      </c>
      <c r="E280" s="14" t="str">
        <f>IFERROR(INDEX('قائمة الوحدات'!$D$2:$D$41,MATCH($B280,'قائمة الوحدات'!$A$2:$A$41,0)),"")</f>
        <v>وكالة الخدمات المساندة</v>
      </c>
      <c r="F280" s="14" t="str">
        <f>IFERROR(INDEX('قائمة الوحدات'!$F$2:$F$41,MATCH($B280,'قائمة الوحدات'!$A$2:$A$41,0)),"")</f>
        <v>الإدارة العامة لتقنية المعلومات</v>
      </c>
      <c r="G280" s="16" t="s">
        <v>61</v>
      </c>
      <c r="H280" s="14" t="str">
        <f>IFERROR(INDEX(المرجع!$A$2:$A$19,MATCH($G280,المرجع!$B$2:$B$19,0)),"")</f>
        <v>البناء المؤسسي</v>
      </c>
      <c r="I280" s="16" t="s">
        <v>48</v>
      </c>
      <c r="J280" s="14" t="str">
        <f>IFERROR(INDEX(المرجع!$D$2:$D$19,MATCH($I280,المرجع!$E$2:$E$19,0)),"")</f>
        <v>الأهداف ومؤشرات الأداء</v>
      </c>
      <c r="K280" s="16" t="s">
        <v>88</v>
      </c>
      <c r="L280" s="17" t="str">
        <f>IFERROR(INDEX('نقاط التحقق'!$G$2:$G$31,MATCH($K280,'نقاط التحقق'!$A$2:$A$31,0))&amp;"","")</f>
        <v>أهداف تشغيلية معتمدة من صاحب الصلاحية</v>
      </c>
      <c r="M280" s="14" t="str">
        <f>IFERROR(INDEX('نقاط التحقق'!$H$2:$H$31,MATCH($K280,'نقاط التحقق'!$A$2:$A$31,0))&amp;"","")</f>
        <v/>
      </c>
      <c r="N280" s="13">
        <v>80</v>
      </c>
      <c r="O280" s="15" t="str">
        <f>IF($N280="","غير مقيّمة",IF($N280&gt;المرجع!$K$3,"مستوفاة بشكل متقدم",IF($N280&lt;=المرجع!$K$2,"مستوفاة بشكل أولي","مستوفاة بشكل جزئي")))</f>
        <v>مستوفاة بشكل متقدم</v>
      </c>
      <c r="P280" s="18" t="s">
        <v>2170</v>
      </c>
    </row>
    <row r="281" spans="1:16">
      <c r="A281" s="16" t="s">
        <v>665</v>
      </c>
      <c r="B281" s="16" t="s">
        <v>177</v>
      </c>
      <c r="C281" s="15" t="str">
        <f>IFERROR(INDEX('قائمة الوحدات'!$B$2:$B$41,MATCH($B281,'قائمة الوحدات'!$A$2:$A$41,0)),"")</f>
        <v>EXE</v>
      </c>
      <c r="D281" s="14" t="str">
        <f>IFERROR(INDEX('قائمة الوحدات'!$C$2:$C$41,MATCH($B281,'قائمة الوحدات'!$A$2:$A$41,0)),"")</f>
        <v>الشؤون التنفيذية</v>
      </c>
      <c r="E281" s="14" t="str">
        <f>IFERROR(INDEX('قائمة الوحدات'!$D$2:$D$41,MATCH($B281,'قائمة الوحدات'!$A$2:$A$41,0)),"")</f>
        <v>وكالة الخدمات المساندة</v>
      </c>
      <c r="F281" s="14" t="str">
        <f>IFERROR(INDEX('قائمة الوحدات'!$F$2:$F$41,MATCH($B281,'قائمة الوحدات'!$A$2:$A$41,0)),"")</f>
        <v>الإدارة العامة لتقنية المعلومات</v>
      </c>
      <c r="G281" s="16" t="s">
        <v>61</v>
      </c>
      <c r="H281" s="14" t="str">
        <f>IFERROR(INDEX(المرجع!$A$2:$A$19,MATCH($G281,المرجع!$B$2:$B$19,0)),"")</f>
        <v>البناء المؤسسي</v>
      </c>
      <c r="I281" s="16" t="s">
        <v>48</v>
      </c>
      <c r="J281" s="14" t="str">
        <f>IFERROR(INDEX(المرجع!$D$2:$D$19,MATCH($I281,المرجع!$E$2:$E$19,0)),"")</f>
        <v>الأهداف ومؤشرات الأداء</v>
      </c>
      <c r="K281" s="16" t="s">
        <v>90</v>
      </c>
      <c r="L281" s="17" t="str">
        <f>IFERROR(INDEX('نقاط التحقق'!$G$2:$G$31,MATCH($K281,'نقاط التحقق'!$A$2:$A$31,0))&amp;"","")</f>
        <v>نشر الأهداف التشغيلية على موظفي الوحدة التنظيمية</v>
      </c>
      <c r="M281" s="14" t="str">
        <f>IFERROR(INDEX('نقاط التحقق'!$H$2:$H$31,MATCH($K281,'نقاط التحقق'!$A$2:$A$31,0))&amp;"","")</f>
        <v/>
      </c>
      <c r="N281" s="13">
        <v>70</v>
      </c>
      <c r="O281" s="15" t="str">
        <f>IF($N281="","غير مقيّمة",IF($N281&gt;المرجع!$K$3,"مستوفاة بشكل متقدم",IF($N281&lt;=المرجع!$K$2,"مستوفاة بشكل أولي","مستوفاة بشكل جزئي")))</f>
        <v>مستوفاة بشكل جزئي</v>
      </c>
      <c r="P281" s="18" t="s">
        <v>2170</v>
      </c>
    </row>
    <row r="282" spans="1:16">
      <c r="A282" s="16" t="s">
        <v>666</v>
      </c>
      <c r="B282" s="16" t="s">
        <v>177</v>
      </c>
      <c r="C282" s="15" t="str">
        <f>IFERROR(INDEX('قائمة الوحدات'!$B$2:$B$41,MATCH($B282,'قائمة الوحدات'!$A$2:$A$41,0)),"")</f>
        <v>EXE</v>
      </c>
      <c r="D282" s="14" t="str">
        <f>IFERROR(INDEX('قائمة الوحدات'!$C$2:$C$41,MATCH($B282,'قائمة الوحدات'!$A$2:$A$41,0)),"")</f>
        <v>الشؤون التنفيذية</v>
      </c>
      <c r="E282" s="14" t="str">
        <f>IFERROR(INDEX('قائمة الوحدات'!$D$2:$D$41,MATCH($B282,'قائمة الوحدات'!$A$2:$A$41,0)),"")</f>
        <v>وكالة الخدمات المساندة</v>
      </c>
      <c r="F282" s="14" t="str">
        <f>IFERROR(INDEX('قائمة الوحدات'!$F$2:$F$41,MATCH($B282,'قائمة الوحدات'!$A$2:$A$41,0)),"")</f>
        <v>الإدارة العامة لتقنية المعلومات</v>
      </c>
      <c r="G282" s="16" t="s">
        <v>61</v>
      </c>
      <c r="H282" s="14" t="str">
        <f>IFERROR(INDEX(المرجع!$A$2:$A$19,MATCH($G282,المرجع!$B$2:$B$19,0)),"")</f>
        <v>البناء المؤسسي</v>
      </c>
      <c r="I282" s="16" t="s">
        <v>51</v>
      </c>
      <c r="J282" s="14" t="str">
        <f>IFERROR(INDEX(المرجع!$D$2:$D$19,MATCH($I282,المرجع!$E$2:$E$19,0)),"")</f>
        <v>الحوكمة</v>
      </c>
      <c r="K282" s="16" t="s">
        <v>92</v>
      </c>
      <c r="L282" s="17" t="str">
        <f>IFERROR(INDEX('نقاط التحقق'!$G$2:$G$31,MATCH($K282,'نقاط التحقق'!$A$2:$A$31,0))&amp;"","")</f>
        <v>مصفوفة صلاحيات معتمدة ومعممة على أصحاب المصلحة</v>
      </c>
      <c r="M282" s="14" t="str">
        <f>IFERROR(INDEX('نقاط التحقق'!$H$2:$H$31,MATCH($K282,'نقاط التحقق'!$A$2:$A$31,0))&amp;"","")</f>
        <v/>
      </c>
      <c r="N282" s="13">
        <v>35</v>
      </c>
      <c r="O282" s="15" t="str">
        <f>IF($N282="","غير مقيّمة",IF($N282&gt;المرجع!$K$3,"مستوفاة بشكل متقدم",IF($N282&lt;=المرجع!$K$2,"مستوفاة بشكل أولي","مستوفاة بشكل جزئي")))</f>
        <v>مستوفاة بشكل جزئي</v>
      </c>
      <c r="P282" s="18" t="s">
        <v>2170</v>
      </c>
    </row>
    <row r="283" spans="1:16">
      <c r="A283" s="16" t="s">
        <v>667</v>
      </c>
      <c r="B283" s="16" t="s">
        <v>177</v>
      </c>
      <c r="C283" s="15" t="str">
        <f>IFERROR(INDEX('قائمة الوحدات'!$B$2:$B$41,MATCH($B283,'قائمة الوحدات'!$A$2:$A$41,0)),"")</f>
        <v>EXE</v>
      </c>
      <c r="D283" s="14" t="str">
        <f>IFERROR(INDEX('قائمة الوحدات'!$C$2:$C$41,MATCH($B283,'قائمة الوحدات'!$A$2:$A$41,0)),"")</f>
        <v>الشؤون التنفيذية</v>
      </c>
      <c r="E283" s="14" t="str">
        <f>IFERROR(INDEX('قائمة الوحدات'!$D$2:$D$41,MATCH($B283,'قائمة الوحدات'!$A$2:$A$41,0)),"")</f>
        <v>وكالة الخدمات المساندة</v>
      </c>
      <c r="F283" s="14" t="str">
        <f>IFERROR(INDEX('قائمة الوحدات'!$F$2:$F$41,MATCH($B283,'قائمة الوحدات'!$A$2:$A$41,0)),"")</f>
        <v>الإدارة العامة لتقنية المعلومات</v>
      </c>
      <c r="G283" s="16" t="s">
        <v>61</v>
      </c>
      <c r="H283" s="14" t="str">
        <f>IFERROR(INDEX(المرجع!$A$2:$A$19,MATCH($G283,المرجع!$B$2:$B$19,0)),"")</f>
        <v>البناء المؤسسي</v>
      </c>
      <c r="I283" s="16" t="s">
        <v>51</v>
      </c>
      <c r="J283" s="14" t="str">
        <f>IFERROR(INDEX(المرجع!$D$2:$D$19,MATCH($I283,المرجع!$E$2:$E$19,0)),"")</f>
        <v>الحوكمة</v>
      </c>
      <c r="K283" s="16" t="s">
        <v>94</v>
      </c>
      <c r="L283" s="17" t="str">
        <f>IFERROR(INDEX('نقاط التحقق'!$G$2:$G$31,MATCH($K283,'نقاط التحقق'!$A$2:$A$31,0))&amp;"","")</f>
        <v>سياسات معتمدة للتي تملكها الوحدة التنظيمية</v>
      </c>
      <c r="M283" s="14" t="str">
        <f>IFERROR(INDEX('نقاط التحقق'!$H$2:$H$31,MATCH($K283,'نقاط التحقق'!$A$2:$A$31,0))&amp;"","")</f>
        <v/>
      </c>
      <c r="N283" s="13">
        <v>45</v>
      </c>
      <c r="O283" s="15" t="str">
        <f>IF($N283="","غير مقيّمة",IF($N283&gt;المرجع!$K$3,"مستوفاة بشكل متقدم",IF($N283&lt;=المرجع!$K$2,"مستوفاة بشكل أولي","مستوفاة بشكل جزئي")))</f>
        <v>مستوفاة بشكل جزئي</v>
      </c>
      <c r="P283" s="18" t="s">
        <v>2170</v>
      </c>
    </row>
    <row r="284" spans="1:16">
      <c r="A284" s="16" t="s">
        <v>668</v>
      </c>
      <c r="B284" s="16" t="s">
        <v>177</v>
      </c>
      <c r="C284" s="15" t="str">
        <f>IFERROR(INDEX('قائمة الوحدات'!$B$2:$B$41,MATCH($B284,'قائمة الوحدات'!$A$2:$A$41,0)),"")</f>
        <v>EXE</v>
      </c>
      <c r="D284" s="14" t="str">
        <f>IFERROR(INDEX('قائمة الوحدات'!$C$2:$C$41,MATCH($B284,'قائمة الوحدات'!$A$2:$A$41,0)),"")</f>
        <v>الشؤون التنفيذية</v>
      </c>
      <c r="E284" s="14" t="str">
        <f>IFERROR(INDEX('قائمة الوحدات'!$D$2:$D$41,MATCH($B284,'قائمة الوحدات'!$A$2:$A$41,0)),"")</f>
        <v>وكالة الخدمات المساندة</v>
      </c>
      <c r="F284" s="14" t="str">
        <f>IFERROR(INDEX('قائمة الوحدات'!$F$2:$F$41,MATCH($B284,'قائمة الوحدات'!$A$2:$A$41,0)),"")</f>
        <v>الإدارة العامة لتقنية المعلومات</v>
      </c>
      <c r="G284" s="16" t="s">
        <v>61</v>
      </c>
      <c r="H284" s="14" t="str">
        <f>IFERROR(INDEX(المرجع!$A$2:$A$19,MATCH($G284,المرجع!$B$2:$B$19,0)),"")</f>
        <v>البناء المؤسسي</v>
      </c>
      <c r="I284" s="16" t="s">
        <v>51</v>
      </c>
      <c r="J284" s="14" t="str">
        <f>IFERROR(INDEX(المرجع!$D$2:$D$19,MATCH($I284,المرجع!$E$2:$E$19,0)),"")</f>
        <v>الحوكمة</v>
      </c>
      <c r="K284" s="16" t="s">
        <v>96</v>
      </c>
      <c r="L284" s="17" t="str">
        <f>IFERROR(INDEX('نقاط التحقق'!$G$2:$G$31,MATCH($K284,'نقاط التحقق'!$A$2:$A$31,0))&amp;"","")</f>
        <v>قرار تشكيل معتمد للجان ذات العلاقة</v>
      </c>
      <c r="M284" s="14" t="str">
        <f>IFERROR(INDEX('نقاط التحقق'!$H$2:$H$31,MATCH($K284,'نقاط التحقق'!$A$2:$A$31,0))&amp;"","")</f>
        <v/>
      </c>
      <c r="N284" s="13">
        <v>65</v>
      </c>
      <c r="O284" s="15" t="str">
        <f>IF($N284="","غير مقيّمة",IF($N284&gt;المرجع!$K$3,"مستوفاة بشكل متقدم",IF($N284&lt;=المرجع!$K$2,"مستوفاة بشكل أولي","مستوفاة بشكل جزئي")))</f>
        <v>مستوفاة بشكل جزئي</v>
      </c>
      <c r="P284" s="18" t="s">
        <v>2170</v>
      </c>
    </row>
    <row r="285" spans="1:16">
      <c r="A285" s="16" t="s">
        <v>669</v>
      </c>
      <c r="B285" s="16" t="s">
        <v>177</v>
      </c>
      <c r="C285" s="15" t="str">
        <f>IFERROR(INDEX('قائمة الوحدات'!$B$2:$B$41,MATCH($B285,'قائمة الوحدات'!$A$2:$A$41,0)),"")</f>
        <v>EXE</v>
      </c>
      <c r="D285" s="14" t="str">
        <f>IFERROR(INDEX('قائمة الوحدات'!$C$2:$C$41,MATCH($B285,'قائمة الوحدات'!$A$2:$A$41,0)),"")</f>
        <v>الشؤون التنفيذية</v>
      </c>
      <c r="E285" s="14" t="str">
        <f>IFERROR(INDEX('قائمة الوحدات'!$D$2:$D$41,MATCH($B285,'قائمة الوحدات'!$A$2:$A$41,0)),"")</f>
        <v>وكالة الخدمات المساندة</v>
      </c>
      <c r="F285" s="14" t="str">
        <f>IFERROR(INDEX('قائمة الوحدات'!$F$2:$F$41,MATCH($B285,'قائمة الوحدات'!$A$2:$A$41,0)),"")</f>
        <v>الإدارة العامة لتقنية المعلومات</v>
      </c>
      <c r="G285" s="16" t="s">
        <v>61</v>
      </c>
      <c r="H285" s="14" t="str">
        <f>IFERROR(INDEX(المرجع!$A$2:$A$19,MATCH($G285,المرجع!$B$2:$B$19,0)),"")</f>
        <v>البناء المؤسسي</v>
      </c>
      <c r="I285" s="16" t="s">
        <v>54</v>
      </c>
      <c r="J285" s="14" t="str">
        <f>IFERROR(INDEX(المرجع!$D$2:$D$19,MATCH($I285,المرجع!$E$2:$E$19,0)),"")</f>
        <v>التنظيم</v>
      </c>
      <c r="K285" s="16" t="s">
        <v>98</v>
      </c>
      <c r="L285" s="17" t="str">
        <f>IFERROR(INDEX('نقاط التحقق'!$G$2:$G$31,MATCH($K285,'نقاط التحقق'!$A$2:$A$31,0))&amp;"","")</f>
        <v>هيكل تنظيمي معتمد من صاحب الصلاحية</v>
      </c>
      <c r="M285" s="14" t="str">
        <f>IFERROR(INDEX('نقاط التحقق'!$H$2:$H$31,MATCH($K285,'نقاط التحقق'!$A$2:$A$31,0))&amp;"","")</f>
        <v/>
      </c>
      <c r="N285" s="13">
        <v>50</v>
      </c>
      <c r="O285" s="15" t="str">
        <f>IF($N285="","غير مقيّمة",IF($N285&gt;المرجع!$K$3,"مستوفاة بشكل متقدم",IF($N285&lt;=المرجع!$K$2,"مستوفاة بشكل أولي","مستوفاة بشكل جزئي")))</f>
        <v>مستوفاة بشكل جزئي</v>
      </c>
      <c r="P285" s="18" t="s">
        <v>2170</v>
      </c>
    </row>
    <row r="286" spans="1:16">
      <c r="A286" s="16" t="s">
        <v>670</v>
      </c>
      <c r="B286" s="16" t="s">
        <v>177</v>
      </c>
      <c r="C286" s="15" t="str">
        <f>IFERROR(INDEX('قائمة الوحدات'!$B$2:$B$41,MATCH($B286,'قائمة الوحدات'!$A$2:$A$41,0)),"")</f>
        <v>EXE</v>
      </c>
      <c r="D286" s="14" t="str">
        <f>IFERROR(INDEX('قائمة الوحدات'!$C$2:$C$41,MATCH($B286,'قائمة الوحدات'!$A$2:$A$41,0)),"")</f>
        <v>الشؤون التنفيذية</v>
      </c>
      <c r="E286" s="14" t="str">
        <f>IFERROR(INDEX('قائمة الوحدات'!$D$2:$D$41,MATCH($B286,'قائمة الوحدات'!$A$2:$A$41,0)),"")</f>
        <v>وكالة الخدمات المساندة</v>
      </c>
      <c r="F286" s="14" t="str">
        <f>IFERROR(INDEX('قائمة الوحدات'!$F$2:$F$41,MATCH($B286,'قائمة الوحدات'!$A$2:$A$41,0)),"")</f>
        <v>الإدارة العامة لتقنية المعلومات</v>
      </c>
      <c r="G286" s="16" t="s">
        <v>61</v>
      </c>
      <c r="H286" s="14" t="str">
        <f>IFERROR(INDEX(المرجع!$A$2:$A$19,MATCH($G286,المرجع!$B$2:$B$19,0)),"")</f>
        <v>البناء المؤسسي</v>
      </c>
      <c r="I286" s="16" t="s">
        <v>54</v>
      </c>
      <c r="J286" s="14" t="str">
        <f>IFERROR(INDEX(المرجع!$D$2:$D$19,MATCH($I286,المرجع!$E$2:$E$19,0)),"")</f>
        <v>التنظيم</v>
      </c>
      <c r="K286" s="16" t="s">
        <v>100</v>
      </c>
      <c r="L286" s="17" t="str">
        <f>IFERROR(INDEX('نقاط التحقق'!$G$2:$G$31,MATCH($K286,'نقاط التحقق'!$A$2:$A$31,0))&amp;"","")</f>
        <v>هيكل تنظيمي منشأ على نظام القوى العاملة</v>
      </c>
      <c r="M286" s="14" t="str">
        <f>IFERROR(INDEX('نقاط التحقق'!$H$2:$H$31,MATCH($K286,'نقاط التحقق'!$A$2:$A$31,0))&amp;"","")</f>
        <v/>
      </c>
      <c r="N286" s="13">
        <v>40</v>
      </c>
      <c r="O286" s="15" t="str">
        <f>IF($N286="","غير مقيّمة",IF($N286&gt;المرجع!$K$3,"مستوفاة بشكل متقدم",IF($N286&lt;=المرجع!$K$2,"مستوفاة بشكل أولي","مستوفاة بشكل جزئي")))</f>
        <v>مستوفاة بشكل جزئي</v>
      </c>
      <c r="P286" s="18" t="s">
        <v>2170</v>
      </c>
    </row>
    <row r="287" spans="1:16">
      <c r="A287" s="16" t="s">
        <v>671</v>
      </c>
      <c r="B287" s="16" t="s">
        <v>177</v>
      </c>
      <c r="C287" s="15" t="str">
        <f>IFERROR(INDEX('قائمة الوحدات'!$B$2:$B$41,MATCH($B287,'قائمة الوحدات'!$A$2:$A$41,0)),"")</f>
        <v>EXE</v>
      </c>
      <c r="D287" s="14" t="str">
        <f>IFERROR(INDEX('قائمة الوحدات'!$C$2:$C$41,MATCH($B287,'قائمة الوحدات'!$A$2:$A$41,0)),"")</f>
        <v>الشؤون التنفيذية</v>
      </c>
      <c r="E287" s="14" t="str">
        <f>IFERROR(INDEX('قائمة الوحدات'!$D$2:$D$41,MATCH($B287,'قائمة الوحدات'!$A$2:$A$41,0)),"")</f>
        <v>وكالة الخدمات المساندة</v>
      </c>
      <c r="F287" s="14" t="str">
        <f>IFERROR(INDEX('قائمة الوحدات'!$F$2:$F$41,MATCH($B287,'قائمة الوحدات'!$A$2:$A$41,0)),"")</f>
        <v>الإدارة العامة لتقنية المعلومات</v>
      </c>
      <c r="G287" s="16" t="s">
        <v>61</v>
      </c>
      <c r="H287" s="14" t="str">
        <f>IFERROR(INDEX(المرجع!$A$2:$A$19,MATCH($G287,المرجع!$B$2:$B$19,0)),"")</f>
        <v>البناء المؤسسي</v>
      </c>
      <c r="I287" s="16" t="s">
        <v>54</v>
      </c>
      <c r="J287" s="14" t="str">
        <f>IFERROR(INDEX(المرجع!$D$2:$D$19,MATCH($I287,المرجع!$E$2:$E$19,0)),"")</f>
        <v>التنظيم</v>
      </c>
      <c r="K287" s="16" t="s">
        <v>102</v>
      </c>
      <c r="L287" s="17" t="str">
        <f>IFERROR(INDEX('نقاط التحقق'!$G$2:$G$31,MATCH($K287,'نقاط التحقق'!$A$2:$A$31,0))&amp;"","")</f>
        <v>الموظفون المحددون مسكّنون على الهيكل التنظيمي المستهدف</v>
      </c>
      <c r="M287" s="14" t="str">
        <f>IFERROR(INDEX('نقاط التحقق'!$H$2:$H$31,MATCH($K287,'نقاط التحقق'!$A$2:$A$31,0))&amp;"","")</f>
        <v/>
      </c>
      <c r="N287" s="13">
        <v>35</v>
      </c>
      <c r="O287" s="15" t="str">
        <f>IF($N287="","غير مقيّمة",IF($N287&gt;المرجع!$K$3,"مستوفاة بشكل متقدم",IF($N287&lt;=المرجع!$K$2,"مستوفاة بشكل أولي","مستوفاة بشكل جزئي")))</f>
        <v>مستوفاة بشكل جزئي</v>
      </c>
      <c r="P287" s="18" t="s">
        <v>2170</v>
      </c>
    </row>
    <row r="288" spans="1:16">
      <c r="A288" s="16" t="s">
        <v>672</v>
      </c>
      <c r="B288" s="16" t="s">
        <v>177</v>
      </c>
      <c r="C288" s="15" t="str">
        <f>IFERROR(INDEX('قائمة الوحدات'!$B$2:$B$41,MATCH($B288,'قائمة الوحدات'!$A$2:$A$41,0)),"")</f>
        <v>EXE</v>
      </c>
      <c r="D288" s="14" t="str">
        <f>IFERROR(INDEX('قائمة الوحدات'!$C$2:$C$41,MATCH($B288,'قائمة الوحدات'!$A$2:$A$41,0)),"")</f>
        <v>الشؤون التنفيذية</v>
      </c>
      <c r="E288" s="14" t="str">
        <f>IFERROR(INDEX('قائمة الوحدات'!$D$2:$D$41,MATCH($B288,'قائمة الوحدات'!$A$2:$A$41,0)),"")</f>
        <v>وكالة الخدمات المساندة</v>
      </c>
      <c r="F288" s="14" t="str">
        <f>IFERROR(INDEX('قائمة الوحدات'!$F$2:$F$41,MATCH($B288,'قائمة الوحدات'!$A$2:$A$41,0)),"")</f>
        <v>الإدارة العامة لتقنية المعلومات</v>
      </c>
      <c r="G288" s="16" t="s">
        <v>61</v>
      </c>
      <c r="H288" s="14" t="str">
        <f>IFERROR(INDEX(المرجع!$A$2:$A$19,MATCH($G288,المرجع!$B$2:$B$19,0)),"")</f>
        <v>البناء المؤسسي</v>
      </c>
      <c r="I288" s="16" t="s">
        <v>56</v>
      </c>
      <c r="J288" s="14" t="str">
        <f>IFERROR(INDEX(المرجع!$D$2:$D$19,MATCH($I288,المرجع!$E$2:$E$19,0)),"")</f>
        <v>الموارد</v>
      </c>
      <c r="K288" s="16" t="s">
        <v>104</v>
      </c>
      <c r="L288" s="17" t="str">
        <f>IFERROR(INDEX('نقاط التحقق'!$G$2:$G$31,MATCH($K288,'نقاط التحقق'!$A$2:$A$31,0))&amp;"","")</f>
        <v>مدير الوحدة التنظيمية والموظفون الرئيسيون معينون/ملحقون</v>
      </c>
      <c r="M288" s="14" t="str">
        <f>IFERROR(INDEX('نقاط التحقق'!$H$2:$H$31,MATCH($K288,'نقاط التحقق'!$A$2:$A$31,0))&amp;"","")</f>
        <v/>
      </c>
      <c r="N288" s="13">
        <v>75</v>
      </c>
      <c r="O288" s="15" t="str">
        <f>IF($N288="","غير مقيّمة",IF($N288&gt;المرجع!$K$3,"مستوفاة بشكل متقدم",IF($N288&lt;=المرجع!$K$2,"مستوفاة بشكل أولي","مستوفاة بشكل جزئي")))</f>
        <v>مستوفاة بشكل متقدم</v>
      </c>
      <c r="P288" s="18" t="s">
        <v>2170</v>
      </c>
    </row>
    <row r="289" spans="1:16">
      <c r="A289" s="16" t="s">
        <v>673</v>
      </c>
      <c r="B289" s="16" t="s">
        <v>177</v>
      </c>
      <c r="C289" s="15" t="str">
        <f>IFERROR(INDEX('قائمة الوحدات'!$B$2:$B$41,MATCH($B289,'قائمة الوحدات'!$A$2:$A$41,0)),"")</f>
        <v>EXE</v>
      </c>
      <c r="D289" s="14" t="str">
        <f>IFERROR(INDEX('قائمة الوحدات'!$C$2:$C$41,MATCH($B289,'قائمة الوحدات'!$A$2:$A$41,0)),"")</f>
        <v>الشؤون التنفيذية</v>
      </c>
      <c r="E289" s="14" t="str">
        <f>IFERROR(INDEX('قائمة الوحدات'!$D$2:$D$41,MATCH($B289,'قائمة الوحدات'!$A$2:$A$41,0)),"")</f>
        <v>وكالة الخدمات المساندة</v>
      </c>
      <c r="F289" s="14" t="str">
        <f>IFERROR(INDEX('قائمة الوحدات'!$F$2:$F$41,MATCH($B289,'قائمة الوحدات'!$A$2:$A$41,0)),"")</f>
        <v>الإدارة العامة لتقنية المعلومات</v>
      </c>
      <c r="G289" s="16" t="s">
        <v>61</v>
      </c>
      <c r="H289" s="14" t="str">
        <f>IFERROR(INDEX(المرجع!$A$2:$A$19,MATCH($G289,المرجع!$B$2:$B$19,0)),"")</f>
        <v>البناء المؤسسي</v>
      </c>
      <c r="I289" s="16" t="s">
        <v>56</v>
      </c>
      <c r="J289" s="14" t="str">
        <f>IFERROR(INDEX(المرجع!$D$2:$D$19,MATCH($I289,المرجع!$E$2:$E$19,0)),"")</f>
        <v>الموارد</v>
      </c>
      <c r="K289" s="16" t="s">
        <v>106</v>
      </c>
      <c r="L289" s="17" t="str">
        <f>IFERROR(INDEX('نقاط التحقق'!$G$2:$G$31,MATCH($K289,'نقاط التحقق'!$A$2:$A$31,0))&amp;"","")</f>
        <v>خطة توظيف وتدريب مستكملة</v>
      </c>
      <c r="M289" s="14" t="str">
        <f>IFERROR(INDEX('نقاط التحقق'!$H$2:$H$31,MATCH($K289,'نقاط التحقق'!$A$2:$A$31,0))&amp;"","")</f>
        <v/>
      </c>
      <c r="N289" s="13">
        <v>90</v>
      </c>
      <c r="O289" s="15" t="str">
        <f>IF($N289="","غير مقيّمة",IF($N289&gt;المرجع!$K$3,"مستوفاة بشكل متقدم",IF($N289&lt;=المرجع!$K$2,"مستوفاة بشكل أولي","مستوفاة بشكل جزئي")))</f>
        <v>مستوفاة بشكل متقدم</v>
      </c>
      <c r="P289" s="18" t="s">
        <v>2170</v>
      </c>
    </row>
    <row r="290" spans="1:16">
      <c r="A290" s="16" t="s">
        <v>674</v>
      </c>
      <c r="B290" s="16" t="s">
        <v>177</v>
      </c>
      <c r="C290" s="15" t="str">
        <f>IFERROR(INDEX('قائمة الوحدات'!$B$2:$B$41,MATCH($B290,'قائمة الوحدات'!$A$2:$A$41,0)),"")</f>
        <v>EXE</v>
      </c>
      <c r="D290" s="14" t="str">
        <f>IFERROR(INDEX('قائمة الوحدات'!$C$2:$C$41,MATCH($B290,'قائمة الوحدات'!$A$2:$A$41,0)),"")</f>
        <v>الشؤون التنفيذية</v>
      </c>
      <c r="E290" s="14" t="str">
        <f>IFERROR(INDEX('قائمة الوحدات'!$D$2:$D$41,MATCH($B290,'قائمة الوحدات'!$A$2:$A$41,0)),"")</f>
        <v>وكالة الخدمات المساندة</v>
      </c>
      <c r="F290" s="14" t="str">
        <f>IFERROR(INDEX('قائمة الوحدات'!$F$2:$F$41,MATCH($B290,'قائمة الوحدات'!$A$2:$A$41,0)),"")</f>
        <v>الإدارة العامة لتقنية المعلومات</v>
      </c>
      <c r="G290" s="16" t="s">
        <v>61</v>
      </c>
      <c r="H290" s="14" t="str">
        <f>IFERROR(INDEX(المرجع!$A$2:$A$19,MATCH($G290,المرجع!$B$2:$B$19,0)),"")</f>
        <v>البناء المؤسسي</v>
      </c>
      <c r="I290" s="16" t="s">
        <v>56</v>
      </c>
      <c r="J290" s="14" t="str">
        <f>IFERROR(INDEX(المرجع!$D$2:$D$19,MATCH($I290,المرجع!$E$2:$E$19,0)),"")</f>
        <v>الموارد</v>
      </c>
      <c r="K290" s="16" t="s">
        <v>108</v>
      </c>
      <c r="L290" s="17" t="str">
        <f>IFERROR(INDEX('نقاط التحقق'!$G$2:$G$31,MATCH($K290,'نقاط التحقق'!$A$2:$A$31,0))&amp;"","")</f>
        <v>وجود مساحات مكتبية كافية</v>
      </c>
      <c r="M290" s="14" t="str">
        <f>IFERROR(INDEX('نقاط التحقق'!$H$2:$H$31,MATCH($K290,'نقاط التحقق'!$A$2:$A$31,0))&amp;"","")</f>
        <v/>
      </c>
      <c r="N290" s="13">
        <v>90</v>
      </c>
      <c r="O290" s="15" t="str">
        <f>IF($N290="","غير مقيّمة",IF($N290&gt;المرجع!$K$3,"مستوفاة بشكل متقدم",IF($N290&lt;=المرجع!$K$2,"مستوفاة بشكل أولي","مستوفاة بشكل جزئي")))</f>
        <v>مستوفاة بشكل متقدم</v>
      </c>
      <c r="P290" s="18" t="s">
        <v>2170</v>
      </c>
    </row>
    <row r="291" spans="1:16">
      <c r="A291" s="16" t="s">
        <v>675</v>
      </c>
      <c r="B291" s="16" t="s">
        <v>177</v>
      </c>
      <c r="C291" s="15" t="str">
        <f>IFERROR(INDEX('قائمة الوحدات'!$B$2:$B$41,MATCH($B291,'قائمة الوحدات'!$A$2:$A$41,0)),"")</f>
        <v>EXE</v>
      </c>
      <c r="D291" s="14" t="str">
        <f>IFERROR(INDEX('قائمة الوحدات'!$C$2:$C$41,MATCH($B291,'قائمة الوحدات'!$A$2:$A$41,0)),"")</f>
        <v>الشؤون التنفيذية</v>
      </c>
      <c r="E291" s="14" t="str">
        <f>IFERROR(INDEX('قائمة الوحدات'!$D$2:$D$41,MATCH($B291,'قائمة الوحدات'!$A$2:$A$41,0)),"")</f>
        <v>وكالة الخدمات المساندة</v>
      </c>
      <c r="F291" s="14" t="str">
        <f>IFERROR(INDEX('قائمة الوحدات'!$F$2:$F$41,MATCH($B291,'قائمة الوحدات'!$A$2:$A$41,0)),"")</f>
        <v>الإدارة العامة لتقنية المعلومات</v>
      </c>
      <c r="G291" s="16" t="s">
        <v>61</v>
      </c>
      <c r="H291" s="14" t="str">
        <f>IFERROR(INDEX(المرجع!$A$2:$A$19,MATCH($G291,المرجع!$B$2:$B$19,0)),"")</f>
        <v>البناء المؤسسي</v>
      </c>
      <c r="I291" s="16" t="s">
        <v>56</v>
      </c>
      <c r="J291" s="14" t="str">
        <f>IFERROR(INDEX(المرجع!$D$2:$D$19,MATCH($I291,المرجع!$E$2:$E$19,0)),"")</f>
        <v>الموارد</v>
      </c>
      <c r="K291" s="16" t="s">
        <v>110</v>
      </c>
      <c r="L291" s="17" t="str">
        <f>IFERROR(INDEX('نقاط التحقق'!$G$2:$G$31,MATCH($K291,'نقاط التحقق'!$A$2:$A$31,0))&amp;"","")</f>
        <v>وجود الاحتياجات التقنية الأساسية</v>
      </c>
      <c r="M291" s="14" t="str">
        <f>IFERROR(INDEX('نقاط التحقق'!$H$2:$H$31,MATCH($K291,'نقاط التحقق'!$A$2:$A$31,0))&amp;"","")</f>
        <v/>
      </c>
      <c r="N291" s="13">
        <v>70</v>
      </c>
      <c r="O291" s="15" t="str">
        <f>IF($N291="","غير مقيّمة",IF($N291&gt;المرجع!$K$3,"مستوفاة بشكل متقدم",IF($N291&lt;=المرجع!$K$2,"مستوفاة بشكل أولي","مستوفاة بشكل جزئي")))</f>
        <v>مستوفاة بشكل جزئي</v>
      </c>
      <c r="P291" s="18" t="s">
        <v>2170</v>
      </c>
    </row>
    <row r="292" spans="1:16">
      <c r="A292" s="16" t="s">
        <v>676</v>
      </c>
      <c r="B292" s="16" t="s">
        <v>177</v>
      </c>
      <c r="C292" s="15" t="str">
        <f>IFERROR(INDEX('قائمة الوحدات'!$B$2:$B$41,MATCH($B292,'قائمة الوحدات'!$A$2:$A$41,0)),"")</f>
        <v>EXE</v>
      </c>
      <c r="D292" s="14" t="str">
        <f>IFERROR(INDEX('قائمة الوحدات'!$C$2:$C$41,MATCH($B292,'قائمة الوحدات'!$A$2:$A$41,0)),"")</f>
        <v>الشؤون التنفيذية</v>
      </c>
      <c r="E292" s="14" t="str">
        <f>IFERROR(INDEX('قائمة الوحدات'!$D$2:$D$41,MATCH($B292,'قائمة الوحدات'!$A$2:$A$41,0)),"")</f>
        <v>وكالة الخدمات المساندة</v>
      </c>
      <c r="F292" s="14" t="str">
        <f>IFERROR(INDEX('قائمة الوحدات'!$F$2:$F$41,MATCH($B292,'قائمة الوحدات'!$A$2:$A$41,0)),"")</f>
        <v>الإدارة العامة لتقنية المعلومات</v>
      </c>
      <c r="G292" s="16" t="s">
        <v>61</v>
      </c>
      <c r="H292" s="14" t="str">
        <f>IFERROR(INDEX(المرجع!$A$2:$A$19,MATCH($G292,المرجع!$B$2:$B$19,0)),"")</f>
        <v>البناء المؤسسي</v>
      </c>
      <c r="I292" s="16" t="s">
        <v>59</v>
      </c>
      <c r="J292" s="14" t="str">
        <f>IFERROR(INDEX(المرجع!$D$2:$D$19,MATCH($I292,المرجع!$E$2:$E$19,0)),"")</f>
        <v>الإجراءات</v>
      </c>
      <c r="K292" s="16" t="s">
        <v>112</v>
      </c>
      <c r="L292" s="17" t="str">
        <f>IFERROR(INDEX('نقاط التحقق'!$G$2:$G$31,MATCH($K292,'نقاط التحقق'!$A$2:$A$31,0))&amp;"","")</f>
        <v>إجراءات معتمدة للوحدة التنظيمية</v>
      </c>
      <c r="M292" s="14" t="str">
        <f>IFERROR(INDEX('نقاط التحقق'!$H$2:$H$31,MATCH($K292,'نقاط التحقق'!$A$2:$A$31,0))&amp;"","")</f>
        <v/>
      </c>
      <c r="N292" s="13">
        <v>74</v>
      </c>
      <c r="O292" s="15" t="str">
        <f>IF($N292="","غير مقيّمة",IF($N292&gt;المرجع!$K$3,"مستوفاة بشكل متقدم",IF($N292&lt;=المرجع!$K$2,"مستوفاة بشكل أولي","مستوفاة بشكل جزئي")))</f>
        <v>مستوفاة بشكل متقدم</v>
      </c>
      <c r="P292" s="18" t="s">
        <v>2170</v>
      </c>
    </row>
    <row r="293" spans="1:16">
      <c r="A293" s="16" t="s">
        <v>677</v>
      </c>
      <c r="B293" s="16" t="s">
        <v>177</v>
      </c>
      <c r="C293" s="15" t="str">
        <f>IFERROR(INDEX('قائمة الوحدات'!$B$2:$B$41,MATCH($B293,'قائمة الوحدات'!$A$2:$A$41,0)),"")</f>
        <v>EXE</v>
      </c>
      <c r="D293" s="14" t="str">
        <f>IFERROR(INDEX('قائمة الوحدات'!$C$2:$C$41,MATCH($B293,'قائمة الوحدات'!$A$2:$A$41,0)),"")</f>
        <v>الشؤون التنفيذية</v>
      </c>
      <c r="E293" s="14" t="str">
        <f>IFERROR(INDEX('قائمة الوحدات'!$D$2:$D$41,MATCH($B293,'قائمة الوحدات'!$A$2:$A$41,0)),"")</f>
        <v>وكالة الخدمات المساندة</v>
      </c>
      <c r="F293" s="14" t="str">
        <f>IFERROR(INDEX('قائمة الوحدات'!$F$2:$F$41,MATCH($B293,'قائمة الوحدات'!$A$2:$A$41,0)),"")</f>
        <v>الإدارة العامة لتقنية المعلومات</v>
      </c>
      <c r="G293" s="16" t="s">
        <v>61</v>
      </c>
      <c r="H293" s="14" t="str">
        <f>IFERROR(INDEX(المرجع!$A$2:$A$19,MATCH($G293,المرجع!$B$2:$B$19,0)),"")</f>
        <v>البناء المؤسسي</v>
      </c>
      <c r="I293" s="16" t="s">
        <v>63</v>
      </c>
      <c r="J293" s="14" t="str">
        <f>IFERROR(INDEX(المرجع!$D$2:$D$19,MATCH($I293,المرجع!$E$2:$E$19,0)),"")</f>
        <v>إنتاج المخرج الأول</v>
      </c>
      <c r="K293" s="16" t="s">
        <v>114</v>
      </c>
      <c r="L293" s="17" t="str">
        <f>IFERROR(INDEX('نقاط التحقق'!$G$2:$G$31,MATCH($K293,'نقاط التحقق'!$A$2:$A$31,0))&amp;"","")</f>
        <v>إنتاج المخرج الأول من قبل الوحدة التنظيمية</v>
      </c>
      <c r="M293" s="14" t="str">
        <f>IFERROR(INDEX('نقاط التحقق'!$H$2:$H$31,MATCH($K293,'نقاط التحقق'!$A$2:$A$31,0))&amp;"","")</f>
        <v/>
      </c>
      <c r="N293" s="13">
        <v>85</v>
      </c>
      <c r="O293" s="15" t="str">
        <f>IF($N293="","غير مقيّمة",IF($N293&gt;المرجع!$K$3,"مستوفاة بشكل متقدم",IF($N293&lt;=المرجع!$K$2,"مستوفاة بشكل أولي","مستوفاة بشكل جزئي")))</f>
        <v>مستوفاة بشكل متقدم</v>
      </c>
      <c r="P293" s="18" t="s">
        <v>2170</v>
      </c>
    </row>
    <row r="294" spans="1:16">
      <c r="A294" s="16" t="s">
        <v>678</v>
      </c>
      <c r="B294" s="16" t="s">
        <v>177</v>
      </c>
      <c r="C294" s="15" t="str">
        <f>IFERROR(INDEX('قائمة الوحدات'!$B$2:$B$41,MATCH($B294,'قائمة الوحدات'!$A$2:$A$41,0)),"")</f>
        <v>EXE</v>
      </c>
      <c r="D294" s="14" t="str">
        <f>IFERROR(INDEX('قائمة الوحدات'!$C$2:$C$41,MATCH($B294,'قائمة الوحدات'!$A$2:$A$41,0)),"")</f>
        <v>الشؤون التنفيذية</v>
      </c>
      <c r="E294" s="14" t="str">
        <f>IFERROR(INDEX('قائمة الوحدات'!$D$2:$D$41,MATCH($B294,'قائمة الوحدات'!$A$2:$A$41,0)),"")</f>
        <v>وكالة الخدمات المساندة</v>
      </c>
      <c r="F294" s="14" t="str">
        <f>IFERROR(INDEX('قائمة الوحدات'!$F$2:$F$41,MATCH($B294,'قائمة الوحدات'!$A$2:$A$41,0)),"")</f>
        <v>الإدارة العامة لتقنية المعلومات</v>
      </c>
      <c r="G294" s="16" t="s">
        <v>65</v>
      </c>
      <c r="H294" s="14" t="str">
        <f>IFERROR(INDEX(المرجع!$A$2:$A$19,MATCH($G294,المرجع!$B$2:$B$19,0)),"")</f>
        <v>التشغيل</v>
      </c>
      <c r="I294" s="16" t="s">
        <v>48</v>
      </c>
      <c r="J294" s="14" t="str">
        <f>IFERROR(INDEX(المرجع!$D$2:$D$19,MATCH($I294,المرجع!$E$2:$E$19,0)),"")</f>
        <v>الأهداف ومؤشرات الأداء</v>
      </c>
      <c r="K294" s="16" t="s">
        <v>116</v>
      </c>
      <c r="L294" s="17" t="str">
        <f>IFERROR(INDEX('نقاط التحقق'!$G$2:$G$31,MATCH($K294,'نقاط التحقق'!$A$2:$A$31,0))&amp;"","")</f>
        <v>تحرك مؤشرات الأداء التشغيلي للوحدة التنظيمية بشكل إيجابي</v>
      </c>
      <c r="M294" s="14" t="str">
        <f>IFERROR(INDEX('نقاط التحقق'!$H$2:$H$31,MATCH($K294,'نقاط التحقق'!$A$2:$A$31,0))&amp;"","")</f>
        <v/>
      </c>
      <c r="N294" s="13">
        <v>55</v>
      </c>
      <c r="O294" s="15" t="str">
        <f>IF($N294="","غير مقيّمة",IF($N294&gt;المرجع!$K$3,"مستوفاة بشكل متقدم",IF($N294&lt;=المرجع!$K$2,"مستوفاة بشكل أولي","مستوفاة بشكل جزئي")))</f>
        <v>مستوفاة بشكل جزئي</v>
      </c>
      <c r="P294" s="18" t="s">
        <v>2170</v>
      </c>
    </row>
    <row r="295" spans="1:16">
      <c r="A295" s="16" t="s">
        <v>679</v>
      </c>
      <c r="B295" s="16" t="s">
        <v>177</v>
      </c>
      <c r="C295" s="15" t="str">
        <f>IFERROR(INDEX('قائمة الوحدات'!$B$2:$B$41,MATCH($B295,'قائمة الوحدات'!$A$2:$A$41,0)),"")</f>
        <v>EXE</v>
      </c>
      <c r="D295" s="14" t="str">
        <f>IFERROR(INDEX('قائمة الوحدات'!$C$2:$C$41,MATCH($B295,'قائمة الوحدات'!$A$2:$A$41,0)),"")</f>
        <v>الشؤون التنفيذية</v>
      </c>
      <c r="E295" s="14" t="str">
        <f>IFERROR(INDEX('قائمة الوحدات'!$D$2:$D$41,MATCH($B295,'قائمة الوحدات'!$A$2:$A$41,0)),"")</f>
        <v>وكالة الخدمات المساندة</v>
      </c>
      <c r="F295" s="14" t="str">
        <f>IFERROR(INDEX('قائمة الوحدات'!$F$2:$F$41,MATCH($B295,'قائمة الوحدات'!$A$2:$A$41,0)),"")</f>
        <v>الإدارة العامة لتقنية المعلومات</v>
      </c>
      <c r="G295" s="16" t="s">
        <v>65</v>
      </c>
      <c r="H295" s="14" t="str">
        <f>IFERROR(INDEX(المرجع!$A$2:$A$19,MATCH($G295,المرجع!$B$2:$B$19,0)),"")</f>
        <v>التشغيل</v>
      </c>
      <c r="I295" s="16" t="s">
        <v>48</v>
      </c>
      <c r="J295" s="14" t="str">
        <f>IFERROR(INDEX(المرجع!$D$2:$D$19,MATCH($I295,المرجع!$E$2:$E$19,0)),"")</f>
        <v>الأهداف ومؤشرات الأداء</v>
      </c>
      <c r="K295" s="16" t="s">
        <v>118</v>
      </c>
      <c r="L295" s="17" t="str">
        <f>IFERROR(INDEX('نقاط التحقق'!$G$2:$G$31,MATCH($K295,'نقاط التحقق'!$A$2:$A$31,0))&amp;"","")</f>
        <v>خطة سنوية معتمدة للوحدة التنظيمية</v>
      </c>
      <c r="M295" s="14" t="str">
        <f>IFERROR(INDEX('نقاط التحقق'!$H$2:$H$31,MATCH($K295,'نقاط التحقق'!$A$2:$A$31,0))&amp;"","")</f>
        <v/>
      </c>
      <c r="N295" s="13">
        <v>70</v>
      </c>
      <c r="O295" s="15" t="str">
        <f>IF($N295="","غير مقيّمة",IF($N295&gt;المرجع!$K$3,"مستوفاة بشكل متقدم",IF($N295&lt;=المرجع!$K$2,"مستوفاة بشكل أولي","مستوفاة بشكل جزئي")))</f>
        <v>مستوفاة بشكل جزئي</v>
      </c>
      <c r="P295" s="18" t="s">
        <v>2170</v>
      </c>
    </row>
    <row r="296" spans="1:16">
      <c r="A296" s="16" t="s">
        <v>680</v>
      </c>
      <c r="B296" s="16" t="s">
        <v>177</v>
      </c>
      <c r="C296" s="15" t="str">
        <f>IFERROR(INDEX('قائمة الوحدات'!$B$2:$B$41,MATCH($B296,'قائمة الوحدات'!$A$2:$A$41,0)),"")</f>
        <v>EXE</v>
      </c>
      <c r="D296" s="14" t="str">
        <f>IFERROR(INDEX('قائمة الوحدات'!$C$2:$C$41,MATCH($B296,'قائمة الوحدات'!$A$2:$A$41,0)),"")</f>
        <v>الشؤون التنفيذية</v>
      </c>
      <c r="E296" s="14" t="str">
        <f>IFERROR(INDEX('قائمة الوحدات'!$D$2:$D$41,MATCH($B296,'قائمة الوحدات'!$A$2:$A$41,0)),"")</f>
        <v>وكالة الخدمات المساندة</v>
      </c>
      <c r="F296" s="14" t="str">
        <f>IFERROR(INDEX('قائمة الوحدات'!$F$2:$F$41,MATCH($B296,'قائمة الوحدات'!$A$2:$A$41,0)),"")</f>
        <v>الإدارة العامة لتقنية المعلومات</v>
      </c>
      <c r="G296" s="16" t="s">
        <v>65</v>
      </c>
      <c r="H296" s="14" t="str">
        <f>IFERROR(INDEX(المرجع!$A$2:$A$19,MATCH($G296,المرجع!$B$2:$B$19,0)),"")</f>
        <v>التشغيل</v>
      </c>
      <c r="I296" s="16" t="s">
        <v>51</v>
      </c>
      <c r="J296" s="14" t="str">
        <f>IFERROR(INDEX(المرجع!$D$2:$D$19,MATCH($I296,المرجع!$E$2:$E$19,0)),"")</f>
        <v>الحوكمة</v>
      </c>
      <c r="K296" s="16" t="s">
        <v>120</v>
      </c>
      <c r="L296" s="17" t="str">
        <f>IFERROR(INDEX('نقاط التحقق'!$G$2:$G$31,MATCH($K296,'نقاط التحقق'!$A$2:$A$31,0))&amp;"","")</f>
        <v>محاضر لجان موثقة</v>
      </c>
      <c r="M296" s="14" t="str">
        <f>IFERROR(INDEX('نقاط التحقق'!$H$2:$H$31,MATCH($K296,'نقاط التحقق'!$A$2:$A$31,0))&amp;"","")</f>
        <v/>
      </c>
      <c r="N296" s="13">
        <v>10</v>
      </c>
      <c r="O296" s="15" t="str">
        <f>IF($N296="","غير مقيّمة",IF($N296&gt;المرجع!$K$3,"مستوفاة بشكل متقدم",IF($N296&lt;=المرجع!$K$2,"مستوفاة بشكل أولي","مستوفاة بشكل جزئي")))</f>
        <v>مستوفاة بشكل أولي</v>
      </c>
      <c r="P296" s="18" t="s">
        <v>2170</v>
      </c>
    </row>
    <row r="297" spans="1:16">
      <c r="A297" s="16" t="s">
        <v>681</v>
      </c>
      <c r="B297" s="16" t="s">
        <v>177</v>
      </c>
      <c r="C297" s="15" t="str">
        <f>IFERROR(INDEX('قائمة الوحدات'!$B$2:$B$41,MATCH($B297,'قائمة الوحدات'!$A$2:$A$41,0)),"")</f>
        <v>EXE</v>
      </c>
      <c r="D297" s="14" t="str">
        <f>IFERROR(INDEX('قائمة الوحدات'!$C$2:$C$41,MATCH($B297,'قائمة الوحدات'!$A$2:$A$41,0)),"")</f>
        <v>الشؤون التنفيذية</v>
      </c>
      <c r="E297" s="14" t="str">
        <f>IFERROR(INDEX('قائمة الوحدات'!$D$2:$D$41,MATCH($B297,'قائمة الوحدات'!$A$2:$A$41,0)),"")</f>
        <v>وكالة الخدمات المساندة</v>
      </c>
      <c r="F297" s="14" t="str">
        <f>IFERROR(INDEX('قائمة الوحدات'!$F$2:$F$41,MATCH($B297,'قائمة الوحدات'!$A$2:$A$41,0)),"")</f>
        <v>الإدارة العامة لتقنية المعلومات</v>
      </c>
      <c r="G297" s="16" t="s">
        <v>65</v>
      </c>
      <c r="H297" s="14" t="str">
        <f>IFERROR(INDEX(المرجع!$A$2:$A$19,MATCH($G297,المرجع!$B$2:$B$19,0)),"")</f>
        <v>التشغيل</v>
      </c>
      <c r="I297" s="16" t="s">
        <v>51</v>
      </c>
      <c r="J297" s="14" t="str">
        <f>IFERROR(INDEX(المرجع!$D$2:$D$19,MATCH($I297,المرجع!$E$2:$E$19,0)),"")</f>
        <v>الحوكمة</v>
      </c>
      <c r="K297" s="16" t="s">
        <v>122</v>
      </c>
      <c r="L297" s="17" t="str">
        <f>IFERROR(INDEX('نقاط التحقق'!$G$2:$G$31,MATCH($K297,'نقاط التحقق'!$A$2:$A$31,0))&amp;"","")</f>
        <v>نشر السياسات التي تملكها الوحدة التنظيمية</v>
      </c>
      <c r="M297" s="14" t="str">
        <f>IFERROR(INDEX('نقاط التحقق'!$H$2:$H$31,MATCH($K297,'نقاط التحقق'!$A$2:$A$31,0))&amp;"","")</f>
        <v/>
      </c>
      <c r="N297" s="13">
        <v>25</v>
      </c>
      <c r="O297" s="15" t="str">
        <f>IF($N297="","غير مقيّمة",IF($N297&gt;المرجع!$K$3,"مستوفاة بشكل متقدم",IF($N297&lt;=المرجع!$K$2,"مستوفاة بشكل أولي","مستوفاة بشكل جزئي")))</f>
        <v>مستوفاة بشكل أولي</v>
      </c>
      <c r="P297" s="18" t="s">
        <v>2170</v>
      </c>
    </row>
    <row r="298" spans="1:16">
      <c r="A298" s="16" t="s">
        <v>682</v>
      </c>
      <c r="B298" s="16" t="s">
        <v>177</v>
      </c>
      <c r="C298" s="15" t="str">
        <f>IFERROR(INDEX('قائمة الوحدات'!$B$2:$B$41,MATCH($B298,'قائمة الوحدات'!$A$2:$A$41,0)),"")</f>
        <v>EXE</v>
      </c>
      <c r="D298" s="14" t="str">
        <f>IFERROR(INDEX('قائمة الوحدات'!$C$2:$C$41,MATCH($B298,'قائمة الوحدات'!$A$2:$A$41,0)),"")</f>
        <v>الشؤون التنفيذية</v>
      </c>
      <c r="E298" s="14" t="str">
        <f>IFERROR(INDEX('قائمة الوحدات'!$D$2:$D$41,MATCH($B298,'قائمة الوحدات'!$A$2:$A$41,0)),"")</f>
        <v>وكالة الخدمات المساندة</v>
      </c>
      <c r="F298" s="14" t="str">
        <f>IFERROR(INDEX('قائمة الوحدات'!$F$2:$F$41,MATCH($B298,'قائمة الوحدات'!$A$2:$A$41,0)),"")</f>
        <v>الإدارة العامة لتقنية المعلومات</v>
      </c>
      <c r="G298" s="16" t="s">
        <v>65</v>
      </c>
      <c r="H298" s="14" t="str">
        <f>IFERROR(INDEX(المرجع!$A$2:$A$19,MATCH($G298,المرجع!$B$2:$B$19,0)),"")</f>
        <v>التشغيل</v>
      </c>
      <c r="I298" s="16" t="s">
        <v>51</v>
      </c>
      <c r="J298" s="14" t="str">
        <f>IFERROR(INDEX(المرجع!$D$2:$D$19,MATCH($I298,المرجع!$E$2:$E$19,0)),"")</f>
        <v>الحوكمة</v>
      </c>
      <c r="K298" s="16" t="s">
        <v>124</v>
      </c>
      <c r="L298" s="17" t="str">
        <f>IFERROR(INDEX('نقاط التحقق'!$G$2:$G$31,MATCH($K298,'نقاط التحقق'!$A$2:$A$31,0))&amp;"","")</f>
        <v>اتخاذ القرارات في نطاق الصلاحيات (وجود شواهد)</v>
      </c>
      <c r="M298" s="14" t="str">
        <f>IFERROR(INDEX('نقاط التحقق'!$H$2:$H$31,MATCH($K298,'نقاط التحقق'!$A$2:$A$31,0))&amp;"","")</f>
        <v/>
      </c>
      <c r="N298" s="13">
        <v>5</v>
      </c>
      <c r="O298" s="15" t="str">
        <f>IF($N298="","غير مقيّمة",IF($N298&gt;المرجع!$K$3,"مستوفاة بشكل متقدم",IF($N298&lt;=المرجع!$K$2,"مستوفاة بشكل أولي","مستوفاة بشكل جزئي")))</f>
        <v>مستوفاة بشكل أولي</v>
      </c>
      <c r="P298" s="18" t="s">
        <v>2170</v>
      </c>
    </row>
    <row r="299" spans="1:16">
      <c r="A299" s="16" t="s">
        <v>683</v>
      </c>
      <c r="B299" s="16" t="s">
        <v>177</v>
      </c>
      <c r="C299" s="15" t="str">
        <f>IFERROR(INDEX('قائمة الوحدات'!$B$2:$B$41,MATCH($B299,'قائمة الوحدات'!$A$2:$A$41,0)),"")</f>
        <v>EXE</v>
      </c>
      <c r="D299" s="14" t="str">
        <f>IFERROR(INDEX('قائمة الوحدات'!$C$2:$C$41,MATCH($B299,'قائمة الوحدات'!$A$2:$A$41,0)),"")</f>
        <v>الشؤون التنفيذية</v>
      </c>
      <c r="E299" s="14" t="str">
        <f>IFERROR(INDEX('قائمة الوحدات'!$D$2:$D$41,MATCH($B299,'قائمة الوحدات'!$A$2:$A$41,0)),"")</f>
        <v>وكالة الخدمات المساندة</v>
      </c>
      <c r="F299" s="14" t="str">
        <f>IFERROR(INDEX('قائمة الوحدات'!$F$2:$F$41,MATCH($B299,'قائمة الوحدات'!$A$2:$A$41,0)),"")</f>
        <v>الإدارة العامة لتقنية المعلومات</v>
      </c>
      <c r="G299" s="16" t="s">
        <v>65</v>
      </c>
      <c r="H299" s="14" t="str">
        <f>IFERROR(INDEX(المرجع!$A$2:$A$19,MATCH($G299,المرجع!$B$2:$B$19,0)),"")</f>
        <v>التشغيل</v>
      </c>
      <c r="I299" s="16" t="s">
        <v>56</v>
      </c>
      <c r="J299" s="14" t="str">
        <f>IFERROR(INDEX(المرجع!$D$2:$D$19,MATCH($I299,المرجع!$E$2:$E$19,0)),"")</f>
        <v>الموارد</v>
      </c>
      <c r="K299" s="16" t="s">
        <v>126</v>
      </c>
      <c r="L299" s="17" t="str">
        <f>IFERROR(INDEX('نقاط التحقق'!$G$2:$G$31,MATCH($K299,'نقاط التحقق'!$A$2:$A$31,0))&amp;"","")</f>
        <v>موارد مستكملة للحد الأدنى الذي يغطي كافة محاور سلسلة القيمة</v>
      </c>
      <c r="M299" s="14" t="str">
        <f>IFERROR(INDEX('نقاط التحقق'!$H$2:$H$31,MATCH($K299,'نقاط التحقق'!$A$2:$A$31,0))&amp;"","")</f>
        <v/>
      </c>
      <c r="N299" s="13">
        <v>46</v>
      </c>
      <c r="O299" s="15" t="str">
        <f>IF($N299="","غير مقيّمة",IF($N299&gt;المرجع!$K$3,"مستوفاة بشكل متقدم",IF($N299&lt;=المرجع!$K$2,"مستوفاة بشكل أولي","مستوفاة بشكل جزئي")))</f>
        <v>مستوفاة بشكل جزئي</v>
      </c>
      <c r="P299" s="18" t="s">
        <v>2170</v>
      </c>
    </row>
    <row r="300" spans="1:16">
      <c r="A300" s="16" t="s">
        <v>684</v>
      </c>
      <c r="B300" s="16" t="s">
        <v>177</v>
      </c>
      <c r="C300" s="15" t="str">
        <f>IFERROR(INDEX('قائمة الوحدات'!$B$2:$B$41,MATCH($B300,'قائمة الوحدات'!$A$2:$A$41,0)),"")</f>
        <v>EXE</v>
      </c>
      <c r="D300" s="14" t="str">
        <f>IFERROR(INDEX('قائمة الوحدات'!$C$2:$C$41,MATCH($B300,'قائمة الوحدات'!$A$2:$A$41,0)),"")</f>
        <v>الشؤون التنفيذية</v>
      </c>
      <c r="E300" s="14" t="str">
        <f>IFERROR(INDEX('قائمة الوحدات'!$D$2:$D$41,MATCH($B300,'قائمة الوحدات'!$A$2:$A$41,0)),"")</f>
        <v>وكالة الخدمات المساندة</v>
      </c>
      <c r="F300" s="14" t="str">
        <f>IFERROR(INDEX('قائمة الوحدات'!$F$2:$F$41,MATCH($B300,'قائمة الوحدات'!$A$2:$A$41,0)),"")</f>
        <v>الإدارة العامة لتقنية المعلومات</v>
      </c>
      <c r="G300" s="16" t="s">
        <v>65</v>
      </c>
      <c r="H300" s="14" t="str">
        <f>IFERROR(INDEX(المرجع!$A$2:$A$19,MATCH($G300,المرجع!$B$2:$B$19,0)),"")</f>
        <v>التشغيل</v>
      </c>
      <c r="I300" s="16" t="s">
        <v>59</v>
      </c>
      <c r="J300" s="14" t="str">
        <f>IFERROR(INDEX(المرجع!$D$2:$D$19,MATCH($I300,المرجع!$E$2:$E$19,0)),"")</f>
        <v>الإجراءات</v>
      </c>
      <c r="K300" s="16" t="s">
        <v>128</v>
      </c>
      <c r="L300" s="17" t="str">
        <f>IFERROR(INDEX('نقاط التحقق'!$G$2:$G$31,MATCH($K300,'نقاط التحقق'!$A$2:$A$31,0))&amp;"","")</f>
        <v>تحقيق تقييم "مطبق بشكل كامل" من منهجية تقييم فعالية الإجراءات</v>
      </c>
      <c r="M300" s="14" t="str">
        <f>IFERROR(INDEX('نقاط التحقق'!$H$2:$H$31,MATCH($K300,'نقاط التحقق'!$A$2:$A$31,0))&amp;"","")</f>
        <v/>
      </c>
      <c r="N300" s="13">
        <v>56</v>
      </c>
      <c r="O300" s="15" t="str">
        <f>IF($N300="","غير مقيّمة",IF($N300&gt;المرجع!$K$3,"مستوفاة بشكل متقدم",IF($N300&lt;=المرجع!$K$2,"مستوفاة بشكل أولي","مستوفاة بشكل جزئي")))</f>
        <v>مستوفاة بشكل جزئي</v>
      </c>
      <c r="P300" s="18" t="s">
        <v>2170</v>
      </c>
    </row>
    <row r="301" spans="1:16">
      <c r="A301" s="16" t="s">
        <v>685</v>
      </c>
      <c r="B301" s="16" t="s">
        <v>177</v>
      </c>
      <c r="C301" s="15" t="str">
        <f>IFERROR(INDEX('قائمة الوحدات'!$B$2:$B$41,MATCH($B301,'قائمة الوحدات'!$A$2:$A$41,0)),"")</f>
        <v>EXE</v>
      </c>
      <c r="D301" s="14" t="str">
        <f>IFERROR(INDEX('قائمة الوحدات'!$C$2:$C$41,MATCH($B301,'قائمة الوحدات'!$A$2:$A$41,0)),"")</f>
        <v>الشؤون التنفيذية</v>
      </c>
      <c r="E301" s="14" t="str">
        <f>IFERROR(INDEX('قائمة الوحدات'!$D$2:$D$41,MATCH($B301,'قائمة الوحدات'!$A$2:$A$41,0)),"")</f>
        <v>وكالة الخدمات المساندة</v>
      </c>
      <c r="F301" s="14" t="str">
        <f>IFERROR(INDEX('قائمة الوحدات'!$F$2:$F$41,MATCH($B301,'قائمة الوحدات'!$A$2:$A$41,0)),"")</f>
        <v>الإدارة العامة لتقنية المعلومات</v>
      </c>
      <c r="G301" s="16" t="s">
        <v>65</v>
      </c>
      <c r="H301" s="14" t="str">
        <f>IFERROR(INDEX(المرجع!$A$2:$A$19,MATCH($G301,المرجع!$B$2:$B$19,0)),"")</f>
        <v>التشغيل</v>
      </c>
      <c r="I301" s="16" t="s">
        <v>67</v>
      </c>
      <c r="J301" s="14" t="str">
        <f>IFERROR(INDEX(المرجع!$D$2:$D$19,MATCH($I301,المرجع!$E$2:$E$19,0)),"")</f>
        <v>اكتمال المخرجات المستهدفة</v>
      </c>
      <c r="K301" s="16" t="s">
        <v>130</v>
      </c>
      <c r="L301" s="17" t="str">
        <f>IFERROR(INDEX('نقاط التحقق'!$G$2:$G$31,MATCH($K301,'نقاط التحقق'!$A$2:$A$31,0))&amp;"","")</f>
        <v>اكتمال مخرجات النموذج التشغيلي المستهدف للوحدة التنظيمية</v>
      </c>
      <c r="M301" s="14" t="str">
        <f>IFERROR(INDEX('نقاط التحقق'!$H$2:$H$31,MATCH($K301,'نقاط التحقق'!$A$2:$A$31,0))&amp;"","")</f>
        <v/>
      </c>
      <c r="N301" s="13">
        <v>48</v>
      </c>
      <c r="O301" s="15" t="str">
        <f>IF($N301="","غير مقيّمة",IF($N301&gt;المرجع!$K$3,"مستوفاة بشكل متقدم",IF($N301&lt;=المرجع!$K$2,"مستوفاة بشكل أولي","مستوفاة بشكل جزئي")))</f>
        <v>مستوفاة بشكل جزئي</v>
      </c>
      <c r="P301" s="18" t="s">
        <v>2170</v>
      </c>
    </row>
    <row r="302" spans="1:16">
      <c r="A302" s="16" t="s">
        <v>686</v>
      </c>
      <c r="B302" s="16" t="s">
        <v>179</v>
      </c>
      <c r="C302" s="15" t="str">
        <f>IFERROR(INDEX('قائمة الوحدات'!$B$2:$B$41,MATCH($B302,'قائمة الوحدات'!$A$2:$A$41,0)),"")</f>
        <v>EXE</v>
      </c>
      <c r="D302" s="14" t="str">
        <f>IFERROR(INDEX('قائمة الوحدات'!$C$2:$C$41,MATCH($B302,'قائمة الوحدات'!$A$2:$A$41,0)),"")</f>
        <v>الشؤون التنفيذية</v>
      </c>
      <c r="E302" s="14" t="str">
        <f>IFERROR(INDEX('قائمة الوحدات'!$D$2:$D$41,MATCH($B302,'قائمة الوحدات'!$A$2:$A$41,0)),"")</f>
        <v>وكالة الشؤون الاستراتيجية</v>
      </c>
      <c r="F302" s="14" t="str">
        <f>IFERROR(INDEX('قائمة الوحدات'!$F$2:$F$41,MATCH($B302,'قائمة الوحدات'!$A$2:$A$41,0)),"")</f>
        <v>وكالة الشؤون الاستراتيجية</v>
      </c>
      <c r="G302" s="16" t="s">
        <v>43</v>
      </c>
      <c r="H302" s="14" t="str">
        <f>IFERROR(INDEX(المرجع!$A$2:$A$19,MATCH($G302,المرجع!$B$2:$B$19,0)),"")</f>
        <v>التصميم</v>
      </c>
      <c r="I302" s="16" t="s">
        <v>45</v>
      </c>
      <c r="J302" s="14" t="str">
        <f>IFERROR(INDEX(المرجع!$D$2:$D$19,MATCH($I302,المرجع!$E$2:$E$19,0)),"")</f>
        <v>الدور</v>
      </c>
      <c r="K302" s="16" t="s">
        <v>72</v>
      </c>
      <c r="L302" s="17" t="str">
        <f>IFERROR(INDEX('نقاط التحقق'!$G$2:$G$31,MATCH($K302,'نقاط التحقق'!$A$2:$A$31,0))&amp;"","")</f>
        <v>دور مفصل للوحدة التنظيمية</v>
      </c>
      <c r="M302" s="14" t="str">
        <f>IFERROR(INDEX('نقاط التحقق'!$H$2:$H$31,MATCH($K302,'نقاط التحقق'!$A$2:$A$31,0))&amp;"","")</f>
        <v/>
      </c>
      <c r="N302" s="13">
        <v>82</v>
      </c>
      <c r="O302" s="15" t="str">
        <f>IF($N302="","غير مقيّمة",IF($N302&gt;المرجع!$K$3,"مستوفاة بشكل متقدم",IF($N302&lt;=المرجع!$K$2,"مستوفاة بشكل أولي","مستوفاة بشكل جزئي")))</f>
        <v>مستوفاة بشكل متقدم</v>
      </c>
      <c r="P302" s="18" t="s">
        <v>2170</v>
      </c>
    </row>
    <row r="303" spans="1:16">
      <c r="A303" s="16" t="s">
        <v>687</v>
      </c>
      <c r="B303" s="16" t="s">
        <v>179</v>
      </c>
      <c r="C303" s="15" t="str">
        <f>IFERROR(INDEX('قائمة الوحدات'!$B$2:$B$41,MATCH($B303,'قائمة الوحدات'!$A$2:$A$41,0)),"")</f>
        <v>EXE</v>
      </c>
      <c r="D303" s="14" t="str">
        <f>IFERROR(INDEX('قائمة الوحدات'!$C$2:$C$41,MATCH($B303,'قائمة الوحدات'!$A$2:$A$41,0)),"")</f>
        <v>الشؤون التنفيذية</v>
      </c>
      <c r="E303" s="14" t="str">
        <f>IFERROR(INDEX('قائمة الوحدات'!$D$2:$D$41,MATCH($B303,'قائمة الوحدات'!$A$2:$A$41,0)),"")</f>
        <v>وكالة الشؤون الاستراتيجية</v>
      </c>
      <c r="F303" s="14" t="str">
        <f>IFERROR(INDEX('قائمة الوحدات'!$F$2:$F$41,MATCH($B303,'قائمة الوحدات'!$A$2:$A$41,0)),"")</f>
        <v>وكالة الشؤون الاستراتيجية</v>
      </c>
      <c r="G303" s="16" t="s">
        <v>43</v>
      </c>
      <c r="H303" s="14" t="str">
        <f>IFERROR(INDEX(المرجع!$A$2:$A$19,MATCH($G303,المرجع!$B$2:$B$19,0)),"")</f>
        <v>التصميم</v>
      </c>
      <c r="I303" s="16" t="s">
        <v>48</v>
      </c>
      <c r="J303" s="14" t="str">
        <f>IFERROR(INDEX(المرجع!$D$2:$D$19,MATCH($I303,المرجع!$E$2:$E$19,0)),"")</f>
        <v>الأهداف ومؤشرات الأداء</v>
      </c>
      <c r="K303" s="16" t="s">
        <v>74</v>
      </c>
      <c r="L303" s="17" t="str">
        <f>IFERROR(INDEX('نقاط التحقق'!$G$2:$G$31,MATCH($K303,'نقاط التحقق'!$A$2:$A$31,0))&amp;"","")</f>
        <v>أهداف محددة للوحدة التنظيمية وربطها بمؤشرات أداء لقياسها</v>
      </c>
      <c r="M303" s="14" t="str">
        <f>IFERROR(INDEX('نقاط التحقق'!$H$2:$H$31,MATCH($K303,'نقاط التحقق'!$A$2:$A$31,0))&amp;"","")</f>
        <v/>
      </c>
      <c r="N303" s="13">
        <v>100</v>
      </c>
      <c r="O303" s="15" t="str">
        <f>IF($N303="","غير مقيّمة",IF($N303&gt;المرجع!$K$3,"مستوفاة بشكل متقدم",IF($N303&lt;=المرجع!$K$2,"مستوفاة بشكل أولي","مستوفاة بشكل جزئي")))</f>
        <v>مستوفاة بشكل متقدم</v>
      </c>
      <c r="P303" s="18" t="s">
        <v>2170</v>
      </c>
    </row>
    <row r="304" spans="1:16">
      <c r="A304" s="16" t="s">
        <v>688</v>
      </c>
      <c r="B304" s="16" t="s">
        <v>179</v>
      </c>
      <c r="C304" s="15" t="str">
        <f>IFERROR(INDEX('قائمة الوحدات'!$B$2:$B$41,MATCH($B304,'قائمة الوحدات'!$A$2:$A$41,0)),"")</f>
        <v>EXE</v>
      </c>
      <c r="D304" s="14" t="str">
        <f>IFERROR(INDEX('قائمة الوحدات'!$C$2:$C$41,MATCH($B304,'قائمة الوحدات'!$A$2:$A$41,0)),"")</f>
        <v>الشؤون التنفيذية</v>
      </c>
      <c r="E304" s="14" t="str">
        <f>IFERROR(INDEX('قائمة الوحدات'!$D$2:$D$41,MATCH($B304,'قائمة الوحدات'!$A$2:$A$41,0)),"")</f>
        <v>وكالة الشؤون الاستراتيجية</v>
      </c>
      <c r="F304" s="14" t="str">
        <f>IFERROR(INDEX('قائمة الوحدات'!$F$2:$F$41,MATCH($B304,'قائمة الوحدات'!$A$2:$A$41,0)),"")</f>
        <v>وكالة الشؤون الاستراتيجية</v>
      </c>
      <c r="G304" s="16" t="s">
        <v>43</v>
      </c>
      <c r="H304" s="14" t="str">
        <f>IFERROR(INDEX(المرجع!$A$2:$A$19,MATCH($G304,المرجع!$B$2:$B$19,0)),"")</f>
        <v>التصميم</v>
      </c>
      <c r="I304" s="16" t="s">
        <v>48</v>
      </c>
      <c r="J304" s="14" t="str">
        <f>IFERROR(INDEX(المرجع!$D$2:$D$19,MATCH($I304,المرجع!$E$2:$E$19,0)),"")</f>
        <v>الأهداف ومؤشرات الأداء</v>
      </c>
      <c r="K304" s="16" t="s">
        <v>76</v>
      </c>
      <c r="L304" s="17" t="str">
        <f>IFERROR(INDEX('نقاط التحقق'!$G$2:$G$31,MATCH($K304,'نقاط التحقق'!$A$2:$A$31,0))&amp;"","")</f>
        <v>مؤشرات أداء الوحدة التنظيمية</v>
      </c>
      <c r="M304" s="14" t="str">
        <f>IFERROR(INDEX('نقاط التحقق'!$H$2:$H$31,MATCH($K304,'نقاط التحقق'!$A$2:$A$31,0))&amp;"","")</f>
        <v/>
      </c>
      <c r="N304" s="13">
        <v>100</v>
      </c>
      <c r="O304" s="15" t="str">
        <f>IF($N304="","غير مقيّمة",IF($N304&gt;المرجع!$K$3,"مستوفاة بشكل متقدم",IF($N304&lt;=المرجع!$K$2,"مستوفاة بشكل أولي","مستوفاة بشكل جزئي")))</f>
        <v>مستوفاة بشكل متقدم</v>
      </c>
      <c r="P304" s="18" t="s">
        <v>2170</v>
      </c>
    </row>
    <row r="305" spans="1:16">
      <c r="A305" s="16" t="s">
        <v>689</v>
      </c>
      <c r="B305" s="16" t="s">
        <v>179</v>
      </c>
      <c r="C305" s="15" t="str">
        <f>IFERROR(INDEX('قائمة الوحدات'!$B$2:$B$41,MATCH($B305,'قائمة الوحدات'!$A$2:$A$41,0)),"")</f>
        <v>EXE</v>
      </c>
      <c r="D305" s="14" t="str">
        <f>IFERROR(INDEX('قائمة الوحدات'!$C$2:$C$41,MATCH($B305,'قائمة الوحدات'!$A$2:$A$41,0)),"")</f>
        <v>الشؤون التنفيذية</v>
      </c>
      <c r="E305" s="14" t="str">
        <f>IFERROR(INDEX('قائمة الوحدات'!$D$2:$D$41,MATCH($B305,'قائمة الوحدات'!$A$2:$A$41,0)),"")</f>
        <v>وكالة الشؤون الاستراتيجية</v>
      </c>
      <c r="F305" s="14" t="str">
        <f>IFERROR(INDEX('قائمة الوحدات'!$F$2:$F$41,MATCH($B305,'قائمة الوحدات'!$A$2:$A$41,0)),"")</f>
        <v>وكالة الشؤون الاستراتيجية</v>
      </c>
      <c r="G305" s="16" t="s">
        <v>43</v>
      </c>
      <c r="H305" s="14" t="str">
        <f>IFERROR(INDEX(المرجع!$A$2:$A$19,MATCH($G305,المرجع!$B$2:$B$19,0)),"")</f>
        <v>التصميم</v>
      </c>
      <c r="I305" s="16" t="s">
        <v>51</v>
      </c>
      <c r="J305" s="14" t="str">
        <f>IFERROR(INDEX(المرجع!$D$2:$D$19,MATCH($I305,المرجع!$E$2:$E$19,0)),"")</f>
        <v>الحوكمة</v>
      </c>
      <c r="K305" s="16" t="s">
        <v>78</v>
      </c>
      <c r="L305" s="17" t="str">
        <f>IFERROR(INDEX('نقاط التحقق'!$G$2:$G$31,MATCH($K305,'نقاط التحقق'!$A$2:$A$31,0))&amp;"","")</f>
        <v>تفصيل القرارات ومصفوفة الصلاحيات واللجان ذات العلاقة لاعتماد مخرجات الوحدة التنظيمية</v>
      </c>
      <c r="M305" s="14" t="str">
        <f>IFERROR(INDEX('نقاط التحقق'!$H$2:$H$31,MATCH($K305,'نقاط التحقق'!$A$2:$A$31,0))&amp;"","")</f>
        <v/>
      </c>
      <c r="N305" s="13">
        <v>72</v>
      </c>
      <c r="O305" s="15" t="str">
        <f>IF($N305="","غير مقيّمة",IF($N305&gt;المرجع!$K$3,"مستوفاة بشكل متقدم",IF($N305&lt;=المرجع!$K$2,"مستوفاة بشكل أولي","مستوفاة بشكل جزئي")))</f>
        <v>مستوفاة بشكل متقدم</v>
      </c>
      <c r="P305" s="18" t="s">
        <v>2170</v>
      </c>
    </row>
    <row r="306" spans="1:16">
      <c r="A306" s="16" t="s">
        <v>690</v>
      </c>
      <c r="B306" s="16" t="s">
        <v>179</v>
      </c>
      <c r="C306" s="15" t="str">
        <f>IFERROR(INDEX('قائمة الوحدات'!$B$2:$B$41,MATCH($B306,'قائمة الوحدات'!$A$2:$A$41,0)),"")</f>
        <v>EXE</v>
      </c>
      <c r="D306" s="14" t="str">
        <f>IFERROR(INDEX('قائمة الوحدات'!$C$2:$C$41,MATCH($B306,'قائمة الوحدات'!$A$2:$A$41,0)),"")</f>
        <v>الشؤون التنفيذية</v>
      </c>
      <c r="E306" s="14" t="str">
        <f>IFERROR(INDEX('قائمة الوحدات'!$D$2:$D$41,MATCH($B306,'قائمة الوحدات'!$A$2:$A$41,0)),"")</f>
        <v>وكالة الشؤون الاستراتيجية</v>
      </c>
      <c r="F306" s="14" t="str">
        <f>IFERROR(INDEX('قائمة الوحدات'!$F$2:$F$41,MATCH($B306,'قائمة الوحدات'!$A$2:$A$41,0)),"")</f>
        <v>وكالة الشؤون الاستراتيجية</v>
      </c>
      <c r="G306" s="16" t="s">
        <v>43</v>
      </c>
      <c r="H306" s="14" t="str">
        <f>IFERROR(INDEX(المرجع!$A$2:$A$19,MATCH($G306,المرجع!$B$2:$B$19,0)),"")</f>
        <v>التصميم</v>
      </c>
      <c r="I306" s="16" t="s">
        <v>54</v>
      </c>
      <c r="J306" s="14" t="str">
        <f>IFERROR(INDEX(المرجع!$D$2:$D$19,MATCH($I306,المرجع!$E$2:$E$19,0)),"")</f>
        <v>التنظيم</v>
      </c>
      <c r="K306" s="16" t="s">
        <v>80</v>
      </c>
      <c r="L306" s="17" t="str">
        <f>IFERROR(INDEX('نقاط التحقق'!$G$2:$G$31,MATCH($K306,'نقاط التحقق'!$A$2:$A$31,0))&amp;"","")</f>
        <v>تطوير الأدوار والمسؤوليات للوحدة التنظيمية وتفصيل الهيكل التنظيمي</v>
      </c>
      <c r="M306" s="14" t="str">
        <f>IFERROR(INDEX('نقاط التحقق'!$H$2:$H$31,MATCH($K306,'نقاط التحقق'!$A$2:$A$31,0))&amp;"","")</f>
        <v/>
      </c>
      <c r="N306" s="13">
        <v>90</v>
      </c>
      <c r="O306" s="15" t="str">
        <f>IF($N306="","غير مقيّمة",IF($N306&gt;المرجع!$K$3,"مستوفاة بشكل متقدم",IF($N306&lt;=المرجع!$K$2,"مستوفاة بشكل أولي","مستوفاة بشكل جزئي")))</f>
        <v>مستوفاة بشكل متقدم</v>
      </c>
      <c r="P306" s="18" t="s">
        <v>2170</v>
      </c>
    </row>
    <row r="307" spans="1:16">
      <c r="A307" s="16" t="s">
        <v>691</v>
      </c>
      <c r="B307" s="16" t="s">
        <v>179</v>
      </c>
      <c r="C307" s="15" t="str">
        <f>IFERROR(INDEX('قائمة الوحدات'!$B$2:$B$41,MATCH($B307,'قائمة الوحدات'!$A$2:$A$41,0)),"")</f>
        <v>EXE</v>
      </c>
      <c r="D307" s="14" t="str">
        <f>IFERROR(INDEX('قائمة الوحدات'!$C$2:$C$41,MATCH($B307,'قائمة الوحدات'!$A$2:$A$41,0)),"")</f>
        <v>الشؤون التنفيذية</v>
      </c>
      <c r="E307" s="14" t="str">
        <f>IFERROR(INDEX('قائمة الوحدات'!$D$2:$D$41,MATCH($B307,'قائمة الوحدات'!$A$2:$A$41,0)),"")</f>
        <v>وكالة الشؤون الاستراتيجية</v>
      </c>
      <c r="F307" s="14" t="str">
        <f>IFERROR(INDEX('قائمة الوحدات'!$F$2:$F$41,MATCH($B307,'قائمة الوحدات'!$A$2:$A$41,0)),"")</f>
        <v>وكالة الشؤون الاستراتيجية</v>
      </c>
      <c r="G307" s="16" t="s">
        <v>43</v>
      </c>
      <c r="H307" s="14" t="str">
        <f>IFERROR(INDEX(المرجع!$A$2:$A$19,MATCH($G307,المرجع!$B$2:$B$19,0)),"")</f>
        <v>التصميم</v>
      </c>
      <c r="I307" s="16" t="s">
        <v>56</v>
      </c>
      <c r="J307" s="14" t="str">
        <f>IFERROR(INDEX(المرجع!$D$2:$D$19,MATCH($I307,المرجع!$E$2:$E$19,0)),"")</f>
        <v>الموارد</v>
      </c>
      <c r="K307" s="16" t="s">
        <v>82</v>
      </c>
      <c r="L307" s="17" t="str">
        <f>IFERROR(INDEX('نقاط التحقق'!$G$2:$G$31,MATCH($K307,'نقاط التحقق'!$A$2:$A$31,0))&amp;"","")</f>
        <v>تفصيل احتياج الموارد البشرية للوحدة التنظيمية</v>
      </c>
      <c r="M307" s="14" t="str">
        <f>IFERROR(INDEX('نقاط التحقق'!$H$2:$H$31,MATCH($K307,'نقاط التحقق'!$A$2:$A$31,0))&amp;"","")</f>
        <v/>
      </c>
      <c r="N307" s="13">
        <v>76</v>
      </c>
      <c r="O307" s="15" t="str">
        <f>IF($N307="","غير مقيّمة",IF($N307&gt;المرجع!$K$3,"مستوفاة بشكل متقدم",IF($N307&lt;=المرجع!$K$2,"مستوفاة بشكل أولي","مستوفاة بشكل جزئي")))</f>
        <v>مستوفاة بشكل متقدم</v>
      </c>
      <c r="P307" s="18" t="s">
        <v>2170</v>
      </c>
    </row>
    <row r="308" spans="1:16">
      <c r="A308" s="16" t="s">
        <v>692</v>
      </c>
      <c r="B308" s="16" t="s">
        <v>179</v>
      </c>
      <c r="C308" s="15" t="str">
        <f>IFERROR(INDEX('قائمة الوحدات'!$B$2:$B$41,MATCH($B308,'قائمة الوحدات'!$A$2:$A$41,0)),"")</f>
        <v>EXE</v>
      </c>
      <c r="D308" s="14" t="str">
        <f>IFERROR(INDEX('قائمة الوحدات'!$C$2:$C$41,MATCH($B308,'قائمة الوحدات'!$A$2:$A$41,0)),"")</f>
        <v>الشؤون التنفيذية</v>
      </c>
      <c r="E308" s="14" t="str">
        <f>IFERROR(INDEX('قائمة الوحدات'!$D$2:$D$41,MATCH($B308,'قائمة الوحدات'!$A$2:$A$41,0)),"")</f>
        <v>وكالة الشؤون الاستراتيجية</v>
      </c>
      <c r="F308" s="14" t="str">
        <f>IFERROR(INDEX('قائمة الوحدات'!$F$2:$F$41,MATCH($B308,'قائمة الوحدات'!$A$2:$A$41,0)),"")</f>
        <v>وكالة الشؤون الاستراتيجية</v>
      </c>
      <c r="G308" s="16" t="s">
        <v>43</v>
      </c>
      <c r="H308" s="14" t="str">
        <f>IFERROR(INDEX(المرجع!$A$2:$A$19,MATCH($G308,المرجع!$B$2:$B$19,0)),"")</f>
        <v>التصميم</v>
      </c>
      <c r="I308" s="16" t="s">
        <v>59</v>
      </c>
      <c r="J308" s="14" t="str">
        <f>IFERROR(INDEX(المرجع!$D$2:$D$19,MATCH($I308,المرجع!$E$2:$E$19,0)),"")</f>
        <v>الإجراءات</v>
      </c>
      <c r="K308" s="16" t="s">
        <v>84</v>
      </c>
      <c r="L308" s="17" t="str">
        <f>IFERROR(INDEX('نقاط التحقق'!$G$2:$G$31,MATCH($K308,'نقاط التحقق'!$A$2:$A$31,0))&amp;"","")</f>
        <v>تفصيل المخرجات إلى إجراءات عالية المستوى</v>
      </c>
      <c r="M308" s="14" t="str">
        <f>IFERROR(INDEX('نقاط التحقق'!$H$2:$H$31,MATCH($K308,'نقاط التحقق'!$A$2:$A$31,0))&amp;"","")</f>
        <v/>
      </c>
      <c r="N308" s="13">
        <v>97</v>
      </c>
      <c r="O308" s="15" t="str">
        <f>IF($N308="","غير مقيّمة",IF($N308&gt;المرجع!$K$3,"مستوفاة بشكل متقدم",IF($N308&lt;=المرجع!$K$2,"مستوفاة بشكل أولي","مستوفاة بشكل جزئي")))</f>
        <v>مستوفاة بشكل متقدم</v>
      </c>
      <c r="P308" s="18" t="s">
        <v>2170</v>
      </c>
    </row>
    <row r="309" spans="1:16">
      <c r="A309" s="16" t="s">
        <v>693</v>
      </c>
      <c r="B309" s="16" t="s">
        <v>179</v>
      </c>
      <c r="C309" s="15" t="str">
        <f>IFERROR(INDEX('قائمة الوحدات'!$B$2:$B$41,MATCH($B309,'قائمة الوحدات'!$A$2:$A$41,0)),"")</f>
        <v>EXE</v>
      </c>
      <c r="D309" s="14" t="str">
        <f>IFERROR(INDEX('قائمة الوحدات'!$C$2:$C$41,MATCH($B309,'قائمة الوحدات'!$A$2:$A$41,0)),"")</f>
        <v>الشؤون التنفيذية</v>
      </c>
      <c r="E309" s="14" t="str">
        <f>IFERROR(INDEX('قائمة الوحدات'!$D$2:$D$41,MATCH($B309,'قائمة الوحدات'!$A$2:$A$41,0)),"")</f>
        <v>وكالة الشؤون الاستراتيجية</v>
      </c>
      <c r="F309" s="14" t="str">
        <f>IFERROR(INDEX('قائمة الوحدات'!$F$2:$F$41,MATCH($B309,'قائمة الوحدات'!$A$2:$A$41,0)),"")</f>
        <v>وكالة الشؤون الاستراتيجية</v>
      </c>
      <c r="G309" s="16" t="s">
        <v>61</v>
      </c>
      <c r="H309" s="14" t="str">
        <f>IFERROR(INDEX(المرجع!$A$2:$A$19,MATCH($G309,المرجع!$B$2:$B$19,0)),"")</f>
        <v>البناء المؤسسي</v>
      </c>
      <c r="I309" s="16" t="s">
        <v>45</v>
      </c>
      <c r="J309" s="14" t="str">
        <f>IFERROR(INDEX(المرجع!$D$2:$D$19,MATCH($I309,المرجع!$E$2:$E$19,0)),"")</f>
        <v>الدور</v>
      </c>
      <c r="K309" s="16" t="s">
        <v>86</v>
      </c>
      <c r="L309" s="17" t="str">
        <f>IFERROR(INDEX('نقاط التحقق'!$G$2:$G$31,MATCH($K309,'نقاط التحقق'!$A$2:$A$31,0))&amp;"","")</f>
        <v>دور معتمد للوحدة التنظيمية</v>
      </c>
      <c r="M309" s="14" t="str">
        <f>IFERROR(INDEX('نقاط التحقق'!$H$2:$H$31,MATCH($K309,'نقاط التحقق'!$A$2:$A$31,0))&amp;"","")</f>
        <v/>
      </c>
      <c r="N309" s="13">
        <v>77</v>
      </c>
      <c r="O309" s="15" t="str">
        <f>IF($N309="","غير مقيّمة",IF($N309&gt;المرجع!$K$3,"مستوفاة بشكل متقدم",IF($N309&lt;=المرجع!$K$2,"مستوفاة بشكل أولي","مستوفاة بشكل جزئي")))</f>
        <v>مستوفاة بشكل متقدم</v>
      </c>
      <c r="P309" s="18" t="s">
        <v>2170</v>
      </c>
    </row>
    <row r="310" spans="1:16">
      <c r="A310" s="16" t="s">
        <v>694</v>
      </c>
      <c r="B310" s="16" t="s">
        <v>179</v>
      </c>
      <c r="C310" s="15" t="str">
        <f>IFERROR(INDEX('قائمة الوحدات'!$B$2:$B$41,MATCH($B310,'قائمة الوحدات'!$A$2:$A$41,0)),"")</f>
        <v>EXE</v>
      </c>
      <c r="D310" s="14" t="str">
        <f>IFERROR(INDEX('قائمة الوحدات'!$C$2:$C$41,MATCH($B310,'قائمة الوحدات'!$A$2:$A$41,0)),"")</f>
        <v>الشؤون التنفيذية</v>
      </c>
      <c r="E310" s="14" t="str">
        <f>IFERROR(INDEX('قائمة الوحدات'!$D$2:$D$41,MATCH($B310,'قائمة الوحدات'!$A$2:$A$41,0)),"")</f>
        <v>وكالة الشؤون الاستراتيجية</v>
      </c>
      <c r="F310" s="14" t="str">
        <f>IFERROR(INDEX('قائمة الوحدات'!$F$2:$F$41,MATCH($B310,'قائمة الوحدات'!$A$2:$A$41,0)),"")</f>
        <v>وكالة الشؤون الاستراتيجية</v>
      </c>
      <c r="G310" s="16" t="s">
        <v>61</v>
      </c>
      <c r="H310" s="14" t="str">
        <f>IFERROR(INDEX(المرجع!$A$2:$A$19,MATCH($G310,المرجع!$B$2:$B$19,0)),"")</f>
        <v>البناء المؤسسي</v>
      </c>
      <c r="I310" s="16" t="s">
        <v>48</v>
      </c>
      <c r="J310" s="14" t="str">
        <f>IFERROR(INDEX(المرجع!$D$2:$D$19,MATCH($I310,المرجع!$E$2:$E$19,0)),"")</f>
        <v>الأهداف ومؤشرات الأداء</v>
      </c>
      <c r="K310" s="16" t="s">
        <v>88</v>
      </c>
      <c r="L310" s="17" t="str">
        <f>IFERROR(INDEX('نقاط التحقق'!$G$2:$G$31,MATCH($K310,'نقاط التحقق'!$A$2:$A$31,0))&amp;"","")</f>
        <v>أهداف تشغيلية معتمدة من صاحب الصلاحية</v>
      </c>
      <c r="M310" s="14" t="str">
        <f>IFERROR(INDEX('نقاط التحقق'!$H$2:$H$31,MATCH($K310,'نقاط التحقق'!$A$2:$A$31,0))&amp;"","")</f>
        <v/>
      </c>
      <c r="N310" s="13">
        <v>45</v>
      </c>
      <c r="O310" s="15" t="str">
        <f>IF($N310="","غير مقيّمة",IF($N310&gt;المرجع!$K$3,"مستوفاة بشكل متقدم",IF($N310&lt;=المرجع!$K$2,"مستوفاة بشكل أولي","مستوفاة بشكل جزئي")))</f>
        <v>مستوفاة بشكل جزئي</v>
      </c>
      <c r="P310" s="18" t="s">
        <v>2170</v>
      </c>
    </row>
    <row r="311" spans="1:16">
      <c r="A311" s="16" t="s">
        <v>695</v>
      </c>
      <c r="B311" s="16" t="s">
        <v>179</v>
      </c>
      <c r="C311" s="15" t="str">
        <f>IFERROR(INDEX('قائمة الوحدات'!$B$2:$B$41,MATCH($B311,'قائمة الوحدات'!$A$2:$A$41,0)),"")</f>
        <v>EXE</v>
      </c>
      <c r="D311" s="14" t="str">
        <f>IFERROR(INDEX('قائمة الوحدات'!$C$2:$C$41,MATCH($B311,'قائمة الوحدات'!$A$2:$A$41,0)),"")</f>
        <v>الشؤون التنفيذية</v>
      </c>
      <c r="E311" s="14" t="str">
        <f>IFERROR(INDEX('قائمة الوحدات'!$D$2:$D$41,MATCH($B311,'قائمة الوحدات'!$A$2:$A$41,0)),"")</f>
        <v>وكالة الشؤون الاستراتيجية</v>
      </c>
      <c r="F311" s="14" t="str">
        <f>IFERROR(INDEX('قائمة الوحدات'!$F$2:$F$41,MATCH($B311,'قائمة الوحدات'!$A$2:$A$41,0)),"")</f>
        <v>وكالة الشؤون الاستراتيجية</v>
      </c>
      <c r="G311" s="16" t="s">
        <v>61</v>
      </c>
      <c r="H311" s="14" t="str">
        <f>IFERROR(INDEX(المرجع!$A$2:$A$19,MATCH($G311,المرجع!$B$2:$B$19,0)),"")</f>
        <v>البناء المؤسسي</v>
      </c>
      <c r="I311" s="16" t="s">
        <v>48</v>
      </c>
      <c r="J311" s="14" t="str">
        <f>IFERROR(INDEX(المرجع!$D$2:$D$19,MATCH($I311,المرجع!$E$2:$E$19,0)),"")</f>
        <v>الأهداف ومؤشرات الأداء</v>
      </c>
      <c r="K311" s="16" t="s">
        <v>90</v>
      </c>
      <c r="L311" s="17" t="str">
        <f>IFERROR(INDEX('نقاط التحقق'!$G$2:$G$31,MATCH($K311,'نقاط التحقق'!$A$2:$A$31,0))&amp;"","")</f>
        <v>نشر الأهداف التشغيلية على موظفي الوحدة التنظيمية</v>
      </c>
      <c r="M311" s="14" t="str">
        <f>IFERROR(INDEX('نقاط التحقق'!$H$2:$H$31,MATCH($K311,'نقاط التحقق'!$A$2:$A$31,0))&amp;"","")</f>
        <v/>
      </c>
      <c r="N311" s="13">
        <v>50</v>
      </c>
      <c r="O311" s="15" t="str">
        <f>IF($N311="","غير مقيّمة",IF($N311&gt;المرجع!$K$3,"مستوفاة بشكل متقدم",IF($N311&lt;=المرجع!$K$2,"مستوفاة بشكل أولي","مستوفاة بشكل جزئي")))</f>
        <v>مستوفاة بشكل جزئي</v>
      </c>
      <c r="P311" s="18" t="s">
        <v>2170</v>
      </c>
    </row>
    <row r="312" spans="1:16">
      <c r="A312" s="16" t="s">
        <v>696</v>
      </c>
      <c r="B312" s="16" t="s">
        <v>179</v>
      </c>
      <c r="C312" s="15" t="str">
        <f>IFERROR(INDEX('قائمة الوحدات'!$B$2:$B$41,MATCH($B312,'قائمة الوحدات'!$A$2:$A$41,0)),"")</f>
        <v>EXE</v>
      </c>
      <c r="D312" s="14" t="str">
        <f>IFERROR(INDEX('قائمة الوحدات'!$C$2:$C$41,MATCH($B312,'قائمة الوحدات'!$A$2:$A$41,0)),"")</f>
        <v>الشؤون التنفيذية</v>
      </c>
      <c r="E312" s="14" t="str">
        <f>IFERROR(INDEX('قائمة الوحدات'!$D$2:$D$41,MATCH($B312,'قائمة الوحدات'!$A$2:$A$41,0)),"")</f>
        <v>وكالة الشؤون الاستراتيجية</v>
      </c>
      <c r="F312" s="14" t="str">
        <f>IFERROR(INDEX('قائمة الوحدات'!$F$2:$F$41,MATCH($B312,'قائمة الوحدات'!$A$2:$A$41,0)),"")</f>
        <v>وكالة الشؤون الاستراتيجية</v>
      </c>
      <c r="G312" s="16" t="s">
        <v>61</v>
      </c>
      <c r="H312" s="14" t="str">
        <f>IFERROR(INDEX(المرجع!$A$2:$A$19,MATCH($G312,المرجع!$B$2:$B$19,0)),"")</f>
        <v>البناء المؤسسي</v>
      </c>
      <c r="I312" s="16" t="s">
        <v>51</v>
      </c>
      <c r="J312" s="14" t="str">
        <f>IFERROR(INDEX(المرجع!$D$2:$D$19,MATCH($I312,المرجع!$E$2:$E$19,0)),"")</f>
        <v>الحوكمة</v>
      </c>
      <c r="K312" s="16" t="s">
        <v>92</v>
      </c>
      <c r="L312" s="17" t="str">
        <f>IFERROR(INDEX('نقاط التحقق'!$G$2:$G$31,MATCH($K312,'نقاط التحقق'!$A$2:$A$31,0))&amp;"","")</f>
        <v>مصفوفة صلاحيات معتمدة ومعممة على أصحاب المصلحة</v>
      </c>
      <c r="M312" s="14" t="str">
        <f>IFERROR(INDEX('نقاط التحقق'!$H$2:$H$31,MATCH($K312,'نقاط التحقق'!$A$2:$A$31,0))&amp;"","")</f>
        <v/>
      </c>
      <c r="N312" s="13">
        <v>60</v>
      </c>
      <c r="O312" s="15" t="str">
        <f>IF($N312="","غير مقيّمة",IF($N312&gt;المرجع!$K$3,"مستوفاة بشكل متقدم",IF($N312&lt;=المرجع!$K$2,"مستوفاة بشكل أولي","مستوفاة بشكل جزئي")))</f>
        <v>مستوفاة بشكل جزئي</v>
      </c>
      <c r="P312" s="18" t="s">
        <v>2170</v>
      </c>
    </row>
    <row r="313" spans="1:16">
      <c r="A313" s="16" t="s">
        <v>697</v>
      </c>
      <c r="B313" s="16" t="s">
        <v>179</v>
      </c>
      <c r="C313" s="15" t="str">
        <f>IFERROR(INDEX('قائمة الوحدات'!$B$2:$B$41,MATCH($B313,'قائمة الوحدات'!$A$2:$A$41,0)),"")</f>
        <v>EXE</v>
      </c>
      <c r="D313" s="14" t="str">
        <f>IFERROR(INDEX('قائمة الوحدات'!$C$2:$C$41,MATCH($B313,'قائمة الوحدات'!$A$2:$A$41,0)),"")</f>
        <v>الشؤون التنفيذية</v>
      </c>
      <c r="E313" s="14" t="str">
        <f>IFERROR(INDEX('قائمة الوحدات'!$D$2:$D$41,MATCH($B313,'قائمة الوحدات'!$A$2:$A$41,0)),"")</f>
        <v>وكالة الشؤون الاستراتيجية</v>
      </c>
      <c r="F313" s="14" t="str">
        <f>IFERROR(INDEX('قائمة الوحدات'!$F$2:$F$41,MATCH($B313,'قائمة الوحدات'!$A$2:$A$41,0)),"")</f>
        <v>وكالة الشؤون الاستراتيجية</v>
      </c>
      <c r="G313" s="16" t="s">
        <v>61</v>
      </c>
      <c r="H313" s="14" t="str">
        <f>IFERROR(INDEX(المرجع!$A$2:$A$19,MATCH($G313,المرجع!$B$2:$B$19,0)),"")</f>
        <v>البناء المؤسسي</v>
      </c>
      <c r="I313" s="16" t="s">
        <v>51</v>
      </c>
      <c r="J313" s="14" t="str">
        <f>IFERROR(INDEX(المرجع!$D$2:$D$19,MATCH($I313,المرجع!$E$2:$E$19,0)),"")</f>
        <v>الحوكمة</v>
      </c>
      <c r="K313" s="16" t="s">
        <v>94</v>
      </c>
      <c r="L313" s="17" t="str">
        <f>IFERROR(INDEX('نقاط التحقق'!$G$2:$G$31,MATCH($K313,'نقاط التحقق'!$A$2:$A$31,0))&amp;"","")</f>
        <v>سياسات معتمدة للتي تملكها الوحدة التنظيمية</v>
      </c>
      <c r="M313" s="14" t="str">
        <f>IFERROR(INDEX('نقاط التحقق'!$H$2:$H$31,MATCH($K313,'نقاط التحقق'!$A$2:$A$31,0))&amp;"","")</f>
        <v/>
      </c>
      <c r="N313" s="13">
        <v>40</v>
      </c>
      <c r="O313" s="15" t="str">
        <f>IF($N313="","غير مقيّمة",IF($N313&gt;المرجع!$K$3,"مستوفاة بشكل متقدم",IF($N313&lt;=المرجع!$K$2,"مستوفاة بشكل أولي","مستوفاة بشكل جزئي")))</f>
        <v>مستوفاة بشكل جزئي</v>
      </c>
      <c r="P313" s="18" t="s">
        <v>2170</v>
      </c>
    </row>
    <row r="314" spans="1:16">
      <c r="A314" s="16" t="s">
        <v>698</v>
      </c>
      <c r="B314" s="16" t="s">
        <v>179</v>
      </c>
      <c r="C314" s="15" t="str">
        <f>IFERROR(INDEX('قائمة الوحدات'!$B$2:$B$41,MATCH($B314,'قائمة الوحدات'!$A$2:$A$41,0)),"")</f>
        <v>EXE</v>
      </c>
      <c r="D314" s="14" t="str">
        <f>IFERROR(INDEX('قائمة الوحدات'!$C$2:$C$41,MATCH($B314,'قائمة الوحدات'!$A$2:$A$41,0)),"")</f>
        <v>الشؤون التنفيذية</v>
      </c>
      <c r="E314" s="14" t="str">
        <f>IFERROR(INDEX('قائمة الوحدات'!$D$2:$D$41,MATCH($B314,'قائمة الوحدات'!$A$2:$A$41,0)),"")</f>
        <v>وكالة الشؤون الاستراتيجية</v>
      </c>
      <c r="F314" s="14" t="str">
        <f>IFERROR(INDEX('قائمة الوحدات'!$F$2:$F$41,MATCH($B314,'قائمة الوحدات'!$A$2:$A$41,0)),"")</f>
        <v>وكالة الشؤون الاستراتيجية</v>
      </c>
      <c r="G314" s="16" t="s">
        <v>61</v>
      </c>
      <c r="H314" s="14" t="str">
        <f>IFERROR(INDEX(المرجع!$A$2:$A$19,MATCH($G314,المرجع!$B$2:$B$19,0)),"")</f>
        <v>البناء المؤسسي</v>
      </c>
      <c r="I314" s="16" t="s">
        <v>51</v>
      </c>
      <c r="J314" s="14" t="str">
        <f>IFERROR(INDEX(المرجع!$D$2:$D$19,MATCH($I314,المرجع!$E$2:$E$19,0)),"")</f>
        <v>الحوكمة</v>
      </c>
      <c r="K314" s="16" t="s">
        <v>96</v>
      </c>
      <c r="L314" s="17" t="str">
        <f>IFERROR(INDEX('نقاط التحقق'!$G$2:$G$31,MATCH($K314,'نقاط التحقق'!$A$2:$A$31,0))&amp;"","")</f>
        <v>قرار تشكيل معتمد للجان ذات العلاقة</v>
      </c>
      <c r="M314" s="14" t="str">
        <f>IFERROR(INDEX('نقاط التحقق'!$H$2:$H$31,MATCH($K314,'نقاط التحقق'!$A$2:$A$31,0))&amp;"","")</f>
        <v/>
      </c>
      <c r="N314" s="13">
        <v>55</v>
      </c>
      <c r="O314" s="15" t="str">
        <f>IF($N314="","غير مقيّمة",IF($N314&gt;المرجع!$K$3,"مستوفاة بشكل متقدم",IF($N314&lt;=المرجع!$K$2,"مستوفاة بشكل أولي","مستوفاة بشكل جزئي")))</f>
        <v>مستوفاة بشكل جزئي</v>
      </c>
      <c r="P314" s="18" t="s">
        <v>2170</v>
      </c>
    </row>
    <row r="315" spans="1:16">
      <c r="A315" s="16" t="s">
        <v>699</v>
      </c>
      <c r="B315" s="16" t="s">
        <v>179</v>
      </c>
      <c r="C315" s="15" t="str">
        <f>IFERROR(INDEX('قائمة الوحدات'!$B$2:$B$41,MATCH($B315,'قائمة الوحدات'!$A$2:$A$41,0)),"")</f>
        <v>EXE</v>
      </c>
      <c r="D315" s="14" t="str">
        <f>IFERROR(INDEX('قائمة الوحدات'!$C$2:$C$41,MATCH($B315,'قائمة الوحدات'!$A$2:$A$41,0)),"")</f>
        <v>الشؤون التنفيذية</v>
      </c>
      <c r="E315" s="14" t="str">
        <f>IFERROR(INDEX('قائمة الوحدات'!$D$2:$D$41,MATCH($B315,'قائمة الوحدات'!$A$2:$A$41,0)),"")</f>
        <v>وكالة الشؤون الاستراتيجية</v>
      </c>
      <c r="F315" s="14" t="str">
        <f>IFERROR(INDEX('قائمة الوحدات'!$F$2:$F$41,MATCH($B315,'قائمة الوحدات'!$A$2:$A$41,0)),"")</f>
        <v>وكالة الشؤون الاستراتيجية</v>
      </c>
      <c r="G315" s="16" t="s">
        <v>61</v>
      </c>
      <c r="H315" s="14" t="str">
        <f>IFERROR(INDEX(المرجع!$A$2:$A$19,MATCH($G315,المرجع!$B$2:$B$19,0)),"")</f>
        <v>البناء المؤسسي</v>
      </c>
      <c r="I315" s="16" t="s">
        <v>54</v>
      </c>
      <c r="J315" s="14" t="str">
        <f>IFERROR(INDEX(المرجع!$D$2:$D$19,MATCH($I315,المرجع!$E$2:$E$19,0)),"")</f>
        <v>التنظيم</v>
      </c>
      <c r="K315" s="16" t="s">
        <v>98</v>
      </c>
      <c r="L315" s="17" t="str">
        <f>IFERROR(INDEX('نقاط التحقق'!$G$2:$G$31,MATCH($K315,'نقاط التحقق'!$A$2:$A$31,0))&amp;"","")</f>
        <v>هيكل تنظيمي معتمد من صاحب الصلاحية</v>
      </c>
      <c r="M315" s="14" t="str">
        <f>IFERROR(INDEX('نقاط التحقق'!$H$2:$H$31,MATCH($K315,'نقاط التحقق'!$A$2:$A$31,0))&amp;"","")</f>
        <v/>
      </c>
      <c r="N315" s="13">
        <v>65</v>
      </c>
      <c r="O315" s="15" t="str">
        <f>IF($N315="","غير مقيّمة",IF($N315&gt;المرجع!$K$3,"مستوفاة بشكل متقدم",IF($N315&lt;=المرجع!$K$2,"مستوفاة بشكل أولي","مستوفاة بشكل جزئي")))</f>
        <v>مستوفاة بشكل جزئي</v>
      </c>
      <c r="P315" s="18" t="s">
        <v>2170</v>
      </c>
    </row>
    <row r="316" spans="1:16">
      <c r="A316" s="16" t="s">
        <v>700</v>
      </c>
      <c r="B316" s="16" t="s">
        <v>179</v>
      </c>
      <c r="C316" s="15" t="str">
        <f>IFERROR(INDEX('قائمة الوحدات'!$B$2:$B$41,MATCH($B316,'قائمة الوحدات'!$A$2:$A$41,0)),"")</f>
        <v>EXE</v>
      </c>
      <c r="D316" s="14" t="str">
        <f>IFERROR(INDEX('قائمة الوحدات'!$C$2:$C$41,MATCH($B316,'قائمة الوحدات'!$A$2:$A$41,0)),"")</f>
        <v>الشؤون التنفيذية</v>
      </c>
      <c r="E316" s="14" t="str">
        <f>IFERROR(INDEX('قائمة الوحدات'!$D$2:$D$41,MATCH($B316,'قائمة الوحدات'!$A$2:$A$41,0)),"")</f>
        <v>وكالة الشؤون الاستراتيجية</v>
      </c>
      <c r="F316" s="14" t="str">
        <f>IFERROR(INDEX('قائمة الوحدات'!$F$2:$F$41,MATCH($B316,'قائمة الوحدات'!$A$2:$A$41,0)),"")</f>
        <v>وكالة الشؤون الاستراتيجية</v>
      </c>
      <c r="G316" s="16" t="s">
        <v>61</v>
      </c>
      <c r="H316" s="14" t="str">
        <f>IFERROR(INDEX(المرجع!$A$2:$A$19,MATCH($G316,المرجع!$B$2:$B$19,0)),"")</f>
        <v>البناء المؤسسي</v>
      </c>
      <c r="I316" s="16" t="s">
        <v>54</v>
      </c>
      <c r="J316" s="14" t="str">
        <f>IFERROR(INDEX(المرجع!$D$2:$D$19,MATCH($I316,المرجع!$E$2:$E$19,0)),"")</f>
        <v>التنظيم</v>
      </c>
      <c r="K316" s="16" t="s">
        <v>100</v>
      </c>
      <c r="L316" s="17" t="str">
        <f>IFERROR(INDEX('نقاط التحقق'!$G$2:$G$31,MATCH($K316,'نقاط التحقق'!$A$2:$A$31,0))&amp;"","")</f>
        <v>هيكل تنظيمي منشأ على نظام القوى العاملة</v>
      </c>
      <c r="M316" s="14" t="str">
        <f>IFERROR(INDEX('نقاط التحقق'!$H$2:$H$31,MATCH($K316,'نقاط التحقق'!$A$2:$A$31,0))&amp;"","")</f>
        <v/>
      </c>
      <c r="N316" s="13">
        <v>50</v>
      </c>
      <c r="O316" s="15" t="str">
        <f>IF($N316="","غير مقيّمة",IF($N316&gt;المرجع!$K$3,"مستوفاة بشكل متقدم",IF($N316&lt;=المرجع!$K$2,"مستوفاة بشكل أولي","مستوفاة بشكل جزئي")))</f>
        <v>مستوفاة بشكل جزئي</v>
      </c>
      <c r="P316" s="18" t="s">
        <v>2170</v>
      </c>
    </row>
    <row r="317" spans="1:16">
      <c r="A317" s="16" t="s">
        <v>701</v>
      </c>
      <c r="B317" s="16" t="s">
        <v>179</v>
      </c>
      <c r="C317" s="15" t="str">
        <f>IFERROR(INDEX('قائمة الوحدات'!$B$2:$B$41,MATCH($B317,'قائمة الوحدات'!$A$2:$A$41,0)),"")</f>
        <v>EXE</v>
      </c>
      <c r="D317" s="14" t="str">
        <f>IFERROR(INDEX('قائمة الوحدات'!$C$2:$C$41,MATCH($B317,'قائمة الوحدات'!$A$2:$A$41,0)),"")</f>
        <v>الشؤون التنفيذية</v>
      </c>
      <c r="E317" s="14" t="str">
        <f>IFERROR(INDEX('قائمة الوحدات'!$D$2:$D$41,MATCH($B317,'قائمة الوحدات'!$A$2:$A$41,0)),"")</f>
        <v>وكالة الشؤون الاستراتيجية</v>
      </c>
      <c r="F317" s="14" t="str">
        <f>IFERROR(INDEX('قائمة الوحدات'!$F$2:$F$41,MATCH($B317,'قائمة الوحدات'!$A$2:$A$41,0)),"")</f>
        <v>وكالة الشؤون الاستراتيجية</v>
      </c>
      <c r="G317" s="16" t="s">
        <v>61</v>
      </c>
      <c r="H317" s="14" t="str">
        <f>IFERROR(INDEX(المرجع!$A$2:$A$19,MATCH($G317,المرجع!$B$2:$B$19,0)),"")</f>
        <v>البناء المؤسسي</v>
      </c>
      <c r="I317" s="16" t="s">
        <v>54</v>
      </c>
      <c r="J317" s="14" t="str">
        <f>IFERROR(INDEX(المرجع!$D$2:$D$19,MATCH($I317,المرجع!$E$2:$E$19,0)),"")</f>
        <v>التنظيم</v>
      </c>
      <c r="K317" s="16" t="s">
        <v>102</v>
      </c>
      <c r="L317" s="17" t="str">
        <f>IFERROR(INDEX('نقاط التحقق'!$G$2:$G$31,MATCH($K317,'نقاط التحقق'!$A$2:$A$31,0))&amp;"","")</f>
        <v>الموظفون المحددون مسكّنون على الهيكل التنظيمي المستهدف</v>
      </c>
      <c r="M317" s="14" t="str">
        <f>IFERROR(INDEX('نقاط التحقق'!$H$2:$H$31,MATCH($K317,'نقاط التحقق'!$A$2:$A$31,0))&amp;"","")</f>
        <v/>
      </c>
      <c r="N317" s="13">
        <v>45</v>
      </c>
      <c r="O317" s="15" t="str">
        <f>IF($N317="","غير مقيّمة",IF($N317&gt;المرجع!$K$3,"مستوفاة بشكل متقدم",IF($N317&lt;=المرجع!$K$2,"مستوفاة بشكل أولي","مستوفاة بشكل جزئي")))</f>
        <v>مستوفاة بشكل جزئي</v>
      </c>
      <c r="P317" s="18" t="s">
        <v>2170</v>
      </c>
    </row>
    <row r="318" spans="1:16">
      <c r="A318" s="16" t="s">
        <v>702</v>
      </c>
      <c r="B318" s="16" t="s">
        <v>179</v>
      </c>
      <c r="C318" s="15" t="str">
        <f>IFERROR(INDEX('قائمة الوحدات'!$B$2:$B$41,MATCH($B318,'قائمة الوحدات'!$A$2:$A$41,0)),"")</f>
        <v>EXE</v>
      </c>
      <c r="D318" s="14" t="str">
        <f>IFERROR(INDEX('قائمة الوحدات'!$C$2:$C$41,MATCH($B318,'قائمة الوحدات'!$A$2:$A$41,0)),"")</f>
        <v>الشؤون التنفيذية</v>
      </c>
      <c r="E318" s="14" t="str">
        <f>IFERROR(INDEX('قائمة الوحدات'!$D$2:$D$41,MATCH($B318,'قائمة الوحدات'!$A$2:$A$41,0)),"")</f>
        <v>وكالة الشؤون الاستراتيجية</v>
      </c>
      <c r="F318" s="14" t="str">
        <f>IFERROR(INDEX('قائمة الوحدات'!$F$2:$F$41,MATCH($B318,'قائمة الوحدات'!$A$2:$A$41,0)),"")</f>
        <v>وكالة الشؤون الاستراتيجية</v>
      </c>
      <c r="G318" s="16" t="s">
        <v>61</v>
      </c>
      <c r="H318" s="14" t="str">
        <f>IFERROR(INDEX(المرجع!$A$2:$A$19,MATCH($G318,المرجع!$B$2:$B$19,0)),"")</f>
        <v>البناء المؤسسي</v>
      </c>
      <c r="I318" s="16" t="s">
        <v>56</v>
      </c>
      <c r="J318" s="14" t="str">
        <f>IFERROR(INDEX(المرجع!$D$2:$D$19,MATCH($I318,المرجع!$E$2:$E$19,0)),"")</f>
        <v>الموارد</v>
      </c>
      <c r="K318" s="16" t="s">
        <v>104</v>
      </c>
      <c r="L318" s="17" t="str">
        <f>IFERROR(INDEX('نقاط التحقق'!$G$2:$G$31,MATCH($K318,'نقاط التحقق'!$A$2:$A$31,0))&amp;"","")</f>
        <v>مدير الوحدة التنظيمية والموظفون الرئيسيون معينون/ملحقون</v>
      </c>
      <c r="M318" s="14" t="str">
        <f>IFERROR(INDEX('نقاط التحقق'!$H$2:$H$31,MATCH($K318,'نقاط التحقق'!$A$2:$A$31,0))&amp;"","")</f>
        <v/>
      </c>
      <c r="N318" s="13">
        <v>60</v>
      </c>
      <c r="O318" s="15" t="str">
        <f>IF($N318="","غير مقيّمة",IF($N318&gt;المرجع!$K$3,"مستوفاة بشكل متقدم",IF($N318&lt;=المرجع!$K$2,"مستوفاة بشكل أولي","مستوفاة بشكل جزئي")))</f>
        <v>مستوفاة بشكل جزئي</v>
      </c>
      <c r="P318" s="18" t="s">
        <v>2170</v>
      </c>
    </row>
    <row r="319" spans="1:16">
      <c r="A319" s="16" t="s">
        <v>703</v>
      </c>
      <c r="B319" s="16" t="s">
        <v>179</v>
      </c>
      <c r="C319" s="15" t="str">
        <f>IFERROR(INDEX('قائمة الوحدات'!$B$2:$B$41,MATCH($B319,'قائمة الوحدات'!$A$2:$A$41,0)),"")</f>
        <v>EXE</v>
      </c>
      <c r="D319" s="14" t="str">
        <f>IFERROR(INDEX('قائمة الوحدات'!$C$2:$C$41,MATCH($B319,'قائمة الوحدات'!$A$2:$A$41,0)),"")</f>
        <v>الشؤون التنفيذية</v>
      </c>
      <c r="E319" s="14" t="str">
        <f>IFERROR(INDEX('قائمة الوحدات'!$D$2:$D$41,MATCH($B319,'قائمة الوحدات'!$A$2:$A$41,0)),"")</f>
        <v>وكالة الشؤون الاستراتيجية</v>
      </c>
      <c r="F319" s="14" t="str">
        <f>IFERROR(INDEX('قائمة الوحدات'!$F$2:$F$41,MATCH($B319,'قائمة الوحدات'!$A$2:$A$41,0)),"")</f>
        <v>وكالة الشؤون الاستراتيجية</v>
      </c>
      <c r="G319" s="16" t="s">
        <v>61</v>
      </c>
      <c r="H319" s="14" t="str">
        <f>IFERROR(INDEX(المرجع!$A$2:$A$19,MATCH($G319,المرجع!$B$2:$B$19,0)),"")</f>
        <v>البناء المؤسسي</v>
      </c>
      <c r="I319" s="16" t="s">
        <v>56</v>
      </c>
      <c r="J319" s="14" t="str">
        <f>IFERROR(INDEX(المرجع!$D$2:$D$19,MATCH($I319,المرجع!$E$2:$E$19,0)),"")</f>
        <v>الموارد</v>
      </c>
      <c r="K319" s="16" t="s">
        <v>106</v>
      </c>
      <c r="L319" s="17" t="str">
        <f>IFERROR(INDEX('نقاط التحقق'!$G$2:$G$31,MATCH($K319,'نقاط التحقق'!$A$2:$A$31,0))&amp;"","")</f>
        <v>خطة توظيف وتدريب مستكملة</v>
      </c>
      <c r="M319" s="14" t="str">
        <f>IFERROR(INDEX('نقاط التحقق'!$H$2:$H$31,MATCH($K319,'نقاط التحقق'!$A$2:$A$31,0))&amp;"","")</f>
        <v/>
      </c>
      <c r="N319" s="13">
        <v>75</v>
      </c>
      <c r="O319" s="15" t="str">
        <f>IF($N319="","غير مقيّمة",IF($N319&gt;المرجع!$K$3,"مستوفاة بشكل متقدم",IF($N319&lt;=المرجع!$K$2,"مستوفاة بشكل أولي","مستوفاة بشكل جزئي")))</f>
        <v>مستوفاة بشكل متقدم</v>
      </c>
      <c r="P319" s="18" t="s">
        <v>2170</v>
      </c>
    </row>
    <row r="320" spans="1:16">
      <c r="A320" s="16" t="s">
        <v>704</v>
      </c>
      <c r="B320" s="16" t="s">
        <v>179</v>
      </c>
      <c r="C320" s="15" t="str">
        <f>IFERROR(INDEX('قائمة الوحدات'!$B$2:$B$41,MATCH($B320,'قائمة الوحدات'!$A$2:$A$41,0)),"")</f>
        <v>EXE</v>
      </c>
      <c r="D320" s="14" t="str">
        <f>IFERROR(INDEX('قائمة الوحدات'!$C$2:$C$41,MATCH($B320,'قائمة الوحدات'!$A$2:$A$41,0)),"")</f>
        <v>الشؤون التنفيذية</v>
      </c>
      <c r="E320" s="14" t="str">
        <f>IFERROR(INDEX('قائمة الوحدات'!$D$2:$D$41,MATCH($B320,'قائمة الوحدات'!$A$2:$A$41,0)),"")</f>
        <v>وكالة الشؤون الاستراتيجية</v>
      </c>
      <c r="F320" s="14" t="str">
        <f>IFERROR(INDEX('قائمة الوحدات'!$F$2:$F$41,MATCH($B320,'قائمة الوحدات'!$A$2:$A$41,0)),"")</f>
        <v>وكالة الشؤون الاستراتيجية</v>
      </c>
      <c r="G320" s="16" t="s">
        <v>61</v>
      </c>
      <c r="H320" s="14" t="str">
        <f>IFERROR(INDEX(المرجع!$A$2:$A$19,MATCH($G320,المرجع!$B$2:$B$19,0)),"")</f>
        <v>البناء المؤسسي</v>
      </c>
      <c r="I320" s="16" t="s">
        <v>56</v>
      </c>
      <c r="J320" s="14" t="str">
        <f>IFERROR(INDEX(المرجع!$D$2:$D$19,MATCH($I320,المرجع!$E$2:$E$19,0)),"")</f>
        <v>الموارد</v>
      </c>
      <c r="K320" s="16" t="s">
        <v>108</v>
      </c>
      <c r="L320" s="17" t="str">
        <f>IFERROR(INDEX('نقاط التحقق'!$G$2:$G$31,MATCH($K320,'نقاط التحقق'!$A$2:$A$31,0))&amp;"","")</f>
        <v>وجود مساحات مكتبية كافية</v>
      </c>
      <c r="M320" s="14" t="str">
        <f>IFERROR(INDEX('نقاط التحقق'!$H$2:$H$31,MATCH($K320,'نقاط التحقق'!$A$2:$A$31,0))&amp;"","")</f>
        <v/>
      </c>
      <c r="N320" s="13">
        <v>90</v>
      </c>
      <c r="O320" s="15" t="str">
        <f>IF($N320="","غير مقيّمة",IF($N320&gt;المرجع!$K$3,"مستوفاة بشكل متقدم",IF($N320&lt;=المرجع!$K$2,"مستوفاة بشكل أولي","مستوفاة بشكل جزئي")))</f>
        <v>مستوفاة بشكل متقدم</v>
      </c>
      <c r="P320" s="18" t="s">
        <v>2170</v>
      </c>
    </row>
    <row r="321" spans="1:16">
      <c r="A321" s="16" t="s">
        <v>705</v>
      </c>
      <c r="B321" s="16" t="s">
        <v>179</v>
      </c>
      <c r="C321" s="15" t="str">
        <f>IFERROR(INDEX('قائمة الوحدات'!$B$2:$B$41,MATCH($B321,'قائمة الوحدات'!$A$2:$A$41,0)),"")</f>
        <v>EXE</v>
      </c>
      <c r="D321" s="14" t="str">
        <f>IFERROR(INDEX('قائمة الوحدات'!$C$2:$C$41,MATCH($B321,'قائمة الوحدات'!$A$2:$A$41,0)),"")</f>
        <v>الشؤون التنفيذية</v>
      </c>
      <c r="E321" s="14" t="str">
        <f>IFERROR(INDEX('قائمة الوحدات'!$D$2:$D$41,MATCH($B321,'قائمة الوحدات'!$A$2:$A$41,0)),"")</f>
        <v>وكالة الشؤون الاستراتيجية</v>
      </c>
      <c r="F321" s="14" t="str">
        <f>IFERROR(INDEX('قائمة الوحدات'!$F$2:$F$41,MATCH($B321,'قائمة الوحدات'!$A$2:$A$41,0)),"")</f>
        <v>وكالة الشؤون الاستراتيجية</v>
      </c>
      <c r="G321" s="16" t="s">
        <v>61</v>
      </c>
      <c r="H321" s="14" t="str">
        <f>IFERROR(INDEX(المرجع!$A$2:$A$19,MATCH($G321,المرجع!$B$2:$B$19,0)),"")</f>
        <v>البناء المؤسسي</v>
      </c>
      <c r="I321" s="16" t="s">
        <v>56</v>
      </c>
      <c r="J321" s="14" t="str">
        <f>IFERROR(INDEX(المرجع!$D$2:$D$19,MATCH($I321,المرجع!$E$2:$E$19,0)),"")</f>
        <v>الموارد</v>
      </c>
      <c r="K321" s="16" t="s">
        <v>110</v>
      </c>
      <c r="L321" s="17" t="str">
        <f>IFERROR(INDEX('نقاط التحقق'!$G$2:$G$31,MATCH($K321,'نقاط التحقق'!$A$2:$A$31,0))&amp;"","")</f>
        <v>وجود الاحتياجات التقنية الأساسية</v>
      </c>
      <c r="M321" s="14" t="str">
        <f>IFERROR(INDEX('نقاط التحقق'!$H$2:$H$31,MATCH($K321,'نقاط التحقق'!$A$2:$A$31,0))&amp;"","")</f>
        <v/>
      </c>
      <c r="N321" s="13">
        <v>80</v>
      </c>
      <c r="O321" s="15" t="str">
        <f>IF($N321="","غير مقيّمة",IF($N321&gt;المرجع!$K$3,"مستوفاة بشكل متقدم",IF($N321&lt;=المرجع!$K$2,"مستوفاة بشكل أولي","مستوفاة بشكل جزئي")))</f>
        <v>مستوفاة بشكل متقدم</v>
      </c>
      <c r="P321" s="18" t="s">
        <v>2170</v>
      </c>
    </row>
    <row r="322" spans="1:16">
      <c r="A322" s="16" t="s">
        <v>706</v>
      </c>
      <c r="B322" s="16" t="s">
        <v>179</v>
      </c>
      <c r="C322" s="15" t="str">
        <f>IFERROR(INDEX('قائمة الوحدات'!$B$2:$B$41,MATCH($B322,'قائمة الوحدات'!$A$2:$A$41,0)),"")</f>
        <v>EXE</v>
      </c>
      <c r="D322" s="14" t="str">
        <f>IFERROR(INDEX('قائمة الوحدات'!$C$2:$C$41,MATCH($B322,'قائمة الوحدات'!$A$2:$A$41,0)),"")</f>
        <v>الشؤون التنفيذية</v>
      </c>
      <c r="E322" s="14" t="str">
        <f>IFERROR(INDEX('قائمة الوحدات'!$D$2:$D$41,MATCH($B322,'قائمة الوحدات'!$A$2:$A$41,0)),"")</f>
        <v>وكالة الشؤون الاستراتيجية</v>
      </c>
      <c r="F322" s="14" t="str">
        <f>IFERROR(INDEX('قائمة الوحدات'!$F$2:$F$41,MATCH($B322,'قائمة الوحدات'!$A$2:$A$41,0)),"")</f>
        <v>وكالة الشؤون الاستراتيجية</v>
      </c>
      <c r="G322" s="16" t="s">
        <v>61</v>
      </c>
      <c r="H322" s="14" t="str">
        <f>IFERROR(INDEX(المرجع!$A$2:$A$19,MATCH($G322,المرجع!$B$2:$B$19,0)),"")</f>
        <v>البناء المؤسسي</v>
      </c>
      <c r="I322" s="16" t="s">
        <v>59</v>
      </c>
      <c r="J322" s="14" t="str">
        <f>IFERROR(INDEX(المرجع!$D$2:$D$19,MATCH($I322,المرجع!$E$2:$E$19,0)),"")</f>
        <v>الإجراءات</v>
      </c>
      <c r="K322" s="16" t="s">
        <v>112</v>
      </c>
      <c r="L322" s="17" t="str">
        <f>IFERROR(INDEX('نقاط التحقق'!$G$2:$G$31,MATCH($K322,'نقاط التحقق'!$A$2:$A$31,0))&amp;"","")</f>
        <v>إجراءات معتمدة للوحدة التنظيمية</v>
      </c>
      <c r="M322" s="14" t="str">
        <f>IFERROR(INDEX('نقاط التحقق'!$H$2:$H$31,MATCH($K322,'نقاط التحقق'!$A$2:$A$31,0))&amp;"","")</f>
        <v/>
      </c>
      <c r="N322" s="13">
        <v>78</v>
      </c>
      <c r="O322" s="15" t="str">
        <f>IF($N322="","غير مقيّمة",IF($N322&gt;المرجع!$K$3,"مستوفاة بشكل متقدم",IF($N322&lt;=المرجع!$K$2,"مستوفاة بشكل أولي","مستوفاة بشكل جزئي")))</f>
        <v>مستوفاة بشكل متقدم</v>
      </c>
      <c r="P322" s="18" t="s">
        <v>2170</v>
      </c>
    </row>
    <row r="323" spans="1:16">
      <c r="A323" s="16" t="s">
        <v>707</v>
      </c>
      <c r="B323" s="16" t="s">
        <v>179</v>
      </c>
      <c r="C323" s="15" t="str">
        <f>IFERROR(INDEX('قائمة الوحدات'!$B$2:$B$41,MATCH($B323,'قائمة الوحدات'!$A$2:$A$41,0)),"")</f>
        <v>EXE</v>
      </c>
      <c r="D323" s="14" t="str">
        <f>IFERROR(INDEX('قائمة الوحدات'!$C$2:$C$41,MATCH($B323,'قائمة الوحدات'!$A$2:$A$41,0)),"")</f>
        <v>الشؤون التنفيذية</v>
      </c>
      <c r="E323" s="14" t="str">
        <f>IFERROR(INDEX('قائمة الوحدات'!$D$2:$D$41,MATCH($B323,'قائمة الوحدات'!$A$2:$A$41,0)),"")</f>
        <v>وكالة الشؤون الاستراتيجية</v>
      </c>
      <c r="F323" s="14" t="str">
        <f>IFERROR(INDEX('قائمة الوحدات'!$F$2:$F$41,MATCH($B323,'قائمة الوحدات'!$A$2:$A$41,0)),"")</f>
        <v>وكالة الشؤون الاستراتيجية</v>
      </c>
      <c r="G323" s="16" t="s">
        <v>61</v>
      </c>
      <c r="H323" s="14" t="str">
        <f>IFERROR(INDEX(المرجع!$A$2:$A$19,MATCH($G323,المرجع!$B$2:$B$19,0)),"")</f>
        <v>البناء المؤسسي</v>
      </c>
      <c r="I323" s="16" t="s">
        <v>63</v>
      </c>
      <c r="J323" s="14" t="str">
        <f>IFERROR(INDEX(المرجع!$D$2:$D$19,MATCH($I323,المرجع!$E$2:$E$19,0)),"")</f>
        <v>إنتاج المخرج الأول</v>
      </c>
      <c r="K323" s="16" t="s">
        <v>114</v>
      </c>
      <c r="L323" s="17" t="str">
        <f>IFERROR(INDEX('نقاط التحقق'!$G$2:$G$31,MATCH($K323,'نقاط التحقق'!$A$2:$A$31,0))&amp;"","")</f>
        <v>إنتاج المخرج الأول من قبل الوحدة التنظيمية</v>
      </c>
      <c r="M323" s="14" t="str">
        <f>IFERROR(INDEX('نقاط التحقق'!$H$2:$H$31,MATCH($K323,'نقاط التحقق'!$A$2:$A$31,0))&amp;"","")</f>
        <v/>
      </c>
      <c r="N323" s="13">
        <v>48</v>
      </c>
      <c r="O323" s="15" t="str">
        <f>IF($N323="","غير مقيّمة",IF($N323&gt;المرجع!$K$3,"مستوفاة بشكل متقدم",IF($N323&lt;=المرجع!$K$2,"مستوفاة بشكل أولي","مستوفاة بشكل جزئي")))</f>
        <v>مستوفاة بشكل جزئي</v>
      </c>
      <c r="P323" s="18" t="s">
        <v>2170</v>
      </c>
    </row>
    <row r="324" spans="1:16">
      <c r="A324" s="16" t="s">
        <v>708</v>
      </c>
      <c r="B324" s="16" t="s">
        <v>179</v>
      </c>
      <c r="C324" s="15" t="str">
        <f>IFERROR(INDEX('قائمة الوحدات'!$B$2:$B$41,MATCH($B324,'قائمة الوحدات'!$A$2:$A$41,0)),"")</f>
        <v>EXE</v>
      </c>
      <c r="D324" s="14" t="str">
        <f>IFERROR(INDEX('قائمة الوحدات'!$C$2:$C$41,MATCH($B324,'قائمة الوحدات'!$A$2:$A$41,0)),"")</f>
        <v>الشؤون التنفيذية</v>
      </c>
      <c r="E324" s="14" t="str">
        <f>IFERROR(INDEX('قائمة الوحدات'!$D$2:$D$41,MATCH($B324,'قائمة الوحدات'!$A$2:$A$41,0)),"")</f>
        <v>وكالة الشؤون الاستراتيجية</v>
      </c>
      <c r="F324" s="14" t="str">
        <f>IFERROR(INDEX('قائمة الوحدات'!$F$2:$F$41,MATCH($B324,'قائمة الوحدات'!$A$2:$A$41,0)),"")</f>
        <v>وكالة الشؤون الاستراتيجية</v>
      </c>
      <c r="G324" s="16" t="s">
        <v>65</v>
      </c>
      <c r="H324" s="14" t="str">
        <f>IFERROR(INDEX(المرجع!$A$2:$A$19,MATCH($G324,المرجع!$B$2:$B$19,0)),"")</f>
        <v>التشغيل</v>
      </c>
      <c r="I324" s="16" t="s">
        <v>48</v>
      </c>
      <c r="J324" s="14" t="str">
        <f>IFERROR(INDEX(المرجع!$D$2:$D$19,MATCH($I324,المرجع!$E$2:$E$19,0)),"")</f>
        <v>الأهداف ومؤشرات الأداء</v>
      </c>
      <c r="K324" s="16" t="s">
        <v>116</v>
      </c>
      <c r="L324" s="17" t="str">
        <f>IFERROR(INDEX('نقاط التحقق'!$G$2:$G$31,MATCH($K324,'نقاط التحقق'!$A$2:$A$31,0))&amp;"","")</f>
        <v>تحرك مؤشرات الأداء التشغيلي للوحدة التنظيمية بشكل إيجابي</v>
      </c>
      <c r="M324" s="14" t="str">
        <f>IFERROR(INDEX('نقاط التحقق'!$H$2:$H$31,MATCH($K324,'نقاط التحقق'!$A$2:$A$31,0))&amp;"","")</f>
        <v/>
      </c>
      <c r="N324" s="13">
        <v>35</v>
      </c>
      <c r="O324" s="15" t="str">
        <f>IF($N324="","غير مقيّمة",IF($N324&gt;المرجع!$K$3,"مستوفاة بشكل متقدم",IF($N324&lt;=المرجع!$K$2,"مستوفاة بشكل أولي","مستوفاة بشكل جزئي")))</f>
        <v>مستوفاة بشكل جزئي</v>
      </c>
      <c r="P324" s="18" t="s">
        <v>2170</v>
      </c>
    </row>
    <row r="325" spans="1:16">
      <c r="A325" s="16" t="s">
        <v>709</v>
      </c>
      <c r="B325" s="16" t="s">
        <v>179</v>
      </c>
      <c r="C325" s="15" t="str">
        <f>IFERROR(INDEX('قائمة الوحدات'!$B$2:$B$41,MATCH($B325,'قائمة الوحدات'!$A$2:$A$41,0)),"")</f>
        <v>EXE</v>
      </c>
      <c r="D325" s="14" t="str">
        <f>IFERROR(INDEX('قائمة الوحدات'!$C$2:$C$41,MATCH($B325,'قائمة الوحدات'!$A$2:$A$41,0)),"")</f>
        <v>الشؤون التنفيذية</v>
      </c>
      <c r="E325" s="14" t="str">
        <f>IFERROR(INDEX('قائمة الوحدات'!$D$2:$D$41,MATCH($B325,'قائمة الوحدات'!$A$2:$A$41,0)),"")</f>
        <v>وكالة الشؤون الاستراتيجية</v>
      </c>
      <c r="F325" s="14" t="str">
        <f>IFERROR(INDEX('قائمة الوحدات'!$F$2:$F$41,MATCH($B325,'قائمة الوحدات'!$A$2:$A$41,0)),"")</f>
        <v>وكالة الشؤون الاستراتيجية</v>
      </c>
      <c r="G325" s="16" t="s">
        <v>65</v>
      </c>
      <c r="H325" s="14" t="str">
        <f>IFERROR(INDEX(المرجع!$A$2:$A$19,MATCH($G325,المرجع!$B$2:$B$19,0)),"")</f>
        <v>التشغيل</v>
      </c>
      <c r="I325" s="16" t="s">
        <v>48</v>
      </c>
      <c r="J325" s="14" t="str">
        <f>IFERROR(INDEX(المرجع!$D$2:$D$19,MATCH($I325,المرجع!$E$2:$E$19,0)),"")</f>
        <v>الأهداف ومؤشرات الأداء</v>
      </c>
      <c r="K325" s="16" t="s">
        <v>118</v>
      </c>
      <c r="L325" s="17" t="str">
        <f>IFERROR(INDEX('نقاط التحقق'!$G$2:$G$31,MATCH($K325,'نقاط التحقق'!$A$2:$A$31,0))&amp;"","")</f>
        <v>خطة سنوية معتمدة للوحدة التنظيمية</v>
      </c>
      <c r="M325" s="14" t="str">
        <f>IFERROR(INDEX('نقاط التحقق'!$H$2:$H$31,MATCH($K325,'نقاط التحقق'!$A$2:$A$31,0))&amp;"","")</f>
        <v/>
      </c>
      <c r="N325" s="13">
        <v>35</v>
      </c>
      <c r="O325" s="15" t="str">
        <f>IF($N325="","غير مقيّمة",IF($N325&gt;المرجع!$K$3,"مستوفاة بشكل متقدم",IF($N325&lt;=المرجع!$K$2,"مستوفاة بشكل أولي","مستوفاة بشكل جزئي")))</f>
        <v>مستوفاة بشكل جزئي</v>
      </c>
      <c r="P325" s="18" t="s">
        <v>2170</v>
      </c>
    </row>
    <row r="326" spans="1:16">
      <c r="A326" s="16" t="s">
        <v>710</v>
      </c>
      <c r="B326" s="16" t="s">
        <v>179</v>
      </c>
      <c r="C326" s="15" t="str">
        <f>IFERROR(INDEX('قائمة الوحدات'!$B$2:$B$41,MATCH($B326,'قائمة الوحدات'!$A$2:$A$41,0)),"")</f>
        <v>EXE</v>
      </c>
      <c r="D326" s="14" t="str">
        <f>IFERROR(INDEX('قائمة الوحدات'!$C$2:$C$41,MATCH($B326,'قائمة الوحدات'!$A$2:$A$41,0)),"")</f>
        <v>الشؤون التنفيذية</v>
      </c>
      <c r="E326" s="14" t="str">
        <f>IFERROR(INDEX('قائمة الوحدات'!$D$2:$D$41,MATCH($B326,'قائمة الوحدات'!$A$2:$A$41,0)),"")</f>
        <v>وكالة الشؤون الاستراتيجية</v>
      </c>
      <c r="F326" s="14" t="str">
        <f>IFERROR(INDEX('قائمة الوحدات'!$F$2:$F$41,MATCH($B326,'قائمة الوحدات'!$A$2:$A$41,0)),"")</f>
        <v>وكالة الشؤون الاستراتيجية</v>
      </c>
      <c r="G326" s="16" t="s">
        <v>65</v>
      </c>
      <c r="H326" s="14" t="str">
        <f>IFERROR(INDEX(المرجع!$A$2:$A$19,MATCH($G326,المرجع!$B$2:$B$19,0)),"")</f>
        <v>التشغيل</v>
      </c>
      <c r="I326" s="16" t="s">
        <v>51</v>
      </c>
      <c r="J326" s="14" t="str">
        <f>IFERROR(INDEX(المرجع!$D$2:$D$19,MATCH($I326,المرجع!$E$2:$E$19,0)),"")</f>
        <v>الحوكمة</v>
      </c>
      <c r="K326" s="16" t="s">
        <v>120</v>
      </c>
      <c r="L326" s="17" t="str">
        <f>IFERROR(INDEX('نقاط التحقق'!$G$2:$G$31,MATCH($K326,'نقاط التحقق'!$A$2:$A$31,0))&amp;"","")</f>
        <v>محاضر لجان موثقة</v>
      </c>
      <c r="M326" s="14" t="str">
        <f>IFERROR(INDEX('نقاط التحقق'!$H$2:$H$31,MATCH($K326,'نقاط التحقق'!$A$2:$A$31,0))&amp;"","")</f>
        <v/>
      </c>
      <c r="N326" s="13">
        <v>70</v>
      </c>
      <c r="O326" s="15" t="str">
        <f>IF($N326="","غير مقيّمة",IF($N326&gt;المرجع!$K$3,"مستوفاة بشكل متقدم",IF($N326&lt;=المرجع!$K$2,"مستوفاة بشكل أولي","مستوفاة بشكل جزئي")))</f>
        <v>مستوفاة بشكل جزئي</v>
      </c>
      <c r="P326" s="18" t="s">
        <v>2170</v>
      </c>
    </row>
    <row r="327" spans="1:16">
      <c r="A327" s="16" t="s">
        <v>711</v>
      </c>
      <c r="B327" s="16" t="s">
        <v>179</v>
      </c>
      <c r="C327" s="15" t="str">
        <f>IFERROR(INDEX('قائمة الوحدات'!$B$2:$B$41,MATCH($B327,'قائمة الوحدات'!$A$2:$A$41,0)),"")</f>
        <v>EXE</v>
      </c>
      <c r="D327" s="14" t="str">
        <f>IFERROR(INDEX('قائمة الوحدات'!$C$2:$C$41,MATCH($B327,'قائمة الوحدات'!$A$2:$A$41,0)),"")</f>
        <v>الشؤون التنفيذية</v>
      </c>
      <c r="E327" s="14" t="str">
        <f>IFERROR(INDEX('قائمة الوحدات'!$D$2:$D$41,MATCH($B327,'قائمة الوحدات'!$A$2:$A$41,0)),"")</f>
        <v>وكالة الشؤون الاستراتيجية</v>
      </c>
      <c r="F327" s="14" t="str">
        <f>IFERROR(INDEX('قائمة الوحدات'!$F$2:$F$41,MATCH($B327,'قائمة الوحدات'!$A$2:$A$41,0)),"")</f>
        <v>وكالة الشؤون الاستراتيجية</v>
      </c>
      <c r="G327" s="16" t="s">
        <v>65</v>
      </c>
      <c r="H327" s="14" t="str">
        <f>IFERROR(INDEX(المرجع!$A$2:$A$19,MATCH($G327,المرجع!$B$2:$B$19,0)),"")</f>
        <v>التشغيل</v>
      </c>
      <c r="I327" s="16" t="s">
        <v>51</v>
      </c>
      <c r="J327" s="14" t="str">
        <f>IFERROR(INDEX(المرجع!$D$2:$D$19,MATCH($I327,المرجع!$E$2:$E$19,0)),"")</f>
        <v>الحوكمة</v>
      </c>
      <c r="K327" s="16" t="s">
        <v>122</v>
      </c>
      <c r="L327" s="17" t="str">
        <f>IFERROR(INDEX('نقاط التحقق'!$G$2:$G$31,MATCH($K327,'نقاط التحقق'!$A$2:$A$31,0))&amp;"","")</f>
        <v>نشر السياسات التي تملكها الوحدة التنظيمية</v>
      </c>
      <c r="M327" s="14" t="str">
        <f>IFERROR(INDEX('نقاط التحقق'!$H$2:$H$31,MATCH($K327,'نقاط التحقق'!$A$2:$A$31,0))&amp;"","")</f>
        <v/>
      </c>
      <c r="N327" s="13">
        <v>50</v>
      </c>
      <c r="O327" s="15" t="str">
        <f>IF($N327="","غير مقيّمة",IF($N327&gt;المرجع!$K$3,"مستوفاة بشكل متقدم",IF($N327&lt;=المرجع!$K$2,"مستوفاة بشكل أولي","مستوفاة بشكل جزئي")))</f>
        <v>مستوفاة بشكل جزئي</v>
      </c>
      <c r="P327" s="18" t="s">
        <v>2170</v>
      </c>
    </row>
    <row r="328" spans="1:16">
      <c r="A328" s="16" t="s">
        <v>712</v>
      </c>
      <c r="B328" s="16" t="s">
        <v>179</v>
      </c>
      <c r="C328" s="15" t="str">
        <f>IFERROR(INDEX('قائمة الوحدات'!$B$2:$B$41,MATCH($B328,'قائمة الوحدات'!$A$2:$A$41,0)),"")</f>
        <v>EXE</v>
      </c>
      <c r="D328" s="14" t="str">
        <f>IFERROR(INDEX('قائمة الوحدات'!$C$2:$C$41,MATCH($B328,'قائمة الوحدات'!$A$2:$A$41,0)),"")</f>
        <v>الشؤون التنفيذية</v>
      </c>
      <c r="E328" s="14" t="str">
        <f>IFERROR(INDEX('قائمة الوحدات'!$D$2:$D$41,MATCH($B328,'قائمة الوحدات'!$A$2:$A$41,0)),"")</f>
        <v>وكالة الشؤون الاستراتيجية</v>
      </c>
      <c r="F328" s="14" t="str">
        <f>IFERROR(INDEX('قائمة الوحدات'!$F$2:$F$41,MATCH($B328,'قائمة الوحدات'!$A$2:$A$41,0)),"")</f>
        <v>وكالة الشؤون الاستراتيجية</v>
      </c>
      <c r="G328" s="16" t="s">
        <v>65</v>
      </c>
      <c r="H328" s="14" t="str">
        <f>IFERROR(INDEX(المرجع!$A$2:$A$19,MATCH($G328,المرجع!$B$2:$B$19,0)),"")</f>
        <v>التشغيل</v>
      </c>
      <c r="I328" s="16" t="s">
        <v>51</v>
      </c>
      <c r="J328" s="14" t="str">
        <f>IFERROR(INDEX(المرجع!$D$2:$D$19,MATCH($I328,المرجع!$E$2:$E$19,0)),"")</f>
        <v>الحوكمة</v>
      </c>
      <c r="K328" s="16" t="s">
        <v>124</v>
      </c>
      <c r="L328" s="17" t="str">
        <f>IFERROR(INDEX('نقاط التحقق'!$G$2:$G$31,MATCH($K328,'نقاط التحقق'!$A$2:$A$31,0))&amp;"","")</f>
        <v>اتخاذ القرارات في نطاق الصلاحيات (وجود شواهد)</v>
      </c>
      <c r="M328" s="14" t="str">
        <f>IFERROR(INDEX('نقاط التحقق'!$H$2:$H$31,MATCH($K328,'نقاط التحقق'!$A$2:$A$31,0))&amp;"","")</f>
        <v/>
      </c>
      <c r="N328" s="13">
        <v>70</v>
      </c>
      <c r="O328" s="15" t="str">
        <f>IF($N328="","غير مقيّمة",IF($N328&gt;المرجع!$K$3,"مستوفاة بشكل متقدم",IF($N328&lt;=المرجع!$K$2,"مستوفاة بشكل أولي","مستوفاة بشكل جزئي")))</f>
        <v>مستوفاة بشكل جزئي</v>
      </c>
      <c r="P328" s="18" t="s">
        <v>2170</v>
      </c>
    </row>
    <row r="329" spans="1:16">
      <c r="A329" s="16" t="s">
        <v>713</v>
      </c>
      <c r="B329" s="16" t="s">
        <v>179</v>
      </c>
      <c r="C329" s="15" t="str">
        <f>IFERROR(INDEX('قائمة الوحدات'!$B$2:$B$41,MATCH($B329,'قائمة الوحدات'!$A$2:$A$41,0)),"")</f>
        <v>EXE</v>
      </c>
      <c r="D329" s="14" t="str">
        <f>IFERROR(INDEX('قائمة الوحدات'!$C$2:$C$41,MATCH($B329,'قائمة الوحدات'!$A$2:$A$41,0)),"")</f>
        <v>الشؤون التنفيذية</v>
      </c>
      <c r="E329" s="14" t="str">
        <f>IFERROR(INDEX('قائمة الوحدات'!$D$2:$D$41,MATCH($B329,'قائمة الوحدات'!$A$2:$A$41,0)),"")</f>
        <v>وكالة الشؤون الاستراتيجية</v>
      </c>
      <c r="F329" s="14" t="str">
        <f>IFERROR(INDEX('قائمة الوحدات'!$F$2:$F$41,MATCH($B329,'قائمة الوحدات'!$A$2:$A$41,0)),"")</f>
        <v>وكالة الشؤون الاستراتيجية</v>
      </c>
      <c r="G329" s="16" t="s">
        <v>65</v>
      </c>
      <c r="H329" s="14" t="str">
        <f>IFERROR(INDEX(المرجع!$A$2:$A$19,MATCH($G329,المرجع!$B$2:$B$19,0)),"")</f>
        <v>التشغيل</v>
      </c>
      <c r="I329" s="16" t="s">
        <v>56</v>
      </c>
      <c r="J329" s="14" t="str">
        <f>IFERROR(INDEX(المرجع!$D$2:$D$19,MATCH($I329,المرجع!$E$2:$E$19,0)),"")</f>
        <v>الموارد</v>
      </c>
      <c r="K329" s="16" t="s">
        <v>126</v>
      </c>
      <c r="L329" s="17" t="str">
        <f>IFERROR(INDEX('نقاط التحقق'!$G$2:$G$31,MATCH($K329,'نقاط التحقق'!$A$2:$A$31,0))&amp;"","")</f>
        <v>موارد مستكملة للحد الأدنى الذي يغطي كافة محاور سلسلة القيمة</v>
      </c>
      <c r="M329" s="14" t="str">
        <f>IFERROR(INDEX('نقاط التحقق'!$H$2:$H$31,MATCH($K329,'نقاط التحقق'!$A$2:$A$31,0))&amp;"","")</f>
        <v/>
      </c>
      <c r="N329" s="13">
        <v>38</v>
      </c>
      <c r="O329" s="15" t="str">
        <f>IF($N329="","غير مقيّمة",IF($N329&gt;المرجع!$K$3,"مستوفاة بشكل متقدم",IF($N329&lt;=المرجع!$K$2,"مستوفاة بشكل أولي","مستوفاة بشكل جزئي")))</f>
        <v>مستوفاة بشكل جزئي</v>
      </c>
      <c r="P329" s="18" t="s">
        <v>2170</v>
      </c>
    </row>
    <row r="330" spans="1:16">
      <c r="A330" s="16" t="s">
        <v>714</v>
      </c>
      <c r="B330" s="16" t="s">
        <v>179</v>
      </c>
      <c r="C330" s="15" t="str">
        <f>IFERROR(INDEX('قائمة الوحدات'!$B$2:$B$41,MATCH($B330,'قائمة الوحدات'!$A$2:$A$41,0)),"")</f>
        <v>EXE</v>
      </c>
      <c r="D330" s="14" t="str">
        <f>IFERROR(INDEX('قائمة الوحدات'!$C$2:$C$41,MATCH($B330,'قائمة الوحدات'!$A$2:$A$41,0)),"")</f>
        <v>الشؤون التنفيذية</v>
      </c>
      <c r="E330" s="14" t="str">
        <f>IFERROR(INDEX('قائمة الوحدات'!$D$2:$D$41,MATCH($B330,'قائمة الوحدات'!$A$2:$A$41,0)),"")</f>
        <v>وكالة الشؤون الاستراتيجية</v>
      </c>
      <c r="F330" s="14" t="str">
        <f>IFERROR(INDEX('قائمة الوحدات'!$F$2:$F$41,MATCH($B330,'قائمة الوحدات'!$A$2:$A$41,0)),"")</f>
        <v>وكالة الشؤون الاستراتيجية</v>
      </c>
      <c r="G330" s="16" t="s">
        <v>65</v>
      </c>
      <c r="H330" s="14" t="str">
        <f>IFERROR(INDEX(المرجع!$A$2:$A$19,MATCH($G330,المرجع!$B$2:$B$19,0)),"")</f>
        <v>التشغيل</v>
      </c>
      <c r="I330" s="16" t="s">
        <v>59</v>
      </c>
      <c r="J330" s="14" t="str">
        <f>IFERROR(INDEX(المرجع!$D$2:$D$19,MATCH($I330,المرجع!$E$2:$E$19,0)),"")</f>
        <v>الإجراءات</v>
      </c>
      <c r="K330" s="16" t="s">
        <v>128</v>
      </c>
      <c r="L330" s="17" t="str">
        <f>IFERROR(INDEX('نقاط التحقق'!$G$2:$G$31,MATCH($K330,'نقاط التحقق'!$A$2:$A$31,0))&amp;"","")</f>
        <v>تحقيق تقييم "مطبق بشكل كامل" من منهجية تقييم فعالية الإجراءات</v>
      </c>
      <c r="M330" s="14" t="str">
        <f>IFERROR(INDEX('نقاط التحقق'!$H$2:$H$31,MATCH($K330,'نقاط التحقق'!$A$2:$A$31,0))&amp;"","")</f>
        <v/>
      </c>
      <c r="N330" s="13">
        <v>57</v>
      </c>
      <c r="O330" s="15" t="str">
        <f>IF($N330="","غير مقيّمة",IF($N330&gt;المرجع!$K$3,"مستوفاة بشكل متقدم",IF($N330&lt;=المرجع!$K$2,"مستوفاة بشكل أولي","مستوفاة بشكل جزئي")))</f>
        <v>مستوفاة بشكل جزئي</v>
      </c>
      <c r="P330" s="18" t="s">
        <v>2170</v>
      </c>
    </row>
    <row r="331" spans="1:16">
      <c r="A331" s="16" t="s">
        <v>715</v>
      </c>
      <c r="B331" s="16" t="s">
        <v>179</v>
      </c>
      <c r="C331" s="15" t="str">
        <f>IFERROR(INDEX('قائمة الوحدات'!$B$2:$B$41,MATCH($B331,'قائمة الوحدات'!$A$2:$A$41,0)),"")</f>
        <v>EXE</v>
      </c>
      <c r="D331" s="14" t="str">
        <f>IFERROR(INDEX('قائمة الوحدات'!$C$2:$C$41,MATCH($B331,'قائمة الوحدات'!$A$2:$A$41,0)),"")</f>
        <v>الشؤون التنفيذية</v>
      </c>
      <c r="E331" s="14" t="str">
        <f>IFERROR(INDEX('قائمة الوحدات'!$D$2:$D$41,MATCH($B331,'قائمة الوحدات'!$A$2:$A$41,0)),"")</f>
        <v>وكالة الشؤون الاستراتيجية</v>
      </c>
      <c r="F331" s="14" t="str">
        <f>IFERROR(INDEX('قائمة الوحدات'!$F$2:$F$41,MATCH($B331,'قائمة الوحدات'!$A$2:$A$41,0)),"")</f>
        <v>وكالة الشؤون الاستراتيجية</v>
      </c>
      <c r="G331" s="16" t="s">
        <v>65</v>
      </c>
      <c r="H331" s="14" t="str">
        <f>IFERROR(INDEX(المرجع!$A$2:$A$19,MATCH($G331,المرجع!$B$2:$B$19,0)),"")</f>
        <v>التشغيل</v>
      </c>
      <c r="I331" s="16" t="s">
        <v>67</v>
      </c>
      <c r="J331" s="14" t="str">
        <f>IFERROR(INDEX(المرجع!$D$2:$D$19,MATCH($I331,المرجع!$E$2:$E$19,0)),"")</f>
        <v>اكتمال المخرجات المستهدفة</v>
      </c>
      <c r="K331" s="16" t="s">
        <v>130</v>
      </c>
      <c r="L331" s="17" t="str">
        <f>IFERROR(INDEX('نقاط التحقق'!$G$2:$G$31,MATCH($K331,'نقاط التحقق'!$A$2:$A$31,0))&amp;"","")</f>
        <v>اكتمال مخرجات النموذج التشغيلي المستهدف للوحدة التنظيمية</v>
      </c>
      <c r="M331" s="14" t="str">
        <f>IFERROR(INDEX('نقاط التحقق'!$H$2:$H$31,MATCH($K331,'نقاط التحقق'!$A$2:$A$31,0))&amp;"","")</f>
        <v/>
      </c>
      <c r="N331" s="13">
        <v>28</v>
      </c>
      <c r="O331" s="15" t="str">
        <f>IF($N331="","غير مقيّمة",IF($N331&gt;المرجع!$K$3,"مستوفاة بشكل متقدم",IF($N331&lt;=المرجع!$K$2,"مستوفاة بشكل أولي","مستوفاة بشكل جزئي")))</f>
        <v>مستوفاة بشكل أولي</v>
      </c>
      <c r="P331" s="18" t="s">
        <v>2170</v>
      </c>
    </row>
    <row r="332" spans="1:16">
      <c r="A332" s="16" t="s">
        <v>716</v>
      </c>
      <c r="B332" s="16" t="s">
        <v>182</v>
      </c>
      <c r="C332" s="15" t="str">
        <f>IFERROR(INDEX('قائمة الوحدات'!$B$2:$B$41,MATCH($B332,'قائمة الوحدات'!$A$2:$A$41,0)),"")</f>
        <v>EXE</v>
      </c>
      <c r="D332" s="14" t="str">
        <f>IFERROR(INDEX('قائمة الوحدات'!$C$2:$C$41,MATCH($B332,'قائمة الوحدات'!$A$2:$A$41,0)),"")</f>
        <v>الشؤون التنفيذية</v>
      </c>
      <c r="E332" s="14" t="str">
        <f>IFERROR(INDEX('قائمة الوحدات'!$D$2:$D$41,MATCH($B332,'قائمة الوحدات'!$A$2:$A$41,0)),"")</f>
        <v>وكالة التحول الرقمي</v>
      </c>
      <c r="F332" s="14" t="str">
        <f>IFERROR(INDEX('قائمة الوحدات'!$F$2:$F$41,MATCH($B332,'قائمة الوحدات'!$A$2:$A$41,0)),"")</f>
        <v>وكالة التحول الرقمي</v>
      </c>
      <c r="G332" s="16" t="s">
        <v>43</v>
      </c>
      <c r="H332" s="14" t="str">
        <f>IFERROR(INDEX(المرجع!$A$2:$A$19,MATCH($G332,المرجع!$B$2:$B$19,0)),"")</f>
        <v>التصميم</v>
      </c>
      <c r="I332" s="16" t="s">
        <v>45</v>
      </c>
      <c r="J332" s="14" t="str">
        <f>IFERROR(INDEX(المرجع!$D$2:$D$19,MATCH($I332,المرجع!$E$2:$E$19,0)),"")</f>
        <v>الدور</v>
      </c>
      <c r="K332" s="16" t="s">
        <v>72</v>
      </c>
      <c r="L332" s="17" t="str">
        <f>IFERROR(INDEX('نقاط التحقق'!$G$2:$G$31,MATCH($K332,'نقاط التحقق'!$A$2:$A$31,0))&amp;"","")</f>
        <v>دور مفصل للوحدة التنظيمية</v>
      </c>
      <c r="M332" s="14" t="str">
        <f>IFERROR(INDEX('نقاط التحقق'!$H$2:$H$31,MATCH($K332,'نقاط التحقق'!$A$2:$A$31,0))&amp;"","")</f>
        <v/>
      </c>
      <c r="N332" s="13">
        <v>80</v>
      </c>
      <c r="O332" s="15" t="str">
        <f>IF($N332="","غير مقيّمة",IF($N332&gt;المرجع!$K$3,"مستوفاة بشكل متقدم",IF($N332&lt;=المرجع!$K$2,"مستوفاة بشكل أولي","مستوفاة بشكل جزئي")))</f>
        <v>مستوفاة بشكل متقدم</v>
      </c>
      <c r="P332" s="18" t="s">
        <v>2170</v>
      </c>
    </row>
    <row r="333" spans="1:16">
      <c r="A333" s="16" t="s">
        <v>717</v>
      </c>
      <c r="B333" s="16" t="s">
        <v>182</v>
      </c>
      <c r="C333" s="15" t="str">
        <f>IFERROR(INDEX('قائمة الوحدات'!$B$2:$B$41,MATCH($B333,'قائمة الوحدات'!$A$2:$A$41,0)),"")</f>
        <v>EXE</v>
      </c>
      <c r="D333" s="14" t="str">
        <f>IFERROR(INDEX('قائمة الوحدات'!$C$2:$C$41,MATCH($B333,'قائمة الوحدات'!$A$2:$A$41,0)),"")</f>
        <v>الشؤون التنفيذية</v>
      </c>
      <c r="E333" s="14" t="str">
        <f>IFERROR(INDEX('قائمة الوحدات'!$D$2:$D$41,MATCH($B333,'قائمة الوحدات'!$A$2:$A$41,0)),"")</f>
        <v>وكالة التحول الرقمي</v>
      </c>
      <c r="F333" s="14" t="str">
        <f>IFERROR(INDEX('قائمة الوحدات'!$F$2:$F$41,MATCH($B333,'قائمة الوحدات'!$A$2:$A$41,0)),"")</f>
        <v>وكالة التحول الرقمي</v>
      </c>
      <c r="G333" s="16" t="s">
        <v>43</v>
      </c>
      <c r="H333" s="14" t="str">
        <f>IFERROR(INDEX(المرجع!$A$2:$A$19,MATCH($G333,المرجع!$B$2:$B$19,0)),"")</f>
        <v>التصميم</v>
      </c>
      <c r="I333" s="16" t="s">
        <v>48</v>
      </c>
      <c r="J333" s="14" t="str">
        <f>IFERROR(INDEX(المرجع!$D$2:$D$19,MATCH($I333,المرجع!$E$2:$E$19,0)),"")</f>
        <v>الأهداف ومؤشرات الأداء</v>
      </c>
      <c r="K333" s="16" t="s">
        <v>74</v>
      </c>
      <c r="L333" s="17" t="str">
        <f>IFERROR(INDEX('نقاط التحقق'!$G$2:$G$31,MATCH($K333,'نقاط التحقق'!$A$2:$A$31,0))&amp;"","")</f>
        <v>أهداف محددة للوحدة التنظيمية وربطها بمؤشرات أداء لقياسها</v>
      </c>
      <c r="M333" s="14" t="str">
        <f>IFERROR(INDEX('نقاط التحقق'!$H$2:$H$31,MATCH($K333,'نقاط التحقق'!$A$2:$A$31,0))&amp;"","")</f>
        <v/>
      </c>
      <c r="N333" s="13">
        <v>75</v>
      </c>
      <c r="O333" s="15" t="str">
        <f>IF($N333="","غير مقيّمة",IF($N333&gt;المرجع!$K$3,"مستوفاة بشكل متقدم",IF($N333&lt;=المرجع!$K$2,"مستوفاة بشكل أولي","مستوفاة بشكل جزئي")))</f>
        <v>مستوفاة بشكل متقدم</v>
      </c>
      <c r="P333" s="18" t="s">
        <v>2170</v>
      </c>
    </row>
    <row r="334" spans="1:16">
      <c r="A334" s="16" t="s">
        <v>718</v>
      </c>
      <c r="B334" s="16" t="s">
        <v>182</v>
      </c>
      <c r="C334" s="15" t="str">
        <f>IFERROR(INDEX('قائمة الوحدات'!$B$2:$B$41,MATCH($B334,'قائمة الوحدات'!$A$2:$A$41,0)),"")</f>
        <v>EXE</v>
      </c>
      <c r="D334" s="14" t="str">
        <f>IFERROR(INDEX('قائمة الوحدات'!$C$2:$C$41,MATCH($B334,'قائمة الوحدات'!$A$2:$A$41,0)),"")</f>
        <v>الشؤون التنفيذية</v>
      </c>
      <c r="E334" s="14" t="str">
        <f>IFERROR(INDEX('قائمة الوحدات'!$D$2:$D$41,MATCH($B334,'قائمة الوحدات'!$A$2:$A$41,0)),"")</f>
        <v>وكالة التحول الرقمي</v>
      </c>
      <c r="F334" s="14" t="str">
        <f>IFERROR(INDEX('قائمة الوحدات'!$F$2:$F$41,MATCH($B334,'قائمة الوحدات'!$A$2:$A$41,0)),"")</f>
        <v>وكالة التحول الرقمي</v>
      </c>
      <c r="G334" s="16" t="s">
        <v>43</v>
      </c>
      <c r="H334" s="14" t="str">
        <f>IFERROR(INDEX(المرجع!$A$2:$A$19,MATCH($G334,المرجع!$B$2:$B$19,0)),"")</f>
        <v>التصميم</v>
      </c>
      <c r="I334" s="16" t="s">
        <v>48</v>
      </c>
      <c r="J334" s="14" t="str">
        <f>IFERROR(INDEX(المرجع!$D$2:$D$19,MATCH($I334,المرجع!$E$2:$E$19,0)),"")</f>
        <v>الأهداف ومؤشرات الأداء</v>
      </c>
      <c r="K334" s="16" t="s">
        <v>76</v>
      </c>
      <c r="L334" s="17" t="str">
        <f>IFERROR(INDEX('نقاط التحقق'!$G$2:$G$31,MATCH($K334,'نقاط التحقق'!$A$2:$A$31,0))&amp;"","")</f>
        <v>مؤشرات أداء الوحدة التنظيمية</v>
      </c>
      <c r="M334" s="14" t="str">
        <f>IFERROR(INDEX('نقاط التحقق'!$H$2:$H$31,MATCH($K334,'نقاط التحقق'!$A$2:$A$31,0))&amp;"","")</f>
        <v/>
      </c>
      <c r="N334" s="13">
        <v>90</v>
      </c>
      <c r="O334" s="15" t="str">
        <f>IF($N334="","غير مقيّمة",IF($N334&gt;المرجع!$K$3,"مستوفاة بشكل متقدم",IF($N334&lt;=المرجع!$K$2,"مستوفاة بشكل أولي","مستوفاة بشكل جزئي")))</f>
        <v>مستوفاة بشكل متقدم</v>
      </c>
      <c r="P334" s="18" t="s">
        <v>2170</v>
      </c>
    </row>
    <row r="335" spans="1:16">
      <c r="A335" s="16" t="s">
        <v>719</v>
      </c>
      <c r="B335" s="16" t="s">
        <v>182</v>
      </c>
      <c r="C335" s="15" t="str">
        <f>IFERROR(INDEX('قائمة الوحدات'!$B$2:$B$41,MATCH($B335,'قائمة الوحدات'!$A$2:$A$41,0)),"")</f>
        <v>EXE</v>
      </c>
      <c r="D335" s="14" t="str">
        <f>IFERROR(INDEX('قائمة الوحدات'!$C$2:$C$41,MATCH($B335,'قائمة الوحدات'!$A$2:$A$41,0)),"")</f>
        <v>الشؤون التنفيذية</v>
      </c>
      <c r="E335" s="14" t="str">
        <f>IFERROR(INDEX('قائمة الوحدات'!$D$2:$D$41,MATCH($B335,'قائمة الوحدات'!$A$2:$A$41,0)),"")</f>
        <v>وكالة التحول الرقمي</v>
      </c>
      <c r="F335" s="14" t="str">
        <f>IFERROR(INDEX('قائمة الوحدات'!$F$2:$F$41,MATCH($B335,'قائمة الوحدات'!$A$2:$A$41,0)),"")</f>
        <v>وكالة التحول الرقمي</v>
      </c>
      <c r="G335" s="16" t="s">
        <v>43</v>
      </c>
      <c r="H335" s="14" t="str">
        <f>IFERROR(INDEX(المرجع!$A$2:$A$19,MATCH($G335,المرجع!$B$2:$B$19,0)),"")</f>
        <v>التصميم</v>
      </c>
      <c r="I335" s="16" t="s">
        <v>51</v>
      </c>
      <c r="J335" s="14" t="str">
        <f>IFERROR(INDEX(المرجع!$D$2:$D$19,MATCH($I335,المرجع!$E$2:$E$19,0)),"")</f>
        <v>الحوكمة</v>
      </c>
      <c r="K335" s="16" t="s">
        <v>78</v>
      </c>
      <c r="L335" s="17" t="str">
        <f>IFERROR(INDEX('نقاط التحقق'!$G$2:$G$31,MATCH($K335,'نقاط التحقق'!$A$2:$A$31,0))&amp;"","")</f>
        <v>تفصيل القرارات ومصفوفة الصلاحيات واللجان ذات العلاقة لاعتماد مخرجات الوحدة التنظيمية</v>
      </c>
      <c r="M335" s="14" t="str">
        <f>IFERROR(INDEX('نقاط التحقق'!$H$2:$H$31,MATCH($K335,'نقاط التحقق'!$A$2:$A$31,0))&amp;"","")</f>
        <v/>
      </c>
      <c r="N335" s="13">
        <v>69</v>
      </c>
      <c r="O335" s="15" t="str">
        <f>IF($N335="","غير مقيّمة",IF($N335&gt;المرجع!$K$3,"مستوفاة بشكل متقدم",IF($N335&lt;=المرجع!$K$2,"مستوفاة بشكل أولي","مستوفاة بشكل جزئي")))</f>
        <v>مستوفاة بشكل جزئي</v>
      </c>
      <c r="P335" s="18" t="s">
        <v>2170</v>
      </c>
    </row>
    <row r="336" spans="1:16">
      <c r="A336" s="16" t="s">
        <v>720</v>
      </c>
      <c r="B336" s="16" t="s">
        <v>182</v>
      </c>
      <c r="C336" s="15" t="str">
        <f>IFERROR(INDEX('قائمة الوحدات'!$B$2:$B$41,MATCH($B336,'قائمة الوحدات'!$A$2:$A$41,0)),"")</f>
        <v>EXE</v>
      </c>
      <c r="D336" s="14" t="str">
        <f>IFERROR(INDEX('قائمة الوحدات'!$C$2:$C$41,MATCH($B336,'قائمة الوحدات'!$A$2:$A$41,0)),"")</f>
        <v>الشؤون التنفيذية</v>
      </c>
      <c r="E336" s="14" t="str">
        <f>IFERROR(INDEX('قائمة الوحدات'!$D$2:$D$41,MATCH($B336,'قائمة الوحدات'!$A$2:$A$41,0)),"")</f>
        <v>وكالة التحول الرقمي</v>
      </c>
      <c r="F336" s="14" t="str">
        <f>IFERROR(INDEX('قائمة الوحدات'!$F$2:$F$41,MATCH($B336,'قائمة الوحدات'!$A$2:$A$41,0)),"")</f>
        <v>وكالة التحول الرقمي</v>
      </c>
      <c r="G336" s="16" t="s">
        <v>43</v>
      </c>
      <c r="H336" s="14" t="str">
        <f>IFERROR(INDEX(المرجع!$A$2:$A$19,MATCH($G336,المرجع!$B$2:$B$19,0)),"")</f>
        <v>التصميم</v>
      </c>
      <c r="I336" s="16" t="s">
        <v>54</v>
      </c>
      <c r="J336" s="14" t="str">
        <f>IFERROR(INDEX(المرجع!$D$2:$D$19,MATCH($I336,المرجع!$E$2:$E$19,0)),"")</f>
        <v>التنظيم</v>
      </c>
      <c r="K336" s="16" t="s">
        <v>80</v>
      </c>
      <c r="L336" s="17" t="str">
        <f>IFERROR(INDEX('نقاط التحقق'!$G$2:$G$31,MATCH($K336,'نقاط التحقق'!$A$2:$A$31,0))&amp;"","")</f>
        <v>تطوير الأدوار والمسؤوليات للوحدة التنظيمية وتفصيل الهيكل التنظيمي</v>
      </c>
      <c r="M336" s="14" t="str">
        <f>IFERROR(INDEX('نقاط التحقق'!$H$2:$H$31,MATCH($K336,'نقاط التحقق'!$A$2:$A$31,0))&amp;"","")</f>
        <v/>
      </c>
      <c r="N336" s="13">
        <v>77</v>
      </c>
      <c r="O336" s="15" t="str">
        <f>IF($N336="","غير مقيّمة",IF($N336&gt;المرجع!$K$3,"مستوفاة بشكل متقدم",IF($N336&lt;=المرجع!$K$2,"مستوفاة بشكل أولي","مستوفاة بشكل جزئي")))</f>
        <v>مستوفاة بشكل متقدم</v>
      </c>
      <c r="P336" s="18" t="s">
        <v>2170</v>
      </c>
    </row>
    <row r="337" spans="1:16">
      <c r="A337" s="16" t="s">
        <v>721</v>
      </c>
      <c r="B337" s="16" t="s">
        <v>182</v>
      </c>
      <c r="C337" s="15" t="str">
        <f>IFERROR(INDEX('قائمة الوحدات'!$B$2:$B$41,MATCH($B337,'قائمة الوحدات'!$A$2:$A$41,0)),"")</f>
        <v>EXE</v>
      </c>
      <c r="D337" s="14" t="str">
        <f>IFERROR(INDEX('قائمة الوحدات'!$C$2:$C$41,MATCH($B337,'قائمة الوحدات'!$A$2:$A$41,0)),"")</f>
        <v>الشؤون التنفيذية</v>
      </c>
      <c r="E337" s="14" t="str">
        <f>IFERROR(INDEX('قائمة الوحدات'!$D$2:$D$41,MATCH($B337,'قائمة الوحدات'!$A$2:$A$41,0)),"")</f>
        <v>وكالة التحول الرقمي</v>
      </c>
      <c r="F337" s="14" t="str">
        <f>IFERROR(INDEX('قائمة الوحدات'!$F$2:$F$41,MATCH($B337,'قائمة الوحدات'!$A$2:$A$41,0)),"")</f>
        <v>وكالة التحول الرقمي</v>
      </c>
      <c r="G337" s="16" t="s">
        <v>43</v>
      </c>
      <c r="H337" s="14" t="str">
        <f>IFERROR(INDEX(المرجع!$A$2:$A$19,MATCH($G337,المرجع!$B$2:$B$19,0)),"")</f>
        <v>التصميم</v>
      </c>
      <c r="I337" s="16" t="s">
        <v>56</v>
      </c>
      <c r="J337" s="14" t="str">
        <f>IFERROR(INDEX(المرجع!$D$2:$D$19,MATCH($I337,المرجع!$E$2:$E$19,0)),"")</f>
        <v>الموارد</v>
      </c>
      <c r="K337" s="16" t="s">
        <v>82</v>
      </c>
      <c r="L337" s="17" t="str">
        <f>IFERROR(INDEX('نقاط التحقق'!$G$2:$G$31,MATCH($K337,'نقاط التحقق'!$A$2:$A$31,0))&amp;"","")</f>
        <v>تفصيل احتياج الموارد البشرية للوحدة التنظيمية</v>
      </c>
      <c r="M337" s="14" t="str">
        <f>IFERROR(INDEX('نقاط التحقق'!$H$2:$H$31,MATCH($K337,'نقاط التحقق'!$A$2:$A$31,0))&amp;"","")</f>
        <v/>
      </c>
      <c r="N337" s="13">
        <v>93</v>
      </c>
      <c r="O337" s="15" t="str">
        <f>IF($N337="","غير مقيّمة",IF($N337&gt;المرجع!$K$3,"مستوفاة بشكل متقدم",IF($N337&lt;=المرجع!$K$2,"مستوفاة بشكل أولي","مستوفاة بشكل جزئي")))</f>
        <v>مستوفاة بشكل متقدم</v>
      </c>
      <c r="P337" s="18" t="s">
        <v>2170</v>
      </c>
    </row>
    <row r="338" spans="1:16">
      <c r="A338" s="16" t="s">
        <v>722</v>
      </c>
      <c r="B338" s="16" t="s">
        <v>182</v>
      </c>
      <c r="C338" s="15" t="str">
        <f>IFERROR(INDEX('قائمة الوحدات'!$B$2:$B$41,MATCH($B338,'قائمة الوحدات'!$A$2:$A$41,0)),"")</f>
        <v>EXE</v>
      </c>
      <c r="D338" s="14" t="str">
        <f>IFERROR(INDEX('قائمة الوحدات'!$C$2:$C$41,MATCH($B338,'قائمة الوحدات'!$A$2:$A$41,0)),"")</f>
        <v>الشؤون التنفيذية</v>
      </c>
      <c r="E338" s="14" t="str">
        <f>IFERROR(INDEX('قائمة الوحدات'!$D$2:$D$41,MATCH($B338,'قائمة الوحدات'!$A$2:$A$41,0)),"")</f>
        <v>وكالة التحول الرقمي</v>
      </c>
      <c r="F338" s="14" t="str">
        <f>IFERROR(INDEX('قائمة الوحدات'!$F$2:$F$41,MATCH($B338,'قائمة الوحدات'!$A$2:$A$41,0)),"")</f>
        <v>وكالة التحول الرقمي</v>
      </c>
      <c r="G338" s="16" t="s">
        <v>43</v>
      </c>
      <c r="H338" s="14" t="str">
        <f>IFERROR(INDEX(المرجع!$A$2:$A$19,MATCH($G338,المرجع!$B$2:$B$19,0)),"")</f>
        <v>التصميم</v>
      </c>
      <c r="I338" s="16" t="s">
        <v>59</v>
      </c>
      <c r="J338" s="14" t="str">
        <f>IFERROR(INDEX(المرجع!$D$2:$D$19,MATCH($I338,المرجع!$E$2:$E$19,0)),"")</f>
        <v>الإجراءات</v>
      </c>
      <c r="K338" s="16" t="s">
        <v>84</v>
      </c>
      <c r="L338" s="17" t="str">
        <f>IFERROR(INDEX('نقاط التحقق'!$G$2:$G$31,MATCH($K338,'نقاط التحقق'!$A$2:$A$31,0))&amp;"","")</f>
        <v>تفصيل المخرجات إلى إجراءات عالية المستوى</v>
      </c>
      <c r="M338" s="14" t="str">
        <f>IFERROR(INDEX('نقاط التحقق'!$H$2:$H$31,MATCH($K338,'نقاط التحقق'!$A$2:$A$31,0))&amp;"","")</f>
        <v/>
      </c>
      <c r="N338" s="13">
        <v>71</v>
      </c>
      <c r="O338" s="15" t="str">
        <f>IF($N338="","غير مقيّمة",IF($N338&gt;المرجع!$K$3,"مستوفاة بشكل متقدم",IF($N338&lt;=المرجع!$K$2,"مستوفاة بشكل أولي","مستوفاة بشكل جزئي")))</f>
        <v>مستوفاة بشكل متقدم</v>
      </c>
      <c r="P338" s="18" t="s">
        <v>2170</v>
      </c>
    </row>
    <row r="339" spans="1:16">
      <c r="A339" s="16" t="s">
        <v>723</v>
      </c>
      <c r="B339" s="16" t="s">
        <v>182</v>
      </c>
      <c r="C339" s="15" t="str">
        <f>IFERROR(INDEX('قائمة الوحدات'!$B$2:$B$41,MATCH($B339,'قائمة الوحدات'!$A$2:$A$41,0)),"")</f>
        <v>EXE</v>
      </c>
      <c r="D339" s="14" t="str">
        <f>IFERROR(INDEX('قائمة الوحدات'!$C$2:$C$41,MATCH($B339,'قائمة الوحدات'!$A$2:$A$41,0)),"")</f>
        <v>الشؤون التنفيذية</v>
      </c>
      <c r="E339" s="14" t="str">
        <f>IFERROR(INDEX('قائمة الوحدات'!$D$2:$D$41,MATCH($B339,'قائمة الوحدات'!$A$2:$A$41,0)),"")</f>
        <v>وكالة التحول الرقمي</v>
      </c>
      <c r="F339" s="14" t="str">
        <f>IFERROR(INDEX('قائمة الوحدات'!$F$2:$F$41,MATCH($B339,'قائمة الوحدات'!$A$2:$A$41,0)),"")</f>
        <v>وكالة التحول الرقمي</v>
      </c>
      <c r="G339" s="16" t="s">
        <v>61</v>
      </c>
      <c r="H339" s="14" t="str">
        <f>IFERROR(INDEX(المرجع!$A$2:$A$19,MATCH($G339,المرجع!$B$2:$B$19,0)),"")</f>
        <v>البناء المؤسسي</v>
      </c>
      <c r="I339" s="16" t="s">
        <v>45</v>
      </c>
      <c r="J339" s="14" t="str">
        <f>IFERROR(INDEX(المرجع!$D$2:$D$19,MATCH($I339,المرجع!$E$2:$E$19,0)),"")</f>
        <v>الدور</v>
      </c>
      <c r="K339" s="16" t="s">
        <v>86</v>
      </c>
      <c r="L339" s="17" t="str">
        <f>IFERROR(INDEX('نقاط التحقق'!$G$2:$G$31,MATCH($K339,'نقاط التحقق'!$A$2:$A$31,0))&amp;"","")</f>
        <v>دور معتمد للوحدة التنظيمية</v>
      </c>
      <c r="M339" s="14" t="str">
        <f>IFERROR(INDEX('نقاط التحقق'!$H$2:$H$31,MATCH($K339,'نقاط التحقق'!$A$2:$A$31,0))&amp;"","")</f>
        <v/>
      </c>
      <c r="N339" s="13">
        <v>66</v>
      </c>
      <c r="O339" s="15" t="str">
        <f>IF($N339="","غير مقيّمة",IF($N339&gt;المرجع!$K$3,"مستوفاة بشكل متقدم",IF($N339&lt;=المرجع!$K$2,"مستوفاة بشكل أولي","مستوفاة بشكل جزئي")))</f>
        <v>مستوفاة بشكل جزئي</v>
      </c>
      <c r="P339" s="18" t="s">
        <v>2170</v>
      </c>
    </row>
    <row r="340" spans="1:16">
      <c r="A340" s="16" t="s">
        <v>724</v>
      </c>
      <c r="B340" s="16" t="s">
        <v>182</v>
      </c>
      <c r="C340" s="15" t="str">
        <f>IFERROR(INDEX('قائمة الوحدات'!$B$2:$B$41,MATCH($B340,'قائمة الوحدات'!$A$2:$A$41,0)),"")</f>
        <v>EXE</v>
      </c>
      <c r="D340" s="14" t="str">
        <f>IFERROR(INDEX('قائمة الوحدات'!$C$2:$C$41,MATCH($B340,'قائمة الوحدات'!$A$2:$A$41,0)),"")</f>
        <v>الشؤون التنفيذية</v>
      </c>
      <c r="E340" s="14" t="str">
        <f>IFERROR(INDEX('قائمة الوحدات'!$D$2:$D$41,MATCH($B340,'قائمة الوحدات'!$A$2:$A$41,0)),"")</f>
        <v>وكالة التحول الرقمي</v>
      </c>
      <c r="F340" s="14" t="str">
        <f>IFERROR(INDEX('قائمة الوحدات'!$F$2:$F$41,MATCH($B340,'قائمة الوحدات'!$A$2:$A$41,0)),"")</f>
        <v>وكالة التحول الرقمي</v>
      </c>
      <c r="G340" s="16" t="s">
        <v>61</v>
      </c>
      <c r="H340" s="14" t="str">
        <f>IFERROR(INDEX(المرجع!$A$2:$A$19,MATCH($G340,المرجع!$B$2:$B$19,0)),"")</f>
        <v>البناء المؤسسي</v>
      </c>
      <c r="I340" s="16" t="s">
        <v>48</v>
      </c>
      <c r="J340" s="14" t="str">
        <f>IFERROR(INDEX(المرجع!$D$2:$D$19,MATCH($I340,المرجع!$E$2:$E$19,0)),"")</f>
        <v>الأهداف ومؤشرات الأداء</v>
      </c>
      <c r="K340" s="16" t="s">
        <v>88</v>
      </c>
      <c r="L340" s="17" t="str">
        <f>IFERROR(INDEX('نقاط التحقق'!$G$2:$G$31,MATCH($K340,'نقاط التحقق'!$A$2:$A$31,0))&amp;"","")</f>
        <v>أهداف تشغيلية معتمدة من صاحب الصلاحية</v>
      </c>
      <c r="M340" s="14" t="str">
        <f>IFERROR(INDEX('نقاط التحقق'!$H$2:$H$31,MATCH($K340,'نقاط التحقق'!$A$2:$A$31,0))&amp;"","")</f>
        <v/>
      </c>
      <c r="N340" s="13">
        <v>65</v>
      </c>
      <c r="O340" s="15" t="str">
        <f>IF($N340="","غير مقيّمة",IF($N340&gt;المرجع!$K$3,"مستوفاة بشكل متقدم",IF($N340&lt;=المرجع!$K$2,"مستوفاة بشكل أولي","مستوفاة بشكل جزئي")))</f>
        <v>مستوفاة بشكل جزئي</v>
      </c>
      <c r="P340" s="18" t="s">
        <v>2170</v>
      </c>
    </row>
    <row r="341" spans="1:16">
      <c r="A341" s="16" t="s">
        <v>725</v>
      </c>
      <c r="B341" s="16" t="s">
        <v>182</v>
      </c>
      <c r="C341" s="15" t="str">
        <f>IFERROR(INDEX('قائمة الوحدات'!$B$2:$B$41,MATCH($B341,'قائمة الوحدات'!$A$2:$A$41,0)),"")</f>
        <v>EXE</v>
      </c>
      <c r="D341" s="14" t="str">
        <f>IFERROR(INDEX('قائمة الوحدات'!$C$2:$C$41,MATCH($B341,'قائمة الوحدات'!$A$2:$A$41,0)),"")</f>
        <v>الشؤون التنفيذية</v>
      </c>
      <c r="E341" s="14" t="str">
        <f>IFERROR(INDEX('قائمة الوحدات'!$D$2:$D$41,MATCH($B341,'قائمة الوحدات'!$A$2:$A$41,0)),"")</f>
        <v>وكالة التحول الرقمي</v>
      </c>
      <c r="F341" s="14" t="str">
        <f>IFERROR(INDEX('قائمة الوحدات'!$F$2:$F$41,MATCH($B341,'قائمة الوحدات'!$A$2:$A$41,0)),"")</f>
        <v>وكالة التحول الرقمي</v>
      </c>
      <c r="G341" s="16" t="s">
        <v>61</v>
      </c>
      <c r="H341" s="14" t="str">
        <f>IFERROR(INDEX(المرجع!$A$2:$A$19,MATCH($G341,المرجع!$B$2:$B$19,0)),"")</f>
        <v>البناء المؤسسي</v>
      </c>
      <c r="I341" s="16" t="s">
        <v>48</v>
      </c>
      <c r="J341" s="14" t="str">
        <f>IFERROR(INDEX(المرجع!$D$2:$D$19,MATCH($I341,المرجع!$E$2:$E$19,0)),"")</f>
        <v>الأهداف ومؤشرات الأداء</v>
      </c>
      <c r="K341" s="16" t="s">
        <v>90</v>
      </c>
      <c r="L341" s="17" t="str">
        <f>IFERROR(INDEX('نقاط التحقق'!$G$2:$G$31,MATCH($K341,'نقاط التحقق'!$A$2:$A$31,0))&amp;"","")</f>
        <v>نشر الأهداف التشغيلية على موظفي الوحدة التنظيمية</v>
      </c>
      <c r="M341" s="14" t="str">
        <f>IFERROR(INDEX('نقاط التحقق'!$H$2:$H$31,MATCH($K341,'نقاط التحقق'!$A$2:$A$31,0))&amp;"","")</f>
        <v/>
      </c>
      <c r="N341" s="13">
        <v>55</v>
      </c>
      <c r="O341" s="15" t="str">
        <f>IF($N341="","غير مقيّمة",IF($N341&gt;المرجع!$K$3,"مستوفاة بشكل متقدم",IF($N341&lt;=المرجع!$K$2,"مستوفاة بشكل أولي","مستوفاة بشكل جزئي")))</f>
        <v>مستوفاة بشكل جزئي</v>
      </c>
      <c r="P341" s="18" t="s">
        <v>2170</v>
      </c>
    </row>
    <row r="342" spans="1:16">
      <c r="A342" s="16" t="s">
        <v>726</v>
      </c>
      <c r="B342" s="16" t="s">
        <v>182</v>
      </c>
      <c r="C342" s="15" t="str">
        <f>IFERROR(INDEX('قائمة الوحدات'!$B$2:$B$41,MATCH($B342,'قائمة الوحدات'!$A$2:$A$41,0)),"")</f>
        <v>EXE</v>
      </c>
      <c r="D342" s="14" t="str">
        <f>IFERROR(INDEX('قائمة الوحدات'!$C$2:$C$41,MATCH($B342,'قائمة الوحدات'!$A$2:$A$41,0)),"")</f>
        <v>الشؤون التنفيذية</v>
      </c>
      <c r="E342" s="14" t="str">
        <f>IFERROR(INDEX('قائمة الوحدات'!$D$2:$D$41,MATCH($B342,'قائمة الوحدات'!$A$2:$A$41,0)),"")</f>
        <v>وكالة التحول الرقمي</v>
      </c>
      <c r="F342" s="14" t="str">
        <f>IFERROR(INDEX('قائمة الوحدات'!$F$2:$F$41,MATCH($B342,'قائمة الوحدات'!$A$2:$A$41,0)),"")</f>
        <v>وكالة التحول الرقمي</v>
      </c>
      <c r="G342" s="16" t="s">
        <v>61</v>
      </c>
      <c r="H342" s="14" t="str">
        <f>IFERROR(INDEX(المرجع!$A$2:$A$19,MATCH($G342,المرجع!$B$2:$B$19,0)),"")</f>
        <v>البناء المؤسسي</v>
      </c>
      <c r="I342" s="16" t="s">
        <v>51</v>
      </c>
      <c r="J342" s="14" t="str">
        <f>IFERROR(INDEX(المرجع!$D$2:$D$19,MATCH($I342,المرجع!$E$2:$E$19,0)),"")</f>
        <v>الحوكمة</v>
      </c>
      <c r="K342" s="16" t="s">
        <v>92</v>
      </c>
      <c r="L342" s="17" t="str">
        <f>IFERROR(INDEX('نقاط التحقق'!$G$2:$G$31,MATCH($K342,'نقاط التحقق'!$A$2:$A$31,0))&amp;"","")</f>
        <v>مصفوفة صلاحيات معتمدة ومعممة على أصحاب المصلحة</v>
      </c>
      <c r="M342" s="14" t="str">
        <f>IFERROR(INDEX('نقاط التحقق'!$H$2:$H$31,MATCH($K342,'نقاط التحقق'!$A$2:$A$31,0))&amp;"","")</f>
        <v/>
      </c>
      <c r="N342" s="13">
        <v>50</v>
      </c>
      <c r="O342" s="15" t="str">
        <f>IF($N342="","غير مقيّمة",IF($N342&gt;المرجع!$K$3,"مستوفاة بشكل متقدم",IF($N342&lt;=المرجع!$K$2,"مستوفاة بشكل أولي","مستوفاة بشكل جزئي")))</f>
        <v>مستوفاة بشكل جزئي</v>
      </c>
      <c r="P342" s="18" t="s">
        <v>2170</v>
      </c>
    </row>
    <row r="343" spans="1:16">
      <c r="A343" s="16" t="s">
        <v>727</v>
      </c>
      <c r="B343" s="16" t="s">
        <v>182</v>
      </c>
      <c r="C343" s="15" t="str">
        <f>IFERROR(INDEX('قائمة الوحدات'!$B$2:$B$41,MATCH($B343,'قائمة الوحدات'!$A$2:$A$41,0)),"")</f>
        <v>EXE</v>
      </c>
      <c r="D343" s="14" t="str">
        <f>IFERROR(INDEX('قائمة الوحدات'!$C$2:$C$41,MATCH($B343,'قائمة الوحدات'!$A$2:$A$41,0)),"")</f>
        <v>الشؤون التنفيذية</v>
      </c>
      <c r="E343" s="14" t="str">
        <f>IFERROR(INDEX('قائمة الوحدات'!$D$2:$D$41,MATCH($B343,'قائمة الوحدات'!$A$2:$A$41,0)),"")</f>
        <v>وكالة التحول الرقمي</v>
      </c>
      <c r="F343" s="14" t="str">
        <f>IFERROR(INDEX('قائمة الوحدات'!$F$2:$F$41,MATCH($B343,'قائمة الوحدات'!$A$2:$A$41,0)),"")</f>
        <v>وكالة التحول الرقمي</v>
      </c>
      <c r="G343" s="16" t="s">
        <v>61</v>
      </c>
      <c r="H343" s="14" t="str">
        <f>IFERROR(INDEX(المرجع!$A$2:$A$19,MATCH($G343,المرجع!$B$2:$B$19,0)),"")</f>
        <v>البناء المؤسسي</v>
      </c>
      <c r="I343" s="16" t="s">
        <v>51</v>
      </c>
      <c r="J343" s="14" t="str">
        <f>IFERROR(INDEX(المرجع!$D$2:$D$19,MATCH($I343,المرجع!$E$2:$E$19,0)),"")</f>
        <v>الحوكمة</v>
      </c>
      <c r="K343" s="16" t="s">
        <v>94</v>
      </c>
      <c r="L343" s="17" t="str">
        <f>IFERROR(INDEX('نقاط التحقق'!$G$2:$G$31,MATCH($K343,'نقاط التحقق'!$A$2:$A$31,0))&amp;"","")</f>
        <v>سياسات معتمدة للتي تملكها الوحدة التنظيمية</v>
      </c>
      <c r="M343" s="14" t="str">
        <f>IFERROR(INDEX('نقاط التحقق'!$H$2:$H$31,MATCH($K343,'نقاط التحقق'!$A$2:$A$31,0))&amp;"","")</f>
        <v/>
      </c>
      <c r="N343" s="13">
        <v>40</v>
      </c>
      <c r="O343" s="15" t="str">
        <f>IF($N343="","غير مقيّمة",IF($N343&gt;المرجع!$K$3,"مستوفاة بشكل متقدم",IF($N343&lt;=المرجع!$K$2,"مستوفاة بشكل أولي","مستوفاة بشكل جزئي")))</f>
        <v>مستوفاة بشكل جزئي</v>
      </c>
      <c r="P343" s="18" t="s">
        <v>2170</v>
      </c>
    </row>
    <row r="344" spans="1:16">
      <c r="A344" s="16" t="s">
        <v>728</v>
      </c>
      <c r="B344" s="16" t="s">
        <v>182</v>
      </c>
      <c r="C344" s="15" t="str">
        <f>IFERROR(INDEX('قائمة الوحدات'!$B$2:$B$41,MATCH($B344,'قائمة الوحدات'!$A$2:$A$41,0)),"")</f>
        <v>EXE</v>
      </c>
      <c r="D344" s="14" t="str">
        <f>IFERROR(INDEX('قائمة الوحدات'!$C$2:$C$41,MATCH($B344,'قائمة الوحدات'!$A$2:$A$41,0)),"")</f>
        <v>الشؤون التنفيذية</v>
      </c>
      <c r="E344" s="14" t="str">
        <f>IFERROR(INDEX('قائمة الوحدات'!$D$2:$D$41,MATCH($B344,'قائمة الوحدات'!$A$2:$A$41,0)),"")</f>
        <v>وكالة التحول الرقمي</v>
      </c>
      <c r="F344" s="14" t="str">
        <f>IFERROR(INDEX('قائمة الوحدات'!$F$2:$F$41,MATCH($B344,'قائمة الوحدات'!$A$2:$A$41,0)),"")</f>
        <v>وكالة التحول الرقمي</v>
      </c>
      <c r="G344" s="16" t="s">
        <v>61</v>
      </c>
      <c r="H344" s="14" t="str">
        <f>IFERROR(INDEX(المرجع!$A$2:$A$19,MATCH($G344,المرجع!$B$2:$B$19,0)),"")</f>
        <v>البناء المؤسسي</v>
      </c>
      <c r="I344" s="16" t="s">
        <v>51</v>
      </c>
      <c r="J344" s="14" t="str">
        <f>IFERROR(INDEX(المرجع!$D$2:$D$19,MATCH($I344,المرجع!$E$2:$E$19,0)),"")</f>
        <v>الحوكمة</v>
      </c>
      <c r="K344" s="16" t="s">
        <v>96</v>
      </c>
      <c r="L344" s="17" t="str">
        <f>IFERROR(INDEX('نقاط التحقق'!$G$2:$G$31,MATCH($K344,'نقاط التحقق'!$A$2:$A$31,0))&amp;"","")</f>
        <v>قرار تشكيل معتمد للجان ذات العلاقة</v>
      </c>
      <c r="M344" s="14" t="str">
        <f>IFERROR(INDEX('نقاط التحقق'!$H$2:$H$31,MATCH($K344,'نقاط التحقق'!$A$2:$A$31,0))&amp;"","")</f>
        <v/>
      </c>
      <c r="N344" s="13">
        <v>40</v>
      </c>
      <c r="O344" s="15" t="str">
        <f>IF($N344="","غير مقيّمة",IF($N344&gt;المرجع!$K$3,"مستوفاة بشكل متقدم",IF($N344&lt;=المرجع!$K$2,"مستوفاة بشكل أولي","مستوفاة بشكل جزئي")))</f>
        <v>مستوفاة بشكل جزئي</v>
      </c>
      <c r="P344" s="18" t="s">
        <v>2170</v>
      </c>
    </row>
    <row r="345" spans="1:16">
      <c r="A345" s="16" t="s">
        <v>729</v>
      </c>
      <c r="B345" s="16" t="s">
        <v>182</v>
      </c>
      <c r="C345" s="15" t="str">
        <f>IFERROR(INDEX('قائمة الوحدات'!$B$2:$B$41,MATCH($B345,'قائمة الوحدات'!$A$2:$A$41,0)),"")</f>
        <v>EXE</v>
      </c>
      <c r="D345" s="14" t="str">
        <f>IFERROR(INDEX('قائمة الوحدات'!$C$2:$C$41,MATCH($B345,'قائمة الوحدات'!$A$2:$A$41,0)),"")</f>
        <v>الشؤون التنفيذية</v>
      </c>
      <c r="E345" s="14" t="str">
        <f>IFERROR(INDEX('قائمة الوحدات'!$D$2:$D$41,MATCH($B345,'قائمة الوحدات'!$A$2:$A$41,0)),"")</f>
        <v>وكالة التحول الرقمي</v>
      </c>
      <c r="F345" s="14" t="str">
        <f>IFERROR(INDEX('قائمة الوحدات'!$F$2:$F$41,MATCH($B345,'قائمة الوحدات'!$A$2:$A$41,0)),"")</f>
        <v>وكالة التحول الرقمي</v>
      </c>
      <c r="G345" s="16" t="s">
        <v>61</v>
      </c>
      <c r="H345" s="14" t="str">
        <f>IFERROR(INDEX(المرجع!$A$2:$A$19,MATCH($G345,المرجع!$B$2:$B$19,0)),"")</f>
        <v>البناء المؤسسي</v>
      </c>
      <c r="I345" s="16" t="s">
        <v>54</v>
      </c>
      <c r="J345" s="14" t="str">
        <f>IFERROR(INDEX(المرجع!$D$2:$D$19,MATCH($I345,المرجع!$E$2:$E$19,0)),"")</f>
        <v>التنظيم</v>
      </c>
      <c r="K345" s="16" t="s">
        <v>98</v>
      </c>
      <c r="L345" s="17" t="str">
        <f>IFERROR(INDEX('نقاط التحقق'!$G$2:$G$31,MATCH($K345,'نقاط التحقق'!$A$2:$A$31,0))&amp;"","")</f>
        <v>هيكل تنظيمي معتمد من صاحب الصلاحية</v>
      </c>
      <c r="M345" s="14" t="str">
        <f>IFERROR(INDEX('نقاط التحقق'!$H$2:$H$31,MATCH($K345,'نقاط التحقق'!$A$2:$A$31,0))&amp;"","")</f>
        <v/>
      </c>
      <c r="N345" s="13">
        <v>65</v>
      </c>
      <c r="O345" s="15" t="str">
        <f>IF($N345="","غير مقيّمة",IF($N345&gt;المرجع!$K$3,"مستوفاة بشكل متقدم",IF($N345&lt;=المرجع!$K$2,"مستوفاة بشكل أولي","مستوفاة بشكل جزئي")))</f>
        <v>مستوفاة بشكل جزئي</v>
      </c>
      <c r="P345" s="18" t="s">
        <v>2170</v>
      </c>
    </row>
    <row r="346" spans="1:16">
      <c r="A346" s="16" t="s">
        <v>730</v>
      </c>
      <c r="B346" s="16" t="s">
        <v>182</v>
      </c>
      <c r="C346" s="15" t="str">
        <f>IFERROR(INDEX('قائمة الوحدات'!$B$2:$B$41,MATCH($B346,'قائمة الوحدات'!$A$2:$A$41,0)),"")</f>
        <v>EXE</v>
      </c>
      <c r="D346" s="14" t="str">
        <f>IFERROR(INDEX('قائمة الوحدات'!$C$2:$C$41,MATCH($B346,'قائمة الوحدات'!$A$2:$A$41,0)),"")</f>
        <v>الشؤون التنفيذية</v>
      </c>
      <c r="E346" s="14" t="str">
        <f>IFERROR(INDEX('قائمة الوحدات'!$D$2:$D$41,MATCH($B346,'قائمة الوحدات'!$A$2:$A$41,0)),"")</f>
        <v>وكالة التحول الرقمي</v>
      </c>
      <c r="F346" s="14" t="str">
        <f>IFERROR(INDEX('قائمة الوحدات'!$F$2:$F$41,MATCH($B346,'قائمة الوحدات'!$A$2:$A$41,0)),"")</f>
        <v>وكالة التحول الرقمي</v>
      </c>
      <c r="G346" s="16" t="s">
        <v>61</v>
      </c>
      <c r="H346" s="14" t="str">
        <f>IFERROR(INDEX(المرجع!$A$2:$A$19,MATCH($G346,المرجع!$B$2:$B$19,0)),"")</f>
        <v>البناء المؤسسي</v>
      </c>
      <c r="I346" s="16" t="s">
        <v>54</v>
      </c>
      <c r="J346" s="14" t="str">
        <f>IFERROR(INDEX(المرجع!$D$2:$D$19,MATCH($I346,المرجع!$E$2:$E$19,0)),"")</f>
        <v>التنظيم</v>
      </c>
      <c r="K346" s="16" t="s">
        <v>100</v>
      </c>
      <c r="L346" s="17" t="str">
        <f>IFERROR(INDEX('نقاط التحقق'!$G$2:$G$31,MATCH($K346,'نقاط التحقق'!$A$2:$A$31,0))&amp;"","")</f>
        <v>هيكل تنظيمي منشأ على نظام القوى العاملة</v>
      </c>
      <c r="M346" s="14" t="str">
        <f>IFERROR(INDEX('نقاط التحقق'!$H$2:$H$31,MATCH($K346,'نقاط التحقق'!$A$2:$A$31,0))&amp;"","")</f>
        <v/>
      </c>
      <c r="N346" s="13">
        <v>60</v>
      </c>
      <c r="O346" s="15" t="str">
        <f>IF($N346="","غير مقيّمة",IF($N346&gt;المرجع!$K$3,"مستوفاة بشكل متقدم",IF($N346&lt;=المرجع!$K$2,"مستوفاة بشكل أولي","مستوفاة بشكل جزئي")))</f>
        <v>مستوفاة بشكل جزئي</v>
      </c>
      <c r="P346" s="18" t="s">
        <v>2170</v>
      </c>
    </row>
    <row r="347" spans="1:16">
      <c r="A347" s="16" t="s">
        <v>731</v>
      </c>
      <c r="B347" s="16" t="s">
        <v>182</v>
      </c>
      <c r="C347" s="15" t="str">
        <f>IFERROR(INDEX('قائمة الوحدات'!$B$2:$B$41,MATCH($B347,'قائمة الوحدات'!$A$2:$A$41,0)),"")</f>
        <v>EXE</v>
      </c>
      <c r="D347" s="14" t="str">
        <f>IFERROR(INDEX('قائمة الوحدات'!$C$2:$C$41,MATCH($B347,'قائمة الوحدات'!$A$2:$A$41,0)),"")</f>
        <v>الشؤون التنفيذية</v>
      </c>
      <c r="E347" s="14" t="str">
        <f>IFERROR(INDEX('قائمة الوحدات'!$D$2:$D$41,MATCH($B347,'قائمة الوحدات'!$A$2:$A$41,0)),"")</f>
        <v>وكالة التحول الرقمي</v>
      </c>
      <c r="F347" s="14" t="str">
        <f>IFERROR(INDEX('قائمة الوحدات'!$F$2:$F$41,MATCH($B347,'قائمة الوحدات'!$A$2:$A$41,0)),"")</f>
        <v>وكالة التحول الرقمي</v>
      </c>
      <c r="G347" s="16" t="s">
        <v>61</v>
      </c>
      <c r="H347" s="14" t="str">
        <f>IFERROR(INDEX(المرجع!$A$2:$A$19,MATCH($G347,المرجع!$B$2:$B$19,0)),"")</f>
        <v>البناء المؤسسي</v>
      </c>
      <c r="I347" s="16" t="s">
        <v>54</v>
      </c>
      <c r="J347" s="14" t="str">
        <f>IFERROR(INDEX(المرجع!$D$2:$D$19,MATCH($I347,المرجع!$E$2:$E$19,0)),"")</f>
        <v>التنظيم</v>
      </c>
      <c r="K347" s="16" t="s">
        <v>102</v>
      </c>
      <c r="L347" s="17" t="str">
        <f>IFERROR(INDEX('نقاط التحقق'!$G$2:$G$31,MATCH($K347,'نقاط التحقق'!$A$2:$A$31,0))&amp;"","")</f>
        <v>الموظفون المحددون مسكّنون على الهيكل التنظيمي المستهدف</v>
      </c>
      <c r="M347" s="14" t="str">
        <f>IFERROR(INDEX('نقاط التحقق'!$H$2:$H$31,MATCH($K347,'نقاط التحقق'!$A$2:$A$31,0))&amp;"","")</f>
        <v/>
      </c>
      <c r="N347" s="13">
        <v>60</v>
      </c>
      <c r="O347" s="15" t="str">
        <f>IF($N347="","غير مقيّمة",IF($N347&gt;المرجع!$K$3,"مستوفاة بشكل متقدم",IF($N347&lt;=المرجع!$K$2,"مستوفاة بشكل أولي","مستوفاة بشكل جزئي")))</f>
        <v>مستوفاة بشكل جزئي</v>
      </c>
      <c r="P347" s="18" t="s">
        <v>2170</v>
      </c>
    </row>
    <row r="348" spans="1:16">
      <c r="A348" s="16" t="s">
        <v>732</v>
      </c>
      <c r="B348" s="16" t="s">
        <v>182</v>
      </c>
      <c r="C348" s="15" t="str">
        <f>IFERROR(INDEX('قائمة الوحدات'!$B$2:$B$41,MATCH($B348,'قائمة الوحدات'!$A$2:$A$41,0)),"")</f>
        <v>EXE</v>
      </c>
      <c r="D348" s="14" t="str">
        <f>IFERROR(INDEX('قائمة الوحدات'!$C$2:$C$41,MATCH($B348,'قائمة الوحدات'!$A$2:$A$41,0)),"")</f>
        <v>الشؤون التنفيذية</v>
      </c>
      <c r="E348" s="14" t="str">
        <f>IFERROR(INDEX('قائمة الوحدات'!$D$2:$D$41,MATCH($B348,'قائمة الوحدات'!$A$2:$A$41,0)),"")</f>
        <v>وكالة التحول الرقمي</v>
      </c>
      <c r="F348" s="14" t="str">
        <f>IFERROR(INDEX('قائمة الوحدات'!$F$2:$F$41,MATCH($B348,'قائمة الوحدات'!$A$2:$A$41,0)),"")</f>
        <v>وكالة التحول الرقمي</v>
      </c>
      <c r="G348" s="16" t="s">
        <v>61</v>
      </c>
      <c r="H348" s="14" t="str">
        <f>IFERROR(INDEX(المرجع!$A$2:$A$19,MATCH($G348,المرجع!$B$2:$B$19,0)),"")</f>
        <v>البناء المؤسسي</v>
      </c>
      <c r="I348" s="16" t="s">
        <v>56</v>
      </c>
      <c r="J348" s="14" t="str">
        <f>IFERROR(INDEX(المرجع!$D$2:$D$19,MATCH($I348,المرجع!$E$2:$E$19,0)),"")</f>
        <v>الموارد</v>
      </c>
      <c r="K348" s="16" t="s">
        <v>104</v>
      </c>
      <c r="L348" s="17" t="str">
        <f>IFERROR(INDEX('نقاط التحقق'!$G$2:$G$31,MATCH($K348,'نقاط التحقق'!$A$2:$A$31,0))&amp;"","")</f>
        <v>مدير الوحدة التنظيمية والموظفون الرئيسيون معينون/ملحقون</v>
      </c>
      <c r="M348" s="14" t="str">
        <f>IFERROR(INDEX('نقاط التحقق'!$H$2:$H$31,MATCH($K348,'نقاط التحقق'!$A$2:$A$31,0))&amp;"","")</f>
        <v/>
      </c>
      <c r="N348" s="13">
        <v>60</v>
      </c>
      <c r="O348" s="15" t="str">
        <f>IF($N348="","غير مقيّمة",IF($N348&gt;المرجع!$K$3,"مستوفاة بشكل متقدم",IF($N348&lt;=المرجع!$K$2,"مستوفاة بشكل أولي","مستوفاة بشكل جزئي")))</f>
        <v>مستوفاة بشكل جزئي</v>
      </c>
      <c r="P348" s="18" t="s">
        <v>2170</v>
      </c>
    </row>
    <row r="349" spans="1:16">
      <c r="A349" s="16" t="s">
        <v>733</v>
      </c>
      <c r="B349" s="16" t="s">
        <v>182</v>
      </c>
      <c r="C349" s="15" t="str">
        <f>IFERROR(INDEX('قائمة الوحدات'!$B$2:$B$41,MATCH($B349,'قائمة الوحدات'!$A$2:$A$41,0)),"")</f>
        <v>EXE</v>
      </c>
      <c r="D349" s="14" t="str">
        <f>IFERROR(INDEX('قائمة الوحدات'!$C$2:$C$41,MATCH($B349,'قائمة الوحدات'!$A$2:$A$41,0)),"")</f>
        <v>الشؤون التنفيذية</v>
      </c>
      <c r="E349" s="14" t="str">
        <f>IFERROR(INDEX('قائمة الوحدات'!$D$2:$D$41,MATCH($B349,'قائمة الوحدات'!$A$2:$A$41,0)),"")</f>
        <v>وكالة التحول الرقمي</v>
      </c>
      <c r="F349" s="14" t="str">
        <f>IFERROR(INDEX('قائمة الوحدات'!$F$2:$F$41,MATCH($B349,'قائمة الوحدات'!$A$2:$A$41,0)),"")</f>
        <v>وكالة التحول الرقمي</v>
      </c>
      <c r="G349" s="16" t="s">
        <v>61</v>
      </c>
      <c r="H349" s="14" t="str">
        <f>IFERROR(INDEX(المرجع!$A$2:$A$19,MATCH($G349,المرجع!$B$2:$B$19,0)),"")</f>
        <v>البناء المؤسسي</v>
      </c>
      <c r="I349" s="16" t="s">
        <v>56</v>
      </c>
      <c r="J349" s="14" t="str">
        <f>IFERROR(INDEX(المرجع!$D$2:$D$19,MATCH($I349,المرجع!$E$2:$E$19,0)),"")</f>
        <v>الموارد</v>
      </c>
      <c r="K349" s="16" t="s">
        <v>106</v>
      </c>
      <c r="L349" s="17" t="str">
        <f>IFERROR(INDEX('نقاط التحقق'!$G$2:$G$31,MATCH($K349,'نقاط التحقق'!$A$2:$A$31,0))&amp;"","")</f>
        <v>خطة توظيف وتدريب مستكملة</v>
      </c>
      <c r="M349" s="14" t="str">
        <f>IFERROR(INDEX('نقاط التحقق'!$H$2:$H$31,MATCH($K349,'نقاط التحقق'!$A$2:$A$31,0))&amp;"","")</f>
        <v/>
      </c>
      <c r="N349" s="13">
        <v>70</v>
      </c>
      <c r="O349" s="15" t="str">
        <f>IF($N349="","غير مقيّمة",IF($N349&gt;المرجع!$K$3,"مستوفاة بشكل متقدم",IF($N349&lt;=المرجع!$K$2,"مستوفاة بشكل أولي","مستوفاة بشكل جزئي")))</f>
        <v>مستوفاة بشكل جزئي</v>
      </c>
      <c r="P349" s="18" t="s">
        <v>2170</v>
      </c>
    </row>
    <row r="350" spans="1:16">
      <c r="A350" s="16" t="s">
        <v>734</v>
      </c>
      <c r="B350" s="16" t="s">
        <v>182</v>
      </c>
      <c r="C350" s="15" t="str">
        <f>IFERROR(INDEX('قائمة الوحدات'!$B$2:$B$41,MATCH($B350,'قائمة الوحدات'!$A$2:$A$41,0)),"")</f>
        <v>EXE</v>
      </c>
      <c r="D350" s="14" t="str">
        <f>IFERROR(INDEX('قائمة الوحدات'!$C$2:$C$41,MATCH($B350,'قائمة الوحدات'!$A$2:$A$41,0)),"")</f>
        <v>الشؤون التنفيذية</v>
      </c>
      <c r="E350" s="14" t="str">
        <f>IFERROR(INDEX('قائمة الوحدات'!$D$2:$D$41,MATCH($B350,'قائمة الوحدات'!$A$2:$A$41,0)),"")</f>
        <v>وكالة التحول الرقمي</v>
      </c>
      <c r="F350" s="14" t="str">
        <f>IFERROR(INDEX('قائمة الوحدات'!$F$2:$F$41,MATCH($B350,'قائمة الوحدات'!$A$2:$A$41,0)),"")</f>
        <v>وكالة التحول الرقمي</v>
      </c>
      <c r="G350" s="16" t="s">
        <v>61</v>
      </c>
      <c r="H350" s="14" t="str">
        <f>IFERROR(INDEX(المرجع!$A$2:$A$19,MATCH($G350,المرجع!$B$2:$B$19,0)),"")</f>
        <v>البناء المؤسسي</v>
      </c>
      <c r="I350" s="16" t="s">
        <v>56</v>
      </c>
      <c r="J350" s="14" t="str">
        <f>IFERROR(INDEX(المرجع!$D$2:$D$19,MATCH($I350,المرجع!$E$2:$E$19,0)),"")</f>
        <v>الموارد</v>
      </c>
      <c r="K350" s="16" t="s">
        <v>108</v>
      </c>
      <c r="L350" s="17" t="str">
        <f>IFERROR(INDEX('نقاط التحقق'!$G$2:$G$31,MATCH($K350,'نقاط التحقق'!$A$2:$A$31,0))&amp;"","")</f>
        <v>وجود مساحات مكتبية كافية</v>
      </c>
      <c r="M350" s="14" t="str">
        <f>IFERROR(INDEX('نقاط التحقق'!$H$2:$H$31,MATCH($K350,'نقاط التحقق'!$A$2:$A$31,0))&amp;"","")</f>
        <v/>
      </c>
      <c r="N350" s="13">
        <v>45</v>
      </c>
      <c r="O350" s="15" t="str">
        <f>IF($N350="","غير مقيّمة",IF($N350&gt;المرجع!$K$3,"مستوفاة بشكل متقدم",IF($N350&lt;=المرجع!$K$2,"مستوفاة بشكل أولي","مستوفاة بشكل جزئي")))</f>
        <v>مستوفاة بشكل جزئي</v>
      </c>
      <c r="P350" s="18" t="s">
        <v>2170</v>
      </c>
    </row>
    <row r="351" spans="1:16">
      <c r="A351" s="16" t="s">
        <v>735</v>
      </c>
      <c r="B351" s="16" t="s">
        <v>182</v>
      </c>
      <c r="C351" s="15" t="str">
        <f>IFERROR(INDEX('قائمة الوحدات'!$B$2:$B$41,MATCH($B351,'قائمة الوحدات'!$A$2:$A$41,0)),"")</f>
        <v>EXE</v>
      </c>
      <c r="D351" s="14" t="str">
        <f>IFERROR(INDEX('قائمة الوحدات'!$C$2:$C$41,MATCH($B351,'قائمة الوحدات'!$A$2:$A$41,0)),"")</f>
        <v>الشؤون التنفيذية</v>
      </c>
      <c r="E351" s="14" t="str">
        <f>IFERROR(INDEX('قائمة الوحدات'!$D$2:$D$41,MATCH($B351,'قائمة الوحدات'!$A$2:$A$41,0)),"")</f>
        <v>وكالة التحول الرقمي</v>
      </c>
      <c r="F351" s="14" t="str">
        <f>IFERROR(INDEX('قائمة الوحدات'!$F$2:$F$41,MATCH($B351,'قائمة الوحدات'!$A$2:$A$41,0)),"")</f>
        <v>وكالة التحول الرقمي</v>
      </c>
      <c r="G351" s="16" t="s">
        <v>61</v>
      </c>
      <c r="H351" s="14" t="str">
        <f>IFERROR(INDEX(المرجع!$A$2:$A$19,MATCH($G351,المرجع!$B$2:$B$19,0)),"")</f>
        <v>البناء المؤسسي</v>
      </c>
      <c r="I351" s="16" t="s">
        <v>56</v>
      </c>
      <c r="J351" s="14" t="str">
        <f>IFERROR(INDEX(المرجع!$D$2:$D$19,MATCH($I351,المرجع!$E$2:$E$19,0)),"")</f>
        <v>الموارد</v>
      </c>
      <c r="K351" s="16" t="s">
        <v>110</v>
      </c>
      <c r="L351" s="17" t="str">
        <f>IFERROR(INDEX('نقاط التحقق'!$G$2:$G$31,MATCH($K351,'نقاط التحقق'!$A$2:$A$31,0))&amp;"","")</f>
        <v>وجود الاحتياجات التقنية الأساسية</v>
      </c>
      <c r="M351" s="14" t="str">
        <f>IFERROR(INDEX('نقاط التحقق'!$H$2:$H$31,MATCH($K351,'نقاط التحقق'!$A$2:$A$31,0))&amp;"","")</f>
        <v/>
      </c>
      <c r="N351" s="13">
        <v>40</v>
      </c>
      <c r="O351" s="15" t="str">
        <f>IF($N351="","غير مقيّمة",IF($N351&gt;المرجع!$K$3,"مستوفاة بشكل متقدم",IF($N351&lt;=المرجع!$K$2,"مستوفاة بشكل أولي","مستوفاة بشكل جزئي")))</f>
        <v>مستوفاة بشكل جزئي</v>
      </c>
      <c r="P351" s="18" t="s">
        <v>2170</v>
      </c>
    </row>
    <row r="352" spans="1:16">
      <c r="A352" s="16" t="s">
        <v>736</v>
      </c>
      <c r="B352" s="16" t="s">
        <v>182</v>
      </c>
      <c r="C352" s="15" t="str">
        <f>IFERROR(INDEX('قائمة الوحدات'!$B$2:$B$41,MATCH($B352,'قائمة الوحدات'!$A$2:$A$41,0)),"")</f>
        <v>EXE</v>
      </c>
      <c r="D352" s="14" t="str">
        <f>IFERROR(INDEX('قائمة الوحدات'!$C$2:$C$41,MATCH($B352,'قائمة الوحدات'!$A$2:$A$41,0)),"")</f>
        <v>الشؤون التنفيذية</v>
      </c>
      <c r="E352" s="14" t="str">
        <f>IFERROR(INDEX('قائمة الوحدات'!$D$2:$D$41,MATCH($B352,'قائمة الوحدات'!$A$2:$A$41,0)),"")</f>
        <v>وكالة التحول الرقمي</v>
      </c>
      <c r="F352" s="14" t="str">
        <f>IFERROR(INDEX('قائمة الوحدات'!$F$2:$F$41,MATCH($B352,'قائمة الوحدات'!$A$2:$A$41,0)),"")</f>
        <v>وكالة التحول الرقمي</v>
      </c>
      <c r="G352" s="16" t="s">
        <v>61</v>
      </c>
      <c r="H352" s="14" t="str">
        <f>IFERROR(INDEX(المرجع!$A$2:$A$19,MATCH($G352,المرجع!$B$2:$B$19,0)),"")</f>
        <v>البناء المؤسسي</v>
      </c>
      <c r="I352" s="16" t="s">
        <v>59</v>
      </c>
      <c r="J352" s="14" t="str">
        <f>IFERROR(INDEX(المرجع!$D$2:$D$19,MATCH($I352,المرجع!$E$2:$E$19,0)),"")</f>
        <v>الإجراءات</v>
      </c>
      <c r="K352" s="16" t="s">
        <v>112</v>
      </c>
      <c r="L352" s="17" t="str">
        <f>IFERROR(INDEX('نقاط التحقق'!$G$2:$G$31,MATCH($K352,'نقاط التحقق'!$A$2:$A$31,0))&amp;"","")</f>
        <v>إجراءات معتمدة للوحدة التنظيمية</v>
      </c>
      <c r="M352" s="14" t="str">
        <f>IFERROR(INDEX('نقاط التحقق'!$H$2:$H$31,MATCH($K352,'نقاط التحقق'!$A$2:$A$31,0))&amp;"","")</f>
        <v/>
      </c>
      <c r="N352" s="13">
        <v>72</v>
      </c>
      <c r="O352" s="15" t="str">
        <f>IF($N352="","غير مقيّمة",IF($N352&gt;المرجع!$K$3,"مستوفاة بشكل متقدم",IF($N352&lt;=المرجع!$K$2,"مستوفاة بشكل أولي","مستوفاة بشكل جزئي")))</f>
        <v>مستوفاة بشكل متقدم</v>
      </c>
      <c r="P352" s="18" t="s">
        <v>2170</v>
      </c>
    </row>
    <row r="353" spans="1:16">
      <c r="A353" s="16" t="s">
        <v>737</v>
      </c>
      <c r="B353" s="16" t="s">
        <v>182</v>
      </c>
      <c r="C353" s="15" t="str">
        <f>IFERROR(INDEX('قائمة الوحدات'!$B$2:$B$41,MATCH($B353,'قائمة الوحدات'!$A$2:$A$41,0)),"")</f>
        <v>EXE</v>
      </c>
      <c r="D353" s="14" t="str">
        <f>IFERROR(INDEX('قائمة الوحدات'!$C$2:$C$41,MATCH($B353,'قائمة الوحدات'!$A$2:$A$41,0)),"")</f>
        <v>الشؤون التنفيذية</v>
      </c>
      <c r="E353" s="14" t="str">
        <f>IFERROR(INDEX('قائمة الوحدات'!$D$2:$D$41,MATCH($B353,'قائمة الوحدات'!$A$2:$A$41,0)),"")</f>
        <v>وكالة التحول الرقمي</v>
      </c>
      <c r="F353" s="14" t="str">
        <f>IFERROR(INDEX('قائمة الوحدات'!$F$2:$F$41,MATCH($B353,'قائمة الوحدات'!$A$2:$A$41,0)),"")</f>
        <v>وكالة التحول الرقمي</v>
      </c>
      <c r="G353" s="16" t="s">
        <v>61</v>
      </c>
      <c r="H353" s="14" t="str">
        <f>IFERROR(INDEX(المرجع!$A$2:$A$19,MATCH($G353,المرجع!$B$2:$B$19,0)),"")</f>
        <v>البناء المؤسسي</v>
      </c>
      <c r="I353" s="16" t="s">
        <v>63</v>
      </c>
      <c r="J353" s="14" t="str">
        <f>IFERROR(INDEX(المرجع!$D$2:$D$19,MATCH($I353,المرجع!$E$2:$E$19,0)),"")</f>
        <v>إنتاج المخرج الأول</v>
      </c>
      <c r="K353" s="16" t="s">
        <v>114</v>
      </c>
      <c r="L353" s="17" t="str">
        <f>IFERROR(INDEX('نقاط التحقق'!$G$2:$G$31,MATCH($K353,'نقاط التحقق'!$A$2:$A$31,0))&amp;"","")</f>
        <v>إنتاج المخرج الأول من قبل الوحدة التنظيمية</v>
      </c>
      <c r="M353" s="14" t="str">
        <f>IFERROR(INDEX('نقاط التحقق'!$H$2:$H$31,MATCH($K353,'نقاط التحقق'!$A$2:$A$31,0))&amp;"","")</f>
        <v/>
      </c>
      <c r="N353" s="13">
        <v>49</v>
      </c>
      <c r="O353" s="15" t="str">
        <f>IF($N353="","غير مقيّمة",IF($N353&gt;المرجع!$K$3,"مستوفاة بشكل متقدم",IF($N353&lt;=المرجع!$K$2,"مستوفاة بشكل أولي","مستوفاة بشكل جزئي")))</f>
        <v>مستوفاة بشكل جزئي</v>
      </c>
      <c r="P353" s="18" t="s">
        <v>2170</v>
      </c>
    </row>
    <row r="354" spans="1:16">
      <c r="A354" s="16" t="s">
        <v>738</v>
      </c>
      <c r="B354" s="16" t="s">
        <v>182</v>
      </c>
      <c r="C354" s="15" t="str">
        <f>IFERROR(INDEX('قائمة الوحدات'!$B$2:$B$41,MATCH($B354,'قائمة الوحدات'!$A$2:$A$41,0)),"")</f>
        <v>EXE</v>
      </c>
      <c r="D354" s="14" t="str">
        <f>IFERROR(INDEX('قائمة الوحدات'!$C$2:$C$41,MATCH($B354,'قائمة الوحدات'!$A$2:$A$41,0)),"")</f>
        <v>الشؤون التنفيذية</v>
      </c>
      <c r="E354" s="14" t="str">
        <f>IFERROR(INDEX('قائمة الوحدات'!$D$2:$D$41,MATCH($B354,'قائمة الوحدات'!$A$2:$A$41,0)),"")</f>
        <v>وكالة التحول الرقمي</v>
      </c>
      <c r="F354" s="14" t="str">
        <f>IFERROR(INDEX('قائمة الوحدات'!$F$2:$F$41,MATCH($B354,'قائمة الوحدات'!$A$2:$A$41,0)),"")</f>
        <v>وكالة التحول الرقمي</v>
      </c>
      <c r="G354" s="16" t="s">
        <v>65</v>
      </c>
      <c r="H354" s="14" t="str">
        <f>IFERROR(INDEX(المرجع!$A$2:$A$19,MATCH($G354,المرجع!$B$2:$B$19,0)),"")</f>
        <v>التشغيل</v>
      </c>
      <c r="I354" s="16" t="s">
        <v>48</v>
      </c>
      <c r="J354" s="14" t="str">
        <f>IFERROR(INDEX(المرجع!$D$2:$D$19,MATCH($I354,المرجع!$E$2:$E$19,0)),"")</f>
        <v>الأهداف ومؤشرات الأداء</v>
      </c>
      <c r="K354" s="16" t="s">
        <v>116</v>
      </c>
      <c r="L354" s="17" t="str">
        <f>IFERROR(INDEX('نقاط التحقق'!$G$2:$G$31,MATCH($K354,'نقاط التحقق'!$A$2:$A$31,0))&amp;"","")</f>
        <v>تحرك مؤشرات الأداء التشغيلي للوحدة التنظيمية بشكل إيجابي</v>
      </c>
      <c r="M354" s="14" t="str">
        <f>IFERROR(INDEX('نقاط التحقق'!$H$2:$H$31,MATCH($K354,'نقاط التحقق'!$A$2:$A$31,0))&amp;"","")</f>
        <v/>
      </c>
      <c r="N354" s="13">
        <v>5</v>
      </c>
      <c r="O354" s="15" t="str">
        <f>IF($N354="","غير مقيّمة",IF($N354&gt;المرجع!$K$3,"مستوفاة بشكل متقدم",IF($N354&lt;=المرجع!$K$2,"مستوفاة بشكل أولي","مستوفاة بشكل جزئي")))</f>
        <v>مستوفاة بشكل أولي</v>
      </c>
      <c r="P354" s="18" t="s">
        <v>2170</v>
      </c>
    </row>
    <row r="355" spans="1:16">
      <c r="A355" s="16" t="s">
        <v>739</v>
      </c>
      <c r="B355" s="16" t="s">
        <v>182</v>
      </c>
      <c r="C355" s="15" t="str">
        <f>IFERROR(INDEX('قائمة الوحدات'!$B$2:$B$41,MATCH($B355,'قائمة الوحدات'!$A$2:$A$41,0)),"")</f>
        <v>EXE</v>
      </c>
      <c r="D355" s="14" t="str">
        <f>IFERROR(INDEX('قائمة الوحدات'!$C$2:$C$41,MATCH($B355,'قائمة الوحدات'!$A$2:$A$41,0)),"")</f>
        <v>الشؤون التنفيذية</v>
      </c>
      <c r="E355" s="14" t="str">
        <f>IFERROR(INDEX('قائمة الوحدات'!$D$2:$D$41,MATCH($B355,'قائمة الوحدات'!$A$2:$A$41,0)),"")</f>
        <v>وكالة التحول الرقمي</v>
      </c>
      <c r="F355" s="14" t="str">
        <f>IFERROR(INDEX('قائمة الوحدات'!$F$2:$F$41,MATCH($B355,'قائمة الوحدات'!$A$2:$A$41,0)),"")</f>
        <v>وكالة التحول الرقمي</v>
      </c>
      <c r="G355" s="16" t="s">
        <v>65</v>
      </c>
      <c r="H355" s="14" t="str">
        <f>IFERROR(INDEX(المرجع!$A$2:$A$19,MATCH($G355,المرجع!$B$2:$B$19,0)),"")</f>
        <v>التشغيل</v>
      </c>
      <c r="I355" s="16" t="s">
        <v>48</v>
      </c>
      <c r="J355" s="14" t="str">
        <f>IFERROR(INDEX(المرجع!$D$2:$D$19,MATCH($I355,المرجع!$E$2:$E$19,0)),"")</f>
        <v>الأهداف ومؤشرات الأداء</v>
      </c>
      <c r="K355" s="16" t="s">
        <v>118</v>
      </c>
      <c r="L355" s="17" t="str">
        <f>IFERROR(INDEX('نقاط التحقق'!$G$2:$G$31,MATCH($K355,'نقاط التحقق'!$A$2:$A$31,0))&amp;"","")</f>
        <v>خطة سنوية معتمدة للوحدة التنظيمية</v>
      </c>
      <c r="M355" s="14" t="str">
        <f>IFERROR(INDEX('نقاط التحقق'!$H$2:$H$31,MATCH($K355,'نقاط التحقق'!$A$2:$A$31,0))&amp;"","")</f>
        <v/>
      </c>
      <c r="N355" s="13">
        <v>15</v>
      </c>
      <c r="O355" s="15" t="str">
        <f>IF($N355="","غير مقيّمة",IF($N355&gt;المرجع!$K$3,"مستوفاة بشكل متقدم",IF($N355&lt;=المرجع!$K$2,"مستوفاة بشكل أولي","مستوفاة بشكل جزئي")))</f>
        <v>مستوفاة بشكل أولي</v>
      </c>
      <c r="P355" s="18" t="s">
        <v>2170</v>
      </c>
    </row>
    <row r="356" spans="1:16">
      <c r="A356" s="16" t="s">
        <v>740</v>
      </c>
      <c r="B356" s="16" t="s">
        <v>182</v>
      </c>
      <c r="C356" s="15" t="str">
        <f>IFERROR(INDEX('قائمة الوحدات'!$B$2:$B$41,MATCH($B356,'قائمة الوحدات'!$A$2:$A$41,0)),"")</f>
        <v>EXE</v>
      </c>
      <c r="D356" s="14" t="str">
        <f>IFERROR(INDEX('قائمة الوحدات'!$C$2:$C$41,MATCH($B356,'قائمة الوحدات'!$A$2:$A$41,0)),"")</f>
        <v>الشؤون التنفيذية</v>
      </c>
      <c r="E356" s="14" t="str">
        <f>IFERROR(INDEX('قائمة الوحدات'!$D$2:$D$41,MATCH($B356,'قائمة الوحدات'!$A$2:$A$41,0)),"")</f>
        <v>وكالة التحول الرقمي</v>
      </c>
      <c r="F356" s="14" t="str">
        <f>IFERROR(INDEX('قائمة الوحدات'!$F$2:$F$41,MATCH($B356,'قائمة الوحدات'!$A$2:$A$41,0)),"")</f>
        <v>وكالة التحول الرقمي</v>
      </c>
      <c r="G356" s="16" t="s">
        <v>65</v>
      </c>
      <c r="H356" s="14" t="str">
        <f>IFERROR(INDEX(المرجع!$A$2:$A$19,MATCH($G356,المرجع!$B$2:$B$19,0)),"")</f>
        <v>التشغيل</v>
      </c>
      <c r="I356" s="16" t="s">
        <v>51</v>
      </c>
      <c r="J356" s="14" t="str">
        <f>IFERROR(INDEX(المرجع!$D$2:$D$19,MATCH($I356,المرجع!$E$2:$E$19,0)),"")</f>
        <v>الحوكمة</v>
      </c>
      <c r="K356" s="16" t="s">
        <v>120</v>
      </c>
      <c r="L356" s="17" t="str">
        <f>IFERROR(INDEX('نقاط التحقق'!$G$2:$G$31,MATCH($K356,'نقاط التحقق'!$A$2:$A$31,0))&amp;"","")</f>
        <v>محاضر لجان موثقة</v>
      </c>
      <c r="M356" s="14" t="str">
        <f>IFERROR(INDEX('نقاط التحقق'!$H$2:$H$31,MATCH($K356,'نقاط التحقق'!$A$2:$A$31,0))&amp;"","")</f>
        <v/>
      </c>
      <c r="N356" s="13">
        <v>50</v>
      </c>
      <c r="O356" s="15" t="str">
        <f>IF($N356="","غير مقيّمة",IF($N356&gt;المرجع!$K$3,"مستوفاة بشكل متقدم",IF($N356&lt;=المرجع!$K$2,"مستوفاة بشكل أولي","مستوفاة بشكل جزئي")))</f>
        <v>مستوفاة بشكل جزئي</v>
      </c>
      <c r="P356" s="18" t="s">
        <v>2170</v>
      </c>
    </row>
    <row r="357" spans="1:16">
      <c r="A357" s="16" t="s">
        <v>741</v>
      </c>
      <c r="B357" s="16" t="s">
        <v>182</v>
      </c>
      <c r="C357" s="15" t="str">
        <f>IFERROR(INDEX('قائمة الوحدات'!$B$2:$B$41,MATCH($B357,'قائمة الوحدات'!$A$2:$A$41,0)),"")</f>
        <v>EXE</v>
      </c>
      <c r="D357" s="14" t="str">
        <f>IFERROR(INDEX('قائمة الوحدات'!$C$2:$C$41,MATCH($B357,'قائمة الوحدات'!$A$2:$A$41,0)),"")</f>
        <v>الشؤون التنفيذية</v>
      </c>
      <c r="E357" s="14" t="str">
        <f>IFERROR(INDEX('قائمة الوحدات'!$D$2:$D$41,MATCH($B357,'قائمة الوحدات'!$A$2:$A$41,0)),"")</f>
        <v>وكالة التحول الرقمي</v>
      </c>
      <c r="F357" s="14" t="str">
        <f>IFERROR(INDEX('قائمة الوحدات'!$F$2:$F$41,MATCH($B357,'قائمة الوحدات'!$A$2:$A$41,0)),"")</f>
        <v>وكالة التحول الرقمي</v>
      </c>
      <c r="G357" s="16" t="s">
        <v>65</v>
      </c>
      <c r="H357" s="14" t="str">
        <f>IFERROR(INDEX(المرجع!$A$2:$A$19,MATCH($G357,المرجع!$B$2:$B$19,0)),"")</f>
        <v>التشغيل</v>
      </c>
      <c r="I357" s="16" t="s">
        <v>51</v>
      </c>
      <c r="J357" s="14" t="str">
        <f>IFERROR(INDEX(المرجع!$D$2:$D$19,MATCH($I357,المرجع!$E$2:$E$19,0)),"")</f>
        <v>الحوكمة</v>
      </c>
      <c r="K357" s="16" t="s">
        <v>122</v>
      </c>
      <c r="L357" s="17" t="str">
        <f>IFERROR(INDEX('نقاط التحقق'!$G$2:$G$31,MATCH($K357,'نقاط التحقق'!$A$2:$A$31,0))&amp;"","")</f>
        <v>نشر السياسات التي تملكها الوحدة التنظيمية</v>
      </c>
      <c r="M357" s="14" t="str">
        <f>IFERROR(INDEX('نقاط التحقق'!$H$2:$H$31,MATCH($K357,'نقاط التحقق'!$A$2:$A$31,0))&amp;"","")</f>
        <v/>
      </c>
      <c r="N357" s="13">
        <v>35</v>
      </c>
      <c r="O357" s="15" t="str">
        <f>IF($N357="","غير مقيّمة",IF($N357&gt;المرجع!$K$3,"مستوفاة بشكل متقدم",IF($N357&lt;=المرجع!$K$2,"مستوفاة بشكل أولي","مستوفاة بشكل جزئي")))</f>
        <v>مستوفاة بشكل جزئي</v>
      </c>
      <c r="P357" s="18" t="s">
        <v>2170</v>
      </c>
    </row>
    <row r="358" spans="1:16">
      <c r="A358" s="16" t="s">
        <v>742</v>
      </c>
      <c r="B358" s="16" t="s">
        <v>182</v>
      </c>
      <c r="C358" s="15" t="str">
        <f>IFERROR(INDEX('قائمة الوحدات'!$B$2:$B$41,MATCH($B358,'قائمة الوحدات'!$A$2:$A$41,0)),"")</f>
        <v>EXE</v>
      </c>
      <c r="D358" s="14" t="str">
        <f>IFERROR(INDEX('قائمة الوحدات'!$C$2:$C$41,MATCH($B358,'قائمة الوحدات'!$A$2:$A$41,0)),"")</f>
        <v>الشؤون التنفيذية</v>
      </c>
      <c r="E358" s="14" t="str">
        <f>IFERROR(INDEX('قائمة الوحدات'!$D$2:$D$41,MATCH($B358,'قائمة الوحدات'!$A$2:$A$41,0)),"")</f>
        <v>وكالة التحول الرقمي</v>
      </c>
      <c r="F358" s="14" t="str">
        <f>IFERROR(INDEX('قائمة الوحدات'!$F$2:$F$41,MATCH($B358,'قائمة الوحدات'!$A$2:$A$41,0)),"")</f>
        <v>وكالة التحول الرقمي</v>
      </c>
      <c r="G358" s="16" t="s">
        <v>65</v>
      </c>
      <c r="H358" s="14" t="str">
        <f>IFERROR(INDEX(المرجع!$A$2:$A$19,MATCH($G358,المرجع!$B$2:$B$19,0)),"")</f>
        <v>التشغيل</v>
      </c>
      <c r="I358" s="16" t="s">
        <v>51</v>
      </c>
      <c r="J358" s="14" t="str">
        <f>IFERROR(INDEX(المرجع!$D$2:$D$19,MATCH($I358,المرجع!$E$2:$E$19,0)),"")</f>
        <v>الحوكمة</v>
      </c>
      <c r="K358" s="16" t="s">
        <v>124</v>
      </c>
      <c r="L358" s="17" t="str">
        <f>IFERROR(INDEX('نقاط التحقق'!$G$2:$G$31,MATCH($K358,'نقاط التحقق'!$A$2:$A$31,0))&amp;"","")</f>
        <v>اتخاذ القرارات في نطاق الصلاحيات (وجود شواهد)</v>
      </c>
      <c r="M358" s="14" t="str">
        <f>IFERROR(INDEX('نقاط التحقق'!$H$2:$H$31,MATCH($K358,'نقاط التحقق'!$A$2:$A$31,0))&amp;"","")</f>
        <v/>
      </c>
      <c r="N358" s="13">
        <v>20</v>
      </c>
      <c r="O358" s="15" t="str">
        <f>IF($N358="","غير مقيّمة",IF($N358&gt;المرجع!$K$3,"مستوفاة بشكل متقدم",IF($N358&lt;=المرجع!$K$2,"مستوفاة بشكل أولي","مستوفاة بشكل جزئي")))</f>
        <v>مستوفاة بشكل أولي</v>
      </c>
      <c r="P358" s="18" t="s">
        <v>2170</v>
      </c>
    </row>
    <row r="359" spans="1:16">
      <c r="A359" s="16" t="s">
        <v>743</v>
      </c>
      <c r="B359" s="16" t="s">
        <v>182</v>
      </c>
      <c r="C359" s="15" t="str">
        <f>IFERROR(INDEX('قائمة الوحدات'!$B$2:$B$41,MATCH($B359,'قائمة الوحدات'!$A$2:$A$41,0)),"")</f>
        <v>EXE</v>
      </c>
      <c r="D359" s="14" t="str">
        <f>IFERROR(INDEX('قائمة الوحدات'!$C$2:$C$41,MATCH($B359,'قائمة الوحدات'!$A$2:$A$41,0)),"")</f>
        <v>الشؤون التنفيذية</v>
      </c>
      <c r="E359" s="14" t="str">
        <f>IFERROR(INDEX('قائمة الوحدات'!$D$2:$D$41,MATCH($B359,'قائمة الوحدات'!$A$2:$A$41,0)),"")</f>
        <v>وكالة التحول الرقمي</v>
      </c>
      <c r="F359" s="14" t="str">
        <f>IFERROR(INDEX('قائمة الوحدات'!$F$2:$F$41,MATCH($B359,'قائمة الوحدات'!$A$2:$A$41,0)),"")</f>
        <v>وكالة التحول الرقمي</v>
      </c>
      <c r="G359" s="16" t="s">
        <v>65</v>
      </c>
      <c r="H359" s="14" t="str">
        <f>IFERROR(INDEX(المرجع!$A$2:$A$19,MATCH($G359,المرجع!$B$2:$B$19,0)),"")</f>
        <v>التشغيل</v>
      </c>
      <c r="I359" s="16" t="s">
        <v>56</v>
      </c>
      <c r="J359" s="14" t="str">
        <f>IFERROR(INDEX(المرجع!$D$2:$D$19,MATCH($I359,المرجع!$E$2:$E$19,0)),"")</f>
        <v>الموارد</v>
      </c>
      <c r="K359" s="16" t="s">
        <v>126</v>
      </c>
      <c r="L359" s="17" t="str">
        <f>IFERROR(INDEX('نقاط التحقق'!$G$2:$G$31,MATCH($K359,'نقاط التحقق'!$A$2:$A$31,0))&amp;"","")</f>
        <v>موارد مستكملة للحد الأدنى الذي يغطي كافة محاور سلسلة القيمة</v>
      </c>
      <c r="M359" s="14" t="str">
        <f>IFERROR(INDEX('نقاط التحقق'!$H$2:$H$31,MATCH($K359,'نقاط التحقق'!$A$2:$A$31,0))&amp;"","")</f>
        <v/>
      </c>
      <c r="N359" s="13">
        <v>35</v>
      </c>
      <c r="O359" s="15" t="str">
        <f>IF($N359="","غير مقيّمة",IF($N359&gt;المرجع!$K$3,"مستوفاة بشكل متقدم",IF($N359&lt;=المرجع!$K$2,"مستوفاة بشكل أولي","مستوفاة بشكل جزئي")))</f>
        <v>مستوفاة بشكل جزئي</v>
      </c>
      <c r="P359" s="18" t="s">
        <v>2170</v>
      </c>
    </row>
    <row r="360" spans="1:16">
      <c r="A360" s="16" t="s">
        <v>744</v>
      </c>
      <c r="B360" s="16" t="s">
        <v>182</v>
      </c>
      <c r="C360" s="15" t="str">
        <f>IFERROR(INDEX('قائمة الوحدات'!$B$2:$B$41,MATCH($B360,'قائمة الوحدات'!$A$2:$A$41,0)),"")</f>
        <v>EXE</v>
      </c>
      <c r="D360" s="14" t="str">
        <f>IFERROR(INDEX('قائمة الوحدات'!$C$2:$C$41,MATCH($B360,'قائمة الوحدات'!$A$2:$A$41,0)),"")</f>
        <v>الشؤون التنفيذية</v>
      </c>
      <c r="E360" s="14" t="str">
        <f>IFERROR(INDEX('قائمة الوحدات'!$D$2:$D$41,MATCH($B360,'قائمة الوحدات'!$A$2:$A$41,0)),"")</f>
        <v>وكالة التحول الرقمي</v>
      </c>
      <c r="F360" s="14" t="str">
        <f>IFERROR(INDEX('قائمة الوحدات'!$F$2:$F$41,MATCH($B360,'قائمة الوحدات'!$A$2:$A$41,0)),"")</f>
        <v>وكالة التحول الرقمي</v>
      </c>
      <c r="G360" s="16" t="s">
        <v>65</v>
      </c>
      <c r="H360" s="14" t="str">
        <f>IFERROR(INDEX(المرجع!$A$2:$A$19,MATCH($G360,المرجع!$B$2:$B$19,0)),"")</f>
        <v>التشغيل</v>
      </c>
      <c r="I360" s="16" t="s">
        <v>59</v>
      </c>
      <c r="J360" s="14" t="str">
        <f>IFERROR(INDEX(المرجع!$D$2:$D$19,MATCH($I360,المرجع!$E$2:$E$19,0)),"")</f>
        <v>الإجراءات</v>
      </c>
      <c r="K360" s="16" t="s">
        <v>128</v>
      </c>
      <c r="L360" s="17" t="str">
        <f>IFERROR(INDEX('نقاط التحقق'!$G$2:$G$31,MATCH($K360,'نقاط التحقق'!$A$2:$A$31,0))&amp;"","")</f>
        <v>تحقيق تقييم "مطبق بشكل كامل" من منهجية تقييم فعالية الإجراءات</v>
      </c>
      <c r="M360" s="14" t="str">
        <f>IFERROR(INDEX('نقاط التحقق'!$H$2:$H$31,MATCH($K360,'نقاط التحقق'!$A$2:$A$31,0))&amp;"","")</f>
        <v/>
      </c>
      <c r="N360" s="13">
        <v>25</v>
      </c>
      <c r="O360" s="15" t="str">
        <f>IF($N360="","غير مقيّمة",IF($N360&gt;المرجع!$K$3,"مستوفاة بشكل متقدم",IF($N360&lt;=المرجع!$K$2,"مستوفاة بشكل أولي","مستوفاة بشكل جزئي")))</f>
        <v>مستوفاة بشكل أولي</v>
      </c>
      <c r="P360" s="18" t="s">
        <v>2170</v>
      </c>
    </row>
    <row r="361" spans="1:16">
      <c r="A361" s="16" t="s">
        <v>745</v>
      </c>
      <c r="B361" s="16" t="s">
        <v>182</v>
      </c>
      <c r="C361" s="15" t="str">
        <f>IFERROR(INDEX('قائمة الوحدات'!$B$2:$B$41,MATCH($B361,'قائمة الوحدات'!$A$2:$A$41,0)),"")</f>
        <v>EXE</v>
      </c>
      <c r="D361" s="14" t="str">
        <f>IFERROR(INDEX('قائمة الوحدات'!$C$2:$C$41,MATCH($B361,'قائمة الوحدات'!$A$2:$A$41,0)),"")</f>
        <v>الشؤون التنفيذية</v>
      </c>
      <c r="E361" s="14" t="str">
        <f>IFERROR(INDEX('قائمة الوحدات'!$D$2:$D$41,MATCH($B361,'قائمة الوحدات'!$A$2:$A$41,0)),"")</f>
        <v>وكالة التحول الرقمي</v>
      </c>
      <c r="F361" s="14" t="str">
        <f>IFERROR(INDEX('قائمة الوحدات'!$F$2:$F$41,MATCH($B361,'قائمة الوحدات'!$A$2:$A$41,0)),"")</f>
        <v>وكالة التحول الرقمي</v>
      </c>
      <c r="G361" s="16" t="s">
        <v>65</v>
      </c>
      <c r="H361" s="14" t="str">
        <f>IFERROR(INDEX(المرجع!$A$2:$A$19,MATCH($G361,المرجع!$B$2:$B$19,0)),"")</f>
        <v>التشغيل</v>
      </c>
      <c r="I361" s="16" t="s">
        <v>67</v>
      </c>
      <c r="J361" s="14" t="str">
        <f>IFERROR(INDEX(المرجع!$D$2:$D$19,MATCH($I361,المرجع!$E$2:$E$19,0)),"")</f>
        <v>اكتمال المخرجات المستهدفة</v>
      </c>
      <c r="K361" s="16" t="s">
        <v>130</v>
      </c>
      <c r="L361" s="17" t="str">
        <f>IFERROR(INDEX('نقاط التحقق'!$G$2:$G$31,MATCH($K361,'نقاط التحقق'!$A$2:$A$31,0))&amp;"","")</f>
        <v>اكتمال مخرجات النموذج التشغيلي المستهدف للوحدة التنظيمية</v>
      </c>
      <c r="M361" s="14" t="str">
        <f>IFERROR(INDEX('نقاط التحقق'!$H$2:$H$31,MATCH($K361,'نقاط التحقق'!$A$2:$A$31,0))&amp;"","")</f>
        <v/>
      </c>
      <c r="N361" s="13">
        <v>43</v>
      </c>
      <c r="O361" s="15" t="str">
        <f>IF($N361="","غير مقيّمة",IF($N361&gt;المرجع!$K$3,"مستوفاة بشكل متقدم",IF($N361&lt;=المرجع!$K$2,"مستوفاة بشكل أولي","مستوفاة بشكل جزئي")))</f>
        <v>مستوفاة بشكل جزئي</v>
      </c>
      <c r="P361" s="18" t="s">
        <v>2170</v>
      </c>
    </row>
    <row r="362" spans="1:16">
      <c r="A362" s="16" t="s">
        <v>746</v>
      </c>
      <c r="B362" s="16" t="s">
        <v>184</v>
      </c>
      <c r="C362" s="15" t="str">
        <f>IFERROR(INDEX('قائمة الوحدات'!$B$2:$B$41,MATCH($B362,'قائمة الوحدات'!$A$2:$A$41,0)),"")</f>
        <v>EXE</v>
      </c>
      <c r="D362" s="14" t="str">
        <f>IFERROR(INDEX('قائمة الوحدات'!$C$2:$C$41,MATCH($B362,'قائمة الوحدات'!$A$2:$A$41,0)),"")</f>
        <v>الشؤون التنفيذية</v>
      </c>
      <c r="E362" s="14" t="str">
        <f>IFERROR(INDEX('قائمة الوحدات'!$D$2:$D$41,MATCH($B362,'قائمة الوحدات'!$A$2:$A$41,0)),"")</f>
        <v>وكالة الاتصال المؤسسي</v>
      </c>
      <c r="F362" s="14" t="str">
        <f>IFERROR(INDEX('قائمة الوحدات'!$F$2:$F$41,MATCH($B362,'قائمة الوحدات'!$A$2:$A$41,0)),"")</f>
        <v>وكالة الاتصال المؤسسي</v>
      </c>
      <c r="G362" s="16" t="s">
        <v>43</v>
      </c>
      <c r="H362" s="14" t="str">
        <f>IFERROR(INDEX(المرجع!$A$2:$A$19,MATCH($G362,المرجع!$B$2:$B$19,0)),"")</f>
        <v>التصميم</v>
      </c>
      <c r="I362" s="16" t="s">
        <v>45</v>
      </c>
      <c r="J362" s="14" t="str">
        <f>IFERROR(INDEX(المرجع!$D$2:$D$19,MATCH($I362,المرجع!$E$2:$E$19,0)),"")</f>
        <v>الدور</v>
      </c>
      <c r="K362" s="16" t="s">
        <v>72</v>
      </c>
      <c r="L362" s="17" t="str">
        <f>IFERROR(INDEX('نقاط التحقق'!$G$2:$G$31,MATCH($K362,'نقاط التحقق'!$A$2:$A$31,0))&amp;"","")</f>
        <v>دور مفصل للوحدة التنظيمية</v>
      </c>
      <c r="M362" s="14" t="str">
        <f>IFERROR(INDEX('نقاط التحقق'!$H$2:$H$31,MATCH($K362,'نقاط التحقق'!$A$2:$A$31,0))&amp;"","")</f>
        <v/>
      </c>
      <c r="N362" s="13">
        <v>77</v>
      </c>
      <c r="O362" s="15" t="str">
        <f>IF($N362="","غير مقيّمة",IF($N362&gt;المرجع!$K$3,"مستوفاة بشكل متقدم",IF($N362&lt;=المرجع!$K$2,"مستوفاة بشكل أولي","مستوفاة بشكل جزئي")))</f>
        <v>مستوفاة بشكل متقدم</v>
      </c>
      <c r="P362" s="18" t="s">
        <v>2170</v>
      </c>
    </row>
    <row r="363" spans="1:16">
      <c r="A363" s="16" t="s">
        <v>747</v>
      </c>
      <c r="B363" s="16" t="s">
        <v>184</v>
      </c>
      <c r="C363" s="15" t="str">
        <f>IFERROR(INDEX('قائمة الوحدات'!$B$2:$B$41,MATCH($B363,'قائمة الوحدات'!$A$2:$A$41,0)),"")</f>
        <v>EXE</v>
      </c>
      <c r="D363" s="14" t="str">
        <f>IFERROR(INDEX('قائمة الوحدات'!$C$2:$C$41,MATCH($B363,'قائمة الوحدات'!$A$2:$A$41,0)),"")</f>
        <v>الشؤون التنفيذية</v>
      </c>
      <c r="E363" s="14" t="str">
        <f>IFERROR(INDEX('قائمة الوحدات'!$D$2:$D$41,MATCH($B363,'قائمة الوحدات'!$A$2:$A$41,0)),"")</f>
        <v>وكالة الاتصال المؤسسي</v>
      </c>
      <c r="F363" s="14" t="str">
        <f>IFERROR(INDEX('قائمة الوحدات'!$F$2:$F$41,MATCH($B363,'قائمة الوحدات'!$A$2:$A$41,0)),"")</f>
        <v>وكالة الاتصال المؤسسي</v>
      </c>
      <c r="G363" s="16" t="s">
        <v>43</v>
      </c>
      <c r="H363" s="14" t="str">
        <f>IFERROR(INDEX(المرجع!$A$2:$A$19,MATCH($G363,المرجع!$B$2:$B$19,0)),"")</f>
        <v>التصميم</v>
      </c>
      <c r="I363" s="16" t="s">
        <v>48</v>
      </c>
      <c r="J363" s="14" t="str">
        <f>IFERROR(INDEX(المرجع!$D$2:$D$19,MATCH($I363,المرجع!$E$2:$E$19,0)),"")</f>
        <v>الأهداف ومؤشرات الأداء</v>
      </c>
      <c r="K363" s="16" t="s">
        <v>74</v>
      </c>
      <c r="L363" s="17" t="str">
        <f>IFERROR(INDEX('نقاط التحقق'!$G$2:$G$31,MATCH($K363,'نقاط التحقق'!$A$2:$A$31,0))&amp;"","")</f>
        <v>أهداف محددة للوحدة التنظيمية وربطها بمؤشرات أداء لقياسها</v>
      </c>
      <c r="M363" s="14" t="str">
        <f>IFERROR(INDEX('نقاط التحقق'!$H$2:$H$31,MATCH($K363,'نقاط التحقق'!$A$2:$A$31,0))&amp;"","")</f>
        <v/>
      </c>
      <c r="N363" s="13">
        <v>100</v>
      </c>
      <c r="O363" s="15" t="str">
        <f>IF($N363="","غير مقيّمة",IF($N363&gt;المرجع!$K$3,"مستوفاة بشكل متقدم",IF($N363&lt;=المرجع!$K$2,"مستوفاة بشكل أولي","مستوفاة بشكل جزئي")))</f>
        <v>مستوفاة بشكل متقدم</v>
      </c>
      <c r="P363" s="18" t="s">
        <v>2170</v>
      </c>
    </row>
    <row r="364" spans="1:16">
      <c r="A364" s="16" t="s">
        <v>748</v>
      </c>
      <c r="B364" s="16" t="s">
        <v>184</v>
      </c>
      <c r="C364" s="15" t="str">
        <f>IFERROR(INDEX('قائمة الوحدات'!$B$2:$B$41,MATCH($B364,'قائمة الوحدات'!$A$2:$A$41,0)),"")</f>
        <v>EXE</v>
      </c>
      <c r="D364" s="14" t="str">
        <f>IFERROR(INDEX('قائمة الوحدات'!$C$2:$C$41,MATCH($B364,'قائمة الوحدات'!$A$2:$A$41,0)),"")</f>
        <v>الشؤون التنفيذية</v>
      </c>
      <c r="E364" s="14" t="str">
        <f>IFERROR(INDEX('قائمة الوحدات'!$D$2:$D$41,MATCH($B364,'قائمة الوحدات'!$A$2:$A$41,0)),"")</f>
        <v>وكالة الاتصال المؤسسي</v>
      </c>
      <c r="F364" s="14" t="str">
        <f>IFERROR(INDEX('قائمة الوحدات'!$F$2:$F$41,MATCH($B364,'قائمة الوحدات'!$A$2:$A$41,0)),"")</f>
        <v>وكالة الاتصال المؤسسي</v>
      </c>
      <c r="G364" s="16" t="s">
        <v>43</v>
      </c>
      <c r="H364" s="14" t="str">
        <f>IFERROR(INDEX(المرجع!$A$2:$A$19,MATCH($G364,المرجع!$B$2:$B$19,0)),"")</f>
        <v>التصميم</v>
      </c>
      <c r="I364" s="16" t="s">
        <v>48</v>
      </c>
      <c r="J364" s="14" t="str">
        <f>IFERROR(INDEX(المرجع!$D$2:$D$19,MATCH($I364,المرجع!$E$2:$E$19,0)),"")</f>
        <v>الأهداف ومؤشرات الأداء</v>
      </c>
      <c r="K364" s="16" t="s">
        <v>76</v>
      </c>
      <c r="L364" s="17" t="str">
        <f>IFERROR(INDEX('نقاط التحقق'!$G$2:$G$31,MATCH($K364,'نقاط التحقق'!$A$2:$A$31,0))&amp;"","")</f>
        <v>مؤشرات أداء الوحدة التنظيمية</v>
      </c>
      <c r="M364" s="14" t="str">
        <f>IFERROR(INDEX('نقاط التحقق'!$H$2:$H$31,MATCH($K364,'نقاط التحقق'!$A$2:$A$31,0))&amp;"","")</f>
        <v/>
      </c>
      <c r="N364" s="13">
        <v>100</v>
      </c>
      <c r="O364" s="15" t="str">
        <f>IF($N364="","غير مقيّمة",IF($N364&gt;المرجع!$K$3,"مستوفاة بشكل متقدم",IF($N364&lt;=المرجع!$K$2,"مستوفاة بشكل أولي","مستوفاة بشكل جزئي")))</f>
        <v>مستوفاة بشكل متقدم</v>
      </c>
      <c r="P364" s="18" t="s">
        <v>2170</v>
      </c>
    </row>
    <row r="365" spans="1:16">
      <c r="A365" s="16" t="s">
        <v>749</v>
      </c>
      <c r="B365" s="16" t="s">
        <v>184</v>
      </c>
      <c r="C365" s="15" t="str">
        <f>IFERROR(INDEX('قائمة الوحدات'!$B$2:$B$41,MATCH($B365,'قائمة الوحدات'!$A$2:$A$41,0)),"")</f>
        <v>EXE</v>
      </c>
      <c r="D365" s="14" t="str">
        <f>IFERROR(INDEX('قائمة الوحدات'!$C$2:$C$41,MATCH($B365,'قائمة الوحدات'!$A$2:$A$41,0)),"")</f>
        <v>الشؤون التنفيذية</v>
      </c>
      <c r="E365" s="14" t="str">
        <f>IFERROR(INDEX('قائمة الوحدات'!$D$2:$D$41,MATCH($B365,'قائمة الوحدات'!$A$2:$A$41,0)),"")</f>
        <v>وكالة الاتصال المؤسسي</v>
      </c>
      <c r="F365" s="14" t="str">
        <f>IFERROR(INDEX('قائمة الوحدات'!$F$2:$F$41,MATCH($B365,'قائمة الوحدات'!$A$2:$A$41,0)),"")</f>
        <v>وكالة الاتصال المؤسسي</v>
      </c>
      <c r="G365" s="16" t="s">
        <v>43</v>
      </c>
      <c r="H365" s="14" t="str">
        <f>IFERROR(INDEX(المرجع!$A$2:$A$19,MATCH($G365,المرجع!$B$2:$B$19,0)),"")</f>
        <v>التصميم</v>
      </c>
      <c r="I365" s="16" t="s">
        <v>51</v>
      </c>
      <c r="J365" s="14" t="str">
        <f>IFERROR(INDEX(المرجع!$D$2:$D$19,MATCH($I365,المرجع!$E$2:$E$19,0)),"")</f>
        <v>الحوكمة</v>
      </c>
      <c r="K365" s="16" t="s">
        <v>78</v>
      </c>
      <c r="L365" s="17" t="str">
        <f>IFERROR(INDEX('نقاط التحقق'!$G$2:$G$31,MATCH($K365,'نقاط التحقق'!$A$2:$A$31,0))&amp;"","")</f>
        <v>تفصيل القرارات ومصفوفة الصلاحيات واللجان ذات العلاقة لاعتماد مخرجات الوحدة التنظيمية</v>
      </c>
      <c r="M365" s="14" t="str">
        <f>IFERROR(INDEX('نقاط التحقق'!$H$2:$H$31,MATCH($K365,'نقاط التحقق'!$A$2:$A$31,0))&amp;"","")</f>
        <v/>
      </c>
      <c r="N365" s="13">
        <v>68</v>
      </c>
      <c r="O365" s="15" t="str">
        <f>IF($N365="","غير مقيّمة",IF($N365&gt;المرجع!$K$3,"مستوفاة بشكل متقدم",IF($N365&lt;=المرجع!$K$2,"مستوفاة بشكل أولي","مستوفاة بشكل جزئي")))</f>
        <v>مستوفاة بشكل جزئي</v>
      </c>
      <c r="P365" s="18" t="s">
        <v>2170</v>
      </c>
    </row>
    <row r="366" spans="1:16">
      <c r="A366" s="16" t="s">
        <v>750</v>
      </c>
      <c r="B366" s="16" t="s">
        <v>184</v>
      </c>
      <c r="C366" s="15" t="str">
        <f>IFERROR(INDEX('قائمة الوحدات'!$B$2:$B$41,MATCH($B366,'قائمة الوحدات'!$A$2:$A$41,0)),"")</f>
        <v>EXE</v>
      </c>
      <c r="D366" s="14" t="str">
        <f>IFERROR(INDEX('قائمة الوحدات'!$C$2:$C$41,MATCH($B366,'قائمة الوحدات'!$A$2:$A$41,0)),"")</f>
        <v>الشؤون التنفيذية</v>
      </c>
      <c r="E366" s="14" t="str">
        <f>IFERROR(INDEX('قائمة الوحدات'!$D$2:$D$41,MATCH($B366,'قائمة الوحدات'!$A$2:$A$41,0)),"")</f>
        <v>وكالة الاتصال المؤسسي</v>
      </c>
      <c r="F366" s="14" t="str">
        <f>IFERROR(INDEX('قائمة الوحدات'!$F$2:$F$41,MATCH($B366,'قائمة الوحدات'!$A$2:$A$41,0)),"")</f>
        <v>وكالة الاتصال المؤسسي</v>
      </c>
      <c r="G366" s="16" t="s">
        <v>43</v>
      </c>
      <c r="H366" s="14" t="str">
        <f>IFERROR(INDEX(المرجع!$A$2:$A$19,MATCH($G366,المرجع!$B$2:$B$19,0)),"")</f>
        <v>التصميم</v>
      </c>
      <c r="I366" s="16" t="s">
        <v>54</v>
      </c>
      <c r="J366" s="14" t="str">
        <f>IFERROR(INDEX(المرجع!$D$2:$D$19,MATCH($I366,المرجع!$E$2:$E$19,0)),"")</f>
        <v>التنظيم</v>
      </c>
      <c r="K366" s="16" t="s">
        <v>80</v>
      </c>
      <c r="L366" s="17" t="str">
        <f>IFERROR(INDEX('نقاط التحقق'!$G$2:$G$31,MATCH($K366,'نقاط التحقق'!$A$2:$A$31,0))&amp;"","")</f>
        <v>تطوير الأدوار والمسؤوليات للوحدة التنظيمية وتفصيل الهيكل التنظيمي</v>
      </c>
      <c r="M366" s="14" t="str">
        <f>IFERROR(INDEX('نقاط التحقق'!$H$2:$H$31,MATCH($K366,'نقاط التحقق'!$A$2:$A$31,0))&amp;"","")</f>
        <v/>
      </c>
      <c r="N366" s="13">
        <v>82</v>
      </c>
      <c r="O366" s="15" t="str">
        <f>IF($N366="","غير مقيّمة",IF($N366&gt;المرجع!$K$3,"مستوفاة بشكل متقدم",IF($N366&lt;=المرجع!$K$2,"مستوفاة بشكل أولي","مستوفاة بشكل جزئي")))</f>
        <v>مستوفاة بشكل متقدم</v>
      </c>
      <c r="P366" s="18" t="s">
        <v>2170</v>
      </c>
    </row>
    <row r="367" spans="1:16">
      <c r="A367" s="16" t="s">
        <v>751</v>
      </c>
      <c r="B367" s="16" t="s">
        <v>184</v>
      </c>
      <c r="C367" s="15" t="str">
        <f>IFERROR(INDEX('قائمة الوحدات'!$B$2:$B$41,MATCH($B367,'قائمة الوحدات'!$A$2:$A$41,0)),"")</f>
        <v>EXE</v>
      </c>
      <c r="D367" s="14" t="str">
        <f>IFERROR(INDEX('قائمة الوحدات'!$C$2:$C$41,MATCH($B367,'قائمة الوحدات'!$A$2:$A$41,0)),"")</f>
        <v>الشؤون التنفيذية</v>
      </c>
      <c r="E367" s="14" t="str">
        <f>IFERROR(INDEX('قائمة الوحدات'!$D$2:$D$41,MATCH($B367,'قائمة الوحدات'!$A$2:$A$41,0)),"")</f>
        <v>وكالة الاتصال المؤسسي</v>
      </c>
      <c r="F367" s="14" t="str">
        <f>IFERROR(INDEX('قائمة الوحدات'!$F$2:$F$41,MATCH($B367,'قائمة الوحدات'!$A$2:$A$41,0)),"")</f>
        <v>وكالة الاتصال المؤسسي</v>
      </c>
      <c r="G367" s="16" t="s">
        <v>43</v>
      </c>
      <c r="H367" s="14" t="str">
        <f>IFERROR(INDEX(المرجع!$A$2:$A$19,MATCH($G367,المرجع!$B$2:$B$19,0)),"")</f>
        <v>التصميم</v>
      </c>
      <c r="I367" s="16" t="s">
        <v>56</v>
      </c>
      <c r="J367" s="14" t="str">
        <f>IFERROR(INDEX(المرجع!$D$2:$D$19,MATCH($I367,المرجع!$E$2:$E$19,0)),"")</f>
        <v>الموارد</v>
      </c>
      <c r="K367" s="16" t="s">
        <v>82</v>
      </c>
      <c r="L367" s="17" t="str">
        <f>IFERROR(INDEX('نقاط التحقق'!$G$2:$G$31,MATCH($K367,'نقاط التحقق'!$A$2:$A$31,0))&amp;"","")</f>
        <v>تفصيل احتياج الموارد البشرية للوحدة التنظيمية</v>
      </c>
      <c r="M367" s="14" t="str">
        <f>IFERROR(INDEX('نقاط التحقق'!$H$2:$H$31,MATCH($K367,'نقاط التحقق'!$A$2:$A$31,0))&amp;"","")</f>
        <v/>
      </c>
      <c r="N367" s="13">
        <v>91</v>
      </c>
      <c r="O367" s="15" t="str">
        <f>IF($N367="","غير مقيّمة",IF($N367&gt;المرجع!$K$3,"مستوفاة بشكل متقدم",IF($N367&lt;=المرجع!$K$2,"مستوفاة بشكل أولي","مستوفاة بشكل جزئي")))</f>
        <v>مستوفاة بشكل متقدم</v>
      </c>
      <c r="P367" s="18" t="s">
        <v>2170</v>
      </c>
    </row>
    <row r="368" spans="1:16">
      <c r="A368" s="16" t="s">
        <v>752</v>
      </c>
      <c r="B368" s="16" t="s">
        <v>184</v>
      </c>
      <c r="C368" s="15" t="str">
        <f>IFERROR(INDEX('قائمة الوحدات'!$B$2:$B$41,MATCH($B368,'قائمة الوحدات'!$A$2:$A$41,0)),"")</f>
        <v>EXE</v>
      </c>
      <c r="D368" s="14" t="str">
        <f>IFERROR(INDEX('قائمة الوحدات'!$C$2:$C$41,MATCH($B368,'قائمة الوحدات'!$A$2:$A$41,0)),"")</f>
        <v>الشؤون التنفيذية</v>
      </c>
      <c r="E368" s="14" t="str">
        <f>IFERROR(INDEX('قائمة الوحدات'!$D$2:$D$41,MATCH($B368,'قائمة الوحدات'!$A$2:$A$41,0)),"")</f>
        <v>وكالة الاتصال المؤسسي</v>
      </c>
      <c r="F368" s="14" t="str">
        <f>IFERROR(INDEX('قائمة الوحدات'!$F$2:$F$41,MATCH($B368,'قائمة الوحدات'!$A$2:$A$41,0)),"")</f>
        <v>وكالة الاتصال المؤسسي</v>
      </c>
      <c r="G368" s="16" t="s">
        <v>43</v>
      </c>
      <c r="H368" s="14" t="str">
        <f>IFERROR(INDEX(المرجع!$A$2:$A$19,MATCH($G368,المرجع!$B$2:$B$19,0)),"")</f>
        <v>التصميم</v>
      </c>
      <c r="I368" s="16" t="s">
        <v>59</v>
      </c>
      <c r="J368" s="14" t="str">
        <f>IFERROR(INDEX(المرجع!$D$2:$D$19,MATCH($I368,المرجع!$E$2:$E$19,0)),"")</f>
        <v>الإجراءات</v>
      </c>
      <c r="K368" s="16" t="s">
        <v>84</v>
      </c>
      <c r="L368" s="17" t="str">
        <f>IFERROR(INDEX('نقاط التحقق'!$G$2:$G$31,MATCH($K368,'نقاط التحقق'!$A$2:$A$31,0))&amp;"","")</f>
        <v>تفصيل المخرجات إلى إجراءات عالية المستوى</v>
      </c>
      <c r="M368" s="14" t="str">
        <f>IFERROR(INDEX('نقاط التحقق'!$H$2:$H$31,MATCH($K368,'نقاط التحقق'!$A$2:$A$31,0))&amp;"","")</f>
        <v/>
      </c>
      <c r="N368" s="13">
        <v>79</v>
      </c>
      <c r="O368" s="15" t="str">
        <f>IF($N368="","غير مقيّمة",IF($N368&gt;المرجع!$K$3,"مستوفاة بشكل متقدم",IF($N368&lt;=المرجع!$K$2,"مستوفاة بشكل أولي","مستوفاة بشكل جزئي")))</f>
        <v>مستوفاة بشكل متقدم</v>
      </c>
      <c r="P368" s="18" t="s">
        <v>2170</v>
      </c>
    </row>
    <row r="369" spans="1:16">
      <c r="A369" s="16" t="s">
        <v>753</v>
      </c>
      <c r="B369" s="16" t="s">
        <v>184</v>
      </c>
      <c r="C369" s="15" t="str">
        <f>IFERROR(INDEX('قائمة الوحدات'!$B$2:$B$41,MATCH($B369,'قائمة الوحدات'!$A$2:$A$41,0)),"")</f>
        <v>EXE</v>
      </c>
      <c r="D369" s="14" t="str">
        <f>IFERROR(INDEX('قائمة الوحدات'!$C$2:$C$41,MATCH($B369,'قائمة الوحدات'!$A$2:$A$41,0)),"")</f>
        <v>الشؤون التنفيذية</v>
      </c>
      <c r="E369" s="14" t="str">
        <f>IFERROR(INDEX('قائمة الوحدات'!$D$2:$D$41,MATCH($B369,'قائمة الوحدات'!$A$2:$A$41,0)),"")</f>
        <v>وكالة الاتصال المؤسسي</v>
      </c>
      <c r="F369" s="14" t="str">
        <f>IFERROR(INDEX('قائمة الوحدات'!$F$2:$F$41,MATCH($B369,'قائمة الوحدات'!$A$2:$A$41,0)),"")</f>
        <v>وكالة الاتصال المؤسسي</v>
      </c>
      <c r="G369" s="16" t="s">
        <v>61</v>
      </c>
      <c r="H369" s="14" t="str">
        <f>IFERROR(INDEX(المرجع!$A$2:$A$19,MATCH($G369,المرجع!$B$2:$B$19,0)),"")</f>
        <v>البناء المؤسسي</v>
      </c>
      <c r="I369" s="16" t="s">
        <v>45</v>
      </c>
      <c r="J369" s="14" t="str">
        <f>IFERROR(INDEX(المرجع!$D$2:$D$19,MATCH($I369,المرجع!$E$2:$E$19,0)),"")</f>
        <v>الدور</v>
      </c>
      <c r="K369" s="16" t="s">
        <v>86</v>
      </c>
      <c r="L369" s="17" t="str">
        <f>IFERROR(INDEX('نقاط التحقق'!$G$2:$G$31,MATCH($K369,'نقاط التحقق'!$A$2:$A$31,0))&amp;"","")</f>
        <v>دور معتمد للوحدة التنظيمية</v>
      </c>
      <c r="M369" s="14" t="str">
        <f>IFERROR(INDEX('نقاط التحقق'!$H$2:$H$31,MATCH($K369,'نقاط التحقق'!$A$2:$A$31,0))&amp;"","")</f>
        <v/>
      </c>
      <c r="N369" s="13">
        <v>48</v>
      </c>
      <c r="O369" s="15" t="str">
        <f>IF($N369="","غير مقيّمة",IF($N369&gt;المرجع!$K$3,"مستوفاة بشكل متقدم",IF($N369&lt;=المرجع!$K$2,"مستوفاة بشكل أولي","مستوفاة بشكل جزئي")))</f>
        <v>مستوفاة بشكل جزئي</v>
      </c>
      <c r="P369" s="18" t="s">
        <v>2170</v>
      </c>
    </row>
    <row r="370" spans="1:16">
      <c r="A370" s="16" t="s">
        <v>754</v>
      </c>
      <c r="B370" s="16" t="s">
        <v>184</v>
      </c>
      <c r="C370" s="15" t="str">
        <f>IFERROR(INDEX('قائمة الوحدات'!$B$2:$B$41,MATCH($B370,'قائمة الوحدات'!$A$2:$A$41,0)),"")</f>
        <v>EXE</v>
      </c>
      <c r="D370" s="14" t="str">
        <f>IFERROR(INDEX('قائمة الوحدات'!$C$2:$C$41,MATCH($B370,'قائمة الوحدات'!$A$2:$A$41,0)),"")</f>
        <v>الشؤون التنفيذية</v>
      </c>
      <c r="E370" s="14" t="str">
        <f>IFERROR(INDEX('قائمة الوحدات'!$D$2:$D$41,MATCH($B370,'قائمة الوحدات'!$A$2:$A$41,0)),"")</f>
        <v>وكالة الاتصال المؤسسي</v>
      </c>
      <c r="F370" s="14" t="str">
        <f>IFERROR(INDEX('قائمة الوحدات'!$F$2:$F$41,MATCH($B370,'قائمة الوحدات'!$A$2:$A$41,0)),"")</f>
        <v>وكالة الاتصال المؤسسي</v>
      </c>
      <c r="G370" s="16" t="s">
        <v>61</v>
      </c>
      <c r="H370" s="14" t="str">
        <f>IFERROR(INDEX(المرجع!$A$2:$A$19,MATCH($G370,المرجع!$B$2:$B$19,0)),"")</f>
        <v>البناء المؤسسي</v>
      </c>
      <c r="I370" s="16" t="s">
        <v>48</v>
      </c>
      <c r="J370" s="14" t="str">
        <f>IFERROR(INDEX(المرجع!$D$2:$D$19,MATCH($I370,المرجع!$E$2:$E$19,0)),"")</f>
        <v>الأهداف ومؤشرات الأداء</v>
      </c>
      <c r="K370" s="16" t="s">
        <v>88</v>
      </c>
      <c r="L370" s="17" t="str">
        <f>IFERROR(INDEX('نقاط التحقق'!$G$2:$G$31,MATCH($K370,'نقاط التحقق'!$A$2:$A$31,0))&amp;"","")</f>
        <v>أهداف تشغيلية معتمدة من صاحب الصلاحية</v>
      </c>
      <c r="M370" s="14" t="str">
        <f>IFERROR(INDEX('نقاط التحقق'!$H$2:$H$31,MATCH($K370,'نقاط التحقق'!$A$2:$A$31,0))&amp;"","")</f>
        <v/>
      </c>
      <c r="N370" s="13">
        <v>75</v>
      </c>
      <c r="O370" s="15" t="str">
        <f>IF($N370="","غير مقيّمة",IF($N370&gt;المرجع!$K$3,"مستوفاة بشكل متقدم",IF($N370&lt;=المرجع!$K$2,"مستوفاة بشكل أولي","مستوفاة بشكل جزئي")))</f>
        <v>مستوفاة بشكل متقدم</v>
      </c>
      <c r="P370" s="18" t="s">
        <v>2170</v>
      </c>
    </row>
    <row r="371" spans="1:16">
      <c r="A371" s="16" t="s">
        <v>755</v>
      </c>
      <c r="B371" s="16" t="s">
        <v>184</v>
      </c>
      <c r="C371" s="15" t="str">
        <f>IFERROR(INDEX('قائمة الوحدات'!$B$2:$B$41,MATCH($B371,'قائمة الوحدات'!$A$2:$A$41,0)),"")</f>
        <v>EXE</v>
      </c>
      <c r="D371" s="14" t="str">
        <f>IFERROR(INDEX('قائمة الوحدات'!$C$2:$C$41,MATCH($B371,'قائمة الوحدات'!$A$2:$A$41,0)),"")</f>
        <v>الشؤون التنفيذية</v>
      </c>
      <c r="E371" s="14" t="str">
        <f>IFERROR(INDEX('قائمة الوحدات'!$D$2:$D$41,MATCH($B371,'قائمة الوحدات'!$A$2:$A$41,0)),"")</f>
        <v>وكالة الاتصال المؤسسي</v>
      </c>
      <c r="F371" s="14" t="str">
        <f>IFERROR(INDEX('قائمة الوحدات'!$F$2:$F$41,MATCH($B371,'قائمة الوحدات'!$A$2:$A$41,0)),"")</f>
        <v>وكالة الاتصال المؤسسي</v>
      </c>
      <c r="G371" s="16" t="s">
        <v>61</v>
      </c>
      <c r="H371" s="14" t="str">
        <f>IFERROR(INDEX(المرجع!$A$2:$A$19,MATCH($G371,المرجع!$B$2:$B$19,0)),"")</f>
        <v>البناء المؤسسي</v>
      </c>
      <c r="I371" s="16" t="s">
        <v>48</v>
      </c>
      <c r="J371" s="14" t="str">
        <f>IFERROR(INDEX(المرجع!$D$2:$D$19,MATCH($I371,المرجع!$E$2:$E$19,0)),"")</f>
        <v>الأهداف ومؤشرات الأداء</v>
      </c>
      <c r="K371" s="16" t="s">
        <v>90</v>
      </c>
      <c r="L371" s="17" t="str">
        <f>IFERROR(INDEX('نقاط التحقق'!$G$2:$G$31,MATCH($K371,'نقاط التحقق'!$A$2:$A$31,0))&amp;"","")</f>
        <v>نشر الأهداف التشغيلية على موظفي الوحدة التنظيمية</v>
      </c>
      <c r="M371" s="14" t="str">
        <f>IFERROR(INDEX('نقاط التحقق'!$H$2:$H$31,MATCH($K371,'نقاط التحقق'!$A$2:$A$31,0))&amp;"","")</f>
        <v/>
      </c>
      <c r="N371" s="13">
        <v>60</v>
      </c>
      <c r="O371" s="15" t="str">
        <f>IF($N371="","غير مقيّمة",IF($N371&gt;المرجع!$K$3,"مستوفاة بشكل متقدم",IF($N371&lt;=المرجع!$K$2,"مستوفاة بشكل أولي","مستوفاة بشكل جزئي")))</f>
        <v>مستوفاة بشكل جزئي</v>
      </c>
      <c r="P371" s="18" t="s">
        <v>2170</v>
      </c>
    </row>
    <row r="372" spans="1:16">
      <c r="A372" s="16" t="s">
        <v>756</v>
      </c>
      <c r="B372" s="16" t="s">
        <v>184</v>
      </c>
      <c r="C372" s="15" t="str">
        <f>IFERROR(INDEX('قائمة الوحدات'!$B$2:$B$41,MATCH($B372,'قائمة الوحدات'!$A$2:$A$41,0)),"")</f>
        <v>EXE</v>
      </c>
      <c r="D372" s="14" t="str">
        <f>IFERROR(INDEX('قائمة الوحدات'!$C$2:$C$41,MATCH($B372,'قائمة الوحدات'!$A$2:$A$41,0)),"")</f>
        <v>الشؤون التنفيذية</v>
      </c>
      <c r="E372" s="14" t="str">
        <f>IFERROR(INDEX('قائمة الوحدات'!$D$2:$D$41,MATCH($B372,'قائمة الوحدات'!$A$2:$A$41,0)),"")</f>
        <v>وكالة الاتصال المؤسسي</v>
      </c>
      <c r="F372" s="14" t="str">
        <f>IFERROR(INDEX('قائمة الوحدات'!$F$2:$F$41,MATCH($B372,'قائمة الوحدات'!$A$2:$A$41,0)),"")</f>
        <v>وكالة الاتصال المؤسسي</v>
      </c>
      <c r="G372" s="16" t="s">
        <v>61</v>
      </c>
      <c r="H372" s="14" t="str">
        <f>IFERROR(INDEX(المرجع!$A$2:$A$19,MATCH($G372,المرجع!$B$2:$B$19,0)),"")</f>
        <v>البناء المؤسسي</v>
      </c>
      <c r="I372" s="16" t="s">
        <v>51</v>
      </c>
      <c r="J372" s="14" t="str">
        <f>IFERROR(INDEX(المرجع!$D$2:$D$19,MATCH($I372,المرجع!$E$2:$E$19,0)),"")</f>
        <v>الحوكمة</v>
      </c>
      <c r="K372" s="16" t="s">
        <v>92</v>
      </c>
      <c r="L372" s="17" t="str">
        <f>IFERROR(INDEX('نقاط التحقق'!$G$2:$G$31,MATCH($K372,'نقاط التحقق'!$A$2:$A$31,0))&amp;"","")</f>
        <v>مصفوفة صلاحيات معتمدة ومعممة على أصحاب المصلحة</v>
      </c>
      <c r="M372" s="14" t="str">
        <f>IFERROR(INDEX('نقاط التحقق'!$H$2:$H$31,MATCH($K372,'نقاط التحقق'!$A$2:$A$31,0))&amp;"","")</f>
        <v/>
      </c>
      <c r="N372" s="13">
        <v>75</v>
      </c>
      <c r="O372" s="15" t="str">
        <f>IF($N372="","غير مقيّمة",IF($N372&gt;المرجع!$K$3,"مستوفاة بشكل متقدم",IF($N372&lt;=المرجع!$K$2,"مستوفاة بشكل أولي","مستوفاة بشكل جزئي")))</f>
        <v>مستوفاة بشكل متقدم</v>
      </c>
      <c r="P372" s="18" t="s">
        <v>2170</v>
      </c>
    </row>
    <row r="373" spans="1:16">
      <c r="A373" s="16" t="s">
        <v>757</v>
      </c>
      <c r="B373" s="16" t="s">
        <v>184</v>
      </c>
      <c r="C373" s="15" t="str">
        <f>IFERROR(INDEX('قائمة الوحدات'!$B$2:$B$41,MATCH($B373,'قائمة الوحدات'!$A$2:$A$41,0)),"")</f>
        <v>EXE</v>
      </c>
      <c r="D373" s="14" t="str">
        <f>IFERROR(INDEX('قائمة الوحدات'!$C$2:$C$41,MATCH($B373,'قائمة الوحدات'!$A$2:$A$41,0)),"")</f>
        <v>الشؤون التنفيذية</v>
      </c>
      <c r="E373" s="14" t="str">
        <f>IFERROR(INDEX('قائمة الوحدات'!$D$2:$D$41,MATCH($B373,'قائمة الوحدات'!$A$2:$A$41,0)),"")</f>
        <v>وكالة الاتصال المؤسسي</v>
      </c>
      <c r="F373" s="14" t="str">
        <f>IFERROR(INDEX('قائمة الوحدات'!$F$2:$F$41,MATCH($B373,'قائمة الوحدات'!$A$2:$A$41,0)),"")</f>
        <v>وكالة الاتصال المؤسسي</v>
      </c>
      <c r="G373" s="16" t="s">
        <v>61</v>
      </c>
      <c r="H373" s="14" t="str">
        <f>IFERROR(INDEX(المرجع!$A$2:$A$19,MATCH($G373,المرجع!$B$2:$B$19,0)),"")</f>
        <v>البناء المؤسسي</v>
      </c>
      <c r="I373" s="16" t="s">
        <v>51</v>
      </c>
      <c r="J373" s="14" t="str">
        <f>IFERROR(INDEX(المرجع!$D$2:$D$19,MATCH($I373,المرجع!$E$2:$E$19,0)),"")</f>
        <v>الحوكمة</v>
      </c>
      <c r="K373" s="16" t="s">
        <v>94</v>
      </c>
      <c r="L373" s="17" t="str">
        <f>IFERROR(INDEX('نقاط التحقق'!$G$2:$G$31,MATCH($K373,'نقاط التحقق'!$A$2:$A$31,0))&amp;"","")</f>
        <v>سياسات معتمدة للتي تملكها الوحدة التنظيمية</v>
      </c>
      <c r="M373" s="14" t="str">
        <f>IFERROR(INDEX('نقاط التحقق'!$H$2:$H$31,MATCH($K373,'نقاط التحقق'!$A$2:$A$31,0))&amp;"","")</f>
        <v/>
      </c>
      <c r="N373" s="13">
        <v>90</v>
      </c>
      <c r="O373" s="15" t="str">
        <f>IF($N373="","غير مقيّمة",IF($N373&gt;المرجع!$K$3,"مستوفاة بشكل متقدم",IF($N373&lt;=المرجع!$K$2,"مستوفاة بشكل أولي","مستوفاة بشكل جزئي")))</f>
        <v>مستوفاة بشكل متقدم</v>
      </c>
      <c r="P373" s="18" t="s">
        <v>2170</v>
      </c>
    </row>
    <row r="374" spans="1:16">
      <c r="A374" s="16" t="s">
        <v>758</v>
      </c>
      <c r="B374" s="16" t="s">
        <v>184</v>
      </c>
      <c r="C374" s="15" t="str">
        <f>IFERROR(INDEX('قائمة الوحدات'!$B$2:$B$41,MATCH($B374,'قائمة الوحدات'!$A$2:$A$41,0)),"")</f>
        <v>EXE</v>
      </c>
      <c r="D374" s="14" t="str">
        <f>IFERROR(INDEX('قائمة الوحدات'!$C$2:$C$41,MATCH($B374,'قائمة الوحدات'!$A$2:$A$41,0)),"")</f>
        <v>الشؤون التنفيذية</v>
      </c>
      <c r="E374" s="14" t="str">
        <f>IFERROR(INDEX('قائمة الوحدات'!$D$2:$D$41,MATCH($B374,'قائمة الوحدات'!$A$2:$A$41,0)),"")</f>
        <v>وكالة الاتصال المؤسسي</v>
      </c>
      <c r="F374" s="14" t="str">
        <f>IFERROR(INDEX('قائمة الوحدات'!$F$2:$F$41,MATCH($B374,'قائمة الوحدات'!$A$2:$A$41,0)),"")</f>
        <v>وكالة الاتصال المؤسسي</v>
      </c>
      <c r="G374" s="16" t="s">
        <v>61</v>
      </c>
      <c r="H374" s="14" t="str">
        <f>IFERROR(INDEX(المرجع!$A$2:$A$19,MATCH($G374,المرجع!$B$2:$B$19,0)),"")</f>
        <v>البناء المؤسسي</v>
      </c>
      <c r="I374" s="16" t="s">
        <v>51</v>
      </c>
      <c r="J374" s="14" t="str">
        <f>IFERROR(INDEX(المرجع!$D$2:$D$19,MATCH($I374,المرجع!$E$2:$E$19,0)),"")</f>
        <v>الحوكمة</v>
      </c>
      <c r="K374" s="16" t="s">
        <v>96</v>
      </c>
      <c r="L374" s="17" t="str">
        <f>IFERROR(INDEX('نقاط التحقق'!$G$2:$G$31,MATCH($K374,'نقاط التحقق'!$A$2:$A$31,0))&amp;"","")</f>
        <v>قرار تشكيل معتمد للجان ذات العلاقة</v>
      </c>
      <c r="M374" s="14" t="str">
        <f>IFERROR(INDEX('نقاط التحقق'!$H$2:$H$31,MATCH($K374,'نقاط التحقق'!$A$2:$A$31,0))&amp;"","")</f>
        <v/>
      </c>
      <c r="N374" s="13">
        <v>80</v>
      </c>
      <c r="O374" s="15" t="str">
        <f>IF($N374="","غير مقيّمة",IF($N374&gt;المرجع!$K$3,"مستوفاة بشكل متقدم",IF($N374&lt;=المرجع!$K$2,"مستوفاة بشكل أولي","مستوفاة بشكل جزئي")))</f>
        <v>مستوفاة بشكل متقدم</v>
      </c>
      <c r="P374" s="18" t="s">
        <v>2170</v>
      </c>
    </row>
    <row r="375" spans="1:16">
      <c r="A375" s="16" t="s">
        <v>759</v>
      </c>
      <c r="B375" s="16" t="s">
        <v>184</v>
      </c>
      <c r="C375" s="15" t="str">
        <f>IFERROR(INDEX('قائمة الوحدات'!$B$2:$B$41,MATCH($B375,'قائمة الوحدات'!$A$2:$A$41,0)),"")</f>
        <v>EXE</v>
      </c>
      <c r="D375" s="14" t="str">
        <f>IFERROR(INDEX('قائمة الوحدات'!$C$2:$C$41,MATCH($B375,'قائمة الوحدات'!$A$2:$A$41,0)),"")</f>
        <v>الشؤون التنفيذية</v>
      </c>
      <c r="E375" s="14" t="str">
        <f>IFERROR(INDEX('قائمة الوحدات'!$D$2:$D$41,MATCH($B375,'قائمة الوحدات'!$A$2:$A$41,0)),"")</f>
        <v>وكالة الاتصال المؤسسي</v>
      </c>
      <c r="F375" s="14" t="str">
        <f>IFERROR(INDEX('قائمة الوحدات'!$F$2:$F$41,MATCH($B375,'قائمة الوحدات'!$A$2:$A$41,0)),"")</f>
        <v>وكالة الاتصال المؤسسي</v>
      </c>
      <c r="G375" s="16" t="s">
        <v>61</v>
      </c>
      <c r="H375" s="14" t="str">
        <f>IFERROR(INDEX(المرجع!$A$2:$A$19,MATCH($G375,المرجع!$B$2:$B$19,0)),"")</f>
        <v>البناء المؤسسي</v>
      </c>
      <c r="I375" s="16" t="s">
        <v>54</v>
      </c>
      <c r="J375" s="14" t="str">
        <f>IFERROR(INDEX(المرجع!$D$2:$D$19,MATCH($I375,المرجع!$E$2:$E$19,0)),"")</f>
        <v>التنظيم</v>
      </c>
      <c r="K375" s="16" t="s">
        <v>98</v>
      </c>
      <c r="L375" s="17" t="str">
        <f>IFERROR(INDEX('نقاط التحقق'!$G$2:$G$31,MATCH($K375,'نقاط التحقق'!$A$2:$A$31,0))&amp;"","")</f>
        <v>هيكل تنظيمي معتمد من صاحب الصلاحية</v>
      </c>
      <c r="M375" s="14" t="str">
        <f>IFERROR(INDEX('نقاط التحقق'!$H$2:$H$31,MATCH($K375,'نقاط التحقق'!$A$2:$A$31,0))&amp;"","")</f>
        <v/>
      </c>
      <c r="N375" s="13">
        <v>55</v>
      </c>
      <c r="O375" s="15" t="str">
        <f>IF($N375="","غير مقيّمة",IF($N375&gt;المرجع!$K$3,"مستوفاة بشكل متقدم",IF($N375&lt;=المرجع!$K$2,"مستوفاة بشكل أولي","مستوفاة بشكل جزئي")))</f>
        <v>مستوفاة بشكل جزئي</v>
      </c>
      <c r="P375" s="18" t="s">
        <v>2170</v>
      </c>
    </row>
    <row r="376" spans="1:16">
      <c r="A376" s="16" t="s">
        <v>760</v>
      </c>
      <c r="B376" s="16" t="s">
        <v>184</v>
      </c>
      <c r="C376" s="15" t="str">
        <f>IFERROR(INDEX('قائمة الوحدات'!$B$2:$B$41,MATCH($B376,'قائمة الوحدات'!$A$2:$A$41,0)),"")</f>
        <v>EXE</v>
      </c>
      <c r="D376" s="14" t="str">
        <f>IFERROR(INDEX('قائمة الوحدات'!$C$2:$C$41,MATCH($B376,'قائمة الوحدات'!$A$2:$A$41,0)),"")</f>
        <v>الشؤون التنفيذية</v>
      </c>
      <c r="E376" s="14" t="str">
        <f>IFERROR(INDEX('قائمة الوحدات'!$D$2:$D$41,MATCH($B376,'قائمة الوحدات'!$A$2:$A$41,0)),"")</f>
        <v>وكالة الاتصال المؤسسي</v>
      </c>
      <c r="F376" s="14" t="str">
        <f>IFERROR(INDEX('قائمة الوحدات'!$F$2:$F$41,MATCH($B376,'قائمة الوحدات'!$A$2:$A$41,0)),"")</f>
        <v>وكالة الاتصال المؤسسي</v>
      </c>
      <c r="G376" s="16" t="s">
        <v>61</v>
      </c>
      <c r="H376" s="14" t="str">
        <f>IFERROR(INDEX(المرجع!$A$2:$A$19,MATCH($G376,المرجع!$B$2:$B$19,0)),"")</f>
        <v>البناء المؤسسي</v>
      </c>
      <c r="I376" s="16" t="s">
        <v>54</v>
      </c>
      <c r="J376" s="14" t="str">
        <f>IFERROR(INDEX(المرجع!$D$2:$D$19,MATCH($I376,المرجع!$E$2:$E$19,0)),"")</f>
        <v>التنظيم</v>
      </c>
      <c r="K376" s="16" t="s">
        <v>100</v>
      </c>
      <c r="L376" s="17" t="str">
        <f>IFERROR(INDEX('نقاط التحقق'!$G$2:$G$31,MATCH($K376,'نقاط التحقق'!$A$2:$A$31,0))&amp;"","")</f>
        <v>هيكل تنظيمي منشأ على نظام القوى العاملة</v>
      </c>
      <c r="M376" s="14" t="str">
        <f>IFERROR(INDEX('نقاط التحقق'!$H$2:$H$31,MATCH($K376,'نقاط التحقق'!$A$2:$A$31,0))&amp;"","")</f>
        <v/>
      </c>
      <c r="N376" s="13">
        <v>55</v>
      </c>
      <c r="O376" s="15" t="str">
        <f>IF($N376="","غير مقيّمة",IF($N376&gt;المرجع!$K$3,"مستوفاة بشكل متقدم",IF($N376&lt;=المرجع!$K$2,"مستوفاة بشكل أولي","مستوفاة بشكل جزئي")))</f>
        <v>مستوفاة بشكل جزئي</v>
      </c>
      <c r="P376" s="18" t="s">
        <v>2170</v>
      </c>
    </row>
    <row r="377" spans="1:16">
      <c r="A377" s="16" t="s">
        <v>761</v>
      </c>
      <c r="B377" s="16" t="s">
        <v>184</v>
      </c>
      <c r="C377" s="15" t="str">
        <f>IFERROR(INDEX('قائمة الوحدات'!$B$2:$B$41,MATCH($B377,'قائمة الوحدات'!$A$2:$A$41,0)),"")</f>
        <v>EXE</v>
      </c>
      <c r="D377" s="14" t="str">
        <f>IFERROR(INDEX('قائمة الوحدات'!$C$2:$C$41,MATCH($B377,'قائمة الوحدات'!$A$2:$A$41,0)),"")</f>
        <v>الشؤون التنفيذية</v>
      </c>
      <c r="E377" s="14" t="str">
        <f>IFERROR(INDEX('قائمة الوحدات'!$D$2:$D$41,MATCH($B377,'قائمة الوحدات'!$A$2:$A$41,0)),"")</f>
        <v>وكالة الاتصال المؤسسي</v>
      </c>
      <c r="F377" s="14" t="str">
        <f>IFERROR(INDEX('قائمة الوحدات'!$F$2:$F$41,MATCH($B377,'قائمة الوحدات'!$A$2:$A$41,0)),"")</f>
        <v>وكالة الاتصال المؤسسي</v>
      </c>
      <c r="G377" s="16" t="s">
        <v>61</v>
      </c>
      <c r="H377" s="14" t="str">
        <f>IFERROR(INDEX(المرجع!$A$2:$A$19,MATCH($G377,المرجع!$B$2:$B$19,0)),"")</f>
        <v>البناء المؤسسي</v>
      </c>
      <c r="I377" s="16" t="s">
        <v>54</v>
      </c>
      <c r="J377" s="14" t="str">
        <f>IFERROR(INDEX(المرجع!$D$2:$D$19,MATCH($I377,المرجع!$E$2:$E$19,0)),"")</f>
        <v>التنظيم</v>
      </c>
      <c r="K377" s="16" t="s">
        <v>102</v>
      </c>
      <c r="L377" s="17" t="str">
        <f>IFERROR(INDEX('نقاط التحقق'!$G$2:$G$31,MATCH($K377,'نقاط التحقق'!$A$2:$A$31,0))&amp;"","")</f>
        <v>الموظفون المحددون مسكّنون على الهيكل التنظيمي المستهدف</v>
      </c>
      <c r="M377" s="14" t="str">
        <f>IFERROR(INDEX('نقاط التحقق'!$H$2:$H$31,MATCH($K377,'نقاط التحقق'!$A$2:$A$31,0))&amp;"","")</f>
        <v/>
      </c>
      <c r="N377" s="13">
        <v>40</v>
      </c>
      <c r="O377" s="15" t="str">
        <f>IF($N377="","غير مقيّمة",IF($N377&gt;المرجع!$K$3,"مستوفاة بشكل متقدم",IF($N377&lt;=المرجع!$K$2,"مستوفاة بشكل أولي","مستوفاة بشكل جزئي")))</f>
        <v>مستوفاة بشكل جزئي</v>
      </c>
      <c r="P377" s="18" t="s">
        <v>2170</v>
      </c>
    </row>
    <row r="378" spans="1:16">
      <c r="A378" s="16" t="s">
        <v>762</v>
      </c>
      <c r="B378" s="16" t="s">
        <v>184</v>
      </c>
      <c r="C378" s="15" t="str">
        <f>IFERROR(INDEX('قائمة الوحدات'!$B$2:$B$41,MATCH($B378,'قائمة الوحدات'!$A$2:$A$41,0)),"")</f>
        <v>EXE</v>
      </c>
      <c r="D378" s="14" t="str">
        <f>IFERROR(INDEX('قائمة الوحدات'!$C$2:$C$41,MATCH($B378,'قائمة الوحدات'!$A$2:$A$41,0)),"")</f>
        <v>الشؤون التنفيذية</v>
      </c>
      <c r="E378" s="14" t="str">
        <f>IFERROR(INDEX('قائمة الوحدات'!$D$2:$D$41,MATCH($B378,'قائمة الوحدات'!$A$2:$A$41,0)),"")</f>
        <v>وكالة الاتصال المؤسسي</v>
      </c>
      <c r="F378" s="14" t="str">
        <f>IFERROR(INDEX('قائمة الوحدات'!$F$2:$F$41,MATCH($B378,'قائمة الوحدات'!$A$2:$A$41,0)),"")</f>
        <v>وكالة الاتصال المؤسسي</v>
      </c>
      <c r="G378" s="16" t="s">
        <v>61</v>
      </c>
      <c r="H378" s="14" t="str">
        <f>IFERROR(INDEX(المرجع!$A$2:$A$19,MATCH($G378,المرجع!$B$2:$B$19,0)),"")</f>
        <v>البناء المؤسسي</v>
      </c>
      <c r="I378" s="16" t="s">
        <v>56</v>
      </c>
      <c r="J378" s="14" t="str">
        <f>IFERROR(INDEX(المرجع!$D$2:$D$19,MATCH($I378,المرجع!$E$2:$E$19,0)),"")</f>
        <v>الموارد</v>
      </c>
      <c r="K378" s="16" t="s">
        <v>104</v>
      </c>
      <c r="L378" s="17" t="str">
        <f>IFERROR(INDEX('نقاط التحقق'!$G$2:$G$31,MATCH($K378,'نقاط التحقق'!$A$2:$A$31,0))&amp;"","")</f>
        <v>مدير الوحدة التنظيمية والموظفون الرئيسيون معينون/ملحقون</v>
      </c>
      <c r="M378" s="14" t="str">
        <f>IFERROR(INDEX('نقاط التحقق'!$H$2:$H$31,MATCH($K378,'نقاط التحقق'!$A$2:$A$31,0))&amp;"","")</f>
        <v/>
      </c>
      <c r="N378" s="13">
        <v>45</v>
      </c>
      <c r="O378" s="15" t="str">
        <f>IF($N378="","غير مقيّمة",IF($N378&gt;المرجع!$K$3,"مستوفاة بشكل متقدم",IF($N378&lt;=المرجع!$K$2,"مستوفاة بشكل أولي","مستوفاة بشكل جزئي")))</f>
        <v>مستوفاة بشكل جزئي</v>
      </c>
      <c r="P378" s="18" t="s">
        <v>2170</v>
      </c>
    </row>
    <row r="379" spans="1:16">
      <c r="A379" s="16" t="s">
        <v>763</v>
      </c>
      <c r="B379" s="16" t="s">
        <v>184</v>
      </c>
      <c r="C379" s="15" t="str">
        <f>IFERROR(INDEX('قائمة الوحدات'!$B$2:$B$41,MATCH($B379,'قائمة الوحدات'!$A$2:$A$41,0)),"")</f>
        <v>EXE</v>
      </c>
      <c r="D379" s="14" t="str">
        <f>IFERROR(INDEX('قائمة الوحدات'!$C$2:$C$41,MATCH($B379,'قائمة الوحدات'!$A$2:$A$41,0)),"")</f>
        <v>الشؤون التنفيذية</v>
      </c>
      <c r="E379" s="14" t="str">
        <f>IFERROR(INDEX('قائمة الوحدات'!$D$2:$D$41,MATCH($B379,'قائمة الوحدات'!$A$2:$A$41,0)),"")</f>
        <v>وكالة الاتصال المؤسسي</v>
      </c>
      <c r="F379" s="14" t="str">
        <f>IFERROR(INDEX('قائمة الوحدات'!$F$2:$F$41,MATCH($B379,'قائمة الوحدات'!$A$2:$A$41,0)),"")</f>
        <v>وكالة الاتصال المؤسسي</v>
      </c>
      <c r="G379" s="16" t="s">
        <v>61</v>
      </c>
      <c r="H379" s="14" t="str">
        <f>IFERROR(INDEX(المرجع!$A$2:$A$19,MATCH($G379,المرجع!$B$2:$B$19,0)),"")</f>
        <v>البناء المؤسسي</v>
      </c>
      <c r="I379" s="16" t="s">
        <v>56</v>
      </c>
      <c r="J379" s="14" t="str">
        <f>IFERROR(INDEX(المرجع!$D$2:$D$19,MATCH($I379,المرجع!$E$2:$E$19,0)),"")</f>
        <v>الموارد</v>
      </c>
      <c r="K379" s="16" t="s">
        <v>106</v>
      </c>
      <c r="L379" s="17" t="str">
        <f>IFERROR(INDEX('نقاط التحقق'!$G$2:$G$31,MATCH($K379,'نقاط التحقق'!$A$2:$A$31,0))&amp;"","")</f>
        <v>خطة توظيف وتدريب مستكملة</v>
      </c>
      <c r="M379" s="14" t="str">
        <f>IFERROR(INDEX('نقاط التحقق'!$H$2:$H$31,MATCH($K379,'نقاط التحقق'!$A$2:$A$31,0))&amp;"","")</f>
        <v/>
      </c>
      <c r="N379" s="13">
        <v>50</v>
      </c>
      <c r="O379" s="15" t="str">
        <f>IF($N379="","غير مقيّمة",IF($N379&gt;المرجع!$K$3,"مستوفاة بشكل متقدم",IF($N379&lt;=المرجع!$K$2,"مستوفاة بشكل أولي","مستوفاة بشكل جزئي")))</f>
        <v>مستوفاة بشكل جزئي</v>
      </c>
      <c r="P379" s="18" t="s">
        <v>2170</v>
      </c>
    </row>
    <row r="380" spans="1:16">
      <c r="A380" s="16" t="s">
        <v>764</v>
      </c>
      <c r="B380" s="16" t="s">
        <v>184</v>
      </c>
      <c r="C380" s="15" t="str">
        <f>IFERROR(INDEX('قائمة الوحدات'!$B$2:$B$41,MATCH($B380,'قائمة الوحدات'!$A$2:$A$41,0)),"")</f>
        <v>EXE</v>
      </c>
      <c r="D380" s="14" t="str">
        <f>IFERROR(INDEX('قائمة الوحدات'!$C$2:$C$41,MATCH($B380,'قائمة الوحدات'!$A$2:$A$41,0)),"")</f>
        <v>الشؤون التنفيذية</v>
      </c>
      <c r="E380" s="14" t="str">
        <f>IFERROR(INDEX('قائمة الوحدات'!$D$2:$D$41,MATCH($B380,'قائمة الوحدات'!$A$2:$A$41,0)),"")</f>
        <v>وكالة الاتصال المؤسسي</v>
      </c>
      <c r="F380" s="14" t="str">
        <f>IFERROR(INDEX('قائمة الوحدات'!$F$2:$F$41,MATCH($B380,'قائمة الوحدات'!$A$2:$A$41,0)),"")</f>
        <v>وكالة الاتصال المؤسسي</v>
      </c>
      <c r="G380" s="16" t="s">
        <v>61</v>
      </c>
      <c r="H380" s="14" t="str">
        <f>IFERROR(INDEX(المرجع!$A$2:$A$19,MATCH($G380,المرجع!$B$2:$B$19,0)),"")</f>
        <v>البناء المؤسسي</v>
      </c>
      <c r="I380" s="16" t="s">
        <v>56</v>
      </c>
      <c r="J380" s="14" t="str">
        <f>IFERROR(INDEX(المرجع!$D$2:$D$19,MATCH($I380,المرجع!$E$2:$E$19,0)),"")</f>
        <v>الموارد</v>
      </c>
      <c r="K380" s="16" t="s">
        <v>108</v>
      </c>
      <c r="L380" s="17" t="str">
        <f>IFERROR(INDEX('نقاط التحقق'!$G$2:$G$31,MATCH($K380,'نقاط التحقق'!$A$2:$A$31,0))&amp;"","")</f>
        <v>وجود مساحات مكتبية كافية</v>
      </c>
      <c r="M380" s="14" t="str">
        <f>IFERROR(INDEX('نقاط التحقق'!$H$2:$H$31,MATCH($K380,'نقاط التحقق'!$A$2:$A$31,0))&amp;"","")</f>
        <v/>
      </c>
      <c r="N380" s="13">
        <v>65</v>
      </c>
      <c r="O380" s="15" t="str">
        <f>IF($N380="","غير مقيّمة",IF($N380&gt;المرجع!$K$3,"مستوفاة بشكل متقدم",IF($N380&lt;=المرجع!$K$2,"مستوفاة بشكل أولي","مستوفاة بشكل جزئي")))</f>
        <v>مستوفاة بشكل جزئي</v>
      </c>
      <c r="P380" s="18" t="s">
        <v>2170</v>
      </c>
    </row>
    <row r="381" spans="1:16">
      <c r="A381" s="16" t="s">
        <v>765</v>
      </c>
      <c r="B381" s="16" t="s">
        <v>184</v>
      </c>
      <c r="C381" s="15" t="str">
        <f>IFERROR(INDEX('قائمة الوحدات'!$B$2:$B$41,MATCH($B381,'قائمة الوحدات'!$A$2:$A$41,0)),"")</f>
        <v>EXE</v>
      </c>
      <c r="D381" s="14" t="str">
        <f>IFERROR(INDEX('قائمة الوحدات'!$C$2:$C$41,MATCH($B381,'قائمة الوحدات'!$A$2:$A$41,0)),"")</f>
        <v>الشؤون التنفيذية</v>
      </c>
      <c r="E381" s="14" t="str">
        <f>IFERROR(INDEX('قائمة الوحدات'!$D$2:$D$41,MATCH($B381,'قائمة الوحدات'!$A$2:$A$41,0)),"")</f>
        <v>وكالة الاتصال المؤسسي</v>
      </c>
      <c r="F381" s="14" t="str">
        <f>IFERROR(INDEX('قائمة الوحدات'!$F$2:$F$41,MATCH($B381,'قائمة الوحدات'!$A$2:$A$41,0)),"")</f>
        <v>وكالة الاتصال المؤسسي</v>
      </c>
      <c r="G381" s="16" t="s">
        <v>61</v>
      </c>
      <c r="H381" s="14" t="str">
        <f>IFERROR(INDEX(المرجع!$A$2:$A$19,MATCH($G381,المرجع!$B$2:$B$19,0)),"")</f>
        <v>البناء المؤسسي</v>
      </c>
      <c r="I381" s="16" t="s">
        <v>56</v>
      </c>
      <c r="J381" s="14" t="str">
        <f>IFERROR(INDEX(المرجع!$D$2:$D$19,MATCH($I381,المرجع!$E$2:$E$19,0)),"")</f>
        <v>الموارد</v>
      </c>
      <c r="K381" s="16" t="s">
        <v>110</v>
      </c>
      <c r="L381" s="17" t="str">
        <f>IFERROR(INDEX('نقاط التحقق'!$G$2:$G$31,MATCH($K381,'نقاط التحقق'!$A$2:$A$31,0))&amp;"","")</f>
        <v>وجود الاحتياجات التقنية الأساسية</v>
      </c>
      <c r="M381" s="14" t="str">
        <f>IFERROR(INDEX('نقاط التحقق'!$H$2:$H$31,MATCH($K381,'نقاط التحقق'!$A$2:$A$31,0))&amp;"","")</f>
        <v/>
      </c>
      <c r="N381" s="13">
        <v>55</v>
      </c>
      <c r="O381" s="15" t="str">
        <f>IF($N381="","غير مقيّمة",IF($N381&gt;المرجع!$K$3,"مستوفاة بشكل متقدم",IF($N381&lt;=المرجع!$K$2,"مستوفاة بشكل أولي","مستوفاة بشكل جزئي")))</f>
        <v>مستوفاة بشكل جزئي</v>
      </c>
      <c r="P381" s="18" t="s">
        <v>2170</v>
      </c>
    </row>
    <row r="382" spans="1:16">
      <c r="A382" s="16" t="s">
        <v>766</v>
      </c>
      <c r="B382" s="16" t="s">
        <v>184</v>
      </c>
      <c r="C382" s="15" t="str">
        <f>IFERROR(INDEX('قائمة الوحدات'!$B$2:$B$41,MATCH($B382,'قائمة الوحدات'!$A$2:$A$41,0)),"")</f>
        <v>EXE</v>
      </c>
      <c r="D382" s="14" t="str">
        <f>IFERROR(INDEX('قائمة الوحدات'!$C$2:$C$41,MATCH($B382,'قائمة الوحدات'!$A$2:$A$41,0)),"")</f>
        <v>الشؤون التنفيذية</v>
      </c>
      <c r="E382" s="14" t="str">
        <f>IFERROR(INDEX('قائمة الوحدات'!$D$2:$D$41,MATCH($B382,'قائمة الوحدات'!$A$2:$A$41,0)),"")</f>
        <v>وكالة الاتصال المؤسسي</v>
      </c>
      <c r="F382" s="14" t="str">
        <f>IFERROR(INDEX('قائمة الوحدات'!$F$2:$F$41,MATCH($B382,'قائمة الوحدات'!$A$2:$A$41,0)),"")</f>
        <v>وكالة الاتصال المؤسسي</v>
      </c>
      <c r="G382" s="16" t="s">
        <v>61</v>
      </c>
      <c r="H382" s="14" t="str">
        <f>IFERROR(INDEX(المرجع!$A$2:$A$19,MATCH($G382,المرجع!$B$2:$B$19,0)),"")</f>
        <v>البناء المؤسسي</v>
      </c>
      <c r="I382" s="16" t="s">
        <v>59</v>
      </c>
      <c r="J382" s="14" t="str">
        <f>IFERROR(INDEX(المرجع!$D$2:$D$19,MATCH($I382,المرجع!$E$2:$E$19,0)),"")</f>
        <v>الإجراءات</v>
      </c>
      <c r="K382" s="16" t="s">
        <v>112</v>
      </c>
      <c r="L382" s="17" t="str">
        <f>IFERROR(INDEX('نقاط التحقق'!$G$2:$G$31,MATCH($K382,'نقاط التحقق'!$A$2:$A$31,0))&amp;"","")</f>
        <v>إجراءات معتمدة للوحدة التنظيمية</v>
      </c>
      <c r="M382" s="14" t="str">
        <f>IFERROR(INDEX('نقاط التحقق'!$H$2:$H$31,MATCH($K382,'نقاط التحقق'!$A$2:$A$31,0))&amp;"","")</f>
        <v/>
      </c>
      <c r="N382" s="13">
        <v>58</v>
      </c>
      <c r="O382" s="15" t="str">
        <f>IF($N382="","غير مقيّمة",IF($N382&gt;المرجع!$K$3,"مستوفاة بشكل متقدم",IF($N382&lt;=المرجع!$K$2,"مستوفاة بشكل أولي","مستوفاة بشكل جزئي")))</f>
        <v>مستوفاة بشكل جزئي</v>
      </c>
      <c r="P382" s="18" t="s">
        <v>2170</v>
      </c>
    </row>
    <row r="383" spans="1:16">
      <c r="A383" s="16" t="s">
        <v>767</v>
      </c>
      <c r="B383" s="16" t="s">
        <v>184</v>
      </c>
      <c r="C383" s="15" t="str">
        <f>IFERROR(INDEX('قائمة الوحدات'!$B$2:$B$41,MATCH($B383,'قائمة الوحدات'!$A$2:$A$41,0)),"")</f>
        <v>EXE</v>
      </c>
      <c r="D383" s="14" t="str">
        <f>IFERROR(INDEX('قائمة الوحدات'!$C$2:$C$41,MATCH($B383,'قائمة الوحدات'!$A$2:$A$41,0)),"")</f>
        <v>الشؤون التنفيذية</v>
      </c>
      <c r="E383" s="14" t="str">
        <f>IFERROR(INDEX('قائمة الوحدات'!$D$2:$D$41,MATCH($B383,'قائمة الوحدات'!$A$2:$A$41,0)),"")</f>
        <v>وكالة الاتصال المؤسسي</v>
      </c>
      <c r="F383" s="14" t="str">
        <f>IFERROR(INDEX('قائمة الوحدات'!$F$2:$F$41,MATCH($B383,'قائمة الوحدات'!$A$2:$A$41,0)),"")</f>
        <v>وكالة الاتصال المؤسسي</v>
      </c>
      <c r="G383" s="16" t="s">
        <v>61</v>
      </c>
      <c r="H383" s="14" t="str">
        <f>IFERROR(INDEX(المرجع!$A$2:$A$19,MATCH($G383,المرجع!$B$2:$B$19,0)),"")</f>
        <v>البناء المؤسسي</v>
      </c>
      <c r="I383" s="16" t="s">
        <v>63</v>
      </c>
      <c r="J383" s="14" t="str">
        <f>IFERROR(INDEX(المرجع!$D$2:$D$19,MATCH($I383,المرجع!$E$2:$E$19,0)),"")</f>
        <v>إنتاج المخرج الأول</v>
      </c>
      <c r="K383" s="16" t="s">
        <v>114</v>
      </c>
      <c r="L383" s="17" t="str">
        <f>IFERROR(INDEX('نقاط التحقق'!$G$2:$G$31,MATCH($K383,'نقاط التحقق'!$A$2:$A$31,0))&amp;"","")</f>
        <v>إنتاج المخرج الأول من قبل الوحدة التنظيمية</v>
      </c>
      <c r="M383" s="14" t="str">
        <f>IFERROR(INDEX('نقاط التحقق'!$H$2:$H$31,MATCH($K383,'نقاط التحقق'!$A$2:$A$31,0))&amp;"","")</f>
        <v/>
      </c>
      <c r="N383" s="13">
        <v>87</v>
      </c>
      <c r="O383" s="15" t="str">
        <f>IF($N383="","غير مقيّمة",IF($N383&gt;المرجع!$K$3,"مستوفاة بشكل متقدم",IF($N383&lt;=المرجع!$K$2,"مستوفاة بشكل أولي","مستوفاة بشكل جزئي")))</f>
        <v>مستوفاة بشكل متقدم</v>
      </c>
      <c r="P383" s="18" t="s">
        <v>2170</v>
      </c>
    </row>
    <row r="384" spans="1:16">
      <c r="A384" s="16" t="s">
        <v>768</v>
      </c>
      <c r="B384" s="16" t="s">
        <v>184</v>
      </c>
      <c r="C384" s="15" t="str">
        <f>IFERROR(INDEX('قائمة الوحدات'!$B$2:$B$41,MATCH($B384,'قائمة الوحدات'!$A$2:$A$41,0)),"")</f>
        <v>EXE</v>
      </c>
      <c r="D384" s="14" t="str">
        <f>IFERROR(INDEX('قائمة الوحدات'!$C$2:$C$41,MATCH($B384,'قائمة الوحدات'!$A$2:$A$41,0)),"")</f>
        <v>الشؤون التنفيذية</v>
      </c>
      <c r="E384" s="14" t="str">
        <f>IFERROR(INDEX('قائمة الوحدات'!$D$2:$D$41,MATCH($B384,'قائمة الوحدات'!$A$2:$A$41,0)),"")</f>
        <v>وكالة الاتصال المؤسسي</v>
      </c>
      <c r="F384" s="14" t="str">
        <f>IFERROR(INDEX('قائمة الوحدات'!$F$2:$F$41,MATCH($B384,'قائمة الوحدات'!$A$2:$A$41,0)),"")</f>
        <v>وكالة الاتصال المؤسسي</v>
      </c>
      <c r="G384" s="16" t="s">
        <v>65</v>
      </c>
      <c r="H384" s="14" t="str">
        <f>IFERROR(INDEX(المرجع!$A$2:$A$19,MATCH($G384,المرجع!$B$2:$B$19,0)),"")</f>
        <v>التشغيل</v>
      </c>
      <c r="I384" s="16" t="s">
        <v>48</v>
      </c>
      <c r="J384" s="14" t="str">
        <f>IFERROR(INDEX(المرجع!$D$2:$D$19,MATCH($I384,المرجع!$E$2:$E$19,0)),"")</f>
        <v>الأهداف ومؤشرات الأداء</v>
      </c>
      <c r="K384" s="16" t="s">
        <v>116</v>
      </c>
      <c r="L384" s="17" t="str">
        <f>IFERROR(INDEX('نقاط التحقق'!$G$2:$G$31,MATCH($K384,'نقاط التحقق'!$A$2:$A$31,0))&amp;"","")</f>
        <v>تحرك مؤشرات الأداء التشغيلي للوحدة التنظيمية بشكل إيجابي</v>
      </c>
      <c r="M384" s="14" t="str">
        <f>IFERROR(INDEX('نقاط التحقق'!$H$2:$H$31,MATCH($K384,'نقاط التحقق'!$A$2:$A$31,0))&amp;"","")</f>
        <v/>
      </c>
      <c r="N384" s="13">
        <v>50</v>
      </c>
      <c r="O384" s="15" t="str">
        <f>IF($N384="","غير مقيّمة",IF($N384&gt;المرجع!$K$3,"مستوفاة بشكل متقدم",IF($N384&lt;=المرجع!$K$2,"مستوفاة بشكل أولي","مستوفاة بشكل جزئي")))</f>
        <v>مستوفاة بشكل جزئي</v>
      </c>
      <c r="P384" s="18" t="s">
        <v>2170</v>
      </c>
    </row>
    <row r="385" spans="1:16">
      <c r="A385" s="16" t="s">
        <v>769</v>
      </c>
      <c r="B385" s="16" t="s">
        <v>184</v>
      </c>
      <c r="C385" s="15" t="str">
        <f>IFERROR(INDEX('قائمة الوحدات'!$B$2:$B$41,MATCH($B385,'قائمة الوحدات'!$A$2:$A$41,0)),"")</f>
        <v>EXE</v>
      </c>
      <c r="D385" s="14" t="str">
        <f>IFERROR(INDEX('قائمة الوحدات'!$C$2:$C$41,MATCH($B385,'قائمة الوحدات'!$A$2:$A$41,0)),"")</f>
        <v>الشؤون التنفيذية</v>
      </c>
      <c r="E385" s="14" t="str">
        <f>IFERROR(INDEX('قائمة الوحدات'!$D$2:$D$41,MATCH($B385,'قائمة الوحدات'!$A$2:$A$41,0)),"")</f>
        <v>وكالة الاتصال المؤسسي</v>
      </c>
      <c r="F385" s="14" t="str">
        <f>IFERROR(INDEX('قائمة الوحدات'!$F$2:$F$41,MATCH($B385,'قائمة الوحدات'!$A$2:$A$41,0)),"")</f>
        <v>وكالة الاتصال المؤسسي</v>
      </c>
      <c r="G385" s="16" t="s">
        <v>65</v>
      </c>
      <c r="H385" s="14" t="str">
        <f>IFERROR(INDEX(المرجع!$A$2:$A$19,MATCH($G385,المرجع!$B$2:$B$19,0)),"")</f>
        <v>التشغيل</v>
      </c>
      <c r="I385" s="16" t="s">
        <v>48</v>
      </c>
      <c r="J385" s="14" t="str">
        <f>IFERROR(INDEX(المرجع!$D$2:$D$19,MATCH($I385,المرجع!$E$2:$E$19,0)),"")</f>
        <v>الأهداف ومؤشرات الأداء</v>
      </c>
      <c r="K385" s="16" t="s">
        <v>118</v>
      </c>
      <c r="L385" s="17" t="str">
        <f>IFERROR(INDEX('نقاط التحقق'!$G$2:$G$31,MATCH($K385,'نقاط التحقق'!$A$2:$A$31,0))&amp;"","")</f>
        <v>خطة سنوية معتمدة للوحدة التنظيمية</v>
      </c>
      <c r="M385" s="14" t="str">
        <f>IFERROR(INDEX('نقاط التحقق'!$H$2:$H$31,MATCH($K385,'نقاط التحقق'!$A$2:$A$31,0))&amp;"","")</f>
        <v/>
      </c>
      <c r="N385" s="13">
        <v>45</v>
      </c>
      <c r="O385" s="15" t="str">
        <f>IF($N385="","غير مقيّمة",IF($N385&gt;المرجع!$K$3,"مستوفاة بشكل متقدم",IF($N385&lt;=المرجع!$K$2,"مستوفاة بشكل أولي","مستوفاة بشكل جزئي")))</f>
        <v>مستوفاة بشكل جزئي</v>
      </c>
      <c r="P385" s="18" t="s">
        <v>2170</v>
      </c>
    </row>
    <row r="386" spans="1:16">
      <c r="A386" s="16" t="s">
        <v>770</v>
      </c>
      <c r="B386" s="16" t="s">
        <v>184</v>
      </c>
      <c r="C386" s="15" t="str">
        <f>IFERROR(INDEX('قائمة الوحدات'!$B$2:$B$41,MATCH($B386,'قائمة الوحدات'!$A$2:$A$41,0)),"")</f>
        <v>EXE</v>
      </c>
      <c r="D386" s="14" t="str">
        <f>IFERROR(INDEX('قائمة الوحدات'!$C$2:$C$41,MATCH($B386,'قائمة الوحدات'!$A$2:$A$41,0)),"")</f>
        <v>الشؤون التنفيذية</v>
      </c>
      <c r="E386" s="14" t="str">
        <f>IFERROR(INDEX('قائمة الوحدات'!$D$2:$D$41,MATCH($B386,'قائمة الوحدات'!$A$2:$A$41,0)),"")</f>
        <v>وكالة الاتصال المؤسسي</v>
      </c>
      <c r="F386" s="14" t="str">
        <f>IFERROR(INDEX('قائمة الوحدات'!$F$2:$F$41,MATCH($B386,'قائمة الوحدات'!$A$2:$A$41,0)),"")</f>
        <v>وكالة الاتصال المؤسسي</v>
      </c>
      <c r="G386" s="16" t="s">
        <v>65</v>
      </c>
      <c r="H386" s="14" t="str">
        <f>IFERROR(INDEX(المرجع!$A$2:$A$19,MATCH($G386,المرجع!$B$2:$B$19,0)),"")</f>
        <v>التشغيل</v>
      </c>
      <c r="I386" s="16" t="s">
        <v>51</v>
      </c>
      <c r="J386" s="14" t="str">
        <f>IFERROR(INDEX(المرجع!$D$2:$D$19,MATCH($I386,المرجع!$E$2:$E$19,0)),"")</f>
        <v>الحوكمة</v>
      </c>
      <c r="K386" s="16" t="s">
        <v>120</v>
      </c>
      <c r="L386" s="17" t="str">
        <f>IFERROR(INDEX('نقاط التحقق'!$G$2:$G$31,MATCH($K386,'نقاط التحقق'!$A$2:$A$31,0))&amp;"","")</f>
        <v>محاضر لجان موثقة</v>
      </c>
      <c r="M386" s="14" t="str">
        <f>IFERROR(INDEX('نقاط التحقق'!$H$2:$H$31,MATCH($K386,'نقاط التحقق'!$A$2:$A$31,0))&amp;"","")</f>
        <v/>
      </c>
      <c r="N386" s="13">
        <v>35</v>
      </c>
      <c r="O386" s="15" t="str">
        <f>IF($N386="","غير مقيّمة",IF($N386&gt;المرجع!$K$3,"مستوفاة بشكل متقدم",IF($N386&lt;=المرجع!$K$2,"مستوفاة بشكل أولي","مستوفاة بشكل جزئي")))</f>
        <v>مستوفاة بشكل جزئي</v>
      </c>
      <c r="P386" s="18" t="s">
        <v>2170</v>
      </c>
    </row>
    <row r="387" spans="1:16">
      <c r="A387" s="16" t="s">
        <v>771</v>
      </c>
      <c r="B387" s="16" t="s">
        <v>184</v>
      </c>
      <c r="C387" s="15" t="str">
        <f>IFERROR(INDEX('قائمة الوحدات'!$B$2:$B$41,MATCH($B387,'قائمة الوحدات'!$A$2:$A$41,0)),"")</f>
        <v>EXE</v>
      </c>
      <c r="D387" s="14" t="str">
        <f>IFERROR(INDEX('قائمة الوحدات'!$C$2:$C$41,MATCH($B387,'قائمة الوحدات'!$A$2:$A$41,0)),"")</f>
        <v>الشؤون التنفيذية</v>
      </c>
      <c r="E387" s="14" t="str">
        <f>IFERROR(INDEX('قائمة الوحدات'!$D$2:$D$41,MATCH($B387,'قائمة الوحدات'!$A$2:$A$41,0)),"")</f>
        <v>وكالة الاتصال المؤسسي</v>
      </c>
      <c r="F387" s="14" t="str">
        <f>IFERROR(INDEX('قائمة الوحدات'!$F$2:$F$41,MATCH($B387,'قائمة الوحدات'!$A$2:$A$41,0)),"")</f>
        <v>وكالة الاتصال المؤسسي</v>
      </c>
      <c r="G387" s="16" t="s">
        <v>65</v>
      </c>
      <c r="H387" s="14" t="str">
        <f>IFERROR(INDEX(المرجع!$A$2:$A$19,MATCH($G387,المرجع!$B$2:$B$19,0)),"")</f>
        <v>التشغيل</v>
      </c>
      <c r="I387" s="16" t="s">
        <v>51</v>
      </c>
      <c r="J387" s="14" t="str">
        <f>IFERROR(INDEX(المرجع!$D$2:$D$19,MATCH($I387,المرجع!$E$2:$E$19,0)),"")</f>
        <v>الحوكمة</v>
      </c>
      <c r="K387" s="16" t="s">
        <v>122</v>
      </c>
      <c r="L387" s="17" t="str">
        <f>IFERROR(INDEX('نقاط التحقق'!$G$2:$G$31,MATCH($K387,'نقاط التحقق'!$A$2:$A$31,0))&amp;"","")</f>
        <v>نشر السياسات التي تملكها الوحدة التنظيمية</v>
      </c>
      <c r="M387" s="14" t="str">
        <f>IFERROR(INDEX('نقاط التحقق'!$H$2:$H$31,MATCH($K387,'نقاط التحقق'!$A$2:$A$31,0))&amp;"","")</f>
        <v/>
      </c>
      <c r="N387" s="13">
        <v>10</v>
      </c>
      <c r="O387" s="15" t="str">
        <f>IF($N387="","غير مقيّمة",IF($N387&gt;المرجع!$K$3,"مستوفاة بشكل متقدم",IF($N387&lt;=المرجع!$K$2,"مستوفاة بشكل أولي","مستوفاة بشكل جزئي")))</f>
        <v>مستوفاة بشكل أولي</v>
      </c>
      <c r="P387" s="18" t="s">
        <v>2170</v>
      </c>
    </row>
    <row r="388" spans="1:16">
      <c r="A388" s="16" t="s">
        <v>772</v>
      </c>
      <c r="B388" s="16" t="s">
        <v>184</v>
      </c>
      <c r="C388" s="15" t="str">
        <f>IFERROR(INDEX('قائمة الوحدات'!$B$2:$B$41,MATCH($B388,'قائمة الوحدات'!$A$2:$A$41,0)),"")</f>
        <v>EXE</v>
      </c>
      <c r="D388" s="14" t="str">
        <f>IFERROR(INDEX('قائمة الوحدات'!$C$2:$C$41,MATCH($B388,'قائمة الوحدات'!$A$2:$A$41,0)),"")</f>
        <v>الشؤون التنفيذية</v>
      </c>
      <c r="E388" s="14" t="str">
        <f>IFERROR(INDEX('قائمة الوحدات'!$D$2:$D$41,MATCH($B388,'قائمة الوحدات'!$A$2:$A$41,0)),"")</f>
        <v>وكالة الاتصال المؤسسي</v>
      </c>
      <c r="F388" s="14" t="str">
        <f>IFERROR(INDEX('قائمة الوحدات'!$F$2:$F$41,MATCH($B388,'قائمة الوحدات'!$A$2:$A$41,0)),"")</f>
        <v>وكالة الاتصال المؤسسي</v>
      </c>
      <c r="G388" s="16" t="s">
        <v>65</v>
      </c>
      <c r="H388" s="14" t="str">
        <f>IFERROR(INDEX(المرجع!$A$2:$A$19,MATCH($G388,المرجع!$B$2:$B$19,0)),"")</f>
        <v>التشغيل</v>
      </c>
      <c r="I388" s="16" t="s">
        <v>51</v>
      </c>
      <c r="J388" s="14" t="str">
        <f>IFERROR(INDEX(المرجع!$D$2:$D$19,MATCH($I388,المرجع!$E$2:$E$19,0)),"")</f>
        <v>الحوكمة</v>
      </c>
      <c r="K388" s="16" t="s">
        <v>124</v>
      </c>
      <c r="L388" s="17" t="str">
        <f>IFERROR(INDEX('نقاط التحقق'!$G$2:$G$31,MATCH($K388,'نقاط التحقق'!$A$2:$A$31,0))&amp;"","")</f>
        <v>اتخاذ القرارات في نطاق الصلاحيات (وجود شواهد)</v>
      </c>
      <c r="M388" s="14" t="str">
        <f>IFERROR(INDEX('نقاط التحقق'!$H$2:$H$31,MATCH($K388,'نقاط التحقق'!$A$2:$A$31,0))&amp;"","")</f>
        <v/>
      </c>
      <c r="N388" s="13">
        <v>25</v>
      </c>
      <c r="O388" s="15" t="str">
        <f>IF($N388="","غير مقيّمة",IF($N388&gt;المرجع!$K$3,"مستوفاة بشكل متقدم",IF($N388&lt;=المرجع!$K$2,"مستوفاة بشكل أولي","مستوفاة بشكل جزئي")))</f>
        <v>مستوفاة بشكل أولي</v>
      </c>
      <c r="P388" s="18" t="s">
        <v>2170</v>
      </c>
    </row>
    <row r="389" spans="1:16">
      <c r="A389" s="16" t="s">
        <v>773</v>
      </c>
      <c r="B389" s="16" t="s">
        <v>184</v>
      </c>
      <c r="C389" s="15" t="str">
        <f>IFERROR(INDEX('قائمة الوحدات'!$B$2:$B$41,MATCH($B389,'قائمة الوحدات'!$A$2:$A$41,0)),"")</f>
        <v>EXE</v>
      </c>
      <c r="D389" s="14" t="str">
        <f>IFERROR(INDEX('قائمة الوحدات'!$C$2:$C$41,MATCH($B389,'قائمة الوحدات'!$A$2:$A$41,0)),"")</f>
        <v>الشؤون التنفيذية</v>
      </c>
      <c r="E389" s="14" t="str">
        <f>IFERROR(INDEX('قائمة الوحدات'!$D$2:$D$41,MATCH($B389,'قائمة الوحدات'!$A$2:$A$41,0)),"")</f>
        <v>وكالة الاتصال المؤسسي</v>
      </c>
      <c r="F389" s="14" t="str">
        <f>IFERROR(INDEX('قائمة الوحدات'!$F$2:$F$41,MATCH($B389,'قائمة الوحدات'!$A$2:$A$41,0)),"")</f>
        <v>وكالة الاتصال المؤسسي</v>
      </c>
      <c r="G389" s="16" t="s">
        <v>65</v>
      </c>
      <c r="H389" s="14" t="str">
        <f>IFERROR(INDEX(المرجع!$A$2:$A$19,MATCH($G389,المرجع!$B$2:$B$19,0)),"")</f>
        <v>التشغيل</v>
      </c>
      <c r="I389" s="16" t="s">
        <v>56</v>
      </c>
      <c r="J389" s="14" t="str">
        <f>IFERROR(INDEX(المرجع!$D$2:$D$19,MATCH($I389,المرجع!$E$2:$E$19,0)),"")</f>
        <v>الموارد</v>
      </c>
      <c r="K389" s="16" t="s">
        <v>126</v>
      </c>
      <c r="L389" s="17" t="str">
        <f>IFERROR(INDEX('نقاط التحقق'!$G$2:$G$31,MATCH($K389,'نقاط التحقق'!$A$2:$A$31,0))&amp;"","")</f>
        <v>موارد مستكملة للحد الأدنى الذي يغطي كافة محاور سلسلة القيمة</v>
      </c>
      <c r="M389" s="14" t="str">
        <f>IFERROR(INDEX('نقاط التحقق'!$H$2:$H$31,MATCH($K389,'نقاط التحقق'!$A$2:$A$31,0))&amp;"","")</f>
        <v/>
      </c>
      <c r="N389" s="13">
        <v>59</v>
      </c>
      <c r="O389" s="15" t="str">
        <f>IF($N389="","غير مقيّمة",IF($N389&gt;المرجع!$K$3,"مستوفاة بشكل متقدم",IF($N389&lt;=المرجع!$K$2,"مستوفاة بشكل أولي","مستوفاة بشكل جزئي")))</f>
        <v>مستوفاة بشكل جزئي</v>
      </c>
      <c r="P389" s="18" t="s">
        <v>2170</v>
      </c>
    </row>
    <row r="390" spans="1:16">
      <c r="A390" s="16" t="s">
        <v>774</v>
      </c>
      <c r="B390" s="16" t="s">
        <v>184</v>
      </c>
      <c r="C390" s="15" t="str">
        <f>IFERROR(INDEX('قائمة الوحدات'!$B$2:$B$41,MATCH($B390,'قائمة الوحدات'!$A$2:$A$41,0)),"")</f>
        <v>EXE</v>
      </c>
      <c r="D390" s="14" t="str">
        <f>IFERROR(INDEX('قائمة الوحدات'!$C$2:$C$41,MATCH($B390,'قائمة الوحدات'!$A$2:$A$41,0)),"")</f>
        <v>الشؤون التنفيذية</v>
      </c>
      <c r="E390" s="14" t="str">
        <f>IFERROR(INDEX('قائمة الوحدات'!$D$2:$D$41,MATCH($B390,'قائمة الوحدات'!$A$2:$A$41,0)),"")</f>
        <v>وكالة الاتصال المؤسسي</v>
      </c>
      <c r="F390" s="14" t="str">
        <f>IFERROR(INDEX('قائمة الوحدات'!$F$2:$F$41,MATCH($B390,'قائمة الوحدات'!$A$2:$A$41,0)),"")</f>
        <v>وكالة الاتصال المؤسسي</v>
      </c>
      <c r="G390" s="16" t="s">
        <v>65</v>
      </c>
      <c r="H390" s="14" t="str">
        <f>IFERROR(INDEX(المرجع!$A$2:$A$19,MATCH($G390,المرجع!$B$2:$B$19,0)),"")</f>
        <v>التشغيل</v>
      </c>
      <c r="I390" s="16" t="s">
        <v>59</v>
      </c>
      <c r="J390" s="14" t="str">
        <f>IFERROR(INDEX(المرجع!$D$2:$D$19,MATCH($I390,المرجع!$E$2:$E$19,0)),"")</f>
        <v>الإجراءات</v>
      </c>
      <c r="K390" s="16" t="s">
        <v>128</v>
      </c>
      <c r="L390" s="17" t="str">
        <f>IFERROR(INDEX('نقاط التحقق'!$G$2:$G$31,MATCH($K390,'نقاط التحقق'!$A$2:$A$31,0))&amp;"","")</f>
        <v>تحقيق تقييم "مطبق بشكل كامل" من منهجية تقييم فعالية الإجراءات</v>
      </c>
      <c r="M390" s="14" t="str">
        <f>IFERROR(INDEX('نقاط التحقق'!$H$2:$H$31,MATCH($K390,'نقاط التحقق'!$A$2:$A$31,0))&amp;"","")</f>
        <v/>
      </c>
      <c r="N390" s="13">
        <v>62</v>
      </c>
      <c r="O390" s="15" t="str">
        <f>IF($N390="","غير مقيّمة",IF($N390&gt;المرجع!$K$3,"مستوفاة بشكل متقدم",IF($N390&lt;=المرجع!$K$2,"مستوفاة بشكل أولي","مستوفاة بشكل جزئي")))</f>
        <v>مستوفاة بشكل جزئي</v>
      </c>
      <c r="P390" s="18" t="s">
        <v>2170</v>
      </c>
    </row>
    <row r="391" spans="1:16">
      <c r="A391" s="16" t="s">
        <v>775</v>
      </c>
      <c r="B391" s="16" t="s">
        <v>184</v>
      </c>
      <c r="C391" s="15" t="str">
        <f>IFERROR(INDEX('قائمة الوحدات'!$B$2:$B$41,MATCH($B391,'قائمة الوحدات'!$A$2:$A$41,0)),"")</f>
        <v>EXE</v>
      </c>
      <c r="D391" s="14" t="str">
        <f>IFERROR(INDEX('قائمة الوحدات'!$C$2:$C$41,MATCH($B391,'قائمة الوحدات'!$A$2:$A$41,0)),"")</f>
        <v>الشؤون التنفيذية</v>
      </c>
      <c r="E391" s="14" t="str">
        <f>IFERROR(INDEX('قائمة الوحدات'!$D$2:$D$41,MATCH($B391,'قائمة الوحدات'!$A$2:$A$41,0)),"")</f>
        <v>وكالة الاتصال المؤسسي</v>
      </c>
      <c r="F391" s="14" t="str">
        <f>IFERROR(INDEX('قائمة الوحدات'!$F$2:$F$41,MATCH($B391,'قائمة الوحدات'!$A$2:$A$41,0)),"")</f>
        <v>وكالة الاتصال المؤسسي</v>
      </c>
      <c r="G391" s="16" t="s">
        <v>65</v>
      </c>
      <c r="H391" s="14" t="str">
        <f>IFERROR(INDEX(المرجع!$A$2:$A$19,MATCH($G391,المرجع!$B$2:$B$19,0)),"")</f>
        <v>التشغيل</v>
      </c>
      <c r="I391" s="16" t="s">
        <v>67</v>
      </c>
      <c r="J391" s="14" t="str">
        <f>IFERROR(INDEX(المرجع!$D$2:$D$19,MATCH($I391,المرجع!$E$2:$E$19,0)),"")</f>
        <v>اكتمال المخرجات المستهدفة</v>
      </c>
      <c r="K391" s="16" t="s">
        <v>130</v>
      </c>
      <c r="L391" s="17" t="str">
        <f>IFERROR(INDEX('نقاط التحقق'!$G$2:$G$31,MATCH($K391,'نقاط التحقق'!$A$2:$A$31,0))&amp;"","")</f>
        <v>اكتمال مخرجات النموذج التشغيلي المستهدف للوحدة التنظيمية</v>
      </c>
      <c r="M391" s="14" t="str">
        <f>IFERROR(INDEX('نقاط التحقق'!$H$2:$H$31,MATCH($K391,'نقاط التحقق'!$A$2:$A$31,0))&amp;"","")</f>
        <v/>
      </c>
      <c r="N391" s="13">
        <v>43</v>
      </c>
      <c r="O391" s="15" t="str">
        <f>IF($N391="","غير مقيّمة",IF($N391&gt;المرجع!$K$3,"مستوفاة بشكل متقدم",IF($N391&lt;=المرجع!$K$2,"مستوفاة بشكل أولي","مستوفاة بشكل جزئي")))</f>
        <v>مستوفاة بشكل جزئي</v>
      </c>
      <c r="P391" s="18" t="s">
        <v>2170</v>
      </c>
    </row>
    <row r="392" spans="1:16">
      <c r="A392" s="16" t="s">
        <v>776</v>
      </c>
      <c r="B392" s="16" t="s">
        <v>186</v>
      </c>
      <c r="C392" s="15" t="str">
        <f>IFERROR(INDEX('قائمة الوحدات'!$B$2:$B$41,MATCH($B392,'قائمة الوحدات'!$A$2:$A$41,0)),"")</f>
        <v>EXE</v>
      </c>
      <c r="D392" s="14" t="str">
        <f>IFERROR(INDEX('قائمة الوحدات'!$C$2:$C$41,MATCH($B392,'قائمة الوحدات'!$A$2:$A$41,0)),"")</f>
        <v>الشؤون التنفيذية</v>
      </c>
      <c r="E392" s="14" t="str">
        <f>IFERROR(INDEX('قائمة الوحدات'!$D$2:$D$41,MATCH($B392,'قائمة الوحدات'!$A$2:$A$41,0)),"")</f>
        <v>وكالة الرقابة والالتزام</v>
      </c>
      <c r="F392" s="14" t="str">
        <f>IFERROR(INDEX('قائمة الوحدات'!$F$2:$F$41,MATCH($B392,'قائمة الوحدات'!$A$2:$A$41,0)),"")</f>
        <v>وكالة الرقابة والالتزام</v>
      </c>
      <c r="G392" s="16" t="s">
        <v>43</v>
      </c>
      <c r="H392" s="14" t="str">
        <f>IFERROR(INDEX(المرجع!$A$2:$A$19,MATCH($G392,المرجع!$B$2:$B$19,0)),"")</f>
        <v>التصميم</v>
      </c>
      <c r="I392" s="16" t="s">
        <v>45</v>
      </c>
      <c r="J392" s="14" t="str">
        <f>IFERROR(INDEX(المرجع!$D$2:$D$19,MATCH($I392,المرجع!$E$2:$E$19,0)),"")</f>
        <v>الدور</v>
      </c>
      <c r="K392" s="16" t="s">
        <v>72</v>
      </c>
      <c r="L392" s="17" t="str">
        <f>IFERROR(INDEX('نقاط التحقق'!$G$2:$G$31,MATCH($K392,'نقاط التحقق'!$A$2:$A$31,0))&amp;"","")</f>
        <v>دور مفصل للوحدة التنظيمية</v>
      </c>
      <c r="M392" s="14" t="str">
        <f>IFERROR(INDEX('نقاط التحقق'!$H$2:$H$31,MATCH($K392,'نقاط التحقق'!$A$2:$A$31,0))&amp;"","")</f>
        <v/>
      </c>
      <c r="N392" s="13">
        <v>73</v>
      </c>
      <c r="O392" s="15" t="str">
        <f>IF($N392="","غير مقيّمة",IF($N392&gt;المرجع!$K$3,"مستوفاة بشكل متقدم",IF($N392&lt;=المرجع!$K$2,"مستوفاة بشكل أولي","مستوفاة بشكل جزئي")))</f>
        <v>مستوفاة بشكل متقدم</v>
      </c>
      <c r="P392" s="18" t="s">
        <v>2170</v>
      </c>
    </row>
    <row r="393" spans="1:16">
      <c r="A393" s="16" t="s">
        <v>777</v>
      </c>
      <c r="B393" s="16" t="s">
        <v>186</v>
      </c>
      <c r="C393" s="15" t="str">
        <f>IFERROR(INDEX('قائمة الوحدات'!$B$2:$B$41,MATCH($B393,'قائمة الوحدات'!$A$2:$A$41,0)),"")</f>
        <v>EXE</v>
      </c>
      <c r="D393" s="14" t="str">
        <f>IFERROR(INDEX('قائمة الوحدات'!$C$2:$C$41,MATCH($B393,'قائمة الوحدات'!$A$2:$A$41,0)),"")</f>
        <v>الشؤون التنفيذية</v>
      </c>
      <c r="E393" s="14" t="str">
        <f>IFERROR(INDEX('قائمة الوحدات'!$D$2:$D$41,MATCH($B393,'قائمة الوحدات'!$A$2:$A$41,0)),"")</f>
        <v>وكالة الرقابة والالتزام</v>
      </c>
      <c r="F393" s="14" t="str">
        <f>IFERROR(INDEX('قائمة الوحدات'!$F$2:$F$41,MATCH($B393,'قائمة الوحدات'!$A$2:$A$41,0)),"")</f>
        <v>وكالة الرقابة والالتزام</v>
      </c>
      <c r="G393" s="16" t="s">
        <v>43</v>
      </c>
      <c r="H393" s="14" t="str">
        <f>IFERROR(INDEX(المرجع!$A$2:$A$19,MATCH($G393,المرجع!$B$2:$B$19,0)),"")</f>
        <v>التصميم</v>
      </c>
      <c r="I393" s="16" t="s">
        <v>48</v>
      </c>
      <c r="J393" s="14" t="str">
        <f>IFERROR(INDEX(المرجع!$D$2:$D$19,MATCH($I393,المرجع!$E$2:$E$19,0)),"")</f>
        <v>الأهداف ومؤشرات الأداء</v>
      </c>
      <c r="K393" s="16" t="s">
        <v>74</v>
      </c>
      <c r="L393" s="17" t="str">
        <f>IFERROR(INDEX('نقاط التحقق'!$G$2:$G$31,MATCH($K393,'نقاط التحقق'!$A$2:$A$31,0))&amp;"","")</f>
        <v>أهداف محددة للوحدة التنظيمية وربطها بمؤشرات أداء لقياسها</v>
      </c>
      <c r="M393" s="14" t="str">
        <f>IFERROR(INDEX('نقاط التحقق'!$H$2:$H$31,MATCH($K393,'نقاط التحقق'!$A$2:$A$31,0))&amp;"","")</f>
        <v/>
      </c>
      <c r="N393" s="13">
        <v>95</v>
      </c>
      <c r="O393" s="15" t="str">
        <f>IF($N393="","غير مقيّمة",IF($N393&gt;المرجع!$K$3,"مستوفاة بشكل متقدم",IF($N393&lt;=المرجع!$K$2,"مستوفاة بشكل أولي","مستوفاة بشكل جزئي")))</f>
        <v>مستوفاة بشكل متقدم</v>
      </c>
      <c r="P393" s="18" t="s">
        <v>2170</v>
      </c>
    </row>
    <row r="394" spans="1:16">
      <c r="A394" s="16" t="s">
        <v>778</v>
      </c>
      <c r="B394" s="16" t="s">
        <v>186</v>
      </c>
      <c r="C394" s="15" t="str">
        <f>IFERROR(INDEX('قائمة الوحدات'!$B$2:$B$41,MATCH($B394,'قائمة الوحدات'!$A$2:$A$41,0)),"")</f>
        <v>EXE</v>
      </c>
      <c r="D394" s="14" t="str">
        <f>IFERROR(INDEX('قائمة الوحدات'!$C$2:$C$41,MATCH($B394,'قائمة الوحدات'!$A$2:$A$41,0)),"")</f>
        <v>الشؤون التنفيذية</v>
      </c>
      <c r="E394" s="14" t="str">
        <f>IFERROR(INDEX('قائمة الوحدات'!$D$2:$D$41,MATCH($B394,'قائمة الوحدات'!$A$2:$A$41,0)),"")</f>
        <v>وكالة الرقابة والالتزام</v>
      </c>
      <c r="F394" s="14" t="str">
        <f>IFERROR(INDEX('قائمة الوحدات'!$F$2:$F$41,MATCH($B394,'قائمة الوحدات'!$A$2:$A$41,0)),"")</f>
        <v>وكالة الرقابة والالتزام</v>
      </c>
      <c r="G394" s="16" t="s">
        <v>43</v>
      </c>
      <c r="H394" s="14" t="str">
        <f>IFERROR(INDEX(المرجع!$A$2:$A$19,MATCH($G394,المرجع!$B$2:$B$19,0)),"")</f>
        <v>التصميم</v>
      </c>
      <c r="I394" s="16" t="s">
        <v>48</v>
      </c>
      <c r="J394" s="14" t="str">
        <f>IFERROR(INDEX(المرجع!$D$2:$D$19,MATCH($I394,المرجع!$E$2:$E$19,0)),"")</f>
        <v>الأهداف ومؤشرات الأداء</v>
      </c>
      <c r="K394" s="16" t="s">
        <v>76</v>
      </c>
      <c r="L394" s="17" t="str">
        <f>IFERROR(INDEX('نقاط التحقق'!$G$2:$G$31,MATCH($K394,'نقاط التحقق'!$A$2:$A$31,0))&amp;"","")</f>
        <v>مؤشرات أداء الوحدة التنظيمية</v>
      </c>
      <c r="M394" s="14" t="str">
        <f>IFERROR(INDEX('نقاط التحقق'!$H$2:$H$31,MATCH($K394,'نقاط التحقق'!$A$2:$A$31,0))&amp;"","")</f>
        <v/>
      </c>
      <c r="N394" s="13">
        <v>95</v>
      </c>
      <c r="O394" s="15" t="str">
        <f>IF($N394="","غير مقيّمة",IF($N394&gt;المرجع!$K$3,"مستوفاة بشكل متقدم",IF($N394&lt;=المرجع!$K$2,"مستوفاة بشكل أولي","مستوفاة بشكل جزئي")))</f>
        <v>مستوفاة بشكل متقدم</v>
      </c>
      <c r="P394" s="18" t="s">
        <v>2170</v>
      </c>
    </row>
    <row r="395" spans="1:16">
      <c r="A395" s="16" t="s">
        <v>779</v>
      </c>
      <c r="B395" s="16" t="s">
        <v>186</v>
      </c>
      <c r="C395" s="15" t="str">
        <f>IFERROR(INDEX('قائمة الوحدات'!$B$2:$B$41,MATCH($B395,'قائمة الوحدات'!$A$2:$A$41,0)),"")</f>
        <v>EXE</v>
      </c>
      <c r="D395" s="14" t="str">
        <f>IFERROR(INDEX('قائمة الوحدات'!$C$2:$C$41,MATCH($B395,'قائمة الوحدات'!$A$2:$A$41,0)),"")</f>
        <v>الشؤون التنفيذية</v>
      </c>
      <c r="E395" s="14" t="str">
        <f>IFERROR(INDEX('قائمة الوحدات'!$D$2:$D$41,MATCH($B395,'قائمة الوحدات'!$A$2:$A$41,0)),"")</f>
        <v>وكالة الرقابة والالتزام</v>
      </c>
      <c r="F395" s="14" t="str">
        <f>IFERROR(INDEX('قائمة الوحدات'!$F$2:$F$41,MATCH($B395,'قائمة الوحدات'!$A$2:$A$41,0)),"")</f>
        <v>وكالة الرقابة والالتزام</v>
      </c>
      <c r="G395" s="16" t="s">
        <v>43</v>
      </c>
      <c r="H395" s="14" t="str">
        <f>IFERROR(INDEX(المرجع!$A$2:$A$19,MATCH($G395,المرجع!$B$2:$B$19,0)),"")</f>
        <v>التصميم</v>
      </c>
      <c r="I395" s="16" t="s">
        <v>51</v>
      </c>
      <c r="J395" s="14" t="str">
        <f>IFERROR(INDEX(المرجع!$D$2:$D$19,MATCH($I395,المرجع!$E$2:$E$19,0)),"")</f>
        <v>الحوكمة</v>
      </c>
      <c r="K395" s="16" t="s">
        <v>78</v>
      </c>
      <c r="L395" s="17" t="str">
        <f>IFERROR(INDEX('نقاط التحقق'!$G$2:$G$31,MATCH($K395,'نقاط التحقق'!$A$2:$A$31,0))&amp;"","")</f>
        <v>تفصيل القرارات ومصفوفة الصلاحيات واللجان ذات العلاقة لاعتماد مخرجات الوحدة التنظيمية</v>
      </c>
      <c r="M395" s="14" t="str">
        <f>IFERROR(INDEX('نقاط التحقق'!$H$2:$H$31,MATCH($K395,'نقاط التحقق'!$A$2:$A$31,0))&amp;"","")</f>
        <v/>
      </c>
      <c r="N395" s="13">
        <v>80</v>
      </c>
      <c r="O395" s="15" t="str">
        <f>IF($N395="","غير مقيّمة",IF($N395&gt;المرجع!$K$3,"مستوفاة بشكل متقدم",IF($N395&lt;=المرجع!$K$2,"مستوفاة بشكل أولي","مستوفاة بشكل جزئي")))</f>
        <v>مستوفاة بشكل متقدم</v>
      </c>
      <c r="P395" s="18" t="s">
        <v>2170</v>
      </c>
    </row>
    <row r="396" spans="1:16">
      <c r="A396" s="16" t="s">
        <v>780</v>
      </c>
      <c r="B396" s="16" t="s">
        <v>186</v>
      </c>
      <c r="C396" s="15" t="str">
        <f>IFERROR(INDEX('قائمة الوحدات'!$B$2:$B$41,MATCH($B396,'قائمة الوحدات'!$A$2:$A$41,0)),"")</f>
        <v>EXE</v>
      </c>
      <c r="D396" s="14" t="str">
        <f>IFERROR(INDEX('قائمة الوحدات'!$C$2:$C$41,MATCH($B396,'قائمة الوحدات'!$A$2:$A$41,0)),"")</f>
        <v>الشؤون التنفيذية</v>
      </c>
      <c r="E396" s="14" t="str">
        <f>IFERROR(INDEX('قائمة الوحدات'!$D$2:$D$41,MATCH($B396,'قائمة الوحدات'!$A$2:$A$41,0)),"")</f>
        <v>وكالة الرقابة والالتزام</v>
      </c>
      <c r="F396" s="14" t="str">
        <f>IFERROR(INDEX('قائمة الوحدات'!$F$2:$F$41,MATCH($B396,'قائمة الوحدات'!$A$2:$A$41,0)),"")</f>
        <v>وكالة الرقابة والالتزام</v>
      </c>
      <c r="G396" s="16" t="s">
        <v>43</v>
      </c>
      <c r="H396" s="14" t="str">
        <f>IFERROR(INDEX(المرجع!$A$2:$A$19,MATCH($G396,المرجع!$B$2:$B$19,0)),"")</f>
        <v>التصميم</v>
      </c>
      <c r="I396" s="16" t="s">
        <v>54</v>
      </c>
      <c r="J396" s="14" t="str">
        <f>IFERROR(INDEX(المرجع!$D$2:$D$19,MATCH($I396,المرجع!$E$2:$E$19,0)),"")</f>
        <v>التنظيم</v>
      </c>
      <c r="K396" s="16" t="s">
        <v>80</v>
      </c>
      <c r="L396" s="17" t="str">
        <f>IFERROR(INDEX('نقاط التحقق'!$G$2:$G$31,MATCH($K396,'نقاط التحقق'!$A$2:$A$31,0))&amp;"","")</f>
        <v>تطوير الأدوار والمسؤوليات للوحدة التنظيمية وتفصيل الهيكل التنظيمي</v>
      </c>
      <c r="M396" s="14" t="str">
        <f>IFERROR(INDEX('نقاط التحقق'!$H$2:$H$31,MATCH($K396,'نقاط التحقق'!$A$2:$A$31,0))&amp;"","")</f>
        <v/>
      </c>
      <c r="N396" s="13">
        <v>73</v>
      </c>
      <c r="O396" s="15" t="str">
        <f>IF($N396="","غير مقيّمة",IF($N396&gt;المرجع!$K$3,"مستوفاة بشكل متقدم",IF($N396&lt;=المرجع!$K$2,"مستوفاة بشكل أولي","مستوفاة بشكل جزئي")))</f>
        <v>مستوفاة بشكل متقدم</v>
      </c>
      <c r="P396" s="18" t="s">
        <v>2170</v>
      </c>
    </row>
    <row r="397" spans="1:16">
      <c r="A397" s="16" t="s">
        <v>781</v>
      </c>
      <c r="B397" s="16" t="s">
        <v>186</v>
      </c>
      <c r="C397" s="15" t="str">
        <f>IFERROR(INDEX('قائمة الوحدات'!$B$2:$B$41,MATCH($B397,'قائمة الوحدات'!$A$2:$A$41,0)),"")</f>
        <v>EXE</v>
      </c>
      <c r="D397" s="14" t="str">
        <f>IFERROR(INDEX('قائمة الوحدات'!$C$2:$C$41,MATCH($B397,'قائمة الوحدات'!$A$2:$A$41,0)),"")</f>
        <v>الشؤون التنفيذية</v>
      </c>
      <c r="E397" s="14" t="str">
        <f>IFERROR(INDEX('قائمة الوحدات'!$D$2:$D$41,MATCH($B397,'قائمة الوحدات'!$A$2:$A$41,0)),"")</f>
        <v>وكالة الرقابة والالتزام</v>
      </c>
      <c r="F397" s="14" t="str">
        <f>IFERROR(INDEX('قائمة الوحدات'!$F$2:$F$41,MATCH($B397,'قائمة الوحدات'!$A$2:$A$41,0)),"")</f>
        <v>وكالة الرقابة والالتزام</v>
      </c>
      <c r="G397" s="16" t="s">
        <v>43</v>
      </c>
      <c r="H397" s="14" t="str">
        <f>IFERROR(INDEX(المرجع!$A$2:$A$19,MATCH($G397,المرجع!$B$2:$B$19,0)),"")</f>
        <v>التصميم</v>
      </c>
      <c r="I397" s="16" t="s">
        <v>56</v>
      </c>
      <c r="J397" s="14" t="str">
        <f>IFERROR(INDEX(المرجع!$D$2:$D$19,MATCH($I397,المرجع!$E$2:$E$19,0)),"")</f>
        <v>الموارد</v>
      </c>
      <c r="K397" s="16" t="s">
        <v>82</v>
      </c>
      <c r="L397" s="17" t="str">
        <f>IFERROR(INDEX('نقاط التحقق'!$G$2:$G$31,MATCH($K397,'نقاط التحقق'!$A$2:$A$31,0))&amp;"","")</f>
        <v>تفصيل احتياج الموارد البشرية للوحدة التنظيمية</v>
      </c>
      <c r="M397" s="14" t="str">
        <f>IFERROR(INDEX('نقاط التحقق'!$H$2:$H$31,MATCH($K397,'نقاط التحقق'!$A$2:$A$31,0))&amp;"","")</f>
        <v/>
      </c>
      <c r="N397" s="13">
        <v>79</v>
      </c>
      <c r="O397" s="15" t="str">
        <f>IF($N397="","غير مقيّمة",IF($N397&gt;المرجع!$K$3,"مستوفاة بشكل متقدم",IF($N397&lt;=المرجع!$K$2,"مستوفاة بشكل أولي","مستوفاة بشكل جزئي")))</f>
        <v>مستوفاة بشكل متقدم</v>
      </c>
      <c r="P397" s="18" t="s">
        <v>2170</v>
      </c>
    </row>
    <row r="398" spans="1:16">
      <c r="A398" s="16" t="s">
        <v>782</v>
      </c>
      <c r="B398" s="16" t="s">
        <v>186</v>
      </c>
      <c r="C398" s="15" t="str">
        <f>IFERROR(INDEX('قائمة الوحدات'!$B$2:$B$41,MATCH($B398,'قائمة الوحدات'!$A$2:$A$41,0)),"")</f>
        <v>EXE</v>
      </c>
      <c r="D398" s="14" t="str">
        <f>IFERROR(INDEX('قائمة الوحدات'!$C$2:$C$41,MATCH($B398,'قائمة الوحدات'!$A$2:$A$41,0)),"")</f>
        <v>الشؤون التنفيذية</v>
      </c>
      <c r="E398" s="14" t="str">
        <f>IFERROR(INDEX('قائمة الوحدات'!$D$2:$D$41,MATCH($B398,'قائمة الوحدات'!$A$2:$A$41,0)),"")</f>
        <v>وكالة الرقابة والالتزام</v>
      </c>
      <c r="F398" s="14" t="str">
        <f>IFERROR(INDEX('قائمة الوحدات'!$F$2:$F$41,MATCH($B398,'قائمة الوحدات'!$A$2:$A$41,0)),"")</f>
        <v>وكالة الرقابة والالتزام</v>
      </c>
      <c r="G398" s="16" t="s">
        <v>43</v>
      </c>
      <c r="H398" s="14" t="str">
        <f>IFERROR(INDEX(المرجع!$A$2:$A$19,MATCH($G398,المرجع!$B$2:$B$19,0)),"")</f>
        <v>التصميم</v>
      </c>
      <c r="I398" s="16" t="s">
        <v>59</v>
      </c>
      <c r="J398" s="14" t="str">
        <f>IFERROR(INDEX(المرجع!$D$2:$D$19,MATCH($I398,المرجع!$E$2:$E$19,0)),"")</f>
        <v>الإجراءات</v>
      </c>
      <c r="K398" s="16" t="s">
        <v>84</v>
      </c>
      <c r="L398" s="17" t="str">
        <f>IFERROR(INDEX('نقاط التحقق'!$G$2:$G$31,MATCH($K398,'نقاط التحقق'!$A$2:$A$31,0))&amp;"","")</f>
        <v>تفصيل المخرجات إلى إجراءات عالية المستوى</v>
      </c>
      <c r="M398" s="14" t="str">
        <f>IFERROR(INDEX('نقاط التحقق'!$H$2:$H$31,MATCH($K398,'نقاط التحقق'!$A$2:$A$31,0))&amp;"","")</f>
        <v/>
      </c>
      <c r="N398" s="13">
        <v>87</v>
      </c>
      <c r="O398" s="15" t="str">
        <f>IF($N398="","غير مقيّمة",IF($N398&gt;المرجع!$K$3,"مستوفاة بشكل متقدم",IF($N398&lt;=المرجع!$K$2,"مستوفاة بشكل أولي","مستوفاة بشكل جزئي")))</f>
        <v>مستوفاة بشكل متقدم</v>
      </c>
      <c r="P398" s="18" t="s">
        <v>2170</v>
      </c>
    </row>
    <row r="399" spans="1:16">
      <c r="A399" s="16" t="s">
        <v>783</v>
      </c>
      <c r="B399" s="16" t="s">
        <v>186</v>
      </c>
      <c r="C399" s="15" t="str">
        <f>IFERROR(INDEX('قائمة الوحدات'!$B$2:$B$41,MATCH($B399,'قائمة الوحدات'!$A$2:$A$41,0)),"")</f>
        <v>EXE</v>
      </c>
      <c r="D399" s="14" t="str">
        <f>IFERROR(INDEX('قائمة الوحدات'!$C$2:$C$41,MATCH($B399,'قائمة الوحدات'!$A$2:$A$41,0)),"")</f>
        <v>الشؤون التنفيذية</v>
      </c>
      <c r="E399" s="14" t="str">
        <f>IFERROR(INDEX('قائمة الوحدات'!$D$2:$D$41,MATCH($B399,'قائمة الوحدات'!$A$2:$A$41,0)),"")</f>
        <v>وكالة الرقابة والالتزام</v>
      </c>
      <c r="F399" s="14" t="str">
        <f>IFERROR(INDEX('قائمة الوحدات'!$F$2:$F$41,MATCH($B399,'قائمة الوحدات'!$A$2:$A$41,0)),"")</f>
        <v>وكالة الرقابة والالتزام</v>
      </c>
      <c r="G399" s="16" t="s">
        <v>61</v>
      </c>
      <c r="H399" s="14" t="str">
        <f>IFERROR(INDEX(المرجع!$A$2:$A$19,MATCH($G399,المرجع!$B$2:$B$19,0)),"")</f>
        <v>البناء المؤسسي</v>
      </c>
      <c r="I399" s="16" t="s">
        <v>45</v>
      </c>
      <c r="J399" s="14" t="str">
        <f>IFERROR(INDEX(المرجع!$D$2:$D$19,MATCH($I399,المرجع!$E$2:$E$19,0)),"")</f>
        <v>الدور</v>
      </c>
      <c r="K399" s="16" t="s">
        <v>86</v>
      </c>
      <c r="L399" s="17" t="str">
        <f>IFERROR(INDEX('نقاط التحقق'!$G$2:$G$31,MATCH($K399,'نقاط التحقق'!$A$2:$A$31,0))&amp;"","")</f>
        <v>دور معتمد للوحدة التنظيمية</v>
      </c>
      <c r="M399" s="14" t="str">
        <f>IFERROR(INDEX('نقاط التحقق'!$H$2:$H$31,MATCH($K399,'نقاط التحقق'!$A$2:$A$31,0))&amp;"","")</f>
        <v/>
      </c>
      <c r="N399" s="13">
        <v>72</v>
      </c>
      <c r="O399" s="15" t="str">
        <f>IF($N399="","غير مقيّمة",IF($N399&gt;المرجع!$K$3,"مستوفاة بشكل متقدم",IF($N399&lt;=المرجع!$K$2,"مستوفاة بشكل أولي","مستوفاة بشكل جزئي")))</f>
        <v>مستوفاة بشكل متقدم</v>
      </c>
      <c r="P399" s="18" t="s">
        <v>2170</v>
      </c>
    </row>
    <row r="400" spans="1:16">
      <c r="A400" s="16" t="s">
        <v>784</v>
      </c>
      <c r="B400" s="16" t="s">
        <v>186</v>
      </c>
      <c r="C400" s="15" t="str">
        <f>IFERROR(INDEX('قائمة الوحدات'!$B$2:$B$41,MATCH($B400,'قائمة الوحدات'!$A$2:$A$41,0)),"")</f>
        <v>EXE</v>
      </c>
      <c r="D400" s="14" t="str">
        <f>IFERROR(INDEX('قائمة الوحدات'!$C$2:$C$41,MATCH($B400,'قائمة الوحدات'!$A$2:$A$41,0)),"")</f>
        <v>الشؤون التنفيذية</v>
      </c>
      <c r="E400" s="14" t="str">
        <f>IFERROR(INDEX('قائمة الوحدات'!$D$2:$D$41,MATCH($B400,'قائمة الوحدات'!$A$2:$A$41,0)),"")</f>
        <v>وكالة الرقابة والالتزام</v>
      </c>
      <c r="F400" s="14" t="str">
        <f>IFERROR(INDEX('قائمة الوحدات'!$F$2:$F$41,MATCH($B400,'قائمة الوحدات'!$A$2:$A$41,0)),"")</f>
        <v>وكالة الرقابة والالتزام</v>
      </c>
      <c r="G400" s="16" t="s">
        <v>61</v>
      </c>
      <c r="H400" s="14" t="str">
        <f>IFERROR(INDEX(المرجع!$A$2:$A$19,MATCH($G400,المرجع!$B$2:$B$19,0)),"")</f>
        <v>البناء المؤسسي</v>
      </c>
      <c r="I400" s="16" t="s">
        <v>48</v>
      </c>
      <c r="J400" s="14" t="str">
        <f>IFERROR(INDEX(المرجع!$D$2:$D$19,MATCH($I400,المرجع!$E$2:$E$19,0)),"")</f>
        <v>الأهداف ومؤشرات الأداء</v>
      </c>
      <c r="K400" s="16" t="s">
        <v>88</v>
      </c>
      <c r="L400" s="17" t="str">
        <f>IFERROR(INDEX('نقاط التحقق'!$G$2:$G$31,MATCH($K400,'نقاط التحقق'!$A$2:$A$31,0))&amp;"","")</f>
        <v>أهداف تشغيلية معتمدة من صاحب الصلاحية</v>
      </c>
      <c r="M400" s="14" t="str">
        <f>IFERROR(INDEX('نقاط التحقق'!$H$2:$H$31,MATCH($K400,'نقاط التحقق'!$A$2:$A$31,0))&amp;"","")</f>
        <v/>
      </c>
      <c r="N400" s="13">
        <v>70</v>
      </c>
      <c r="O400" s="15" t="str">
        <f>IF($N400="","غير مقيّمة",IF($N400&gt;المرجع!$K$3,"مستوفاة بشكل متقدم",IF($N400&lt;=المرجع!$K$2,"مستوفاة بشكل أولي","مستوفاة بشكل جزئي")))</f>
        <v>مستوفاة بشكل جزئي</v>
      </c>
      <c r="P400" s="18" t="s">
        <v>2170</v>
      </c>
    </row>
    <row r="401" spans="1:16">
      <c r="A401" s="16" t="s">
        <v>785</v>
      </c>
      <c r="B401" s="16" t="s">
        <v>186</v>
      </c>
      <c r="C401" s="15" t="str">
        <f>IFERROR(INDEX('قائمة الوحدات'!$B$2:$B$41,MATCH($B401,'قائمة الوحدات'!$A$2:$A$41,0)),"")</f>
        <v>EXE</v>
      </c>
      <c r="D401" s="14" t="str">
        <f>IFERROR(INDEX('قائمة الوحدات'!$C$2:$C$41,MATCH($B401,'قائمة الوحدات'!$A$2:$A$41,0)),"")</f>
        <v>الشؤون التنفيذية</v>
      </c>
      <c r="E401" s="14" t="str">
        <f>IFERROR(INDEX('قائمة الوحدات'!$D$2:$D$41,MATCH($B401,'قائمة الوحدات'!$A$2:$A$41,0)),"")</f>
        <v>وكالة الرقابة والالتزام</v>
      </c>
      <c r="F401" s="14" t="str">
        <f>IFERROR(INDEX('قائمة الوحدات'!$F$2:$F$41,MATCH($B401,'قائمة الوحدات'!$A$2:$A$41,0)),"")</f>
        <v>وكالة الرقابة والالتزام</v>
      </c>
      <c r="G401" s="16" t="s">
        <v>61</v>
      </c>
      <c r="H401" s="14" t="str">
        <f>IFERROR(INDEX(المرجع!$A$2:$A$19,MATCH($G401,المرجع!$B$2:$B$19,0)),"")</f>
        <v>البناء المؤسسي</v>
      </c>
      <c r="I401" s="16" t="s">
        <v>48</v>
      </c>
      <c r="J401" s="14" t="str">
        <f>IFERROR(INDEX(المرجع!$D$2:$D$19,MATCH($I401,المرجع!$E$2:$E$19,0)),"")</f>
        <v>الأهداف ومؤشرات الأداء</v>
      </c>
      <c r="K401" s="16" t="s">
        <v>90</v>
      </c>
      <c r="L401" s="17" t="str">
        <f>IFERROR(INDEX('نقاط التحقق'!$G$2:$G$31,MATCH($K401,'نقاط التحقق'!$A$2:$A$31,0))&amp;"","")</f>
        <v>نشر الأهداف التشغيلية على موظفي الوحدة التنظيمية</v>
      </c>
      <c r="M401" s="14" t="str">
        <f>IFERROR(INDEX('نقاط التحقق'!$H$2:$H$31,MATCH($K401,'نقاط التحقق'!$A$2:$A$31,0))&amp;"","")</f>
        <v/>
      </c>
      <c r="N401" s="13">
        <v>70</v>
      </c>
      <c r="O401" s="15" t="str">
        <f>IF($N401="","غير مقيّمة",IF($N401&gt;المرجع!$K$3,"مستوفاة بشكل متقدم",IF($N401&lt;=المرجع!$K$2,"مستوفاة بشكل أولي","مستوفاة بشكل جزئي")))</f>
        <v>مستوفاة بشكل جزئي</v>
      </c>
      <c r="P401" s="18" t="s">
        <v>2170</v>
      </c>
    </row>
    <row r="402" spans="1:16">
      <c r="A402" s="16" t="s">
        <v>786</v>
      </c>
      <c r="B402" s="16" t="s">
        <v>186</v>
      </c>
      <c r="C402" s="15" t="str">
        <f>IFERROR(INDEX('قائمة الوحدات'!$B$2:$B$41,MATCH($B402,'قائمة الوحدات'!$A$2:$A$41,0)),"")</f>
        <v>EXE</v>
      </c>
      <c r="D402" s="14" t="str">
        <f>IFERROR(INDEX('قائمة الوحدات'!$C$2:$C$41,MATCH($B402,'قائمة الوحدات'!$A$2:$A$41,0)),"")</f>
        <v>الشؤون التنفيذية</v>
      </c>
      <c r="E402" s="14" t="str">
        <f>IFERROR(INDEX('قائمة الوحدات'!$D$2:$D$41,MATCH($B402,'قائمة الوحدات'!$A$2:$A$41,0)),"")</f>
        <v>وكالة الرقابة والالتزام</v>
      </c>
      <c r="F402" s="14" t="str">
        <f>IFERROR(INDEX('قائمة الوحدات'!$F$2:$F$41,MATCH($B402,'قائمة الوحدات'!$A$2:$A$41,0)),"")</f>
        <v>وكالة الرقابة والالتزام</v>
      </c>
      <c r="G402" s="16" t="s">
        <v>61</v>
      </c>
      <c r="H402" s="14" t="str">
        <f>IFERROR(INDEX(المرجع!$A$2:$A$19,MATCH($G402,المرجع!$B$2:$B$19,0)),"")</f>
        <v>البناء المؤسسي</v>
      </c>
      <c r="I402" s="16" t="s">
        <v>51</v>
      </c>
      <c r="J402" s="14" t="str">
        <f>IFERROR(INDEX(المرجع!$D$2:$D$19,MATCH($I402,المرجع!$E$2:$E$19,0)),"")</f>
        <v>الحوكمة</v>
      </c>
      <c r="K402" s="16" t="s">
        <v>92</v>
      </c>
      <c r="L402" s="17" t="str">
        <f>IFERROR(INDEX('نقاط التحقق'!$G$2:$G$31,MATCH($K402,'نقاط التحقق'!$A$2:$A$31,0))&amp;"","")</f>
        <v>مصفوفة صلاحيات معتمدة ومعممة على أصحاب المصلحة</v>
      </c>
      <c r="M402" s="14" t="str">
        <f>IFERROR(INDEX('نقاط التحقق'!$H$2:$H$31,MATCH($K402,'نقاط التحقق'!$A$2:$A$31,0))&amp;"","")</f>
        <v/>
      </c>
      <c r="N402" s="13">
        <v>70</v>
      </c>
      <c r="O402" s="15" t="str">
        <f>IF($N402="","غير مقيّمة",IF($N402&gt;المرجع!$K$3,"مستوفاة بشكل متقدم",IF($N402&lt;=المرجع!$K$2,"مستوفاة بشكل أولي","مستوفاة بشكل جزئي")))</f>
        <v>مستوفاة بشكل جزئي</v>
      </c>
      <c r="P402" s="18" t="s">
        <v>2170</v>
      </c>
    </row>
    <row r="403" spans="1:16">
      <c r="A403" s="16" t="s">
        <v>787</v>
      </c>
      <c r="B403" s="16" t="s">
        <v>186</v>
      </c>
      <c r="C403" s="15" t="str">
        <f>IFERROR(INDEX('قائمة الوحدات'!$B$2:$B$41,MATCH($B403,'قائمة الوحدات'!$A$2:$A$41,0)),"")</f>
        <v>EXE</v>
      </c>
      <c r="D403" s="14" t="str">
        <f>IFERROR(INDEX('قائمة الوحدات'!$C$2:$C$41,MATCH($B403,'قائمة الوحدات'!$A$2:$A$41,0)),"")</f>
        <v>الشؤون التنفيذية</v>
      </c>
      <c r="E403" s="14" t="str">
        <f>IFERROR(INDEX('قائمة الوحدات'!$D$2:$D$41,MATCH($B403,'قائمة الوحدات'!$A$2:$A$41,0)),"")</f>
        <v>وكالة الرقابة والالتزام</v>
      </c>
      <c r="F403" s="14" t="str">
        <f>IFERROR(INDEX('قائمة الوحدات'!$F$2:$F$41,MATCH($B403,'قائمة الوحدات'!$A$2:$A$41,0)),"")</f>
        <v>وكالة الرقابة والالتزام</v>
      </c>
      <c r="G403" s="16" t="s">
        <v>61</v>
      </c>
      <c r="H403" s="14" t="str">
        <f>IFERROR(INDEX(المرجع!$A$2:$A$19,MATCH($G403,المرجع!$B$2:$B$19,0)),"")</f>
        <v>البناء المؤسسي</v>
      </c>
      <c r="I403" s="16" t="s">
        <v>51</v>
      </c>
      <c r="J403" s="14" t="str">
        <f>IFERROR(INDEX(المرجع!$D$2:$D$19,MATCH($I403,المرجع!$E$2:$E$19,0)),"")</f>
        <v>الحوكمة</v>
      </c>
      <c r="K403" s="16" t="s">
        <v>94</v>
      </c>
      <c r="L403" s="17" t="str">
        <f>IFERROR(INDEX('نقاط التحقق'!$G$2:$G$31,MATCH($K403,'نقاط التحقق'!$A$2:$A$31,0))&amp;"","")</f>
        <v>سياسات معتمدة للتي تملكها الوحدة التنظيمية</v>
      </c>
      <c r="M403" s="14" t="str">
        <f>IFERROR(INDEX('نقاط التحقق'!$H$2:$H$31,MATCH($K403,'نقاط التحقق'!$A$2:$A$31,0))&amp;"","")</f>
        <v/>
      </c>
      <c r="N403" s="13">
        <v>75</v>
      </c>
      <c r="O403" s="15" t="str">
        <f>IF($N403="","غير مقيّمة",IF($N403&gt;المرجع!$K$3,"مستوفاة بشكل متقدم",IF($N403&lt;=المرجع!$K$2,"مستوفاة بشكل أولي","مستوفاة بشكل جزئي")))</f>
        <v>مستوفاة بشكل متقدم</v>
      </c>
      <c r="P403" s="18" t="s">
        <v>2170</v>
      </c>
    </row>
    <row r="404" spans="1:16">
      <c r="A404" s="16" t="s">
        <v>788</v>
      </c>
      <c r="B404" s="16" t="s">
        <v>186</v>
      </c>
      <c r="C404" s="15" t="str">
        <f>IFERROR(INDEX('قائمة الوحدات'!$B$2:$B$41,MATCH($B404,'قائمة الوحدات'!$A$2:$A$41,0)),"")</f>
        <v>EXE</v>
      </c>
      <c r="D404" s="14" t="str">
        <f>IFERROR(INDEX('قائمة الوحدات'!$C$2:$C$41,MATCH($B404,'قائمة الوحدات'!$A$2:$A$41,0)),"")</f>
        <v>الشؤون التنفيذية</v>
      </c>
      <c r="E404" s="14" t="str">
        <f>IFERROR(INDEX('قائمة الوحدات'!$D$2:$D$41,MATCH($B404,'قائمة الوحدات'!$A$2:$A$41,0)),"")</f>
        <v>وكالة الرقابة والالتزام</v>
      </c>
      <c r="F404" s="14" t="str">
        <f>IFERROR(INDEX('قائمة الوحدات'!$F$2:$F$41,MATCH($B404,'قائمة الوحدات'!$A$2:$A$41,0)),"")</f>
        <v>وكالة الرقابة والالتزام</v>
      </c>
      <c r="G404" s="16" t="s">
        <v>61</v>
      </c>
      <c r="H404" s="14" t="str">
        <f>IFERROR(INDEX(المرجع!$A$2:$A$19,MATCH($G404,المرجع!$B$2:$B$19,0)),"")</f>
        <v>البناء المؤسسي</v>
      </c>
      <c r="I404" s="16" t="s">
        <v>51</v>
      </c>
      <c r="J404" s="14" t="str">
        <f>IFERROR(INDEX(المرجع!$D$2:$D$19,MATCH($I404,المرجع!$E$2:$E$19,0)),"")</f>
        <v>الحوكمة</v>
      </c>
      <c r="K404" s="16" t="s">
        <v>96</v>
      </c>
      <c r="L404" s="17" t="str">
        <f>IFERROR(INDEX('نقاط التحقق'!$G$2:$G$31,MATCH($K404,'نقاط التحقق'!$A$2:$A$31,0))&amp;"","")</f>
        <v>قرار تشكيل معتمد للجان ذات العلاقة</v>
      </c>
      <c r="M404" s="14" t="str">
        <f>IFERROR(INDEX('نقاط التحقق'!$H$2:$H$31,MATCH($K404,'نقاط التحقق'!$A$2:$A$31,0))&amp;"","")</f>
        <v/>
      </c>
      <c r="N404" s="13">
        <v>65</v>
      </c>
      <c r="O404" s="15" t="str">
        <f>IF($N404="","غير مقيّمة",IF($N404&gt;المرجع!$K$3,"مستوفاة بشكل متقدم",IF($N404&lt;=المرجع!$K$2,"مستوفاة بشكل أولي","مستوفاة بشكل جزئي")))</f>
        <v>مستوفاة بشكل جزئي</v>
      </c>
      <c r="P404" s="18" t="s">
        <v>2170</v>
      </c>
    </row>
    <row r="405" spans="1:16">
      <c r="A405" s="16" t="s">
        <v>789</v>
      </c>
      <c r="B405" s="16" t="s">
        <v>186</v>
      </c>
      <c r="C405" s="15" t="str">
        <f>IFERROR(INDEX('قائمة الوحدات'!$B$2:$B$41,MATCH($B405,'قائمة الوحدات'!$A$2:$A$41,0)),"")</f>
        <v>EXE</v>
      </c>
      <c r="D405" s="14" t="str">
        <f>IFERROR(INDEX('قائمة الوحدات'!$C$2:$C$41,MATCH($B405,'قائمة الوحدات'!$A$2:$A$41,0)),"")</f>
        <v>الشؤون التنفيذية</v>
      </c>
      <c r="E405" s="14" t="str">
        <f>IFERROR(INDEX('قائمة الوحدات'!$D$2:$D$41,MATCH($B405,'قائمة الوحدات'!$A$2:$A$41,0)),"")</f>
        <v>وكالة الرقابة والالتزام</v>
      </c>
      <c r="F405" s="14" t="str">
        <f>IFERROR(INDEX('قائمة الوحدات'!$F$2:$F$41,MATCH($B405,'قائمة الوحدات'!$A$2:$A$41,0)),"")</f>
        <v>وكالة الرقابة والالتزام</v>
      </c>
      <c r="G405" s="16" t="s">
        <v>61</v>
      </c>
      <c r="H405" s="14" t="str">
        <f>IFERROR(INDEX(المرجع!$A$2:$A$19,MATCH($G405,المرجع!$B$2:$B$19,0)),"")</f>
        <v>البناء المؤسسي</v>
      </c>
      <c r="I405" s="16" t="s">
        <v>54</v>
      </c>
      <c r="J405" s="14" t="str">
        <f>IFERROR(INDEX(المرجع!$D$2:$D$19,MATCH($I405,المرجع!$E$2:$E$19,0)),"")</f>
        <v>التنظيم</v>
      </c>
      <c r="K405" s="16" t="s">
        <v>98</v>
      </c>
      <c r="L405" s="17" t="str">
        <f>IFERROR(INDEX('نقاط التحقق'!$G$2:$G$31,MATCH($K405,'نقاط التحقق'!$A$2:$A$31,0))&amp;"","")</f>
        <v>هيكل تنظيمي معتمد من صاحب الصلاحية</v>
      </c>
      <c r="M405" s="14" t="str">
        <f>IFERROR(INDEX('نقاط التحقق'!$H$2:$H$31,MATCH($K405,'نقاط التحقق'!$A$2:$A$31,0))&amp;"","")</f>
        <v/>
      </c>
      <c r="N405" s="13">
        <v>85</v>
      </c>
      <c r="O405" s="15" t="str">
        <f>IF($N405="","غير مقيّمة",IF($N405&gt;المرجع!$K$3,"مستوفاة بشكل متقدم",IF($N405&lt;=المرجع!$K$2,"مستوفاة بشكل أولي","مستوفاة بشكل جزئي")))</f>
        <v>مستوفاة بشكل متقدم</v>
      </c>
      <c r="P405" s="18" t="s">
        <v>2170</v>
      </c>
    </row>
    <row r="406" spans="1:16">
      <c r="A406" s="16" t="s">
        <v>790</v>
      </c>
      <c r="B406" s="16" t="s">
        <v>186</v>
      </c>
      <c r="C406" s="15" t="str">
        <f>IFERROR(INDEX('قائمة الوحدات'!$B$2:$B$41,MATCH($B406,'قائمة الوحدات'!$A$2:$A$41,0)),"")</f>
        <v>EXE</v>
      </c>
      <c r="D406" s="14" t="str">
        <f>IFERROR(INDEX('قائمة الوحدات'!$C$2:$C$41,MATCH($B406,'قائمة الوحدات'!$A$2:$A$41,0)),"")</f>
        <v>الشؤون التنفيذية</v>
      </c>
      <c r="E406" s="14" t="str">
        <f>IFERROR(INDEX('قائمة الوحدات'!$D$2:$D$41,MATCH($B406,'قائمة الوحدات'!$A$2:$A$41,0)),"")</f>
        <v>وكالة الرقابة والالتزام</v>
      </c>
      <c r="F406" s="14" t="str">
        <f>IFERROR(INDEX('قائمة الوحدات'!$F$2:$F$41,MATCH($B406,'قائمة الوحدات'!$A$2:$A$41,0)),"")</f>
        <v>وكالة الرقابة والالتزام</v>
      </c>
      <c r="G406" s="16" t="s">
        <v>61</v>
      </c>
      <c r="H406" s="14" t="str">
        <f>IFERROR(INDEX(المرجع!$A$2:$A$19,MATCH($G406,المرجع!$B$2:$B$19,0)),"")</f>
        <v>البناء المؤسسي</v>
      </c>
      <c r="I406" s="16" t="s">
        <v>54</v>
      </c>
      <c r="J406" s="14" t="str">
        <f>IFERROR(INDEX(المرجع!$D$2:$D$19,MATCH($I406,المرجع!$E$2:$E$19,0)),"")</f>
        <v>التنظيم</v>
      </c>
      <c r="K406" s="16" t="s">
        <v>100</v>
      </c>
      <c r="L406" s="17" t="str">
        <f>IFERROR(INDEX('نقاط التحقق'!$G$2:$G$31,MATCH($K406,'نقاط التحقق'!$A$2:$A$31,0))&amp;"","")</f>
        <v>هيكل تنظيمي منشأ على نظام القوى العاملة</v>
      </c>
      <c r="M406" s="14" t="str">
        <f>IFERROR(INDEX('نقاط التحقق'!$H$2:$H$31,MATCH($K406,'نقاط التحقق'!$A$2:$A$31,0))&amp;"","")</f>
        <v/>
      </c>
      <c r="N406" s="13">
        <v>65</v>
      </c>
      <c r="O406" s="15" t="str">
        <f>IF($N406="","غير مقيّمة",IF($N406&gt;المرجع!$K$3,"مستوفاة بشكل متقدم",IF($N406&lt;=المرجع!$K$2,"مستوفاة بشكل أولي","مستوفاة بشكل جزئي")))</f>
        <v>مستوفاة بشكل جزئي</v>
      </c>
      <c r="P406" s="18" t="s">
        <v>2170</v>
      </c>
    </row>
    <row r="407" spans="1:16">
      <c r="A407" s="16" t="s">
        <v>791</v>
      </c>
      <c r="B407" s="16" t="s">
        <v>186</v>
      </c>
      <c r="C407" s="15" t="str">
        <f>IFERROR(INDEX('قائمة الوحدات'!$B$2:$B$41,MATCH($B407,'قائمة الوحدات'!$A$2:$A$41,0)),"")</f>
        <v>EXE</v>
      </c>
      <c r="D407" s="14" t="str">
        <f>IFERROR(INDEX('قائمة الوحدات'!$C$2:$C$41,MATCH($B407,'قائمة الوحدات'!$A$2:$A$41,0)),"")</f>
        <v>الشؤون التنفيذية</v>
      </c>
      <c r="E407" s="14" t="str">
        <f>IFERROR(INDEX('قائمة الوحدات'!$D$2:$D$41,MATCH($B407,'قائمة الوحدات'!$A$2:$A$41,0)),"")</f>
        <v>وكالة الرقابة والالتزام</v>
      </c>
      <c r="F407" s="14" t="str">
        <f>IFERROR(INDEX('قائمة الوحدات'!$F$2:$F$41,MATCH($B407,'قائمة الوحدات'!$A$2:$A$41,0)),"")</f>
        <v>وكالة الرقابة والالتزام</v>
      </c>
      <c r="G407" s="16" t="s">
        <v>61</v>
      </c>
      <c r="H407" s="14" t="str">
        <f>IFERROR(INDEX(المرجع!$A$2:$A$19,MATCH($G407,المرجع!$B$2:$B$19,0)),"")</f>
        <v>البناء المؤسسي</v>
      </c>
      <c r="I407" s="16" t="s">
        <v>54</v>
      </c>
      <c r="J407" s="14" t="str">
        <f>IFERROR(INDEX(المرجع!$D$2:$D$19,MATCH($I407,المرجع!$E$2:$E$19,0)),"")</f>
        <v>التنظيم</v>
      </c>
      <c r="K407" s="16" t="s">
        <v>102</v>
      </c>
      <c r="L407" s="17" t="str">
        <f>IFERROR(INDEX('نقاط التحقق'!$G$2:$G$31,MATCH($K407,'نقاط التحقق'!$A$2:$A$31,0))&amp;"","")</f>
        <v>الموظفون المحددون مسكّنون على الهيكل التنظيمي المستهدف</v>
      </c>
      <c r="M407" s="14" t="str">
        <f>IFERROR(INDEX('نقاط التحقق'!$H$2:$H$31,MATCH($K407,'نقاط التحقق'!$A$2:$A$31,0))&amp;"","")</f>
        <v/>
      </c>
      <c r="N407" s="13">
        <v>85</v>
      </c>
      <c r="O407" s="15" t="str">
        <f>IF($N407="","غير مقيّمة",IF($N407&gt;المرجع!$K$3,"مستوفاة بشكل متقدم",IF($N407&lt;=المرجع!$K$2,"مستوفاة بشكل أولي","مستوفاة بشكل جزئي")))</f>
        <v>مستوفاة بشكل متقدم</v>
      </c>
      <c r="P407" s="18" t="s">
        <v>2170</v>
      </c>
    </row>
    <row r="408" spans="1:16">
      <c r="A408" s="16" t="s">
        <v>792</v>
      </c>
      <c r="B408" s="16" t="s">
        <v>186</v>
      </c>
      <c r="C408" s="15" t="str">
        <f>IFERROR(INDEX('قائمة الوحدات'!$B$2:$B$41,MATCH($B408,'قائمة الوحدات'!$A$2:$A$41,0)),"")</f>
        <v>EXE</v>
      </c>
      <c r="D408" s="14" t="str">
        <f>IFERROR(INDEX('قائمة الوحدات'!$C$2:$C$41,MATCH($B408,'قائمة الوحدات'!$A$2:$A$41,0)),"")</f>
        <v>الشؤون التنفيذية</v>
      </c>
      <c r="E408" s="14" t="str">
        <f>IFERROR(INDEX('قائمة الوحدات'!$D$2:$D$41,MATCH($B408,'قائمة الوحدات'!$A$2:$A$41,0)),"")</f>
        <v>وكالة الرقابة والالتزام</v>
      </c>
      <c r="F408" s="14" t="str">
        <f>IFERROR(INDEX('قائمة الوحدات'!$F$2:$F$41,MATCH($B408,'قائمة الوحدات'!$A$2:$A$41,0)),"")</f>
        <v>وكالة الرقابة والالتزام</v>
      </c>
      <c r="G408" s="16" t="s">
        <v>61</v>
      </c>
      <c r="H408" s="14" t="str">
        <f>IFERROR(INDEX(المرجع!$A$2:$A$19,MATCH($G408,المرجع!$B$2:$B$19,0)),"")</f>
        <v>البناء المؤسسي</v>
      </c>
      <c r="I408" s="16" t="s">
        <v>56</v>
      </c>
      <c r="J408" s="14" t="str">
        <f>IFERROR(INDEX(المرجع!$D$2:$D$19,MATCH($I408,المرجع!$E$2:$E$19,0)),"")</f>
        <v>الموارد</v>
      </c>
      <c r="K408" s="16" t="s">
        <v>104</v>
      </c>
      <c r="L408" s="17" t="str">
        <f>IFERROR(INDEX('نقاط التحقق'!$G$2:$G$31,MATCH($K408,'نقاط التحقق'!$A$2:$A$31,0))&amp;"","")</f>
        <v>مدير الوحدة التنظيمية والموظفون الرئيسيون معينون/ملحقون</v>
      </c>
      <c r="M408" s="14" t="str">
        <f>IFERROR(INDEX('نقاط التحقق'!$H$2:$H$31,MATCH($K408,'نقاط التحقق'!$A$2:$A$31,0))&amp;"","")</f>
        <v/>
      </c>
      <c r="N408" s="13">
        <v>85</v>
      </c>
      <c r="O408" s="15" t="str">
        <f>IF($N408="","غير مقيّمة",IF($N408&gt;المرجع!$K$3,"مستوفاة بشكل متقدم",IF($N408&lt;=المرجع!$K$2,"مستوفاة بشكل أولي","مستوفاة بشكل جزئي")))</f>
        <v>مستوفاة بشكل متقدم</v>
      </c>
      <c r="P408" s="18" t="s">
        <v>2170</v>
      </c>
    </row>
    <row r="409" spans="1:16">
      <c r="A409" s="16" t="s">
        <v>793</v>
      </c>
      <c r="B409" s="16" t="s">
        <v>186</v>
      </c>
      <c r="C409" s="15" t="str">
        <f>IFERROR(INDEX('قائمة الوحدات'!$B$2:$B$41,MATCH($B409,'قائمة الوحدات'!$A$2:$A$41,0)),"")</f>
        <v>EXE</v>
      </c>
      <c r="D409" s="14" t="str">
        <f>IFERROR(INDEX('قائمة الوحدات'!$C$2:$C$41,MATCH($B409,'قائمة الوحدات'!$A$2:$A$41,0)),"")</f>
        <v>الشؤون التنفيذية</v>
      </c>
      <c r="E409" s="14" t="str">
        <f>IFERROR(INDEX('قائمة الوحدات'!$D$2:$D$41,MATCH($B409,'قائمة الوحدات'!$A$2:$A$41,0)),"")</f>
        <v>وكالة الرقابة والالتزام</v>
      </c>
      <c r="F409" s="14" t="str">
        <f>IFERROR(INDEX('قائمة الوحدات'!$F$2:$F$41,MATCH($B409,'قائمة الوحدات'!$A$2:$A$41,0)),"")</f>
        <v>وكالة الرقابة والالتزام</v>
      </c>
      <c r="G409" s="16" t="s">
        <v>61</v>
      </c>
      <c r="H409" s="14" t="str">
        <f>IFERROR(INDEX(المرجع!$A$2:$A$19,MATCH($G409,المرجع!$B$2:$B$19,0)),"")</f>
        <v>البناء المؤسسي</v>
      </c>
      <c r="I409" s="16" t="s">
        <v>56</v>
      </c>
      <c r="J409" s="14" t="str">
        <f>IFERROR(INDEX(المرجع!$D$2:$D$19,MATCH($I409,المرجع!$E$2:$E$19,0)),"")</f>
        <v>الموارد</v>
      </c>
      <c r="K409" s="16" t="s">
        <v>106</v>
      </c>
      <c r="L409" s="17" t="str">
        <f>IFERROR(INDEX('نقاط التحقق'!$G$2:$G$31,MATCH($K409,'نقاط التحقق'!$A$2:$A$31,0))&amp;"","")</f>
        <v>خطة توظيف وتدريب مستكملة</v>
      </c>
      <c r="M409" s="14" t="str">
        <f>IFERROR(INDEX('نقاط التحقق'!$H$2:$H$31,MATCH($K409,'نقاط التحقق'!$A$2:$A$31,0))&amp;"","")</f>
        <v/>
      </c>
      <c r="N409" s="13">
        <v>85</v>
      </c>
      <c r="O409" s="15" t="str">
        <f>IF($N409="","غير مقيّمة",IF($N409&gt;المرجع!$K$3,"مستوفاة بشكل متقدم",IF($N409&lt;=المرجع!$K$2,"مستوفاة بشكل أولي","مستوفاة بشكل جزئي")))</f>
        <v>مستوفاة بشكل متقدم</v>
      </c>
      <c r="P409" s="18" t="s">
        <v>2170</v>
      </c>
    </row>
    <row r="410" spans="1:16">
      <c r="A410" s="16" t="s">
        <v>794</v>
      </c>
      <c r="B410" s="16" t="s">
        <v>186</v>
      </c>
      <c r="C410" s="15" t="str">
        <f>IFERROR(INDEX('قائمة الوحدات'!$B$2:$B$41,MATCH($B410,'قائمة الوحدات'!$A$2:$A$41,0)),"")</f>
        <v>EXE</v>
      </c>
      <c r="D410" s="14" t="str">
        <f>IFERROR(INDEX('قائمة الوحدات'!$C$2:$C$41,MATCH($B410,'قائمة الوحدات'!$A$2:$A$41,0)),"")</f>
        <v>الشؤون التنفيذية</v>
      </c>
      <c r="E410" s="14" t="str">
        <f>IFERROR(INDEX('قائمة الوحدات'!$D$2:$D$41,MATCH($B410,'قائمة الوحدات'!$A$2:$A$41,0)),"")</f>
        <v>وكالة الرقابة والالتزام</v>
      </c>
      <c r="F410" s="14" t="str">
        <f>IFERROR(INDEX('قائمة الوحدات'!$F$2:$F$41,MATCH($B410,'قائمة الوحدات'!$A$2:$A$41,0)),"")</f>
        <v>وكالة الرقابة والالتزام</v>
      </c>
      <c r="G410" s="16" t="s">
        <v>61</v>
      </c>
      <c r="H410" s="14" t="str">
        <f>IFERROR(INDEX(المرجع!$A$2:$A$19,MATCH($G410,المرجع!$B$2:$B$19,0)),"")</f>
        <v>البناء المؤسسي</v>
      </c>
      <c r="I410" s="16" t="s">
        <v>56</v>
      </c>
      <c r="J410" s="14" t="str">
        <f>IFERROR(INDEX(المرجع!$D$2:$D$19,MATCH($I410,المرجع!$E$2:$E$19,0)),"")</f>
        <v>الموارد</v>
      </c>
      <c r="K410" s="16" t="s">
        <v>108</v>
      </c>
      <c r="L410" s="17" t="str">
        <f>IFERROR(INDEX('نقاط التحقق'!$G$2:$G$31,MATCH($K410,'نقاط التحقق'!$A$2:$A$31,0))&amp;"","")</f>
        <v>وجود مساحات مكتبية كافية</v>
      </c>
      <c r="M410" s="14" t="str">
        <f>IFERROR(INDEX('نقاط التحقق'!$H$2:$H$31,MATCH($K410,'نقاط التحقق'!$A$2:$A$31,0))&amp;"","")</f>
        <v/>
      </c>
      <c r="N410" s="13">
        <v>80</v>
      </c>
      <c r="O410" s="15" t="str">
        <f>IF($N410="","غير مقيّمة",IF($N410&gt;المرجع!$K$3,"مستوفاة بشكل متقدم",IF($N410&lt;=المرجع!$K$2,"مستوفاة بشكل أولي","مستوفاة بشكل جزئي")))</f>
        <v>مستوفاة بشكل متقدم</v>
      </c>
      <c r="P410" s="18" t="s">
        <v>2170</v>
      </c>
    </row>
    <row r="411" spans="1:16">
      <c r="A411" s="16" t="s">
        <v>795</v>
      </c>
      <c r="B411" s="16" t="s">
        <v>186</v>
      </c>
      <c r="C411" s="15" t="str">
        <f>IFERROR(INDEX('قائمة الوحدات'!$B$2:$B$41,MATCH($B411,'قائمة الوحدات'!$A$2:$A$41,0)),"")</f>
        <v>EXE</v>
      </c>
      <c r="D411" s="14" t="str">
        <f>IFERROR(INDEX('قائمة الوحدات'!$C$2:$C$41,MATCH($B411,'قائمة الوحدات'!$A$2:$A$41,0)),"")</f>
        <v>الشؤون التنفيذية</v>
      </c>
      <c r="E411" s="14" t="str">
        <f>IFERROR(INDEX('قائمة الوحدات'!$D$2:$D$41,MATCH($B411,'قائمة الوحدات'!$A$2:$A$41,0)),"")</f>
        <v>وكالة الرقابة والالتزام</v>
      </c>
      <c r="F411" s="14" t="str">
        <f>IFERROR(INDEX('قائمة الوحدات'!$F$2:$F$41,MATCH($B411,'قائمة الوحدات'!$A$2:$A$41,0)),"")</f>
        <v>وكالة الرقابة والالتزام</v>
      </c>
      <c r="G411" s="16" t="s">
        <v>61</v>
      </c>
      <c r="H411" s="14" t="str">
        <f>IFERROR(INDEX(المرجع!$A$2:$A$19,MATCH($G411,المرجع!$B$2:$B$19,0)),"")</f>
        <v>البناء المؤسسي</v>
      </c>
      <c r="I411" s="16" t="s">
        <v>56</v>
      </c>
      <c r="J411" s="14" t="str">
        <f>IFERROR(INDEX(المرجع!$D$2:$D$19,MATCH($I411,المرجع!$E$2:$E$19,0)),"")</f>
        <v>الموارد</v>
      </c>
      <c r="K411" s="16" t="s">
        <v>110</v>
      </c>
      <c r="L411" s="17" t="str">
        <f>IFERROR(INDEX('نقاط التحقق'!$G$2:$G$31,MATCH($K411,'نقاط التحقق'!$A$2:$A$31,0))&amp;"","")</f>
        <v>وجود الاحتياجات التقنية الأساسية</v>
      </c>
      <c r="M411" s="14" t="str">
        <f>IFERROR(INDEX('نقاط التحقق'!$H$2:$H$31,MATCH($K411,'نقاط التحقق'!$A$2:$A$31,0))&amp;"","")</f>
        <v/>
      </c>
      <c r="N411" s="13">
        <v>100</v>
      </c>
      <c r="O411" s="15" t="str">
        <f>IF($N411="","غير مقيّمة",IF($N411&gt;المرجع!$K$3,"مستوفاة بشكل متقدم",IF($N411&lt;=المرجع!$K$2,"مستوفاة بشكل أولي","مستوفاة بشكل جزئي")))</f>
        <v>مستوفاة بشكل متقدم</v>
      </c>
      <c r="P411" s="18" t="s">
        <v>2170</v>
      </c>
    </row>
    <row r="412" spans="1:16">
      <c r="A412" s="16" t="s">
        <v>796</v>
      </c>
      <c r="B412" s="16" t="s">
        <v>186</v>
      </c>
      <c r="C412" s="15" t="str">
        <f>IFERROR(INDEX('قائمة الوحدات'!$B$2:$B$41,MATCH($B412,'قائمة الوحدات'!$A$2:$A$41,0)),"")</f>
        <v>EXE</v>
      </c>
      <c r="D412" s="14" t="str">
        <f>IFERROR(INDEX('قائمة الوحدات'!$C$2:$C$41,MATCH($B412,'قائمة الوحدات'!$A$2:$A$41,0)),"")</f>
        <v>الشؤون التنفيذية</v>
      </c>
      <c r="E412" s="14" t="str">
        <f>IFERROR(INDEX('قائمة الوحدات'!$D$2:$D$41,MATCH($B412,'قائمة الوحدات'!$A$2:$A$41,0)),"")</f>
        <v>وكالة الرقابة والالتزام</v>
      </c>
      <c r="F412" s="14" t="str">
        <f>IFERROR(INDEX('قائمة الوحدات'!$F$2:$F$41,MATCH($B412,'قائمة الوحدات'!$A$2:$A$41,0)),"")</f>
        <v>وكالة الرقابة والالتزام</v>
      </c>
      <c r="G412" s="16" t="s">
        <v>61</v>
      </c>
      <c r="H412" s="14" t="str">
        <f>IFERROR(INDEX(المرجع!$A$2:$A$19,MATCH($G412,المرجع!$B$2:$B$19,0)),"")</f>
        <v>البناء المؤسسي</v>
      </c>
      <c r="I412" s="16" t="s">
        <v>59</v>
      </c>
      <c r="J412" s="14" t="str">
        <f>IFERROR(INDEX(المرجع!$D$2:$D$19,MATCH($I412,المرجع!$E$2:$E$19,0)),"")</f>
        <v>الإجراءات</v>
      </c>
      <c r="K412" s="16" t="s">
        <v>112</v>
      </c>
      <c r="L412" s="17" t="str">
        <f>IFERROR(INDEX('نقاط التحقق'!$G$2:$G$31,MATCH($K412,'نقاط التحقق'!$A$2:$A$31,0))&amp;"","")</f>
        <v>إجراءات معتمدة للوحدة التنظيمية</v>
      </c>
      <c r="M412" s="14" t="str">
        <f>IFERROR(INDEX('نقاط التحقق'!$H$2:$H$31,MATCH($K412,'نقاط التحقق'!$A$2:$A$31,0))&amp;"","")</f>
        <v/>
      </c>
      <c r="N412" s="13">
        <v>58</v>
      </c>
      <c r="O412" s="15" t="str">
        <f>IF($N412="","غير مقيّمة",IF($N412&gt;المرجع!$K$3,"مستوفاة بشكل متقدم",IF($N412&lt;=المرجع!$K$2,"مستوفاة بشكل أولي","مستوفاة بشكل جزئي")))</f>
        <v>مستوفاة بشكل جزئي</v>
      </c>
      <c r="P412" s="18" t="s">
        <v>2170</v>
      </c>
    </row>
    <row r="413" spans="1:16">
      <c r="A413" s="16" t="s">
        <v>797</v>
      </c>
      <c r="B413" s="16" t="s">
        <v>186</v>
      </c>
      <c r="C413" s="15" t="str">
        <f>IFERROR(INDEX('قائمة الوحدات'!$B$2:$B$41,MATCH($B413,'قائمة الوحدات'!$A$2:$A$41,0)),"")</f>
        <v>EXE</v>
      </c>
      <c r="D413" s="14" t="str">
        <f>IFERROR(INDEX('قائمة الوحدات'!$C$2:$C$41,MATCH($B413,'قائمة الوحدات'!$A$2:$A$41,0)),"")</f>
        <v>الشؤون التنفيذية</v>
      </c>
      <c r="E413" s="14" t="str">
        <f>IFERROR(INDEX('قائمة الوحدات'!$D$2:$D$41,MATCH($B413,'قائمة الوحدات'!$A$2:$A$41,0)),"")</f>
        <v>وكالة الرقابة والالتزام</v>
      </c>
      <c r="F413" s="14" t="str">
        <f>IFERROR(INDEX('قائمة الوحدات'!$F$2:$F$41,MATCH($B413,'قائمة الوحدات'!$A$2:$A$41,0)),"")</f>
        <v>وكالة الرقابة والالتزام</v>
      </c>
      <c r="G413" s="16" t="s">
        <v>61</v>
      </c>
      <c r="H413" s="14" t="str">
        <f>IFERROR(INDEX(المرجع!$A$2:$A$19,MATCH($G413,المرجع!$B$2:$B$19,0)),"")</f>
        <v>البناء المؤسسي</v>
      </c>
      <c r="I413" s="16" t="s">
        <v>63</v>
      </c>
      <c r="J413" s="14" t="str">
        <f>IFERROR(INDEX(المرجع!$D$2:$D$19,MATCH($I413,المرجع!$E$2:$E$19,0)),"")</f>
        <v>إنتاج المخرج الأول</v>
      </c>
      <c r="K413" s="16" t="s">
        <v>114</v>
      </c>
      <c r="L413" s="17" t="str">
        <f>IFERROR(INDEX('نقاط التحقق'!$G$2:$G$31,MATCH($K413,'نقاط التحقق'!$A$2:$A$31,0))&amp;"","")</f>
        <v>إنتاج المخرج الأول من قبل الوحدة التنظيمية</v>
      </c>
      <c r="M413" s="14" t="str">
        <f>IFERROR(INDEX('نقاط التحقق'!$H$2:$H$31,MATCH($K413,'نقاط التحقق'!$A$2:$A$31,0))&amp;"","")</f>
        <v/>
      </c>
      <c r="N413" s="13">
        <v>77</v>
      </c>
      <c r="O413" s="15" t="str">
        <f>IF($N413="","غير مقيّمة",IF($N413&gt;المرجع!$K$3,"مستوفاة بشكل متقدم",IF($N413&lt;=المرجع!$K$2,"مستوفاة بشكل أولي","مستوفاة بشكل جزئي")))</f>
        <v>مستوفاة بشكل متقدم</v>
      </c>
      <c r="P413" s="18" t="s">
        <v>2170</v>
      </c>
    </row>
    <row r="414" spans="1:16">
      <c r="A414" s="16" t="s">
        <v>798</v>
      </c>
      <c r="B414" s="16" t="s">
        <v>186</v>
      </c>
      <c r="C414" s="15" t="str">
        <f>IFERROR(INDEX('قائمة الوحدات'!$B$2:$B$41,MATCH($B414,'قائمة الوحدات'!$A$2:$A$41,0)),"")</f>
        <v>EXE</v>
      </c>
      <c r="D414" s="14" t="str">
        <f>IFERROR(INDEX('قائمة الوحدات'!$C$2:$C$41,MATCH($B414,'قائمة الوحدات'!$A$2:$A$41,0)),"")</f>
        <v>الشؤون التنفيذية</v>
      </c>
      <c r="E414" s="14" t="str">
        <f>IFERROR(INDEX('قائمة الوحدات'!$D$2:$D$41,MATCH($B414,'قائمة الوحدات'!$A$2:$A$41,0)),"")</f>
        <v>وكالة الرقابة والالتزام</v>
      </c>
      <c r="F414" s="14" t="str">
        <f>IFERROR(INDEX('قائمة الوحدات'!$F$2:$F$41,MATCH($B414,'قائمة الوحدات'!$A$2:$A$41,0)),"")</f>
        <v>وكالة الرقابة والالتزام</v>
      </c>
      <c r="G414" s="16" t="s">
        <v>65</v>
      </c>
      <c r="H414" s="14" t="str">
        <f>IFERROR(INDEX(المرجع!$A$2:$A$19,MATCH($G414,المرجع!$B$2:$B$19,0)),"")</f>
        <v>التشغيل</v>
      </c>
      <c r="I414" s="16" t="s">
        <v>48</v>
      </c>
      <c r="J414" s="14" t="str">
        <f>IFERROR(INDEX(المرجع!$D$2:$D$19,MATCH($I414,المرجع!$E$2:$E$19,0)),"")</f>
        <v>الأهداف ومؤشرات الأداء</v>
      </c>
      <c r="K414" s="16" t="s">
        <v>116</v>
      </c>
      <c r="L414" s="17" t="str">
        <f>IFERROR(INDEX('نقاط التحقق'!$G$2:$G$31,MATCH($K414,'نقاط التحقق'!$A$2:$A$31,0))&amp;"","")</f>
        <v>تحرك مؤشرات الأداء التشغيلي للوحدة التنظيمية بشكل إيجابي</v>
      </c>
      <c r="M414" s="14" t="str">
        <f>IFERROR(INDEX('نقاط التحقق'!$H$2:$H$31,MATCH($K414,'نقاط التحقق'!$A$2:$A$31,0))&amp;"","")</f>
        <v/>
      </c>
      <c r="N414" s="13">
        <v>50</v>
      </c>
      <c r="O414" s="15" t="str">
        <f>IF($N414="","غير مقيّمة",IF($N414&gt;المرجع!$K$3,"مستوفاة بشكل متقدم",IF($N414&lt;=المرجع!$K$2,"مستوفاة بشكل أولي","مستوفاة بشكل جزئي")))</f>
        <v>مستوفاة بشكل جزئي</v>
      </c>
      <c r="P414" s="18" t="s">
        <v>2170</v>
      </c>
    </row>
    <row r="415" spans="1:16">
      <c r="A415" s="16" t="s">
        <v>799</v>
      </c>
      <c r="B415" s="16" t="s">
        <v>186</v>
      </c>
      <c r="C415" s="15" t="str">
        <f>IFERROR(INDEX('قائمة الوحدات'!$B$2:$B$41,MATCH($B415,'قائمة الوحدات'!$A$2:$A$41,0)),"")</f>
        <v>EXE</v>
      </c>
      <c r="D415" s="14" t="str">
        <f>IFERROR(INDEX('قائمة الوحدات'!$C$2:$C$41,MATCH($B415,'قائمة الوحدات'!$A$2:$A$41,0)),"")</f>
        <v>الشؤون التنفيذية</v>
      </c>
      <c r="E415" s="14" t="str">
        <f>IFERROR(INDEX('قائمة الوحدات'!$D$2:$D$41,MATCH($B415,'قائمة الوحدات'!$A$2:$A$41,0)),"")</f>
        <v>وكالة الرقابة والالتزام</v>
      </c>
      <c r="F415" s="14" t="str">
        <f>IFERROR(INDEX('قائمة الوحدات'!$F$2:$F$41,MATCH($B415,'قائمة الوحدات'!$A$2:$A$41,0)),"")</f>
        <v>وكالة الرقابة والالتزام</v>
      </c>
      <c r="G415" s="16" t="s">
        <v>65</v>
      </c>
      <c r="H415" s="14" t="str">
        <f>IFERROR(INDEX(المرجع!$A$2:$A$19,MATCH($G415,المرجع!$B$2:$B$19,0)),"")</f>
        <v>التشغيل</v>
      </c>
      <c r="I415" s="16" t="s">
        <v>48</v>
      </c>
      <c r="J415" s="14" t="str">
        <f>IFERROR(INDEX(المرجع!$D$2:$D$19,MATCH($I415,المرجع!$E$2:$E$19,0)),"")</f>
        <v>الأهداف ومؤشرات الأداء</v>
      </c>
      <c r="K415" s="16" t="s">
        <v>118</v>
      </c>
      <c r="L415" s="17" t="str">
        <f>IFERROR(INDEX('نقاط التحقق'!$G$2:$G$31,MATCH($K415,'نقاط التحقق'!$A$2:$A$31,0))&amp;"","")</f>
        <v>خطة سنوية معتمدة للوحدة التنظيمية</v>
      </c>
      <c r="M415" s="14" t="str">
        <f>IFERROR(INDEX('نقاط التحقق'!$H$2:$H$31,MATCH($K415,'نقاط التحقق'!$A$2:$A$31,0))&amp;"","")</f>
        <v/>
      </c>
      <c r="N415" s="13">
        <v>60</v>
      </c>
      <c r="O415" s="15" t="str">
        <f>IF($N415="","غير مقيّمة",IF($N415&gt;المرجع!$K$3,"مستوفاة بشكل متقدم",IF($N415&lt;=المرجع!$K$2,"مستوفاة بشكل أولي","مستوفاة بشكل جزئي")))</f>
        <v>مستوفاة بشكل جزئي</v>
      </c>
      <c r="P415" s="18" t="s">
        <v>2170</v>
      </c>
    </row>
    <row r="416" spans="1:16">
      <c r="A416" s="16" t="s">
        <v>800</v>
      </c>
      <c r="B416" s="16" t="s">
        <v>186</v>
      </c>
      <c r="C416" s="15" t="str">
        <f>IFERROR(INDEX('قائمة الوحدات'!$B$2:$B$41,MATCH($B416,'قائمة الوحدات'!$A$2:$A$41,0)),"")</f>
        <v>EXE</v>
      </c>
      <c r="D416" s="14" t="str">
        <f>IFERROR(INDEX('قائمة الوحدات'!$C$2:$C$41,MATCH($B416,'قائمة الوحدات'!$A$2:$A$41,0)),"")</f>
        <v>الشؤون التنفيذية</v>
      </c>
      <c r="E416" s="14" t="str">
        <f>IFERROR(INDEX('قائمة الوحدات'!$D$2:$D$41,MATCH($B416,'قائمة الوحدات'!$A$2:$A$41,0)),"")</f>
        <v>وكالة الرقابة والالتزام</v>
      </c>
      <c r="F416" s="14" t="str">
        <f>IFERROR(INDEX('قائمة الوحدات'!$F$2:$F$41,MATCH($B416,'قائمة الوحدات'!$A$2:$A$41,0)),"")</f>
        <v>وكالة الرقابة والالتزام</v>
      </c>
      <c r="G416" s="16" t="s">
        <v>65</v>
      </c>
      <c r="H416" s="14" t="str">
        <f>IFERROR(INDEX(المرجع!$A$2:$A$19,MATCH($G416,المرجع!$B$2:$B$19,0)),"")</f>
        <v>التشغيل</v>
      </c>
      <c r="I416" s="16" t="s">
        <v>51</v>
      </c>
      <c r="J416" s="14" t="str">
        <f>IFERROR(INDEX(المرجع!$D$2:$D$19,MATCH($I416,المرجع!$E$2:$E$19,0)),"")</f>
        <v>الحوكمة</v>
      </c>
      <c r="K416" s="16" t="s">
        <v>120</v>
      </c>
      <c r="L416" s="17" t="str">
        <f>IFERROR(INDEX('نقاط التحقق'!$G$2:$G$31,MATCH($K416,'نقاط التحقق'!$A$2:$A$31,0))&amp;"","")</f>
        <v>محاضر لجان موثقة</v>
      </c>
      <c r="M416" s="14" t="str">
        <f>IFERROR(INDEX('نقاط التحقق'!$H$2:$H$31,MATCH($K416,'نقاط التحقق'!$A$2:$A$31,0))&amp;"","")</f>
        <v/>
      </c>
      <c r="N416" s="13">
        <v>5</v>
      </c>
      <c r="O416" s="15" t="str">
        <f>IF($N416="","غير مقيّمة",IF($N416&gt;المرجع!$K$3,"مستوفاة بشكل متقدم",IF($N416&lt;=المرجع!$K$2,"مستوفاة بشكل أولي","مستوفاة بشكل جزئي")))</f>
        <v>مستوفاة بشكل أولي</v>
      </c>
      <c r="P416" s="18" t="s">
        <v>2170</v>
      </c>
    </row>
    <row r="417" spans="1:16">
      <c r="A417" s="16" t="s">
        <v>801</v>
      </c>
      <c r="B417" s="16" t="s">
        <v>186</v>
      </c>
      <c r="C417" s="15" t="str">
        <f>IFERROR(INDEX('قائمة الوحدات'!$B$2:$B$41,MATCH($B417,'قائمة الوحدات'!$A$2:$A$41,0)),"")</f>
        <v>EXE</v>
      </c>
      <c r="D417" s="14" t="str">
        <f>IFERROR(INDEX('قائمة الوحدات'!$C$2:$C$41,MATCH($B417,'قائمة الوحدات'!$A$2:$A$41,0)),"")</f>
        <v>الشؤون التنفيذية</v>
      </c>
      <c r="E417" s="14" t="str">
        <f>IFERROR(INDEX('قائمة الوحدات'!$D$2:$D$41,MATCH($B417,'قائمة الوحدات'!$A$2:$A$41,0)),"")</f>
        <v>وكالة الرقابة والالتزام</v>
      </c>
      <c r="F417" s="14" t="str">
        <f>IFERROR(INDEX('قائمة الوحدات'!$F$2:$F$41,MATCH($B417,'قائمة الوحدات'!$A$2:$A$41,0)),"")</f>
        <v>وكالة الرقابة والالتزام</v>
      </c>
      <c r="G417" s="16" t="s">
        <v>65</v>
      </c>
      <c r="H417" s="14" t="str">
        <f>IFERROR(INDEX(المرجع!$A$2:$A$19,MATCH($G417,المرجع!$B$2:$B$19,0)),"")</f>
        <v>التشغيل</v>
      </c>
      <c r="I417" s="16" t="s">
        <v>51</v>
      </c>
      <c r="J417" s="14" t="str">
        <f>IFERROR(INDEX(المرجع!$D$2:$D$19,MATCH($I417,المرجع!$E$2:$E$19,0)),"")</f>
        <v>الحوكمة</v>
      </c>
      <c r="K417" s="16" t="s">
        <v>122</v>
      </c>
      <c r="L417" s="17" t="str">
        <f>IFERROR(INDEX('نقاط التحقق'!$G$2:$G$31,MATCH($K417,'نقاط التحقق'!$A$2:$A$31,0))&amp;"","")</f>
        <v>نشر السياسات التي تملكها الوحدة التنظيمية</v>
      </c>
      <c r="M417" s="14" t="str">
        <f>IFERROR(INDEX('نقاط التحقق'!$H$2:$H$31,MATCH($K417,'نقاط التحقق'!$A$2:$A$31,0))&amp;"","")</f>
        <v/>
      </c>
      <c r="N417" s="13">
        <v>10</v>
      </c>
      <c r="O417" s="15" t="str">
        <f>IF($N417="","غير مقيّمة",IF($N417&gt;المرجع!$K$3,"مستوفاة بشكل متقدم",IF($N417&lt;=المرجع!$K$2,"مستوفاة بشكل أولي","مستوفاة بشكل جزئي")))</f>
        <v>مستوفاة بشكل أولي</v>
      </c>
      <c r="P417" s="18" t="s">
        <v>2170</v>
      </c>
    </row>
    <row r="418" spans="1:16">
      <c r="A418" s="16" t="s">
        <v>802</v>
      </c>
      <c r="B418" s="16" t="s">
        <v>186</v>
      </c>
      <c r="C418" s="15" t="str">
        <f>IFERROR(INDEX('قائمة الوحدات'!$B$2:$B$41,MATCH($B418,'قائمة الوحدات'!$A$2:$A$41,0)),"")</f>
        <v>EXE</v>
      </c>
      <c r="D418" s="14" t="str">
        <f>IFERROR(INDEX('قائمة الوحدات'!$C$2:$C$41,MATCH($B418,'قائمة الوحدات'!$A$2:$A$41,0)),"")</f>
        <v>الشؤون التنفيذية</v>
      </c>
      <c r="E418" s="14" t="str">
        <f>IFERROR(INDEX('قائمة الوحدات'!$D$2:$D$41,MATCH($B418,'قائمة الوحدات'!$A$2:$A$41,0)),"")</f>
        <v>وكالة الرقابة والالتزام</v>
      </c>
      <c r="F418" s="14" t="str">
        <f>IFERROR(INDEX('قائمة الوحدات'!$F$2:$F$41,MATCH($B418,'قائمة الوحدات'!$A$2:$A$41,0)),"")</f>
        <v>وكالة الرقابة والالتزام</v>
      </c>
      <c r="G418" s="16" t="s">
        <v>65</v>
      </c>
      <c r="H418" s="14" t="str">
        <f>IFERROR(INDEX(المرجع!$A$2:$A$19,MATCH($G418,المرجع!$B$2:$B$19,0)),"")</f>
        <v>التشغيل</v>
      </c>
      <c r="I418" s="16" t="s">
        <v>51</v>
      </c>
      <c r="J418" s="14" t="str">
        <f>IFERROR(INDEX(المرجع!$D$2:$D$19,MATCH($I418,المرجع!$E$2:$E$19,0)),"")</f>
        <v>الحوكمة</v>
      </c>
      <c r="K418" s="16" t="s">
        <v>124</v>
      </c>
      <c r="L418" s="17" t="str">
        <f>IFERROR(INDEX('نقاط التحقق'!$G$2:$G$31,MATCH($K418,'نقاط التحقق'!$A$2:$A$31,0))&amp;"","")</f>
        <v>اتخاذ القرارات في نطاق الصلاحيات (وجود شواهد)</v>
      </c>
      <c r="M418" s="14" t="str">
        <f>IFERROR(INDEX('نقاط التحقق'!$H$2:$H$31,MATCH($K418,'نقاط التحقق'!$A$2:$A$31,0))&amp;"","")</f>
        <v/>
      </c>
      <c r="N418" s="13">
        <v>35</v>
      </c>
      <c r="O418" s="15" t="str">
        <f>IF($N418="","غير مقيّمة",IF($N418&gt;المرجع!$K$3,"مستوفاة بشكل متقدم",IF($N418&lt;=المرجع!$K$2,"مستوفاة بشكل أولي","مستوفاة بشكل جزئي")))</f>
        <v>مستوفاة بشكل جزئي</v>
      </c>
      <c r="P418" s="18" t="s">
        <v>2170</v>
      </c>
    </row>
    <row r="419" spans="1:16">
      <c r="A419" s="16" t="s">
        <v>803</v>
      </c>
      <c r="B419" s="16" t="s">
        <v>186</v>
      </c>
      <c r="C419" s="15" t="str">
        <f>IFERROR(INDEX('قائمة الوحدات'!$B$2:$B$41,MATCH($B419,'قائمة الوحدات'!$A$2:$A$41,0)),"")</f>
        <v>EXE</v>
      </c>
      <c r="D419" s="14" t="str">
        <f>IFERROR(INDEX('قائمة الوحدات'!$C$2:$C$41,MATCH($B419,'قائمة الوحدات'!$A$2:$A$41,0)),"")</f>
        <v>الشؤون التنفيذية</v>
      </c>
      <c r="E419" s="14" t="str">
        <f>IFERROR(INDEX('قائمة الوحدات'!$D$2:$D$41,MATCH($B419,'قائمة الوحدات'!$A$2:$A$41,0)),"")</f>
        <v>وكالة الرقابة والالتزام</v>
      </c>
      <c r="F419" s="14" t="str">
        <f>IFERROR(INDEX('قائمة الوحدات'!$F$2:$F$41,MATCH($B419,'قائمة الوحدات'!$A$2:$A$41,0)),"")</f>
        <v>وكالة الرقابة والالتزام</v>
      </c>
      <c r="G419" s="16" t="s">
        <v>65</v>
      </c>
      <c r="H419" s="14" t="str">
        <f>IFERROR(INDEX(المرجع!$A$2:$A$19,MATCH($G419,المرجع!$B$2:$B$19,0)),"")</f>
        <v>التشغيل</v>
      </c>
      <c r="I419" s="16" t="s">
        <v>56</v>
      </c>
      <c r="J419" s="14" t="str">
        <f>IFERROR(INDEX(المرجع!$D$2:$D$19,MATCH($I419,المرجع!$E$2:$E$19,0)),"")</f>
        <v>الموارد</v>
      </c>
      <c r="K419" s="16" t="s">
        <v>126</v>
      </c>
      <c r="L419" s="17" t="str">
        <f>IFERROR(INDEX('نقاط التحقق'!$G$2:$G$31,MATCH($K419,'نقاط التحقق'!$A$2:$A$31,0))&amp;"","")</f>
        <v>موارد مستكملة للحد الأدنى الذي يغطي كافة محاور سلسلة القيمة</v>
      </c>
      <c r="M419" s="14" t="str">
        <f>IFERROR(INDEX('نقاط التحقق'!$H$2:$H$31,MATCH($K419,'نقاط التحقق'!$A$2:$A$31,0))&amp;"","")</f>
        <v/>
      </c>
      <c r="N419" s="13">
        <v>62</v>
      </c>
      <c r="O419" s="15" t="str">
        <f>IF($N419="","غير مقيّمة",IF($N419&gt;المرجع!$K$3,"مستوفاة بشكل متقدم",IF($N419&lt;=المرجع!$K$2,"مستوفاة بشكل أولي","مستوفاة بشكل جزئي")))</f>
        <v>مستوفاة بشكل جزئي</v>
      </c>
      <c r="P419" s="18" t="s">
        <v>2170</v>
      </c>
    </row>
    <row r="420" spans="1:16">
      <c r="A420" s="16" t="s">
        <v>804</v>
      </c>
      <c r="B420" s="16" t="s">
        <v>186</v>
      </c>
      <c r="C420" s="15" t="str">
        <f>IFERROR(INDEX('قائمة الوحدات'!$B$2:$B$41,MATCH($B420,'قائمة الوحدات'!$A$2:$A$41,0)),"")</f>
        <v>EXE</v>
      </c>
      <c r="D420" s="14" t="str">
        <f>IFERROR(INDEX('قائمة الوحدات'!$C$2:$C$41,MATCH($B420,'قائمة الوحدات'!$A$2:$A$41,0)),"")</f>
        <v>الشؤون التنفيذية</v>
      </c>
      <c r="E420" s="14" t="str">
        <f>IFERROR(INDEX('قائمة الوحدات'!$D$2:$D$41,MATCH($B420,'قائمة الوحدات'!$A$2:$A$41,0)),"")</f>
        <v>وكالة الرقابة والالتزام</v>
      </c>
      <c r="F420" s="14" t="str">
        <f>IFERROR(INDEX('قائمة الوحدات'!$F$2:$F$41,MATCH($B420,'قائمة الوحدات'!$A$2:$A$41,0)),"")</f>
        <v>وكالة الرقابة والالتزام</v>
      </c>
      <c r="G420" s="16" t="s">
        <v>65</v>
      </c>
      <c r="H420" s="14" t="str">
        <f>IFERROR(INDEX(المرجع!$A$2:$A$19,MATCH($G420,المرجع!$B$2:$B$19,0)),"")</f>
        <v>التشغيل</v>
      </c>
      <c r="I420" s="16" t="s">
        <v>59</v>
      </c>
      <c r="J420" s="14" t="str">
        <f>IFERROR(INDEX(المرجع!$D$2:$D$19,MATCH($I420,المرجع!$E$2:$E$19,0)),"")</f>
        <v>الإجراءات</v>
      </c>
      <c r="K420" s="16" t="s">
        <v>128</v>
      </c>
      <c r="L420" s="17" t="str">
        <f>IFERROR(INDEX('نقاط التحقق'!$G$2:$G$31,MATCH($K420,'نقاط التحقق'!$A$2:$A$31,0))&amp;"","")</f>
        <v>تحقيق تقييم "مطبق بشكل كامل" من منهجية تقييم فعالية الإجراءات</v>
      </c>
      <c r="M420" s="14" t="str">
        <f>IFERROR(INDEX('نقاط التحقق'!$H$2:$H$31,MATCH($K420,'نقاط التحقق'!$A$2:$A$31,0))&amp;"","")</f>
        <v/>
      </c>
      <c r="N420" s="13">
        <v>33</v>
      </c>
      <c r="O420" s="15" t="str">
        <f>IF($N420="","غير مقيّمة",IF($N420&gt;المرجع!$K$3,"مستوفاة بشكل متقدم",IF($N420&lt;=المرجع!$K$2,"مستوفاة بشكل أولي","مستوفاة بشكل جزئي")))</f>
        <v>مستوفاة بشكل جزئي</v>
      </c>
      <c r="P420" s="18" t="s">
        <v>2170</v>
      </c>
    </row>
    <row r="421" spans="1:16">
      <c r="A421" s="16" t="s">
        <v>805</v>
      </c>
      <c r="B421" s="16" t="s">
        <v>186</v>
      </c>
      <c r="C421" s="15" t="str">
        <f>IFERROR(INDEX('قائمة الوحدات'!$B$2:$B$41,MATCH($B421,'قائمة الوحدات'!$A$2:$A$41,0)),"")</f>
        <v>EXE</v>
      </c>
      <c r="D421" s="14" t="str">
        <f>IFERROR(INDEX('قائمة الوحدات'!$C$2:$C$41,MATCH($B421,'قائمة الوحدات'!$A$2:$A$41,0)),"")</f>
        <v>الشؤون التنفيذية</v>
      </c>
      <c r="E421" s="14" t="str">
        <f>IFERROR(INDEX('قائمة الوحدات'!$D$2:$D$41,MATCH($B421,'قائمة الوحدات'!$A$2:$A$41,0)),"")</f>
        <v>وكالة الرقابة والالتزام</v>
      </c>
      <c r="F421" s="14" t="str">
        <f>IFERROR(INDEX('قائمة الوحدات'!$F$2:$F$41,MATCH($B421,'قائمة الوحدات'!$A$2:$A$41,0)),"")</f>
        <v>وكالة الرقابة والالتزام</v>
      </c>
      <c r="G421" s="16" t="s">
        <v>65</v>
      </c>
      <c r="H421" s="14" t="str">
        <f>IFERROR(INDEX(المرجع!$A$2:$A$19,MATCH($G421,المرجع!$B$2:$B$19,0)),"")</f>
        <v>التشغيل</v>
      </c>
      <c r="I421" s="16" t="s">
        <v>67</v>
      </c>
      <c r="J421" s="14" t="str">
        <f>IFERROR(INDEX(المرجع!$D$2:$D$19,MATCH($I421,المرجع!$E$2:$E$19,0)),"")</f>
        <v>اكتمال المخرجات المستهدفة</v>
      </c>
      <c r="K421" s="16" t="s">
        <v>130</v>
      </c>
      <c r="L421" s="17" t="str">
        <f>IFERROR(INDEX('نقاط التحقق'!$G$2:$G$31,MATCH($K421,'نقاط التحقق'!$A$2:$A$31,0))&amp;"","")</f>
        <v>اكتمال مخرجات النموذج التشغيلي المستهدف للوحدة التنظيمية</v>
      </c>
      <c r="M421" s="14" t="str">
        <f>IFERROR(INDEX('نقاط التحقق'!$H$2:$H$31,MATCH($K421,'نقاط التحقق'!$A$2:$A$31,0))&amp;"","")</f>
        <v/>
      </c>
      <c r="N421" s="13">
        <v>56</v>
      </c>
      <c r="O421" s="15" t="str">
        <f>IF($N421="","غير مقيّمة",IF($N421&gt;المرجع!$K$3,"مستوفاة بشكل متقدم",IF($N421&lt;=المرجع!$K$2,"مستوفاة بشكل أولي","مستوفاة بشكل جزئي")))</f>
        <v>مستوفاة بشكل جزئي</v>
      </c>
      <c r="P421" s="18" t="s">
        <v>2170</v>
      </c>
    </row>
  </sheetData>
  <autoFilter ref="A1:P421" xr:uid="{00000000-0009-0000-0000-000005000000}"/>
  <conditionalFormatting sqref="N2:N421">
    <cfRule type="cellIs" dxfId="19" priority="2" operator="greaterThan">
      <formula>70</formula>
    </cfRule>
    <cfRule type="cellIs" dxfId="18" priority="3" operator="lessThanOrEqual">
      <formula>30</formula>
    </cfRule>
  </conditionalFormatting>
  <conditionalFormatting sqref="O2:O421">
    <cfRule type="cellIs" dxfId="17" priority="4" operator="equal">
      <formula>"مستوفاة بشكل متقدم"</formula>
    </cfRule>
    <cfRule type="cellIs" dxfId="16" priority="5" operator="equal">
      <formula>"مستوفاة بشكل جزئي"</formula>
    </cfRule>
    <cfRule type="cellIs" dxfId="15" priority="6" operator="equal">
      <formula>"مستوفاة بشكل أولي"</formula>
    </cfRule>
  </conditionalFormatting>
  <dataValidations count="1">
    <dataValidation type="whole" allowBlank="1" errorTitle="قيمة غير صحيحة" error="أدخل نسبة صحيحة بين ٠ و ١٠٠" sqref="N2:N421" xr:uid="{00000000-0002-0000-0500-000000000000}">
      <formula1>0</formula1>
      <formula2>100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31"/>
  <sheetViews>
    <sheetView rightToLeft="1" zoomScaleNormal="100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L17" sqref="L17"/>
    </sheetView>
  </sheetViews>
  <sheetFormatPr defaultColWidth="8.73046875" defaultRowHeight="14.25"/>
  <cols>
    <col min="1" max="1" width="24" customWidth="1"/>
    <col min="2" max="3" width="13" customWidth="1"/>
    <col min="4" max="5" width="24" customWidth="1"/>
    <col min="6" max="6" width="22" customWidth="1"/>
    <col min="7" max="7" width="13" customWidth="1"/>
    <col min="8" max="8" width="15" customWidth="1"/>
    <col min="9" max="9" width="12" customWidth="1"/>
    <col min="10" max="10" width="26" customWidth="1"/>
    <col min="11" max="11" width="16" customWidth="1"/>
    <col min="12" max="12" width="62" customWidth="1"/>
    <col min="13" max="13" width="17" customWidth="1"/>
    <col min="14" max="14" width="16" customWidth="1"/>
    <col min="15" max="15" width="42" customWidth="1"/>
  </cols>
  <sheetData>
    <row r="1" spans="1:15" ht="36" customHeight="1">
      <c r="A1" s="4" t="s">
        <v>232</v>
      </c>
      <c r="B1" s="4" t="s">
        <v>132</v>
      </c>
      <c r="C1" s="4" t="s">
        <v>133</v>
      </c>
      <c r="D1" s="4" t="s">
        <v>2168</v>
      </c>
      <c r="E1" s="4" t="s">
        <v>135</v>
      </c>
      <c r="F1" s="4" t="s">
        <v>136</v>
      </c>
      <c r="G1" s="4" t="s">
        <v>33</v>
      </c>
      <c r="H1" s="4" t="s">
        <v>32</v>
      </c>
      <c r="I1" s="4" t="s">
        <v>36</v>
      </c>
      <c r="J1" s="4" t="s">
        <v>35</v>
      </c>
      <c r="K1" s="4" t="s">
        <v>68</v>
      </c>
      <c r="L1" s="4" t="s">
        <v>70</v>
      </c>
      <c r="M1" s="11" t="s">
        <v>233</v>
      </c>
      <c r="N1" s="4" t="s">
        <v>234</v>
      </c>
      <c r="O1" s="11" t="s">
        <v>235</v>
      </c>
    </row>
    <row r="2" spans="1:15">
      <c r="A2" s="16" t="s">
        <v>806</v>
      </c>
      <c r="B2" s="16" t="s">
        <v>188</v>
      </c>
      <c r="C2" s="15" t="str">
        <f>IFERROR(INDEX('قائمة الوحدات'!$B$2:$B$41,MATCH($B2,'قائمة الوحدات'!$A$2:$A$41,0)),"")</f>
        <v>MIL</v>
      </c>
      <c r="D2" s="14" t="str">
        <f>IFERROR(INDEX('قائمة الوحدات'!$C$2:$C$41,MATCH($B2,'قائمة الوحدات'!$A$2:$A$41,0)),"")</f>
        <v>الجهاز العسكري</v>
      </c>
      <c r="E2" s="14" t="str">
        <f>IFERROR(INDEX('قائمة الوحدات'!$D$2:$D$41,MATCH($B2,'قائمة الوحدات'!$A$2:$A$41,0)),"")</f>
        <v>هيئة الأركان</v>
      </c>
      <c r="F2" s="14" t="str">
        <f>IFERROR(INDEX('قائمة الوحدات'!$F$2:$F$41,MATCH($B2,'قائمة الوحدات'!$A$2:$A$41,0)),"")</f>
        <v>هيئة الأركان</v>
      </c>
      <c r="G2" s="16" t="s">
        <v>43</v>
      </c>
      <c r="H2" s="14" t="str">
        <f>IFERROR(INDEX(المرجع!$A$2:$A$19,MATCH($G2,المرجع!$B$2:$B$19,0)),"")</f>
        <v>التصميم</v>
      </c>
      <c r="I2" s="16" t="s">
        <v>45</v>
      </c>
      <c r="J2" s="14" t="str">
        <f>IFERROR(INDEX(المرجع!$D$2:$D$19,MATCH($I2,المرجع!$E$2:$E$19,0)),"")</f>
        <v>الدور</v>
      </c>
      <c r="K2" s="16" t="s">
        <v>72</v>
      </c>
      <c r="L2" s="17" t="str">
        <f>IFERROR(INDEX('نقاط التحقق'!$G$2:$G$31,MATCH($K2,'نقاط التحقق'!$A$2:$A$31,0))&amp;"","")</f>
        <v>دور مفصل للوحدة التنظيمية</v>
      </c>
      <c r="M2" s="13">
        <v>72</v>
      </c>
      <c r="N2" s="15" t="str">
        <f>IF($M2="","غير مقيّمة",IF($M2&gt;المرجع!$K$3,"مستوفاة بشكل متقدم",IF($M2&lt;=المرجع!$K$2,"مستوفاة بشكل أولي","مستوفاة بشكل جزئي")))</f>
        <v>مستوفاة بشكل متقدم</v>
      </c>
      <c r="O2" s="18" t="s">
        <v>2170</v>
      </c>
    </row>
    <row r="3" spans="1:15">
      <c r="A3" s="16" t="s">
        <v>807</v>
      </c>
      <c r="B3" s="16" t="s">
        <v>188</v>
      </c>
      <c r="C3" s="15" t="str">
        <f>IFERROR(INDEX('قائمة الوحدات'!$B$2:$B$41,MATCH($B3,'قائمة الوحدات'!$A$2:$A$41,0)),"")</f>
        <v>MIL</v>
      </c>
      <c r="D3" s="14" t="str">
        <f>IFERROR(INDEX('قائمة الوحدات'!$C$2:$C$41,MATCH($B3,'قائمة الوحدات'!$A$2:$A$41,0)),"")</f>
        <v>الجهاز العسكري</v>
      </c>
      <c r="E3" s="14" t="str">
        <f>IFERROR(INDEX('قائمة الوحدات'!$D$2:$D$41,MATCH($B3,'قائمة الوحدات'!$A$2:$A$41,0)),"")</f>
        <v>هيئة الأركان</v>
      </c>
      <c r="F3" s="14" t="str">
        <f>IFERROR(INDEX('قائمة الوحدات'!$F$2:$F$41,MATCH($B3,'قائمة الوحدات'!$A$2:$A$41,0)),"")</f>
        <v>هيئة الأركان</v>
      </c>
      <c r="G3" s="16" t="s">
        <v>43</v>
      </c>
      <c r="H3" s="14" t="str">
        <f>IFERROR(INDEX(المرجع!$A$2:$A$19,MATCH($G3,المرجع!$B$2:$B$19,0)),"")</f>
        <v>التصميم</v>
      </c>
      <c r="I3" s="16" t="s">
        <v>48</v>
      </c>
      <c r="J3" s="14" t="str">
        <f>IFERROR(INDEX(المرجع!$D$2:$D$19,MATCH($I3,المرجع!$E$2:$E$19,0)),"")</f>
        <v>الأهداف ومؤشرات الأداء</v>
      </c>
      <c r="K3" s="16" t="s">
        <v>74</v>
      </c>
      <c r="L3" s="17" t="str">
        <f>IFERROR(INDEX('نقاط التحقق'!$G$2:$G$31,MATCH($K3,'نقاط التحقق'!$A$2:$A$31,0))&amp;"","")</f>
        <v>أهداف محددة للوحدة التنظيمية وربطها بمؤشرات أداء لقياسها</v>
      </c>
      <c r="M3" s="13">
        <v>75</v>
      </c>
      <c r="N3" s="15" t="str">
        <f>IF($M3="","غير مقيّمة",IF($M3&gt;المرجع!$K$3,"مستوفاة بشكل متقدم",IF($M3&lt;=المرجع!$K$2,"مستوفاة بشكل أولي","مستوفاة بشكل جزئي")))</f>
        <v>مستوفاة بشكل متقدم</v>
      </c>
      <c r="O3" s="18" t="s">
        <v>2170</v>
      </c>
    </row>
    <row r="4" spans="1:15">
      <c r="A4" s="16" t="s">
        <v>808</v>
      </c>
      <c r="B4" s="16" t="s">
        <v>188</v>
      </c>
      <c r="C4" s="15" t="str">
        <f>IFERROR(INDEX('قائمة الوحدات'!$B$2:$B$41,MATCH($B4,'قائمة الوحدات'!$A$2:$A$41,0)),"")</f>
        <v>MIL</v>
      </c>
      <c r="D4" s="14" t="str">
        <f>IFERROR(INDEX('قائمة الوحدات'!$C$2:$C$41,MATCH($B4,'قائمة الوحدات'!$A$2:$A$41,0)),"")</f>
        <v>الجهاز العسكري</v>
      </c>
      <c r="E4" s="14" t="str">
        <f>IFERROR(INDEX('قائمة الوحدات'!$D$2:$D$41,MATCH($B4,'قائمة الوحدات'!$A$2:$A$41,0)),"")</f>
        <v>هيئة الأركان</v>
      </c>
      <c r="F4" s="14" t="str">
        <f>IFERROR(INDEX('قائمة الوحدات'!$F$2:$F$41,MATCH($B4,'قائمة الوحدات'!$A$2:$A$41,0)),"")</f>
        <v>هيئة الأركان</v>
      </c>
      <c r="G4" s="16" t="s">
        <v>43</v>
      </c>
      <c r="H4" s="14" t="str">
        <f>IFERROR(INDEX(المرجع!$A$2:$A$19,MATCH($G4,المرجع!$B$2:$B$19,0)),"")</f>
        <v>التصميم</v>
      </c>
      <c r="I4" s="16" t="s">
        <v>48</v>
      </c>
      <c r="J4" s="14" t="str">
        <f>IFERROR(INDEX(المرجع!$D$2:$D$19,MATCH($I4,المرجع!$E$2:$E$19,0)),"")</f>
        <v>الأهداف ومؤشرات الأداء</v>
      </c>
      <c r="K4" s="16" t="s">
        <v>76</v>
      </c>
      <c r="L4" s="17" t="str">
        <f>IFERROR(INDEX('نقاط التحقق'!$G$2:$G$31,MATCH($K4,'نقاط التحقق'!$A$2:$A$31,0))&amp;"","")</f>
        <v>مؤشرات أداء الوحدة التنظيمية</v>
      </c>
      <c r="M4" s="13">
        <v>60</v>
      </c>
      <c r="N4" s="15" t="str">
        <f>IF($M4="","غير مقيّمة",IF($M4&gt;المرجع!$K$3,"مستوفاة بشكل متقدم",IF($M4&lt;=المرجع!$K$2,"مستوفاة بشكل أولي","مستوفاة بشكل جزئي")))</f>
        <v>مستوفاة بشكل جزئي</v>
      </c>
      <c r="O4" s="18" t="s">
        <v>2170</v>
      </c>
    </row>
    <row r="5" spans="1:15">
      <c r="A5" s="16" t="s">
        <v>809</v>
      </c>
      <c r="B5" s="16" t="s">
        <v>188</v>
      </c>
      <c r="C5" s="15" t="str">
        <f>IFERROR(INDEX('قائمة الوحدات'!$B$2:$B$41,MATCH($B5,'قائمة الوحدات'!$A$2:$A$41,0)),"")</f>
        <v>MIL</v>
      </c>
      <c r="D5" s="14" t="str">
        <f>IFERROR(INDEX('قائمة الوحدات'!$C$2:$C$41,MATCH($B5,'قائمة الوحدات'!$A$2:$A$41,0)),"")</f>
        <v>الجهاز العسكري</v>
      </c>
      <c r="E5" s="14" t="str">
        <f>IFERROR(INDEX('قائمة الوحدات'!$D$2:$D$41,MATCH($B5,'قائمة الوحدات'!$A$2:$A$41,0)),"")</f>
        <v>هيئة الأركان</v>
      </c>
      <c r="F5" s="14" t="str">
        <f>IFERROR(INDEX('قائمة الوحدات'!$F$2:$F$41,MATCH($B5,'قائمة الوحدات'!$A$2:$A$41,0)),"")</f>
        <v>هيئة الأركان</v>
      </c>
      <c r="G5" s="16" t="s">
        <v>43</v>
      </c>
      <c r="H5" s="14" t="str">
        <f>IFERROR(INDEX(المرجع!$A$2:$A$19,MATCH($G5,المرجع!$B$2:$B$19,0)),"")</f>
        <v>التصميم</v>
      </c>
      <c r="I5" s="16" t="s">
        <v>51</v>
      </c>
      <c r="J5" s="14" t="str">
        <f>IFERROR(INDEX(المرجع!$D$2:$D$19,MATCH($I5,المرجع!$E$2:$E$19,0)),"")</f>
        <v>الحوكمة</v>
      </c>
      <c r="K5" s="16" t="s">
        <v>78</v>
      </c>
      <c r="L5" s="17" t="str">
        <f>IFERROR(INDEX('نقاط التحقق'!$G$2:$G$31,MATCH($K5,'نقاط التحقق'!$A$2:$A$31,0))&amp;"","")</f>
        <v>تفصيل القرارات ومصفوفة الصلاحيات واللجان ذات العلاقة لاعتماد مخرجات الوحدة التنظيمية</v>
      </c>
      <c r="M5" s="13">
        <v>73</v>
      </c>
      <c r="N5" s="15" t="str">
        <f>IF($M5="","غير مقيّمة",IF($M5&gt;المرجع!$K$3,"مستوفاة بشكل متقدم",IF($M5&lt;=المرجع!$K$2,"مستوفاة بشكل أولي","مستوفاة بشكل جزئي")))</f>
        <v>مستوفاة بشكل متقدم</v>
      </c>
      <c r="O5" s="18" t="s">
        <v>2170</v>
      </c>
    </row>
    <row r="6" spans="1:15">
      <c r="A6" s="16" t="s">
        <v>810</v>
      </c>
      <c r="B6" s="16" t="s">
        <v>188</v>
      </c>
      <c r="C6" s="15" t="str">
        <f>IFERROR(INDEX('قائمة الوحدات'!$B$2:$B$41,MATCH($B6,'قائمة الوحدات'!$A$2:$A$41,0)),"")</f>
        <v>MIL</v>
      </c>
      <c r="D6" s="14" t="str">
        <f>IFERROR(INDEX('قائمة الوحدات'!$C$2:$C$41,MATCH($B6,'قائمة الوحدات'!$A$2:$A$41,0)),"")</f>
        <v>الجهاز العسكري</v>
      </c>
      <c r="E6" s="14" t="str">
        <f>IFERROR(INDEX('قائمة الوحدات'!$D$2:$D$41,MATCH($B6,'قائمة الوحدات'!$A$2:$A$41,0)),"")</f>
        <v>هيئة الأركان</v>
      </c>
      <c r="F6" s="14" t="str">
        <f>IFERROR(INDEX('قائمة الوحدات'!$F$2:$F$41,MATCH($B6,'قائمة الوحدات'!$A$2:$A$41,0)),"")</f>
        <v>هيئة الأركان</v>
      </c>
      <c r="G6" s="16" t="s">
        <v>43</v>
      </c>
      <c r="H6" s="14" t="str">
        <f>IFERROR(INDEX(المرجع!$A$2:$A$19,MATCH($G6,المرجع!$B$2:$B$19,0)),"")</f>
        <v>التصميم</v>
      </c>
      <c r="I6" s="16" t="s">
        <v>54</v>
      </c>
      <c r="J6" s="14" t="str">
        <f>IFERROR(INDEX(المرجع!$D$2:$D$19,MATCH($I6,المرجع!$E$2:$E$19,0)),"")</f>
        <v>التنظيم</v>
      </c>
      <c r="K6" s="16" t="s">
        <v>80</v>
      </c>
      <c r="L6" s="17" t="str">
        <f>IFERROR(INDEX('نقاط التحقق'!$G$2:$G$31,MATCH($K6,'نقاط التحقق'!$A$2:$A$31,0))&amp;"","")</f>
        <v>تطوير الأدوار والمسؤوليات للوحدة التنظيمية وتفصيل الهيكل التنظيمي</v>
      </c>
      <c r="M6" s="13">
        <v>75</v>
      </c>
      <c r="N6" s="15" t="str">
        <f>IF($M6="","غير مقيّمة",IF($M6&gt;المرجع!$K$3,"مستوفاة بشكل متقدم",IF($M6&lt;=المرجع!$K$2,"مستوفاة بشكل أولي","مستوفاة بشكل جزئي")))</f>
        <v>مستوفاة بشكل متقدم</v>
      </c>
      <c r="O6" s="18" t="s">
        <v>2170</v>
      </c>
    </row>
    <row r="7" spans="1:15">
      <c r="A7" s="16" t="s">
        <v>811</v>
      </c>
      <c r="B7" s="16" t="s">
        <v>188</v>
      </c>
      <c r="C7" s="15" t="str">
        <f>IFERROR(INDEX('قائمة الوحدات'!$B$2:$B$41,MATCH($B7,'قائمة الوحدات'!$A$2:$A$41,0)),"")</f>
        <v>MIL</v>
      </c>
      <c r="D7" s="14" t="str">
        <f>IFERROR(INDEX('قائمة الوحدات'!$C$2:$C$41,MATCH($B7,'قائمة الوحدات'!$A$2:$A$41,0)),"")</f>
        <v>الجهاز العسكري</v>
      </c>
      <c r="E7" s="14" t="str">
        <f>IFERROR(INDEX('قائمة الوحدات'!$D$2:$D$41,MATCH($B7,'قائمة الوحدات'!$A$2:$A$41,0)),"")</f>
        <v>هيئة الأركان</v>
      </c>
      <c r="F7" s="14" t="str">
        <f>IFERROR(INDEX('قائمة الوحدات'!$F$2:$F$41,MATCH($B7,'قائمة الوحدات'!$A$2:$A$41,0)),"")</f>
        <v>هيئة الأركان</v>
      </c>
      <c r="G7" s="16" t="s">
        <v>43</v>
      </c>
      <c r="H7" s="14" t="str">
        <f>IFERROR(INDEX(المرجع!$A$2:$A$19,MATCH($G7,المرجع!$B$2:$B$19,0)),"")</f>
        <v>التصميم</v>
      </c>
      <c r="I7" s="16" t="s">
        <v>56</v>
      </c>
      <c r="J7" s="14" t="str">
        <f>IFERROR(INDEX(المرجع!$D$2:$D$19,MATCH($I7,المرجع!$E$2:$E$19,0)),"")</f>
        <v>الموارد</v>
      </c>
      <c r="K7" s="16" t="s">
        <v>82</v>
      </c>
      <c r="L7" s="17" t="str">
        <f>IFERROR(INDEX('نقاط التحقق'!$G$2:$G$31,MATCH($K7,'نقاط التحقق'!$A$2:$A$31,0))&amp;"","")</f>
        <v>تفصيل احتياج الموارد البشرية للوحدة التنظيمية</v>
      </c>
      <c r="M7" s="13">
        <v>70</v>
      </c>
      <c r="N7" s="15" t="str">
        <f>IF($M7="","غير مقيّمة",IF($M7&gt;المرجع!$K$3,"مستوفاة بشكل متقدم",IF($M7&lt;=المرجع!$K$2,"مستوفاة بشكل أولي","مستوفاة بشكل جزئي")))</f>
        <v>مستوفاة بشكل جزئي</v>
      </c>
      <c r="O7" s="18" t="s">
        <v>2170</v>
      </c>
    </row>
    <row r="8" spans="1:15">
      <c r="A8" s="16" t="s">
        <v>812</v>
      </c>
      <c r="B8" s="16" t="s">
        <v>188</v>
      </c>
      <c r="C8" s="15" t="str">
        <f>IFERROR(INDEX('قائمة الوحدات'!$B$2:$B$41,MATCH($B8,'قائمة الوحدات'!$A$2:$A$41,0)),"")</f>
        <v>MIL</v>
      </c>
      <c r="D8" s="14" t="str">
        <f>IFERROR(INDEX('قائمة الوحدات'!$C$2:$C$41,MATCH($B8,'قائمة الوحدات'!$A$2:$A$41,0)),"")</f>
        <v>الجهاز العسكري</v>
      </c>
      <c r="E8" s="14" t="str">
        <f>IFERROR(INDEX('قائمة الوحدات'!$D$2:$D$41,MATCH($B8,'قائمة الوحدات'!$A$2:$A$41,0)),"")</f>
        <v>هيئة الأركان</v>
      </c>
      <c r="F8" s="14" t="str">
        <f>IFERROR(INDEX('قائمة الوحدات'!$F$2:$F$41,MATCH($B8,'قائمة الوحدات'!$A$2:$A$41,0)),"")</f>
        <v>هيئة الأركان</v>
      </c>
      <c r="G8" s="16" t="s">
        <v>43</v>
      </c>
      <c r="H8" s="14" t="str">
        <f>IFERROR(INDEX(المرجع!$A$2:$A$19,MATCH($G8,المرجع!$B$2:$B$19,0)),"")</f>
        <v>التصميم</v>
      </c>
      <c r="I8" s="16" t="s">
        <v>59</v>
      </c>
      <c r="J8" s="14" t="str">
        <f>IFERROR(INDEX(المرجع!$D$2:$D$19,MATCH($I8,المرجع!$E$2:$E$19,0)),"")</f>
        <v>الإجراءات</v>
      </c>
      <c r="K8" s="16" t="s">
        <v>84</v>
      </c>
      <c r="L8" s="17" t="str">
        <f>IFERROR(INDEX('نقاط التحقق'!$G$2:$G$31,MATCH($K8,'نقاط التحقق'!$A$2:$A$31,0))&amp;"","")</f>
        <v>تفصيل المخرجات إلى إجراءات عالية المستوى</v>
      </c>
      <c r="M8" s="13">
        <v>82</v>
      </c>
      <c r="N8" s="15" t="str">
        <f>IF($M8="","غير مقيّمة",IF($M8&gt;المرجع!$K$3,"مستوفاة بشكل متقدم",IF($M8&lt;=المرجع!$K$2,"مستوفاة بشكل أولي","مستوفاة بشكل جزئي")))</f>
        <v>مستوفاة بشكل متقدم</v>
      </c>
      <c r="O8" s="18" t="s">
        <v>2170</v>
      </c>
    </row>
    <row r="9" spans="1:15">
      <c r="A9" s="16" t="s">
        <v>813</v>
      </c>
      <c r="B9" s="16" t="s">
        <v>188</v>
      </c>
      <c r="C9" s="15" t="str">
        <f>IFERROR(INDEX('قائمة الوحدات'!$B$2:$B$41,MATCH($B9,'قائمة الوحدات'!$A$2:$A$41,0)),"")</f>
        <v>MIL</v>
      </c>
      <c r="D9" s="14" t="str">
        <f>IFERROR(INDEX('قائمة الوحدات'!$C$2:$C$41,MATCH($B9,'قائمة الوحدات'!$A$2:$A$41,0)),"")</f>
        <v>الجهاز العسكري</v>
      </c>
      <c r="E9" s="14" t="str">
        <f>IFERROR(INDEX('قائمة الوحدات'!$D$2:$D$41,MATCH($B9,'قائمة الوحدات'!$A$2:$A$41,0)),"")</f>
        <v>هيئة الأركان</v>
      </c>
      <c r="F9" s="14" t="str">
        <f>IFERROR(INDEX('قائمة الوحدات'!$F$2:$F$41,MATCH($B9,'قائمة الوحدات'!$A$2:$A$41,0)),"")</f>
        <v>هيئة الأركان</v>
      </c>
      <c r="G9" s="16" t="s">
        <v>61</v>
      </c>
      <c r="H9" s="14" t="str">
        <f>IFERROR(INDEX(المرجع!$A$2:$A$19,MATCH($G9,المرجع!$B$2:$B$19,0)),"")</f>
        <v>البناء المؤسسي</v>
      </c>
      <c r="I9" s="16" t="s">
        <v>45</v>
      </c>
      <c r="J9" s="14" t="str">
        <f>IFERROR(INDEX(المرجع!$D$2:$D$19,MATCH($I9,المرجع!$E$2:$E$19,0)),"")</f>
        <v>الدور</v>
      </c>
      <c r="K9" s="16" t="s">
        <v>86</v>
      </c>
      <c r="L9" s="17" t="str">
        <f>IFERROR(INDEX('نقاط التحقق'!$G$2:$G$31,MATCH($K9,'نقاط التحقق'!$A$2:$A$31,0))&amp;"","")</f>
        <v>دور معتمد للوحدة التنظيمية</v>
      </c>
      <c r="M9" s="13">
        <v>62</v>
      </c>
      <c r="N9" s="15" t="str">
        <f>IF($M9="","غير مقيّمة",IF($M9&gt;المرجع!$K$3,"مستوفاة بشكل متقدم",IF($M9&lt;=المرجع!$K$2,"مستوفاة بشكل أولي","مستوفاة بشكل جزئي")))</f>
        <v>مستوفاة بشكل جزئي</v>
      </c>
      <c r="O9" s="18" t="s">
        <v>2170</v>
      </c>
    </row>
    <row r="10" spans="1:15">
      <c r="A10" s="16" t="s">
        <v>814</v>
      </c>
      <c r="B10" s="16" t="s">
        <v>188</v>
      </c>
      <c r="C10" s="15" t="str">
        <f>IFERROR(INDEX('قائمة الوحدات'!$B$2:$B$41,MATCH($B10,'قائمة الوحدات'!$A$2:$A$41,0)),"")</f>
        <v>MIL</v>
      </c>
      <c r="D10" s="14" t="str">
        <f>IFERROR(INDEX('قائمة الوحدات'!$C$2:$C$41,MATCH($B10,'قائمة الوحدات'!$A$2:$A$41,0)),"")</f>
        <v>الجهاز العسكري</v>
      </c>
      <c r="E10" s="14" t="str">
        <f>IFERROR(INDEX('قائمة الوحدات'!$D$2:$D$41,MATCH($B10,'قائمة الوحدات'!$A$2:$A$41,0)),"")</f>
        <v>هيئة الأركان</v>
      </c>
      <c r="F10" s="14" t="str">
        <f>IFERROR(INDEX('قائمة الوحدات'!$F$2:$F$41,MATCH($B10,'قائمة الوحدات'!$A$2:$A$41,0)),"")</f>
        <v>هيئة الأركان</v>
      </c>
      <c r="G10" s="16" t="s">
        <v>61</v>
      </c>
      <c r="H10" s="14" t="str">
        <f>IFERROR(INDEX(المرجع!$A$2:$A$19,MATCH($G10,المرجع!$B$2:$B$19,0)),"")</f>
        <v>البناء المؤسسي</v>
      </c>
      <c r="I10" s="16" t="s">
        <v>48</v>
      </c>
      <c r="J10" s="14" t="str">
        <f>IFERROR(INDEX(المرجع!$D$2:$D$19,MATCH($I10,المرجع!$E$2:$E$19,0)),"")</f>
        <v>الأهداف ومؤشرات الأداء</v>
      </c>
      <c r="K10" s="16" t="s">
        <v>88</v>
      </c>
      <c r="L10" s="17" t="str">
        <f>IFERROR(INDEX('نقاط التحقق'!$G$2:$G$31,MATCH($K10,'نقاط التحقق'!$A$2:$A$31,0))&amp;"","")</f>
        <v>أهداف تشغيلية معتمدة من صاحب الصلاحية</v>
      </c>
      <c r="M10" s="13">
        <v>70</v>
      </c>
      <c r="N10" s="15" t="str">
        <f>IF($M10="","غير مقيّمة",IF($M10&gt;المرجع!$K$3,"مستوفاة بشكل متقدم",IF($M10&lt;=المرجع!$K$2,"مستوفاة بشكل أولي","مستوفاة بشكل جزئي")))</f>
        <v>مستوفاة بشكل جزئي</v>
      </c>
      <c r="O10" s="18" t="s">
        <v>2170</v>
      </c>
    </row>
    <row r="11" spans="1:15">
      <c r="A11" s="16" t="s">
        <v>815</v>
      </c>
      <c r="B11" s="16" t="s">
        <v>188</v>
      </c>
      <c r="C11" s="15" t="str">
        <f>IFERROR(INDEX('قائمة الوحدات'!$B$2:$B$41,MATCH($B11,'قائمة الوحدات'!$A$2:$A$41,0)),"")</f>
        <v>MIL</v>
      </c>
      <c r="D11" s="14" t="str">
        <f>IFERROR(INDEX('قائمة الوحدات'!$C$2:$C$41,MATCH($B11,'قائمة الوحدات'!$A$2:$A$41,0)),"")</f>
        <v>الجهاز العسكري</v>
      </c>
      <c r="E11" s="14" t="str">
        <f>IFERROR(INDEX('قائمة الوحدات'!$D$2:$D$41,MATCH($B11,'قائمة الوحدات'!$A$2:$A$41,0)),"")</f>
        <v>هيئة الأركان</v>
      </c>
      <c r="F11" s="14" t="str">
        <f>IFERROR(INDEX('قائمة الوحدات'!$F$2:$F$41,MATCH($B11,'قائمة الوحدات'!$A$2:$A$41,0)),"")</f>
        <v>هيئة الأركان</v>
      </c>
      <c r="G11" s="16" t="s">
        <v>61</v>
      </c>
      <c r="H11" s="14" t="str">
        <f>IFERROR(INDEX(المرجع!$A$2:$A$19,MATCH($G11,المرجع!$B$2:$B$19,0)),"")</f>
        <v>البناء المؤسسي</v>
      </c>
      <c r="I11" s="16" t="s">
        <v>48</v>
      </c>
      <c r="J11" s="14" t="str">
        <f>IFERROR(INDEX(المرجع!$D$2:$D$19,MATCH($I11,المرجع!$E$2:$E$19,0)),"")</f>
        <v>الأهداف ومؤشرات الأداء</v>
      </c>
      <c r="K11" s="16" t="s">
        <v>90</v>
      </c>
      <c r="L11" s="17" t="str">
        <f>IFERROR(INDEX('نقاط التحقق'!$G$2:$G$31,MATCH($K11,'نقاط التحقق'!$A$2:$A$31,0))&amp;"","")</f>
        <v>نشر الأهداف التشغيلية على موظفي الوحدة التنظيمية</v>
      </c>
      <c r="M11" s="13">
        <v>95</v>
      </c>
      <c r="N11" s="15" t="str">
        <f>IF($M11="","غير مقيّمة",IF($M11&gt;المرجع!$K$3,"مستوفاة بشكل متقدم",IF($M11&lt;=المرجع!$K$2,"مستوفاة بشكل أولي","مستوفاة بشكل جزئي")))</f>
        <v>مستوفاة بشكل متقدم</v>
      </c>
      <c r="O11" s="18" t="s">
        <v>2170</v>
      </c>
    </row>
    <row r="12" spans="1:15">
      <c r="A12" s="16" t="s">
        <v>816</v>
      </c>
      <c r="B12" s="16" t="s">
        <v>188</v>
      </c>
      <c r="C12" s="15" t="str">
        <f>IFERROR(INDEX('قائمة الوحدات'!$B$2:$B$41,MATCH($B12,'قائمة الوحدات'!$A$2:$A$41,0)),"")</f>
        <v>MIL</v>
      </c>
      <c r="D12" s="14" t="str">
        <f>IFERROR(INDEX('قائمة الوحدات'!$C$2:$C$41,MATCH($B12,'قائمة الوحدات'!$A$2:$A$41,0)),"")</f>
        <v>الجهاز العسكري</v>
      </c>
      <c r="E12" s="14" t="str">
        <f>IFERROR(INDEX('قائمة الوحدات'!$D$2:$D$41,MATCH($B12,'قائمة الوحدات'!$A$2:$A$41,0)),"")</f>
        <v>هيئة الأركان</v>
      </c>
      <c r="F12" s="14" t="str">
        <f>IFERROR(INDEX('قائمة الوحدات'!$F$2:$F$41,MATCH($B12,'قائمة الوحدات'!$A$2:$A$41,0)),"")</f>
        <v>هيئة الأركان</v>
      </c>
      <c r="G12" s="16" t="s">
        <v>61</v>
      </c>
      <c r="H12" s="14" t="str">
        <f>IFERROR(INDEX(المرجع!$A$2:$A$19,MATCH($G12,المرجع!$B$2:$B$19,0)),"")</f>
        <v>البناء المؤسسي</v>
      </c>
      <c r="I12" s="16" t="s">
        <v>51</v>
      </c>
      <c r="J12" s="14" t="str">
        <f>IFERROR(INDEX(المرجع!$D$2:$D$19,MATCH($I12,المرجع!$E$2:$E$19,0)),"")</f>
        <v>الحوكمة</v>
      </c>
      <c r="K12" s="16" t="s">
        <v>92</v>
      </c>
      <c r="L12" s="17" t="str">
        <f>IFERROR(INDEX('نقاط التحقق'!$G$2:$G$31,MATCH($K12,'نقاط التحقق'!$A$2:$A$31,0))&amp;"","")</f>
        <v>مصفوفة صلاحيات معتمدة ومعممة على أصحاب المصلحة</v>
      </c>
      <c r="M12" s="13">
        <v>70</v>
      </c>
      <c r="N12" s="15" t="str">
        <f>IF($M12="","غير مقيّمة",IF($M12&gt;المرجع!$K$3,"مستوفاة بشكل متقدم",IF($M12&lt;=المرجع!$K$2,"مستوفاة بشكل أولي","مستوفاة بشكل جزئي")))</f>
        <v>مستوفاة بشكل جزئي</v>
      </c>
      <c r="O12" s="18" t="s">
        <v>2170</v>
      </c>
    </row>
    <row r="13" spans="1:15">
      <c r="A13" s="16" t="s">
        <v>817</v>
      </c>
      <c r="B13" s="16" t="s">
        <v>188</v>
      </c>
      <c r="C13" s="15" t="str">
        <f>IFERROR(INDEX('قائمة الوحدات'!$B$2:$B$41,MATCH($B13,'قائمة الوحدات'!$A$2:$A$41,0)),"")</f>
        <v>MIL</v>
      </c>
      <c r="D13" s="14" t="str">
        <f>IFERROR(INDEX('قائمة الوحدات'!$C$2:$C$41,MATCH($B13,'قائمة الوحدات'!$A$2:$A$41,0)),"")</f>
        <v>الجهاز العسكري</v>
      </c>
      <c r="E13" s="14" t="str">
        <f>IFERROR(INDEX('قائمة الوحدات'!$D$2:$D$41,MATCH($B13,'قائمة الوحدات'!$A$2:$A$41,0)),"")</f>
        <v>هيئة الأركان</v>
      </c>
      <c r="F13" s="14" t="str">
        <f>IFERROR(INDEX('قائمة الوحدات'!$F$2:$F$41,MATCH($B13,'قائمة الوحدات'!$A$2:$A$41,0)),"")</f>
        <v>هيئة الأركان</v>
      </c>
      <c r="G13" s="16" t="s">
        <v>61</v>
      </c>
      <c r="H13" s="14" t="str">
        <f>IFERROR(INDEX(المرجع!$A$2:$A$19,MATCH($G13,المرجع!$B$2:$B$19,0)),"")</f>
        <v>البناء المؤسسي</v>
      </c>
      <c r="I13" s="16" t="s">
        <v>51</v>
      </c>
      <c r="J13" s="14" t="str">
        <f>IFERROR(INDEX(المرجع!$D$2:$D$19,MATCH($I13,المرجع!$E$2:$E$19,0)),"")</f>
        <v>الحوكمة</v>
      </c>
      <c r="K13" s="16" t="s">
        <v>94</v>
      </c>
      <c r="L13" s="17" t="str">
        <f>IFERROR(INDEX('نقاط التحقق'!$G$2:$G$31,MATCH($K13,'نقاط التحقق'!$A$2:$A$31,0))&amp;"","")</f>
        <v>سياسات معتمدة للتي تملكها الوحدة التنظيمية</v>
      </c>
      <c r="M13" s="13">
        <v>75</v>
      </c>
      <c r="N13" s="15" t="str">
        <f>IF($M13="","غير مقيّمة",IF($M13&gt;المرجع!$K$3,"مستوفاة بشكل متقدم",IF($M13&lt;=المرجع!$K$2,"مستوفاة بشكل أولي","مستوفاة بشكل جزئي")))</f>
        <v>مستوفاة بشكل متقدم</v>
      </c>
      <c r="O13" s="18" t="s">
        <v>2170</v>
      </c>
    </row>
    <row r="14" spans="1:15">
      <c r="A14" s="16" t="s">
        <v>818</v>
      </c>
      <c r="B14" s="16" t="s">
        <v>188</v>
      </c>
      <c r="C14" s="15" t="str">
        <f>IFERROR(INDEX('قائمة الوحدات'!$B$2:$B$41,MATCH($B14,'قائمة الوحدات'!$A$2:$A$41,0)),"")</f>
        <v>MIL</v>
      </c>
      <c r="D14" s="14" t="str">
        <f>IFERROR(INDEX('قائمة الوحدات'!$C$2:$C$41,MATCH($B14,'قائمة الوحدات'!$A$2:$A$41,0)),"")</f>
        <v>الجهاز العسكري</v>
      </c>
      <c r="E14" s="14" t="str">
        <f>IFERROR(INDEX('قائمة الوحدات'!$D$2:$D$41,MATCH($B14,'قائمة الوحدات'!$A$2:$A$41,0)),"")</f>
        <v>هيئة الأركان</v>
      </c>
      <c r="F14" s="14" t="str">
        <f>IFERROR(INDEX('قائمة الوحدات'!$F$2:$F$41,MATCH($B14,'قائمة الوحدات'!$A$2:$A$41,0)),"")</f>
        <v>هيئة الأركان</v>
      </c>
      <c r="G14" s="16" t="s">
        <v>61</v>
      </c>
      <c r="H14" s="14" t="str">
        <f>IFERROR(INDEX(المرجع!$A$2:$A$19,MATCH($G14,المرجع!$B$2:$B$19,0)),"")</f>
        <v>البناء المؤسسي</v>
      </c>
      <c r="I14" s="16" t="s">
        <v>51</v>
      </c>
      <c r="J14" s="14" t="str">
        <f>IFERROR(INDEX(المرجع!$D$2:$D$19,MATCH($I14,المرجع!$E$2:$E$19,0)),"")</f>
        <v>الحوكمة</v>
      </c>
      <c r="K14" s="16" t="s">
        <v>96</v>
      </c>
      <c r="L14" s="17" t="str">
        <f>IFERROR(INDEX('نقاط التحقق'!$G$2:$G$31,MATCH($K14,'نقاط التحقق'!$A$2:$A$31,0))&amp;"","")</f>
        <v>قرار تشكيل معتمد للجان ذات العلاقة</v>
      </c>
      <c r="M14" s="13">
        <v>75</v>
      </c>
      <c r="N14" s="15" t="str">
        <f>IF($M14="","غير مقيّمة",IF($M14&gt;المرجع!$K$3,"مستوفاة بشكل متقدم",IF($M14&lt;=المرجع!$K$2,"مستوفاة بشكل أولي","مستوفاة بشكل جزئي")))</f>
        <v>مستوفاة بشكل متقدم</v>
      </c>
      <c r="O14" s="18" t="s">
        <v>2170</v>
      </c>
    </row>
    <row r="15" spans="1:15">
      <c r="A15" s="16" t="s">
        <v>819</v>
      </c>
      <c r="B15" s="16" t="s">
        <v>188</v>
      </c>
      <c r="C15" s="15" t="str">
        <f>IFERROR(INDEX('قائمة الوحدات'!$B$2:$B$41,MATCH($B15,'قائمة الوحدات'!$A$2:$A$41,0)),"")</f>
        <v>MIL</v>
      </c>
      <c r="D15" s="14" t="str">
        <f>IFERROR(INDEX('قائمة الوحدات'!$C$2:$C$41,MATCH($B15,'قائمة الوحدات'!$A$2:$A$41,0)),"")</f>
        <v>الجهاز العسكري</v>
      </c>
      <c r="E15" s="14" t="str">
        <f>IFERROR(INDEX('قائمة الوحدات'!$D$2:$D$41,MATCH($B15,'قائمة الوحدات'!$A$2:$A$41,0)),"")</f>
        <v>هيئة الأركان</v>
      </c>
      <c r="F15" s="14" t="str">
        <f>IFERROR(INDEX('قائمة الوحدات'!$F$2:$F$41,MATCH($B15,'قائمة الوحدات'!$A$2:$A$41,0)),"")</f>
        <v>هيئة الأركان</v>
      </c>
      <c r="G15" s="16" t="s">
        <v>61</v>
      </c>
      <c r="H15" s="14" t="str">
        <f>IFERROR(INDEX(المرجع!$A$2:$A$19,MATCH($G15,المرجع!$B$2:$B$19,0)),"")</f>
        <v>البناء المؤسسي</v>
      </c>
      <c r="I15" s="16" t="s">
        <v>54</v>
      </c>
      <c r="J15" s="14" t="str">
        <f>IFERROR(INDEX(المرجع!$D$2:$D$19,MATCH($I15,المرجع!$E$2:$E$19,0)),"")</f>
        <v>التنظيم</v>
      </c>
      <c r="K15" s="16" t="s">
        <v>98</v>
      </c>
      <c r="L15" s="17" t="str">
        <f>IFERROR(INDEX('نقاط التحقق'!$G$2:$G$31,MATCH($K15,'نقاط التحقق'!$A$2:$A$31,0))&amp;"","")</f>
        <v>هيكل تنظيمي معتمد من صاحب الصلاحية</v>
      </c>
      <c r="M15" s="13">
        <v>70</v>
      </c>
      <c r="N15" s="15" t="str">
        <f>IF($M15="","غير مقيّمة",IF($M15&gt;المرجع!$K$3,"مستوفاة بشكل متقدم",IF($M15&lt;=المرجع!$K$2,"مستوفاة بشكل أولي","مستوفاة بشكل جزئي")))</f>
        <v>مستوفاة بشكل جزئي</v>
      </c>
      <c r="O15" s="18" t="s">
        <v>2170</v>
      </c>
    </row>
    <row r="16" spans="1:15">
      <c r="A16" s="16" t="s">
        <v>820</v>
      </c>
      <c r="B16" s="16" t="s">
        <v>188</v>
      </c>
      <c r="C16" s="15" t="str">
        <f>IFERROR(INDEX('قائمة الوحدات'!$B$2:$B$41,MATCH($B16,'قائمة الوحدات'!$A$2:$A$41,0)),"")</f>
        <v>MIL</v>
      </c>
      <c r="D16" s="14" t="str">
        <f>IFERROR(INDEX('قائمة الوحدات'!$C$2:$C$41,MATCH($B16,'قائمة الوحدات'!$A$2:$A$41,0)),"")</f>
        <v>الجهاز العسكري</v>
      </c>
      <c r="E16" s="14" t="str">
        <f>IFERROR(INDEX('قائمة الوحدات'!$D$2:$D$41,MATCH($B16,'قائمة الوحدات'!$A$2:$A$41,0)),"")</f>
        <v>هيئة الأركان</v>
      </c>
      <c r="F16" s="14" t="str">
        <f>IFERROR(INDEX('قائمة الوحدات'!$F$2:$F$41,MATCH($B16,'قائمة الوحدات'!$A$2:$A$41,0)),"")</f>
        <v>هيئة الأركان</v>
      </c>
      <c r="G16" s="16" t="s">
        <v>61</v>
      </c>
      <c r="H16" s="14" t="str">
        <f>IFERROR(INDEX(المرجع!$A$2:$A$19,MATCH($G16,المرجع!$B$2:$B$19,0)),"")</f>
        <v>البناء المؤسسي</v>
      </c>
      <c r="I16" s="16" t="s">
        <v>54</v>
      </c>
      <c r="J16" s="14" t="str">
        <f>IFERROR(INDEX(المرجع!$D$2:$D$19,MATCH($I16,المرجع!$E$2:$E$19,0)),"")</f>
        <v>التنظيم</v>
      </c>
      <c r="K16" s="16" t="s">
        <v>100</v>
      </c>
      <c r="L16" s="17" t="str">
        <f>IFERROR(INDEX('نقاط التحقق'!$G$2:$G$31,MATCH($K16,'نقاط التحقق'!$A$2:$A$31,0))&amp;"","")</f>
        <v>هيكل تنظيمي منشأ على نظام القوى العاملة</v>
      </c>
      <c r="M16" s="13">
        <v>50</v>
      </c>
      <c r="N16" s="15" t="str">
        <f>IF($M16="","غير مقيّمة",IF($M16&gt;المرجع!$K$3,"مستوفاة بشكل متقدم",IF($M16&lt;=المرجع!$K$2,"مستوفاة بشكل أولي","مستوفاة بشكل جزئي")))</f>
        <v>مستوفاة بشكل جزئي</v>
      </c>
      <c r="O16" s="18" t="s">
        <v>2170</v>
      </c>
    </row>
    <row r="17" spans="1:15">
      <c r="A17" s="16" t="s">
        <v>821</v>
      </c>
      <c r="B17" s="16" t="s">
        <v>188</v>
      </c>
      <c r="C17" s="15" t="str">
        <f>IFERROR(INDEX('قائمة الوحدات'!$B$2:$B$41,MATCH($B17,'قائمة الوحدات'!$A$2:$A$41,0)),"")</f>
        <v>MIL</v>
      </c>
      <c r="D17" s="14" t="str">
        <f>IFERROR(INDEX('قائمة الوحدات'!$C$2:$C$41,MATCH($B17,'قائمة الوحدات'!$A$2:$A$41,0)),"")</f>
        <v>الجهاز العسكري</v>
      </c>
      <c r="E17" s="14" t="str">
        <f>IFERROR(INDEX('قائمة الوحدات'!$D$2:$D$41,MATCH($B17,'قائمة الوحدات'!$A$2:$A$41,0)),"")</f>
        <v>هيئة الأركان</v>
      </c>
      <c r="F17" s="14" t="str">
        <f>IFERROR(INDEX('قائمة الوحدات'!$F$2:$F$41,MATCH($B17,'قائمة الوحدات'!$A$2:$A$41,0)),"")</f>
        <v>هيئة الأركان</v>
      </c>
      <c r="G17" s="16" t="s">
        <v>61</v>
      </c>
      <c r="H17" s="14" t="str">
        <f>IFERROR(INDEX(المرجع!$A$2:$A$19,MATCH($G17,المرجع!$B$2:$B$19,0)),"")</f>
        <v>البناء المؤسسي</v>
      </c>
      <c r="I17" s="16" t="s">
        <v>54</v>
      </c>
      <c r="J17" s="14" t="str">
        <f>IFERROR(INDEX(المرجع!$D$2:$D$19,MATCH($I17,المرجع!$E$2:$E$19,0)),"")</f>
        <v>التنظيم</v>
      </c>
      <c r="K17" s="16" t="s">
        <v>102</v>
      </c>
      <c r="L17" s="17" t="str">
        <f>IFERROR(INDEX('نقاط التحقق'!$G$2:$G$31,MATCH($K17,'نقاط التحقق'!$A$2:$A$31,0))&amp;"","")</f>
        <v>الموظفون المحددون مسكّنون على الهيكل التنظيمي المستهدف</v>
      </c>
      <c r="M17" s="13">
        <v>70</v>
      </c>
      <c r="N17" s="15" t="str">
        <f>IF($M17="","غير مقيّمة",IF($M17&gt;المرجع!$K$3,"مستوفاة بشكل متقدم",IF($M17&lt;=المرجع!$K$2,"مستوفاة بشكل أولي","مستوفاة بشكل جزئي")))</f>
        <v>مستوفاة بشكل جزئي</v>
      </c>
      <c r="O17" s="18" t="s">
        <v>2170</v>
      </c>
    </row>
    <row r="18" spans="1:15">
      <c r="A18" s="16" t="s">
        <v>822</v>
      </c>
      <c r="B18" s="16" t="s">
        <v>188</v>
      </c>
      <c r="C18" s="15" t="str">
        <f>IFERROR(INDEX('قائمة الوحدات'!$B$2:$B$41,MATCH($B18,'قائمة الوحدات'!$A$2:$A$41,0)),"")</f>
        <v>MIL</v>
      </c>
      <c r="D18" s="14" t="str">
        <f>IFERROR(INDEX('قائمة الوحدات'!$C$2:$C$41,MATCH($B18,'قائمة الوحدات'!$A$2:$A$41,0)),"")</f>
        <v>الجهاز العسكري</v>
      </c>
      <c r="E18" s="14" t="str">
        <f>IFERROR(INDEX('قائمة الوحدات'!$D$2:$D$41,MATCH($B18,'قائمة الوحدات'!$A$2:$A$41,0)),"")</f>
        <v>هيئة الأركان</v>
      </c>
      <c r="F18" s="14" t="str">
        <f>IFERROR(INDEX('قائمة الوحدات'!$F$2:$F$41,MATCH($B18,'قائمة الوحدات'!$A$2:$A$41,0)),"")</f>
        <v>هيئة الأركان</v>
      </c>
      <c r="G18" s="16" t="s">
        <v>61</v>
      </c>
      <c r="H18" s="14" t="str">
        <f>IFERROR(INDEX(المرجع!$A$2:$A$19,MATCH($G18,المرجع!$B$2:$B$19,0)),"")</f>
        <v>البناء المؤسسي</v>
      </c>
      <c r="I18" s="16" t="s">
        <v>56</v>
      </c>
      <c r="J18" s="14" t="str">
        <f>IFERROR(INDEX(المرجع!$D$2:$D$19,MATCH($I18,المرجع!$E$2:$E$19,0)),"")</f>
        <v>الموارد</v>
      </c>
      <c r="K18" s="16" t="s">
        <v>104</v>
      </c>
      <c r="L18" s="17" t="str">
        <f>IFERROR(INDEX('نقاط التحقق'!$G$2:$G$31,MATCH($K18,'نقاط التحقق'!$A$2:$A$31,0))&amp;"","")</f>
        <v>مدير الوحدة التنظيمية والموظفون الرئيسيون معينون/ملحقون</v>
      </c>
      <c r="M18" s="13">
        <v>65</v>
      </c>
      <c r="N18" s="15" t="str">
        <f>IF($M18="","غير مقيّمة",IF($M18&gt;المرجع!$K$3,"مستوفاة بشكل متقدم",IF($M18&lt;=المرجع!$K$2,"مستوفاة بشكل أولي","مستوفاة بشكل جزئي")))</f>
        <v>مستوفاة بشكل جزئي</v>
      </c>
      <c r="O18" s="18" t="s">
        <v>2170</v>
      </c>
    </row>
    <row r="19" spans="1:15">
      <c r="A19" s="16" t="s">
        <v>823</v>
      </c>
      <c r="B19" s="16" t="s">
        <v>188</v>
      </c>
      <c r="C19" s="15" t="str">
        <f>IFERROR(INDEX('قائمة الوحدات'!$B$2:$B$41,MATCH($B19,'قائمة الوحدات'!$A$2:$A$41,0)),"")</f>
        <v>MIL</v>
      </c>
      <c r="D19" s="14" t="str">
        <f>IFERROR(INDEX('قائمة الوحدات'!$C$2:$C$41,MATCH($B19,'قائمة الوحدات'!$A$2:$A$41,0)),"")</f>
        <v>الجهاز العسكري</v>
      </c>
      <c r="E19" s="14" t="str">
        <f>IFERROR(INDEX('قائمة الوحدات'!$D$2:$D$41,MATCH($B19,'قائمة الوحدات'!$A$2:$A$41,0)),"")</f>
        <v>هيئة الأركان</v>
      </c>
      <c r="F19" s="14" t="str">
        <f>IFERROR(INDEX('قائمة الوحدات'!$F$2:$F$41,MATCH($B19,'قائمة الوحدات'!$A$2:$A$41,0)),"")</f>
        <v>هيئة الأركان</v>
      </c>
      <c r="G19" s="16" t="s">
        <v>61</v>
      </c>
      <c r="H19" s="14" t="str">
        <f>IFERROR(INDEX(المرجع!$A$2:$A$19,MATCH($G19,المرجع!$B$2:$B$19,0)),"")</f>
        <v>البناء المؤسسي</v>
      </c>
      <c r="I19" s="16" t="s">
        <v>56</v>
      </c>
      <c r="J19" s="14" t="str">
        <f>IFERROR(INDEX(المرجع!$D$2:$D$19,MATCH($I19,المرجع!$E$2:$E$19,0)),"")</f>
        <v>الموارد</v>
      </c>
      <c r="K19" s="16" t="s">
        <v>106</v>
      </c>
      <c r="L19" s="17" t="str">
        <f>IFERROR(INDEX('نقاط التحقق'!$G$2:$G$31,MATCH($K19,'نقاط التحقق'!$A$2:$A$31,0))&amp;"","")</f>
        <v>خطة توظيف وتدريب مستكملة</v>
      </c>
      <c r="M19" s="13">
        <v>35</v>
      </c>
      <c r="N19" s="15" t="str">
        <f>IF($M19="","غير مقيّمة",IF($M19&gt;المرجع!$K$3,"مستوفاة بشكل متقدم",IF($M19&lt;=المرجع!$K$2,"مستوفاة بشكل أولي","مستوفاة بشكل جزئي")))</f>
        <v>مستوفاة بشكل جزئي</v>
      </c>
      <c r="O19" s="18" t="s">
        <v>2170</v>
      </c>
    </row>
    <row r="20" spans="1:15">
      <c r="A20" s="16" t="s">
        <v>824</v>
      </c>
      <c r="B20" s="16" t="s">
        <v>188</v>
      </c>
      <c r="C20" s="15" t="str">
        <f>IFERROR(INDEX('قائمة الوحدات'!$B$2:$B$41,MATCH($B20,'قائمة الوحدات'!$A$2:$A$41,0)),"")</f>
        <v>MIL</v>
      </c>
      <c r="D20" s="14" t="str">
        <f>IFERROR(INDEX('قائمة الوحدات'!$C$2:$C$41,MATCH($B20,'قائمة الوحدات'!$A$2:$A$41,0)),"")</f>
        <v>الجهاز العسكري</v>
      </c>
      <c r="E20" s="14" t="str">
        <f>IFERROR(INDEX('قائمة الوحدات'!$D$2:$D$41,MATCH($B20,'قائمة الوحدات'!$A$2:$A$41,0)),"")</f>
        <v>هيئة الأركان</v>
      </c>
      <c r="F20" s="14" t="str">
        <f>IFERROR(INDEX('قائمة الوحدات'!$F$2:$F$41,MATCH($B20,'قائمة الوحدات'!$A$2:$A$41,0)),"")</f>
        <v>هيئة الأركان</v>
      </c>
      <c r="G20" s="16" t="s">
        <v>61</v>
      </c>
      <c r="H20" s="14" t="str">
        <f>IFERROR(INDEX(المرجع!$A$2:$A$19,MATCH($G20,المرجع!$B$2:$B$19,0)),"")</f>
        <v>البناء المؤسسي</v>
      </c>
      <c r="I20" s="16" t="s">
        <v>56</v>
      </c>
      <c r="J20" s="14" t="str">
        <f>IFERROR(INDEX(المرجع!$D$2:$D$19,MATCH($I20,المرجع!$E$2:$E$19,0)),"")</f>
        <v>الموارد</v>
      </c>
      <c r="K20" s="16" t="s">
        <v>108</v>
      </c>
      <c r="L20" s="17" t="str">
        <f>IFERROR(INDEX('نقاط التحقق'!$G$2:$G$31,MATCH($K20,'نقاط التحقق'!$A$2:$A$31,0))&amp;"","")</f>
        <v>وجود مساحات مكتبية كافية</v>
      </c>
      <c r="M20" s="13">
        <v>35</v>
      </c>
      <c r="N20" s="15" t="str">
        <f>IF($M20="","غير مقيّمة",IF($M20&gt;المرجع!$K$3,"مستوفاة بشكل متقدم",IF($M20&lt;=المرجع!$K$2,"مستوفاة بشكل أولي","مستوفاة بشكل جزئي")))</f>
        <v>مستوفاة بشكل جزئي</v>
      </c>
      <c r="O20" s="18" t="s">
        <v>2170</v>
      </c>
    </row>
    <row r="21" spans="1:15">
      <c r="A21" s="16" t="s">
        <v>825</v>
      </c>
      <c r="B21" s="16" t="s">
        <v>188</v>
      </c>
      <c r="C21" s="15" t="str">
        <f>IFERROR(INDEX('قائمة الوحدات'!$B$2:$B$41,MATCH($B21,'قائمة الوحدات'!$A$2:$A$41,0)),"")</f>
        <v>MIL</v>
      </c>
      <c r="D21" s="14" t="str">
        <f>IFERROR(INDEX('قائمة الوحدات'!$C$2:$C$41,MATCH($B21,'قائمة الوحدات'!$A$2:$A$41,0)),"")</f>
        <v>الجهاز العسكري</v>
      </c>
      <c r="E21" s="14" t="str">
        <f>IFERROR(INDEX('قائمة الوحدات'!$D$2:$D$41,MATCH($B21,'قائمة الوحدات'!$A$2:$A$41,0)),"")</f>
        <v>هيئة الأركان</v>
      </c>
      <c r="F21" s="14" t="str">
        <f>IFERROR(INDEX('قائمة الوحدات'!$F$2:$F$41,MATCH($B21,'قائمة الوحدات'!$A$2:$A$41,0)),"")</f>
        <v>هيئة الأركان</v>
      </c>
      <c r="G21" s="16" t="s">
        <v>61</v>
      </c>
      <c r="H21" s="14" t="str">
        <f>IFERROR(INDEX(المرجع!$A$2:$A$19,MATCH($G21,المرجع!$B$2:$B$19,0)),"")</f>
        <v>البناء المؤسسي</v>
      </c>
      <c r="I21" s="16" t="s">
        <v>56</v>
      </c>
      <c r="J21" s="14" t="str">
        <f>IFERROR(INDEX(المرجع!$D$2:$D$19,MATCH($I21,المرجع!$E$2:$E$19,0)),"")</f>
        <v>الموارد</v>
      </c>
      <c r="K21" s="16" t="s">
        <v>110</v>
      </c>
      <c r="L21" s="17" t="str">
        <f>IFERROR(INDEX('نقاط التحقق'!$G$2:$G$31,MATCH($K21,'نقاط التحقق'!$A$2:$A$31,0))&amp;"","")</f>
        <v>وجود الاحتياجات التقنية الأساسية</v>
      </c>
      <c r="M21" s="13">
        <v>35</v>
      </c>
      <c r="N21" s="15" t="str">
        <f>IF($M21="","غير مقيّمة",IF($M21&gt;المرجع!$K$3,"مستوفاة بشكل متقدم",IF($M21&lt;=المرجع!$K$2,"مستوفاة بشكل أولي","مستوفاة بشكل جزئي")))</f>
        <v>مستوفاة بشكل جزئي</v>
      </c>
      <c r="O21" s="18" t="s">
        <v>2170</v>
      </c>
    </row>
    <row r="22" spans="1:15">
      <c r="A22" s="16" t="s">
        <v>826</v>
      </c>
      <c r="B22" s="16" t="s">
        <v>188</v>
      </c>
      <c r="C22" s="15" t="str">
        <f>IFERROR(INDEX('قائمة الوحدات'!$B$2:$B$41,MATCH($B22,'قائمة الوحدات'!$A$2:$A$41,0)),"")</f>
        <v>MIL</v>
      </c>
      <c r="D22" s="14" t="str">
        <f>IFERROR(INDEX('قائمة الوحدات'!$C$2:$C$41,MATCH($B22,'قائمة الوحدات'!$A$2:$A$41,0)),"")</f>
        <v>الجهاز العسكري</v>
      </c>
      <c r="E22" s="14" t="str">
        <f>IFERROR(INDEX('قائمة الوحدات'!$D$2:$D$41,MATCH($B22,'قائمة الوحدات'!$A$2:$A$41,0)),"")</f>
        <v>هيئة الأركان</v>
      </c>
      <c r="F22" s="14" t="str">
        <f>IFERROR(INDEX('قائمة الوحدات'!$F$2:$F$41,MATCH($B22,'قائمة الوحدات'!$A$2:$A$41,0)),"")</f>
        <v>هيئة الأركان</v>
      </c>
      <c r="G22" s="16" t="s">
        <v>61</v>
      </c>
      <c r="H22" s="14" t="str">
        <f>IFERROR(INDEX(المرجع!$A$2:$A$19,MATCH($G22,المرجع!$B$2:$B$19,0)),"")</f>
        <v>البناء المؤسسي</v>
      </c>
      <c r="I22" s="16" t="s">
        <v>59</v>
      </c>
      <c r="J22" s="14" t="str">
        <f>IFERROR(INDEX(المرجع!$D$2:$D$19,MATCH($I22,المرجع!$E$2:$E$19,0)),"")</f>
        <v>الإجراءات</v>
      </c>
      <c r="K22" s="16" t="s">
        <v>112</v>
      </c>
      <c r="L22" s="17" t="str">
        <f>IFERROR(INDEX('نقاط التحقق'!$G$2:$G$31,MATCH($K22,'نقاط التحقق'!$A$2:$A$31,0))&amp;"","")</f>
        <v>إجراءات معتمدة للوحدة التنظيمية</v>
      </c>
      <c r="M22" s="13">
        <v>68</v>
      </c>
      <c r="N22" s="15" t="str">
        <f>IF($M22="","غير مقيّمة",IF($M22&gt;المرجع!$K$3,"مستوفاة بشكل متقدم",IF($M22&lt;=المرجع!$K$2,"مستوفاة بشكل أولي","مستوفاة بشكل جزئي")))</f>
        <v>مستوفاة بشكل جزئي</v>
      </c>
      <c r="O22" s="18" t="s">
        <v>2170</v>
      </c>
    </row>
    <row r="23" spans="1:15">
      <c r="A23" s="16" t="s">
        <v>827</v>
      </c>
      <c r="B23" s="16" t="s">
        <v>188</v>
      </c>
      <c r="C23" s="15" t="str">
        <f>IFERROR(INDEX('قائمة الوحدات'!$B$2:$B$41,MATCH($B23,'قائمة الوحدات'!$A$2:$A$41,0)),"")</f>
        <v>MIL</v>
      </c>
      <c r="D23" s="14" t="str">
        <f>IFERROR(INDEX('قائمة الوحدات'!$C$2:$C$41,MATCH($B23,'قائمة الوحدات'!$A$2:$A$41,0)),"")</f>
        <v>الجهاز العسكري</v>
      </c>
      <c r="E23" s="14" t="str">
        <f>IFERROR(INDEX('قائمة الوحدات'!$D$2:$D$41,MATCH($B23,'قائمة الوحدات'!$A$2:$A$41,0)),"")</f>
        <v>هيئة الأركان</v>
      </c>
      <c r="F23" s="14" t="str">
        <f>IFERROR(INDEX('قائمة الوحدات'!$F$2:$F$41,MATCH($B23,'قائمة الوحدات'!$A$2:$A$41,0)),"")</f>
        <v>هيئة الأركان</v>
      </c>
      <c r="G23" s="16" t="s">
        <v>61</v>
      </c>
      <c r="H23" s="14" t="str">
        <f>IFERROR(INDEX(المرجع!$A$2:$A$19,MATCH($G23,المرجع!$B$2:$B$19,0)),"")</f>
        <v>البناء المؤسسي</v>
      </c>
      <c r="I23" s="16" t="s">
        <v>63</v>
      </c>
      <c r="J23" s="14" t="str">
        <f>IFERROR(INDEX(المرجع!$D$2:$D$19,MATCH($I23,المرجع!$E$2:$E$19,0)),"")</f>
        <v>إنتاج المخرج الأول</v>
      </c>
      <c r="K23" s="16" t="s">
        <v>114</v>
      </c>
      <c r="L23" s="17" t="str">
        <f>IFERROR(INDEX('نقاط التحقق'!$G$2:$G$31,MATCH($K23,'نقاط التحقق'!$A$2:$A$31,0))&amp;"","")</f>
        <v>إنتاج المخرج الأول من قبل الوحدة التنظيمية</v>
      </c>
      <c r="M23" s="13">
        <v>43</v>
      </c>
      <c r="N23" s="15" t="str">
        <f>IF($M23="","غير مقيّمة",IF($M23&gt;المرجع!$K$3,"مستوفاة بشكل متقدم",IF($M23&lt;=المرجع!$K$2,"مستوفاة بشكل أولي","مستوفاة بشكل جزئي")))</f>
        <v>مستوفاة بشكل جزئي</v>
      </c>
      <c r="O23" s="18" t="s">
        <v>2170</v>
      </c>
    </row>
    <row r="24" spans="1:15">
      <c r="A24" s="16" t="s">
        <v>828</v>
      </c>
      <c r="B24" s="16" t="s">
        <v>188</v>
      </c>
      <c r="C24" s="15" t="str">
        <f>IFERROR(INDEX('قائمة الوحدات'!$B$2:$B$41,MATCH($B24,'قائمة الوحدات'!$A$2:$A$41,0)),"")</f>
        <v>MIL</v>
      </c>
      <c r="D24" s="14" t="str">
        <f>IFERROR(INDEX('قائمة الوحدات'!$C$2:$C$41,MATCH($B24,'قائمة الوحدات'!$A$2:$A$41,0)),"")</f>
        <v>الجهاز العسكري</v>
      </c>
      <c r="E24" s="14" t="str">
        <f>IFERROR(INDEX('قائمة الوحدات'!$D$2:$D$41,MATCH($B24,'قائمة الوحدات'!$A$2:$A$41,0)),"")</f>
        <v>هيئة الأركان</v>
      </c>
      <c r="F24" s="14" t="str">
        <f>IFERROR(INDEX('قائمة الوحدات'!$F$2:$F$41,MATCH($B24,'قائمة الوحدات'!$A$2:$A$41,0)),"")</f>
        <v>هيئة الأركان</v>
      </c>
      <c r="G24" s="16" t="s">
        <v>65</v>
      </c>
      <c r="H24" s="14" t="str">
        <f>IFERROR(INDEX(المرجع!$A$2:$A$19,MATCH($G24,المرجع!$B$2:$B$19,0)),"")</f>
        <v>التشغيل</v>
      </c>
      <c r="I24" s="16" t="s">
        <v>48</v>
      </c>
      <c r="J24" s="14" t="str">
        <f>IFERROR(INDEX(المرجع!$D$2:$D$19,MATCH($I24,المرجع!$E$2:$E$19,0)),"")</f>
        <v>الأهداف ومؤشرات الأداء</v>
      </c>
      <c r="K24" s="16" t="s">
        <v>116</v>
      </c>
      <c r="L24" s="17" t="str">
        <f>IFERROR(INDEX('نقاط التحقق'!$G$2:$G$31,MATCH($K24,'نقاط التحقق'!$A$2:$A$31,0))&amp;"","")</f>
        <v>تحرك مؤشرات الأداء التشغيلي للوحدة التنظيمية بشكل إيجابي</v>
      </c>
      <c r="M24" s="13">
        <v>15</v>
      </c>
      <c r="N24" s="15" t="str">
        <f>IF($M24="","غير مقيّمة",IF($M24&gt;المرجع!$K$3,"مستوفاة بشكل متقدم",IF($M24&lt;=المرجع!$K$2,"مستوفاة بشكل أولي","مستوفاة بشكل جزئي")))</f>
        <v>مستوفاة بشكل أولي</v>
      </c>
      <c r="O24" s="18" t="s">
        <v>2170</v>
      </c>
    </row>
    <row r="25" spans="1:15">
      <c r="A25" s="16" t="s">
        <v>829</v>
      </c>
      <c r="B25" s="16" t="s">
        <v>188</v>
      </c>
      <c r="C25" s="15" t="str">
        <f>IFERROR(INDEX('قائمة الوحدات'!$B$2:$B$41,MATCH($B25,'قائمة الوحدات'!$A$2:$A$41,0)),"")</f>
        <v>MIL</v>
      </c>
      <c r="D25" s="14" t="str">
        <f>IFERROR(INDEX('قائمة الوحدات'!$C$2:$C$41,MATCH($B25,'قائمة الوحدات'!$A$2:$A$41,0)),"")</f>
        <v>الجهاز العسكري</v>
      </c>
      <c r="E25" s="14" t="str">
        <f>IFERROR(INDEX('قائمة الوحدات'!$D$2:$D$41,MATCH($B25,'قائمة الوحدات'!$A$2:$A$41,0)),"")</f>
        <v>هيئة الأركان</v>
      </c>
      <c r="F25" s="14" t="str">
        <f>IFERROR(INDEX('قائمة الوحدات'!$F$2:$F$41,MATCH($B25,'قائمة الوحدات'!$A$2:$A$41,0)),"")</f>
        <v>هيئة الأركان</v>
      </c>
      <c r="G25" s="16" t="s">
        <v>65</v>
      </c>
      <c r="H25" s="14" t="str">
        <f>IFERROR(INDEX(المرجع!$A$2:$A$19,MATCH($G25,المرجع!$B$2:$B$19,0)),"")</f>
        <v>التشغيل</v>
      </c>
      <c r="I25" s="16" t="s">
        <v>48</v>
      </c>
      <c r="J25" s="14" t="str">
        <f>IFERROR(INDEX(المرجع!$D$2:$D$19,MATCH($I25,المرجع!$E$2:$E$19,0)),"")</f>
        <v>الأهداف ومؤشرات الأداء</v>
      </c>
      <c r="K25" s="16" t="s">
        <v>118</v>
      </c>
      <c r="L25" s="17" t="str">
        <f>IFERROR(INDEX('نقاط التحقق'!$G$2:$G$31,MATCH($K25,'نقاط التحقق'!$A$2:$A$31,0))&amp;"","")</f>
        <v>خطة سنوية معتمدة للوحدة التنظيمية</v>
      </c>
      <c r="M25" s="13">
        <v>35</v>
      </c>
      <c r="N25" s="15" t="str">
        <f>IF($M25="","غير مقيّمة",IF($M25&gt;المرجع!$K$3,"مستوفاة بشكل متقدم",IF($M25&lt;=المرجع!$K$2,"مستوفاة بشكل أولي","مستوفاة بشكل جزئي")))</f>
        <v>مستوفاة بشكل جزئي</v>
      </c>
      <c r="O25" s="18" t="s">
        <v>2170</v>
      </c>
    </row>
    <row r="26" spans="1:15">
      <c r="A26" s="16" t="s">
        <v>830</v>
      </c>
      <c r="B26" s="16" t="s">
        <v>188</v>
      </c>
      <c r="C26" s="15" t="str">
        <f>IFERROR(INDEX('قائمة الوحدات'!$B$2:$B$41,MATCH($B26,'قائمة الوحدات'!$A$2:$A$41,0)),"")</f>
        <v>MIL</v>
      </c>
      <c r="D26" s="14" t="str">
        <f>IFERROR(INDEX('قائمة الوحدات'!$C$2:$C$41,MATCH($B26,'قائمة الوحدات'!$A$2:$A$41,0)),"")</f>
        <v>الجهاز العسكري</v>
      </c>
      <c r="E26" s="14" t="str">
        <f>IFERROR(INDEX('قائمة الوحدات'!$D$2:$D$41,MATCH($B26,'قائمة الوحدات'!$A$2:$A$41,0)),"")</f>
        <v>هيئة الأركان</v>
      </c>
      <c r="F26" s="14" t="str">
        <f>IFERROR(INDEX('قائمة الوحدات'!$F$2:$F$41,MATCH($B26,'قائمة الوحدات'!$A$2:$A$41,0)),"")</f>
        <v>هيئة الأركان</v>
      </c>
      <c r="G26" s="16" t="s">
        <v>65</v>
      </c>
      <c r="H26" s="14" t="str">
        <f>IFERROR(INDEX(المرجع!$A$2:$A$19,MATCH($G26,المرجع!$B$2:$B$19,0)),"")</f>
        <v>التشغيل</v>
      </c>
      <c r="I26" s="16" t="s">
        <v>51</v>
      </c>
      <c r="J26" s="14" t="str">
        <f>IFERROR(INDEX(المرجع!$D$2:$D$19,MATCH($I26,المرجع!$E$2:$E$19,0)),"")</f>
        <v>الحوكمة</v>
      </c>
      <c r="K26" s="16" t="s">
        <v>120</v>
      </c>
      <c r="L26" s="17" t="str">
        <f>IFERROR(INDEX('نقاط التحقق'!$G$2:$G$31,MATCH($K26,'نقاط التحقق'!$A$2:$A$31,0))&amp;"","")</f>
        <v>محاضر لجان موثقة</v>
      </c>
      <c r="M26" s="13">
        <v>35</v>
      </c>
      <c r="N26" s="15" t="str">
        <f>IF($M26="","غير مقيّمة",IF($M26&gt;المرجع!$K$3,"مستوفاة بشكل متقدم",IF($M26&lt;=المرجع!$K$2,"مستوفاة بشكل أولي","مستوفاة بشكل جزئي")))</f>
        <v>مستوفاة بشكل جزئي</v>
      </c>
      <c r="O26" s="18" t="s">
        <v>2170</v>
      </c>
    </row>
    <row r="27" spans="1:15">
      <c r="A27" s="16" t="s">
        <v>831</v>
      </c>
      <c r="B27" s="16" t="s">
        <v>188</v>
      </c>
      <c r="C27" s="15" t="str">
        <f>IFERROR(INDEX('قائمة الوحدات'!$B$2:$B$41,MATCH($B27,'قائمة الوحدات'!$A$2:$A$41,0)),"")</f>
        <v>MIL</v>
      </c>
      <c r="D27" s="14" t="str">
        <f>IFERROR(INDEX('قائمة الوحدات'!$C$2:$C$41,MATCH($B27,'قائمة الوحدات'!$A$2:$A$41,0)),"")</f>
        <v>الجهاز العسكري</v>
      </c>
      <c r="E27" s="14" t="str">
        <f>IFERROR(INDEX('قائمة الوحدات'!$D$2:$D$41,MATCH($B27,'قائمة الوحدات'!$A$2:$A$41,0)),"")</f>
        <v>هيئة الأركان</v>
      </c>
      <c r="F27" s="14" t="str">
        <f>IFERROR(INDEX('قائمة الوحدات'!$F$2:$F$41,MATCH($B27,'قائمة الوحدات'!$A$2:$A$41,0)),"")</f>
        <v>هيئة الأركان</v>
      </c>
      <c r="G27" s="16" t="s">
        <v>65</v>
      </c>
      <c r="H27" s="14" t="str">
        <f>IFERROR(INDEX(المرجع!$A$2:$A$19,MATCH($G27,المرجع!$B$2:$B$19,0)),"")</f>
        <v>التشغيل</v>
      </c>
      <c r="I27" s="16" t="s">
        <v>51</v>
      </c>
      <c r="J27" s="14" t="str">
        <f>IFERROR(INDEX(المرجع!$D$2:$D$19,MATCH($I27,المرجع!$E$2:$E$19,0)),"")</f>
        <v>الحوكمة</v>
      </c>
      <c r="K27" s="16" t="s">
        <v>122</v>
      </c>
      <c r="L27" s="17" t="str">
        <f>IFERROR(INDEX('نقاط التحقق'!$G$2:$G$31,MATCH($K27,'نقاط التحقق'!$A$2:$A$31,0))&amp;"","")</f>
        <v>نشر السياسات التي تملكها الوحدة التنظيمية</v>
      </c>
      <c r="M27" s="13">
        <v>35</v>
      </c>
      <c r="N27" s="15" t="str">
        <f>IF($M27="","غير مقيّمة",IF($M27&gt;المرجع!$K$3,"مستوفاة بشكل متقدم",IF($M27&lt;=المرجع!$K$2,"مستوفاة بشكل أولي","مستوفاة بشكل جزئي")))</f>
        <v>مستوفاة بشكل جزئي</v>
      </c>
      <c r="O27" s="18" t="s">
        <v>2170</v>
      </c>
    </row>
    <row r="28" spans="1:15">
      <c r="A28" s="16" t="s">
        <v>832</v>
      </c>
      <c r="B28" s="16" t="s">
        <v>188</v>
      </c>
      <c r="C28" s="15" t="str">
        <f>IFERROR(INDEX('قائمة الوحدات'!$B$2:$B$41,MATCH($B28,'قائمة الوحدات'!$A$2:$A$41,0)),"")</f>
        <v>MIL</v>
      </c>
      <c r="D28" s="14" t="str">
        <f>IFERROR(INDEX('قائمة الوحدات'!$C$2:$C$41,MATCH($B28,'قائمة الوحدات'!$A$2:$A$41,0)),"")</f>
        <v>الجهاز العسكري</v>
      </c>
      <c r="E28" s="14" t="str">
        <f>IFERROR(INDEX('قائمة الوحدات'!$D$2:$D$41,MATCH($B28,'قائمة الوحدات'!$A$2:$A$41,0)),"")</f>
        <v>هيئة الأركان</v>
      </c>
      <c r="F28" s="14" t="str">
        <f>IFERROR(INDEX('قائمة الوحدات'!$F$2:$F$41,MATCH($B28,'قائمة الوحدات'!$A$2:$A$41,0)),"")</f>
        <v>هيئة الأركان</v>
      </c>
      <c r="G28" s="16" t="s">
        <v>65</v>
      </c>
      <c r="H28" s="14" t="str">
        <f>IFERROR(INDEX(المرجع!$A$2:$A$19,MATCH($G28,المرجع!$B$2:$B$19,0)),"")</f>
        <v>التشغيل</v>
      </c>
      <c r="I28" s="16" t="s">
        <v>51</v>
      </c>
      <c r="J28" s="14" t="str">
        <f>IFERROR(INDEX(المرجع!$D$2:$D$19,MATCH($I28,المرجع!$E$2:$E$19,0)),"")</f>
        <v>الحوكمة</v>
      </c>
      <c r="K28" s="16" t="s">
        <v>124</v>
      </c>
      <c r="L28" s="17" t="str">
        <f>IFERROR(INDEX('نقاط التحقق'!$G$2:$G$31,MATCH($K28,'نقاط التحقق'!$A$2:$A$31,0))&amp;"","")</f>
        <v>اتخاذ القرارات في نطاق الصلاحيات (وجود شواهد)</v>
      </c>
      <c r="M28" s="13">
        <v>35</v>
      </c>
      <c r="N28" s="15" t="str">
        <f>IF($M28="","غير مقيّمة",IF($M28&gt;المرجع!$K$3,"مستوفاة بشكل متقدم",IF($M28&lt;=المرجع!$K$2,"مستوفاة بشكل أولي","مستوفاة بشكل جزئي")))</f>
        <v>مستوفاة بشكل جزئي</v>
      </c>
      <c r="O28" s="18" t="s">
        <v>2170</v>
      </c>
    </row>
    <row r="29" spans="1:15">
      <c r="A29" s="16" t="s">
        <v>833</v>
      </c>
      <c r="B29" s="16" t="s">
        <v>188</v>
      </c>
      <c r="C29" s="15" t="str">
        <f>IFERROR(INDEX('قائمة الوحدات'!$B$2:$B$41,MATCH($B29,'قائمة الوحدات'!$A$2:$A$41,0)),"")</f>
        <v>MIL</v>
      </c>
      <c r="D29" s="14" t="str">
        <f>IFERROR(INDEX('قائمة الوحدات'!$C$2:$C$41,MATCH($B29,'قائمة الوحدات'!$A$2:$A$41,0)),"")</f>
        <v>الجهاز العسكري</v>
      </c>
      <c r="E29" s="14" t="str">
        <f>IFERROR(INDEX('قائمة الوحدات'!$D$2:$D$41,MATCH($B29,'قائمة الوحدات'!$A$2:$A$41,0)),"")</f>
        <v>هيئة الأركان</v>
      </c>
      <c r="F29" s="14" t="str">
        <f>IFERROR(INDEX('قائمة الوحدات'!$F$2:$F$41,MATCH($B29,'قائمة الوحدات'!$A$2:$A$41,0)),"")</f>
        <v>هيئة الأركان</v>
      </c>
      <c r="G29" s="16" t="s">
        <v>65</v>
      </c>
      <c r="H29" s="14" t="str">
        <f>IFERROR(INDEX(المرجع!$A$2:$A$19,MATCH($G29,المرجع!$B$2:$B$19,0)),"")</f>
        <v>التشغيل</v>
      </c>
      <c r="I29" s="16" t="s">
        <v>56</v>
      </c>
      <c r="J29" s="14" t="str">
        <f>IFERROR(INDEX(المرجع!$D$2:$D$19,MATCH($I29,المرجع!$E$2:$E$19,0)),"")</f>
        <v>الموارد</v>
      </c>
      <c r="K29" s="16" t="s">
        <v>126</v>
      </c>
      <c r="L29" s="17" t="str">
        <f>IFERROR(INDEX('نقاط التحقق'!$G$2:$G$31,MATCH($K29,'نقاط التحقق'!$A$2:$A$31,0))&amp;"","")</f>
        <v>موارد مستكملة للحد الأدنى الذي يغطي كافة محاور سلسلة القيمة</v>
      </c>
      <c r="M29" s="13">
        <v>44</v>
      </c>
      <c r="N29" s="15" t="str">
        <f>IF($M29="","غير مقيّمة",IF($M29&gt;المرجع!$K$3,"مستوفاة بشكل متقدم",IF($M29&lt;=المرجع!$K$2,"مستوفاة بشكل أولي","مستوفاة بشكل جزئي")))</f>
        <v>مستوفاة بشكل جزئي</v>
      </c>
      <c r="O29" s="18" t="s">
        <v>2170</v>
      </c>
    </row>
    <row r="30" spans="1:15">
      <c r="A30" s="16" t="s">
        <v>834</v>
      </c>
      <c r="B30" s="16" t="s">
        <v>188</v>
      </c>
      <c r="C30" s="15" t="str">
        <f>IFERROR(INDEX('قائمة الوحدات'!$B$2:$B$41,MATCH($B30,'قائمة الوحدات'!$A$2:$A$41,0)),"")</f>
        <v>MIL</v>
      </c>
      <c r="D30" s="14" t="str">
        <f>IFERROR(INDEX('قائمة الوحدات'!$C$2:$C$41,MATCH($B30,'قائمة الوحدات'!$A$2:$A$41,0)),"")</f>
        <v>الجهاز العسكري</v>
      </c>
      <c r="E30" s="14" t="str">
        <f>IFERROR(INDEX('قائمة الوحدات'!$D$2:$D$41,MATCH($B30,'قائمة الوحدات'!$A$2:$A$41,0)),"")</f>
        <v>هيئة الأركان</v>
      </c>
      <c r="F30" s="14" t="str">
        <f>IFERROR(INDEX('قائمة الوحدات'!$F$2:$F$41,MATCH($B30,'قائمة الوحدات'!$A$2:$A$41,0)),"")</f>
        <v>هيئة الأركان</v>
      </c>
      <c r="G30" s="16" t="s">
        <v>65</v>
      </c>
      <c r="H30" s="14" t="str">
        <f>IFERROR(INDEX(المرجع!$A$2:$A$19,MATCH($G30,المرجع!$B$2:$B$19,0)),"")</f>
        <v>التشغيل</v>
      </c>
      <c r="I30" s="16" t="s">
        <v>59</v>
      </c>
      <c r="J30" s="14" t="str">
        <f>IFERROR(INDEX(المرجع!$D$2:$D$19,MATCH($I30,المرجع!$E$2:$E$19,0)),"")</f>
        <v>الإجراءات</v>
      </c>
      <c r="K30" s="16" t="s">
        <v>128</v>
      </c>
      <c r="L30" s="17" t="str">
        <f>IFERROR(INDEX('نقاط التحقق'!$G$2:$G$31,MATCH($K30,'نقاط التحقق'!$A$2:$A$31,0))&amp;"","")</f>
        <v>تحقيق تقييم "مطبق بشكل كامل" من منهجية تقييم فعالية الإجراءات</v>
      </c>
      <c r="M30" s="13">
        <v>58</v>
      </c>
      <c r="N30" s="15" t="str">
        <f>IF($M30="","غير مقيّمة",IF($M30&gt;المرجع!$K$3,"مستوفاة بشكل متقدم",IF($M30&lt;=المرجع!$K$2,"مستوفاة بشكل أولي","مستوفاة بشكل جزئي")))</f>
        <v>مستوفاة بشكل جزئي</v>
      </c>
      <c r="O30" s="18" t="s">
        <v>2170</v>
      </c>
    </row>
    <row r="31" spans="1:15">
      <c r="A31" s="16" t="s">
        <v>835</v>
      </c>
      <c r="B31" s="16" t="s">
        <v>188</v>
      </c>
      <c r="C31" s="15" t="str">
        <f>IFERROR(INDEX('قائمة الوحدات'!$B$2:$B$41,MATCH($B31,'قائمة الوحدات'!$A$2:$A$41,0)),"")</f>
        <v>MIL</v>
      </c>
      <c r="D31" s="14" t="str">
        <f>IFERROR(INDEX('قائمة الوحدات'!$C$2:$C$41,MATCH($B31,'قائمة الوحدات'!$A$2:$A$41,0)),"")</f>
        <v>الجهاز العسكري</v>
      </c>
      <c r="E31" s="14" t="str">
        <f>IFERROR(INDEX('قائمة الوحدات'!$D$2:$D$41,MATCH($B31,'قائمة الوحدات'!$A$2:$A$41,0)),"")</f>
        <v>هيئة الأركان</v>
      </c>
      <c r="F31" s="14" t="str">
        <f>IFERROR(INDEX('قائمة الوحدات'!$F$2:$F$41,MATCH($B31,'قائمة الوحدات'!$A$2:$A$41,0)),"")</f>
        <v>هيئة الأركان</v>
      </c>
      <c r="G31" s="16" t="s">
        <v>65</v>
      </c>
      <c r="H31" s="14" t="str">
        <f>IFERROR(INDEX(المرجع!$A$2:$A$19,MATCH($G31,المرجع!$B$2:$B$19,0)),"")</f>
        <v>التشغيل</v>
      </c>
      <c r="I31" s="16" t="s">
        <v>67</v>
      </c>
      <c r="J31" s="14" t="str">
        <f>IFERROR(INDEX(المرجع!$D$2:$D$19,MATCH($I31,المرجع!$E$2:$E$19,0)),"")</f>
        <v>اكتمال المخرجات المستهدفة</v>
      </c>
      <c r="K31" s="16" t="s">
        <v>130</v>
      </c>
      <c r="L31" s="17" t="str">
        <f>IFERROR(INDEX('نقاط التحقق'!$G$2:$G$31,MATCH($K31,'نقاط التحقق'!$A$2:$A$31,0))&amp;"","")</f>
        <v>اكتمال مخرجات النموذج التشغيلي المستهدف للوحدة التنظيمية</v>
      </c>
      <c r="M31" s="13">
        <v>43</v>
      </c>
      <c r="N31" s="15" t="str">
        <f>IF($M31="","غير مقيّمة",IF($M31&gt;المرجع!$K$3,"مستوفاة بشكل متقدم",IF($M31&lt;=المرجع!$K$2,"مستوفاة بشكل أولي","مستوفاة بشكل جزئي")))</f>
        <v>مستوفاة بشكل جزئي</v>
      </c>
      <c r="O31" s="18" t="s">
        <v>2170</v>
      </c>
    </row>
    <row r="32" spans="1:15">
      <c r="A32" s="16" t="s">
        <v>836</v>
      </c>
      <c r="B32" s="16" t="s">
        <v>192</v>
      </c>
      <c r="C32" s="15" t="str">
        <f>IFERROR(INDEX('قائمة الوحدات'!$B$2:$B$41,MATCH($B32,'قائمة الوحدات'!$A$2:$A$41,0)),"")</f>
        <v>MIL</v>
      </c>
      <c r="D32" s="14" t="str">
        <f>IFERROR(INDEX('قائمة الوحدات'!$C$2:$C$41,MATCH($B32,'قائمة الوحدات'!$A$2:$A$41,0)),"")</f>
        <v>الجهاز العسكري</v>
      </c>
      <c r="E32" s="14" t="str">
        <f>IFERROR(INDEX('قائمة الوحدات'!$D$2:$D$41,MATCH($B32,'قائمة الوحدات'!$A$2:$A$41,0)),"")</f>
        <v>قيادة القوات البرية</v>
      </c>
      <c r="F32" s="14" t="str">
        <f>IFERROR(INDEX('قائمة الوحدات'!$F$2:$F$41,MATCH($B32,'قائمة الوحدات'!$A$2:$A$41,0)),"")</f>
        <v>قيادة القوات البرية</v>
      </c>
      <c r="G32" s="16" t="s">
        <v>43</v>
      </c>
      <c r="H32" s="14" t="str">
        <f>IFERROR(INDEX(المرجع!$A$2:$A$19,MATCH($G32,المرجع!$B$2:$B$19,0)),"")</f>
        <v>التصميم</v>
      </c>
      <c r="I32" s="16" t="s">
        <v>45</v>
      </c>
      <c r="J32" s="14" t="str">
        <f>IFERROR(INDEX(المرجع!$D$2:$D$19,MATCH($I32,المرجع!$E$2:$E$19,0)),"")</f>
        <v>الدور</v>
      </c>
      <c r="K32" s="16" t="s">
        <v>72</v>
      </c>
      <c r="L32" s="17" t="str">
        <f>IFERROR(INDEX('نقاط التحقق'!$G$2:$G$31,MATCH($K32,'نقاط التحقق'!$A$2:$A$31,0))&amp;"","")</f>
        <v>دور مفصل للوحدة التنظيمية</v>
      </c>
      <c r="M32" s="13">
        <v>69</v>
      </c>
      <c r="N32" s="15" t="str">
        <f>IF($M32="","غير مقيّمة",IF($M32&gt;المرجع!$K$3,"مستوفاة بشكل متقدم",IF($M32&lt;=المرجع!$K$2,"مستوفاة بشكل أولي","مستوفاة بشكل جزئي")))</f>
        <v>مستوفاة بشكل جزئي</v>
      </c>
      <c r="O32" s="18" t="s">
        <v>2170</v>
      </c>
    </row>
    <row r="33" spans="1:15">
      <c r="A33" s="16" t="s">
        <v>837</v>
      </c>
      <c r="B33" s="16" t="s">
        <v>192</v>
      </c>
      <c r="C33" s="15" t="str">
        <f>IFERROR(INDEX('قائمة الوحدات'!$B$2:$B$41,MATCH($B33,'قائمة الوحدات'!$A$2:$A$41,0)),"")</f>
        <v>MIL</v>
      </c>
      <c r="D33" s="14" t="str">
        <f>IFERROR(INDEX('قائمة الوحدات'!$C$2:$C$41,MATCH($B33,'قائمة الوحدات'!$A$2:$A$41,0)),"")</f>
        <v>الجهاز العسكري</v>
      </c>
      <c r="E33" s="14" t="str">
        <f>IFERROR(INDEX('قائمة الوحدات'!$D$2:$D$41,MATCH($B33,'قائمة الوحدات'!$A$2:$A$41,0)),"")</f>
        <v>قيادة القوات البرية</v>
      </c>
      <c r="F33" s="14" t="str">
        <f>IFERROR(INDEX('قائمة الوحدات'!$F$2:$F$41,MATCH($B33,'قائمة الوحدات'!$A$2:$A$41,0)),"")</f>
        <v>قيادة القوات البرية</v>
      </c>
      <c r="G33" s="16" t="s">
        <v>43</v>
      </c>
      <c r="H33" s="14" t="str">
        <f>IFERROR(INDEX(المرجع!$A$2:$A$19,MATCH($G33,المرجع!$B$2:$B$19,0)),"")</f>
        <v>التصميم</v>
      </c>
      <c r="I33" s="16" t="s">
        <v>48</v>
      </c>
      <c r="J33" s="14" t="str">
        <f>IFERROR(INDEX(المرجع!$D$2:$D$19,MATCH($I33,المرجع!$E$2:$E$19,0)),"")</f>
        <v>الأهداف ومؤشرات الأداء</v>
      </c>
      <c r="K33" s="16" t="s">
        <v>74</v>
      </c>
      <c r="L33" s="17" t="str">
        <f>IFERROR(INDEX('نقاط التحقق'!$G$2:$G$31,MATCH($K33,'نقاط التحقق'!$A$2:$A$31,0))&amp;"","")</f>
        <v>أهداف محددة للوحدة التنظيمية وربطها بمؤشرات أداء لقياسها</v>
      </c>
      <c r="M33" s="13">
        <v>65</v>
      </c>
      <c r="N33" s="15" t="str">
        <f>IF($M33="","غير مقيّمة",IF($M33&gt;المرجع!$K$3,"مستوفاة بشكل متقدم",IF($M33&lt;=المرجع!$K$2,"مستوفاة بشكل أولي","مستوفاة بشكل جزئي")))</f>
        <v>مستوفاة بشكل جزئي</v>
      </c>
      <c r="O33" s="18" t="s">
        <v>2170</v>
      </c>
    </row>
    <row r="34" spans="1:15">
      <c r="A34" s="16" t="s">
        <v>838</v>
      </c>
      <c r="B34" s="16" t="s">
        <v>192</v>
      </c>
      <c r="C34" s="15" t="str">
        <f>IFERROR(INDEX('قائمة الوحدات'!$B$2:$B$41,MATCH($B34,'قائمة الوحدات'!$A$2:$A$41,0)),"")</f>
        <v>MIL</v>
      </c>
      <c r="D34" s="14" t="str">
        <f>IFERROR(INDEX('قائمة الوحدات'!$C$2:$C$41,MATCH($B34,'قائمة الوحدات'!$A$2:$A$41,0)),"")</f>
        <v>الجهاز العسكري</v>
      </c>
      <c r="E34" s="14" t="str">
        <f>IFERROR(INDEX('قائمة الوحدات'!$D$2:$D$41,MATCH($B34,'قائمة الوحدات'!$A$2:$A$41,0)),"")</f>
        <v>قيادة القوات البرية</v>
      </c>
      <c r="F34" s="14" t="str">
        <f>IFERROR(INDEX('قائمة الوحدات'!$F$2:$F$41,MATCH($B34,'قائمة الوحدات'!$A$2:$A$41,0)),"")</f>
        <v>قيادة القوات البرية</v>
      </c>
      <c r="G34" s="16" t="s">
        <v>43</v>
      </c>
      <c r="H34" s="14" t="str">
        <f>IFERROR(INDEX(المرجع!$A$2:$A$19,MATCH($G34,المرجع!$B$2:$B$19,0)),"")</f>
        <v>التصميم</v>
      </c>
      <c r="I34" s="16" t="s">
        <v>48</v>
      </c>
      <c r="J34" s="14" t="str">
        <f>IFERROR(INDEX(المرجع!$D$2:$D$19,MATCH($I34,المرجع!$E$2:$E$19,0)),"")</f>
        <v>الأهداف ومؤشرات الأداء</v>
      </c>
      <c r="K34" s="16" t="s">
        <v>76</v>
      </c>
      <c r="L34" s="17" t="str">
        <f>IFERROR(INDEX('نقاط التحقق'!$G$2:$G$31,MATCH($K34,'نقاط التحقق'!$A$2:$A$31,0))&amp;"","")</f>
        <v>مؤشرات أداء الوحدة التنظيمية</v>
      </c>
      <c r="M34" s="13">
        <v>90</v>
      </c>
      <c r="N34" s="15" t="str">
        <f>IF($M34="","غير مقيّمة",IF($M34&gt;المرجع!$K$3,"مستوفاة بشكل متقدم",IF($M34&lt;=المرجع!$K$2,"مستوفاة بشكل أولي","مستوفاة بشكل جزئي")))</f>
        <v>مستوفاة بشكل متقدم</v>
      </c>
      <c r="O34" s="18" t="s">
        <v>2170</v>
      </c>
    </row>
    <row r="35" spans="1:15">
      <c r="A35" s="16" t="s">
        <v>839</v>
      </c>
      <c r="B35" s="16" t="s">
        <v>192</v>
      </c>
      <c r="C35" s="15" t="str">
        <f>IFERROR(INDEX('قائمة الوحدات'!$B$2:$B$41,MATCH($B35,'قائمة الوحدات'!$A$2:$A$41,0)),"")</f>
        <v>MIL</v>
      </c>
      <c r="D35" s="14" t="str">
        <f>IFERROR(INDEX('قائمة الوحدات'!$C$2:$C$41,MATCH($B35,'قائمة الوحدات'!$A$2:$A$41,0)),"")</f>
        <v>الجهاز العسكري</v>
      </c>
      <c r="E35" s="14" t="str">
        <f>IFERROR(INDEX('قائمة الوحدات'!$D$2:$D$41,MATCH($B35,'قائمة الوحدات'!$A$2:$A$41,0)),"")</f>
        <v>قيادة القوات البرية</v>
      </c>
      <c r="F35" s="14" t="str">
        <f>IFERROR(INDEX('قائمة الوحدات'!$F$2:$F$41,MATCH($B35,'قائمة الوحدات'!$A$2:$A$41,0)),"")</f>
        <v>قيادة القوات البرية</v>
      </c>
      <c r="G35" s="16" t="s">
        <v>43</v>
      </c>
      <c r="H35" s="14" t="str">
        <f>IFERROR(INDEX(المرجع!$A$2:$A$19,MATCH($G35,المرجع!$B$2:$B$19,0)),"")</f>
        <v>التصميم</v>
      </c>
      <c r="I35" s="16" t="s">
        <v>51</v>
      </c>
      <c r="J35" s="14" t="str">
        <f>IFERROR(INDEX(المرجع!$D$2:$D$19,MATCH($I35,المرجع!$E$2:$E$19,0)),"")</f>
        <v>الحوكمة</v>
      </c>
      <c r="K35" s="16" t="s">
        <v>78</v>
      </c>
      <c r="L35" s="17" t="str">
        <f>IFERROR(INDEX('نقاط التحقق'!$G$2:$G$31,MATCH($K35,'نقاط التحقق'!$A$2:$A$31,0))&amp;"","")</f>
        <v>تفصيل القرارات ومصفوفة الصلاحيات واللجان ذات العلاقة لاعتماد مخرجات الوحدة التنظيمية</v>
      </c>
      <c r="M35" s="13">
        <v>76</v>
      </c>
      <c r="N35" s="15" t="str">
        <f>IF($M35="","غير مقيّمة",IF($M35&gt;المرجع!$K$3,"مستوفاة بشكل متقدم",IF($M35&lt;=المرجع!$K$2,"مستوفاة بشكل أولي","مستوفاة بشكل جزئي")))</f>
        <v>مستوفاة بشكل متقدم</v>
      </c>
      <c r="O35" s="18" t="s">
        <v>2170</v>
      </c>
    </row>
    <row r="36" spans="1:15">
      <c r="A36" s="16" t="s">
        <v>840</v>
      </c>
      <c r="B36" s="16" t="s">
        <v>192</v>
      </c>
      <c r="C36" s="15" t="str">
        <f>IFERROR(INDEX('قائمة الوحدات'!$B$2:$B$41,MATCH($B36,'قائمة الوحدات'!$A$2:$A$41,0)),"")</f>
        <v>MIL</v>
      </c>
      <c r="D36" s="14" t="str">
        <f>IFERROR(INDEX('قائمة الوحدات'!$C$2:$C$41,MATCH($B36,'قائمة الوحدات'!$A$2:$A$41,0)),"")</f>
        <v>الجهاز العسكري</v>
      </c>
      <c r="E36" s="14" t="str">
        <f>IFERROR(INDEX('قائمة الوحدات'!$D$2:$D$41,MATCH($B36,'قائمة الوحدات'!$A$2:$A$41,0)),"")</f>
        <v>قيادة القوات البرية</v>
      </c>
      <c r="F36" s="14" t="str">
        <f>IFERROR(INDEX('قائمة الوحدات'!$F$2:$F$41,MATCH($B36,'قائمة الوحدات'!$A$2:$A$41,0)),"")</f>
        <v>قيادة القوات البرية</v>
      </c>
      <c r="G36" s="16" t="s">
        <v>43</v>
      </c>
      <c r="H36" s="14" t="str">
        <f>IFERROR(INDEX(المرجع!$A$2:$A$19,MATCH($G36,المرجع!$B$2:$B$19,0)),"")</f>
        <v>التصميم</v>
      </c>
      <c r="I36" s="16" t="s">
        <v>54</v>
      </c>
      <c r="J36" s="14" t="str">
        <f>IFERROR(INDEX(المرجع!$D$2:$D$19,MATCH($I36,المرجع!$E$2:$E$19,0)),"")</f>
        <v>التنظيم</v>
      </c>
      <c r="K36" s="16" t="s">
        <v>80</v>
      </c>
      <c r="L36" s="17" t="str">
        <f>IFERROR(INDEX('نقاط التحقق'!$G$2:$G$31,MATCH($K36,'نقاط التحقق'!$A$2:$A$31,0))&amp;"","")</f>
        <v>تطوير الأدوار والمسؤوليات للوحدة التنظيمية وتفصيل الهيكل التنظيمي</v>
      </c>
      <c r="M36" s="13">
        <v>69</v>
      </c>
      <c r="N36" s="15" t="str">
        <f>IF($M36="","غير مقيّمة",IF($M36&gt;المرجع!$K$3,"مستوفاة بشكل متقدم",IF($M36&lt;=المرجع!$K$2,"مستوفاة بشكل أولي","مستوفاة بشكل جزئي")))</f>
        <v>مستوفاة بشكل جزئي</v>
      </c>
      <c r="O36" s="18" t="s">
        <v>2170</v>
      </c>
    </row>
    <row r="37" spans="1:15">
      <c r="A37" s="16" t="s">
        <v>841</v>
      </c>
      <c r="B37" s="16" t="s">
        <v>192</v>
      </c>
      <c r="C37" s="15" t="str">
        <f>IFERROR(INDEX('قائمة الوحدات'!$B$2:$B$41,MATCH($B37,'قائمة الوحدات'!$A$2:$A$41,0)),"")</f>
        <v>MIL</v>
      </c>
      <c r="D37" s="14" t="str">
        <f>IFERROR(INDEX('قائمة الوحدات'!$C$2:$C$41,MATCH($B37,'قائمة الوحدات'!$A$2:$A$41,0)),"")</f>
        <v>الجهاز العسكري</v>
      </c>
      <c r="E37" s="14" t="str">
        <f>IFERROR(INDEX('قائمة الوحدات'!$D$2:$D$41,MATCH($B37,'قائمة الوحدات'!$A$2:$A$41,0)),"")</f>
        <v>قيادة القوات البرية</v>
      </c>
      <c r="F37" s="14" t="str">
        <f>IFERROR(INDEX('قائمة الوحدات'!$F$2:$F$41,MATCH($B37,'قائمة الوحدات'!$A$2:$A$41,0)),"")</f>
        <v>قيادة القوات البرية</v>
      </c>
      <c r="G37" s="16" t="s">
        <v>43</v>
      </c>
      <c r="H37" s="14" t="str">
        <f>IFERROR(INDEX(المرجع!$A$2:$A$19,MATCH($G37,المرجع!$B$2:$B$19,0)),"")</f>
        <v>التصميم</v>
      </c>
      <c r="I37" s="16" t="s">
        <v>56</v>
      </c>
      <c r="J37" s="14" t="str">
        <f>IFERROR(INDEX(المرجع!$D$2:$D$19,MATCH($I37,المرجع!$E$2:$E$19,0)),"")</f>
        <v>الموارد</v>
      </c>
      <c r="K37" s="16" t="s">
        <v>82</v>
      </c>
      <c r="L37" s="17" t="str">
        <f>IFERROR(INDEX('نقاط التحقق'!$G$2:$G$31,MATCH($K37,'نقاط التحقق'!$A$2:$A$31,0))&amp;"","")</f>
        <v>تفصيل احتياج الموارد البشرية للوحدة التنظيمية</v>
      </c>
      <c r="M37" s="13">
        <v>79</v>
      </c>
      <c r="N37" s="15" t="str">
        <f>IF($M37="","غير مقيّمة",IF($M37&gt;المرجع!$K$3,"مستوفاة بشكل متقدم",IF($M37&lt;=المرجع!$K$2,"مستوفاة بشكل أولي","مستوفاة بشكل جزئي")))</f>
        <v>مستوفاة بشكل متقدم</v>
      </c>
      <c r="O37" s="18" t="s">
        <v>2170</v>
      </c>
    </row>
    <row r="38" spans="1:15">
      <c r="A38" s="16" t="s">
        <v>842</v>
      </c>
      <c r="B38" s="16" t="s">
        <v>192</v>
      </c>
      <c r="C38" s="15" t="str">
        <f>IFERROR(INDEX('قائمة الوحدات'!$B$2:$B$41,MATCH($B38,'قائمة الوحدات'!$A$2:$A$41,0)),"")</f>
        <v>MIL</v>
      </c>
      <c r="D38" s="14" t="str">
        <f>IFERROR(INDEX('قائمة الوحدات'!$C$2:$C$41,MATCH($B38,'قائمة الوحدات'!$A$2:$A$41,0)),"")</f>
        <v>الجهاز العسكري</v>
      </c>
      <c r="E38" s="14" t="str">
        <f>IFERROR(INDEX('قائمة الوحدات'!$D$2:$D$41,MATCH($B38,'قائمة الوحدات'!$A$2:$A$41,0)),"")</f>
        <v>قيادة القوات البرية</v>
      </c>
      <c r="F38" s="14" t="str">
        <f>IFERROR(INDEX('قائمة الوحدات'!$F$2:$F$41,MATCH($B38,'قائمة الوحدات'!$A$2:$A$41,0)),"")</f>
        <v>قيادة القوات البرية</v>
      </c>
      <c r="G38" s="16" t="s">
        <v>43</v>
      </c>
      <c r="H38" s="14" t="str">
        <f>IFERROR(INDEX(المرجع!$A$2:$A$19,MATCH($G38,المرجع!$B$2:$B$19,0)),"")</f>
        <v>التصميم</v>
      </c>
      <c r="I38" s="16" t="s">
        <v>59</v>
      </c>
      <c r="J38" s="14" t="str">
        <f>IFERROR(INDEX(المرجع!$D$2:$D$19,MATCH($I38,المرجع!$E$2:$E$19,0)),"")</f>
        <v>الإجراءات</v>
      </c>
      <c r="K38" s="16" t="s">
        <v>84</v>
      </c>
      <c r="L38" s="17" t="str">
        <f>IFERROR(INDEX('نقاط التحقق'!$G$2:$G$31,MATCH($K38,'نقاط التحقق'!$A$2:$A$31,0))&amp;"","")</f>
        <v>تفصيل المخرجات إلى إجراءات عالية المستوى</v>
      </c>
      <c r="M38" s="13">
        <v>83</v>
      </c>
      <c r="N38" s="15" t="str">
        <f>IF($M38="","غير مقيّمة",IF($M38&gt;المرجع!$K$3,"مستوفاة بشكل متقدم",IF($M38&lt;=المرجع!$K$2,"مستوفاة بشكل أولي","مستوفاة بشكل جزئي")))</f>
        <v>مستوفاة بشكل متقدم</v>
      </c>
      <c r="O38" s="18" t="s">
        <v>2170</v>
      </c>
    </row>
    <row r="39" spans="1:15">
      <c r="A39" s="16" t="s">
        <v>843</v>
      </c>
      <c r="B39" s="16" t="s">
        <v>192</v>
      </c>
      <c r="C39" s="15" t="str">
        <f>IFERROR(INDEX('قائمة الوحدات'!$B$2:$B$41,MATCH($B39,'قائمة الوحدات'!$A$2:$A$41,0)),"")</f>
        <v>MIL</v>
      </c>
      <c r="D39" s="14" t="str">
        <f>IFERROR(INDEX('قائمة الوحدات'!$C$2:$C$41,MATCH($B39,'قائمة الوحدات'!$A$2:$A$41,0)),"")</f>
        <v>الجهاز العسكري</v>
      </c>
      <c r="E39" s="14" t="str">
        <f>IFERROR(INDEX('قائمة الوحدات'!$D$2:$D$41,MATCH($B39,'قائمة الوحدات'!$A$2:$A$41,0)),"")</f>
        <v>قيادة القوات البرية</v>
      </c>
      <c r="F39" s="14" t="str">
        <f>IFERROR(INDEX('قائمة الوحدات'!$F$2:$F$41,MATCH($B39,'قائمة الوحدات'!$A$2:$A$41,0)),"")</f>
        <v>قيادة القوات البرية</v>
      </c>
      <c r="G39" s="16" t="s">
        <v>61</v>
      </c>
      <c r="H39" s="14" t="str">
        <f>IFERROR(INDEX(المرجع!$A$2:$A$19,MATCH($G39,المرجع!$B$2:$B$19,0)),"")</f>
        <v>البناء المؤسسي</v>
      </c>
      <c r="I39" s="16" t="s">
        <v>45</v>
      </c>
      <c r="J39" s="14" t="str">
        <f>IFERROR(INDEX(المرجع!$D$2:$D$19,MATCH($I39,المرجع!$E$2:$E$19,0)),"")</f>
        <v>الدور</v>
      </c>
      <c r="K39" s="16" t="s">
        <v>86</v>
      </c>
      <c r="L39" s="17" t="str">
        <f>IFERROR(INDEX('نقاط التحقق'!$G$2:$G$31,MATCH($K39,'نقاط التحقق'!$A$2:$A$31,0))&amp;"","")</f>
        <v>دور معتمد للوحدة التنظيمية</v>
      </c>
      <c r="M39" s="13">
        <v>74</v>
      </c>
      <c r="N39" s="15" t="str">
        <f>IF($M39="","غير مقيّمة",IF($M39&gt;المرجع!$K$3,"مستوفاة بشكل متقدم",IF($M39&lt;=المرجع!$K$2,"مستوفاة بشكل أولي","مستوفاة بشكل جزئي")))</f>
        <v>مستوفاة بشكل متقدم</v>
      </c>
      <c r="O39" s="18" t="s">
        <v>2170</v>
      </c>
    </row>
    <row r="40" spans="1:15">
      <c r="A40" s="16" t="s">
        <v>844</v>
      </c>
      <c r="B40" s="16" t="s">
        <v>192</v>
      </c>
      <c r="C40" s="15" t="str">
        <f>IFERROR(INDEX('قائمة الوحدات'!$B$2:$B$41,MATCH($B40,'قائمة الوحدات'!$A$2:$A$41,0)),"")</f>
        <v>MIL</v>
      </c>
      <c r="D40" s="14" t="str">
        <f>IFERROR(INDEX('قائمة الوحدات'!$C$2:$C$41,MATCH($B40,'قائمة الوحدات'!$A$2:$A$41,0)),"")</f>
        <v>الجهاز العسكري</v>
      </c>
      <c r="E40" s="14" t="str">
        <f>IFERROR(INDEX('قائمة الوحدات'!$D$2:$D$41,MATCH($B40,'قائمة الوحدات'!$A$2:$A$41,0)),"")</f>
        <v>قيادة القوات البرية</v>
      </c>
      <c r="F40" s="14" t="str">
        <f>IFERROR(INDEX('قائمة الوحدات'!$F$2:$F$41,MATCH($B40,'قائمة الوحدات'!$A$2:$A$41,0)),"")</f>
        <v>قيادة القوات البرية</v>
      </c>
      <c r="G40" s="16" t="s">
        <v>61</v>
      </c>
      <c r="H40" s="14" t="str">
        <f>IFERROR(INDEX(المرجع!$A$2:$A$19,MATCH($G40,المرجع!$B$2:$B$19,0)),"")</f>
        <v>البناء المؤسسي</v>
      </c>
      <c r="I40" s="16" t="s">
        <v>48</v>
      </c>
      <c r="J40" s="14" t="str">
        <f>IFERROR(INDEX(المرجع!$D$2:$D$19,MATCH($I40,المرجع!$E$2:$E$19,0)),"")</f>
        <v>الأهداف ومؤشرات الأداء</v>
      </c>
      <c r="K40" s="16" t="s">
        <v>88</v>
      </c>
      <c r="L40" s="17" t="str">
        <f>IFERROR(INDEX('نقاط التحقق'!$G$2:$G$31,MATCH($K40,'نقاط التحقق'!$A$2:$A$31,0))&amp;"","")</f>
        <v>أهداف تشغيلية معتمدة من صاحب الصلاحية</v>
      </c>
      <c r="M40" s="13">
        <v>45</v>
      </c>
      <c r="N40" s="15" t="str">
        <f>IF($M40="","غير مقيّمة",IF($M40&gt;المرجع!$K$3,"مستوفاة بشكل متقدم",IF($M40&lt;=المرجع!$K$2,"مستوفاة بشكل أولي","مستوفاة بشكل جزئي")))</f>
        <v>مستوفاة بشكل جزئي</v>
      </c>
      <c r="O40" s="18" t="s">
        <v>2170</v>
      </c>
    </row>
    <row r="41" spans="1:15">
      <c r="A41" s="16" t="s">
        <v>845</v>
      </c>
      <c r="B41" s="16" t="s">
        <v>192</v>
      </c>
      <c r="C41" s="15" t="str">
        <f>IFERROR(INDEX('قائمة الوحدات'!$B$2:$B$41,MATCH($B41,'قائمة الوحدات'!$A$2:$A$41,0)),"")</f>
        <v>MIL</v>
      </c>
      <c r="D41" s="14" t="str">
        <f>IFERROR(INDEX('قائمة الوحدات'!$C$2:$C$41,MATCH($B41,'قائمة الوحدات'!$A$2:$A$41,0)),"")</f>
        <v>الجهاز العسكري</v>
      </c>
      <c r="E41" s="14" t="str">
        <f>IFERROR(INDEX('قائمة الوحدات'!$D$2:$D$41,MATCH($B41,'قائمة الوحدات'!$A$2:$A$41,0)),"")</f>
        <v>قيادة القوات البرية</v>
      </c>
      <c r="F41" s="14" t="str">
        <f>IFERROR(INDEX('قائمة الوحدات'!$F$2:$F$41,MATCH($B41,'قائمة الوحدات'!$A$2:$A$41,0)),"")</f>
        <v>قيادة القوات البرية</v>
      </c>
      <c r="G41" s="16" t="s">
        <v>61</v>
      </c>
      <c r="H41" s="14" t="str">
        <f>IFERROR(INDEX(المرجع!$A$2:$A$19,MATCH($G41,المرجع!$B$2:$B$19,0)),"")</f>
        <v>البناء المؤسسي</v>
      </c>
      <c r="I41" s="16" t="s">
        <v>48</v>
      </c>
      <c r="J41" s="14" t="str">
        <f>IFERROR(INDEX(المرجع!$D$2:$D$19,MATCH($I41,المرجع!$E$2:$E$19,0)),"")</f>
        <v>الأهداف ومؤشرات الأداء</v>
      </c>
      <c r="K41" s="16" t="s">
        <v>90</v>
      </c>
      <c r="L41" s="17" t="str">
        <f>IFERROR(INDEX('نقاط التحقق'!$G$2:$G$31,MATCH($K41,'نقاط التحقق'!$A$2:$A$31,0))&amp;"","")</f>
        <v>نشر الأهداف التشغيلية على موظفي الوحدة التنظيمية</v>
      </c>
      <c r="M41" s="13">
        <v>70</v>
      </c>
      <c r="N41" s="15" t="str">
        <f>IF($M41="","غير مقيّمة",IF($M41&gt;المرجع!$K$3,"مستوفاة بشكل متقدم",IF($M41&lt;=المرجع!$K$2,"مستوفاة بشكل أولي","مستوفاة بشكل جزئي")))</f>
        <v>مستوفاة بشكل جزئي</v>
      </c>
      <c r="O41" s="18" t="s">
        <v>2170</v>
      </c>
    </row>
    <row r="42" spans="1:15">
      <c r="A42" s="16" t="s">
        <v>846</v>
      </c>
      <c r="B42" s="16" t="s">
        <v>192</v>
      </c>
      <c r="C42" s="15" t="str">
        <f>IFERROR(INDEX('قائمة الوحدات'!$B$2:$B$41,MATCH($B42,'قائمة الوحدات'!$A$2:$A$41,0)),"")</f>
        <v>MIL</v>
      </c>
      <c r="D42" s="14" t="str">
        <f>IFERROR(INDEX('قائمة الوحدات'!$C$2:$C$41,MATCH($B42,'قائمة الوحدات'!$A$2:$A$41,0)),"")</f>
        <v>الجهاز العسكري</v>
      </c>
      <c r="E42" s="14" t="str">
        <f>IFERROR(INDEX('قائمة الوحدات'!$D$2:$D$41,MATCH($B42,'قائمة الوحدات'!$A$2:$A$41,0)),"")</f>
        <v>قيادة القوات البرية</v>
      </c>
      <c r="F42" s="14" t="str">
        <f>IFERROR(INDEX('قائمة الوحدات'!$F$2:$F$41,MATCH($B42,'قائمة الوحدات'!$A$2:$A$41,0)),"")</f>
        <v>قيادة القوات البرية</v>
      </c>
      <c r="G42" s="16" t="s">
        <v>61</v>
      </c>
      <c r="H42" s="14" t="str">
        <f>IFERROR(INDEX(المرجع!$A$2:$A$19,MATCH($G42,المرجع!$B$2:$B$19,0)),"")</f>
        <v>البناء المؤسسي</v>
      </c>
      <c r="I42" s="16" t="s">
        <v>51</v>
      </c>
      <c r="J42" s="14" t="str">
        <f>IFERROR(INDEX(المرجع!$D$2:$D$19,MATCH($I42,المرجع!$E$2:$E$19,0)),"")</f>
        <v>الحوكمة</v>
      </c>
      <c r="K42" s="16" t="s">
        <v>92</v>
      </c>
      <c r="L42" s="17" t="str">
        <f>IFERROR(INDEX('نقاط التحقق'!$G$2:$G$31,MATCH($K42,'نقاط التحقق'!$A$2:$A$31,0))&amp;"","")</f>
        <v>مصفوفة صلاحيات معتمدة ومعممة على أصحاب المصلحة</v>
      </c>
      <c r="M42" s="13">
        <v>75</v>
      </c>
      <c r="N42" s="15" t="str">
        <f>IF($M42="","غير مقيّمة",IF($M42&gt;المرجع!$K$3,"مستوفاة بشكل متقدم",IF($M42&lt;=المرجع!$K$2,"مستوفاة بشكل أولي","مستوفاة بشكل جزئي")))</f>
        <v>مستوفاة بشكل متقدم</v>
      </c>
      <c r="O42" s="18" t="s">
        <v>2170</v>
      </c>
    </row>
    <row r="43" spans="1:15">
      <c r="A43" s="16" t="s">
        <v>847</v>
      </c>
      <c r="B43" s="16" t="s">
        <v>192</v>
      </c>
      <c r="C43" s="15" t="str">
        <f>IFERROR(INDEX('قائمة الوحدات'!$B$2:$B$41,MATCH($B43,'قائمة الوحدات'!$A$2:$A$41,0)),"")</f>
        <v>MIL</v>
      </c>
      <c r="D43" s="14" t="str">
        <f>IFERROR(INDEX('قائمة الوحدات'!$C$2:$C$41,MATCH($B43,'قائمة الوحدات'!$A$2:$A$41,0)),"")</f>
        <v>الجهاز العسكري</v>
      </c>
      <c r="E43" s="14" t="str">
        <f>IFERROR(INDEX('قائمة الوحدات'!$D$2:$D$41,MATCH($B43,'قائمة الوحدات'!$A$2:$A$41,0)),"")</f>
        <v>قيادة القوات البرية</v>
      </c>
      <c r="F43" s="14" t="str">
        <f>IFERROR(INDEX('قائمة الوحدات'!$F$2:$F$41,MATCH($B43,'قائمة الوحدات'!$A$2:$A$41,0)),"")</f>
        <v>قيادة القوات البرية</v>
      </c>
      <c r="G43" s="16" t="s">
        <v>61</v>
      </c>
      <c r="H43" s="14" t="str">
        <f>IFERROR(INDEX(المرجع!$A$2:$A$19,MATCH($G43,المرجع!$B$2:$B$19,0)),"")</f>
        <v>البناء المؤسسي</v>
      </c>
      <c r="I43" s="16" t="s">
        <v>51</v>
      </c>
      <c r="J43" s="14" t="str">
        <f>IFERROR(INDEX(المرجع!$D$2:$D$19,MATCH($I43,المرجع!$E$2:$E$19,0)),"")</f>
        <v>الحوكمة</v>
      </c>
      <c r="K43" s="16" t="s">
        <v>94</v>
      </c>
      <c r="L43" s="17" t="str">
        <f>IFERROR(INDEX('نقاط التحقق'!$G$2:$G$31,MATCH($K43,'نقاط التحقق'!$A$2:$A$31,0))&amp;"","")</f>
        <v>سياسات معتمدة للتي تملكها الوحدة التنظيمية</v>
      </c>
      <c r="M43" s="13">
        <v>75</v>
      </c>
      <c r="N43" s="15" t="str">
        <f>IF($M43="","غير مقيّمة",IF($M43&gt;المرجع!$K$3,"مستوفاة بشكل متقدم",IF($M43&lt;=المرجع!$K$2,"مستوفاة بشكل أولي","مستوفاة بشكل جزئي")))</f>
        <v>مستوفاة بشكل متقدم</v>
      </c>
      <c r="O43" s="18" t="s">
        <v>2170</v>
      </c>
    </row>
    <row r="44" spans="1:15">
      <c r="A44" s="16" t="s">
        <v>848</v>
      </c>
      <c r="B44" s="16" t="s">
        <v>192</v>
      </c>
      <c r="C44" s="15" t="str">
        <f>IFERROR(INDEX('قائمة الوحدات'!$B$2:$B$41,MATCH($B44,'قائمة الوحدات'!$A$2:$A$41,0)),"")</f>
        <v>MIL</v>
      </c>
      <c r="D44" s="14" t="str">
        <f>IFERROR(INDEX('قائمة الوحدات'!$C$2:$C$41,MATCH($B44,'قائمة الوحدات'!$A$2:$A$41,0)),"")</f>
        <v>الجهاز العسكري</v>
      </c>
      <c r="E44" s="14" t="str">
        <f>IFERROR(INDEX('قائمة الوحدات'!$D$2:$D$41,MATCH($B44,'قائمة الوحدات'!$A$2:$A$41,0)),"")</f>
        <v>قيادة القوات البرية</v>
      </c>
      <c r="F44" s="14" t="str">
        <f>IFERROR(INDEX('قائمة الوحدات'!$F$2:$F$41,MATCH($B44,'قائمة الوحدات'!$A$2:$A$41,0)),"")</f>
        <v>قيادة القوات البرية</v>
      </c>
      <c r="G44" s="16" t="s">
        <v>61</v>
      </c>
      <c r="H44" s="14" t="str">
        <f>IFERROR(INDEX(المرجع!$A$2:$A$19,MATCH($G44,المرجع!$B$2:$B$19,0)),"")</f>
        <v>البناء المؤسسي</v>
      </c>
      <c r="I44" s="16" t="s">
        <v>51</v>
      </c>
      <c r="J44" s="14" t="str">
        <f>IFERROR(INDEX(المرجع!$D$2:$D$19,MATCH($I44,المرجع!$E$2:$E$19,0)),"")</f>
        <v>الحوكمة</v>
      </c>
      <c r="K44" s="16" t="s">
        <v>96</v>
      </c>
      <c r="L44" s="17" t="str">
        <f>IFERROR(INDEX('نقاط التحقق'!$G$2:$G$31,MATCH($K44,'نقاط التحقق'!$A$2:$A$31,0))&amp;"","")</f>
        <v>قرار تشكيل معتمد للجان ذات العلاقة</v>
      </c>
      <c r="M44" s="13">
        <v>65</v>
      </c>
      <c r="N44" s="15" t="str">
        <f>IF($M44="","غير مقيّمة",IF($M44&gt;المرجع!$K$3,"مستوفاة بشكل متقدم",IF($M44&lt;=المرجع!$K$2,"مستوفاة بشكل أولي","مستوفاة بشكل جزئي")))</f>
        <v>مستوفاة بشكل جزئي</v>
      </c>
      <c r="O44" s="18" t="s">
        <v>2170</v>
      </c>
    </row>
    <row r="45" spans="1:15">
      <c r="A45" s="16" t="s">
        <v>849</v>
      </c>
      <c r="B45" s="16" t="s">
        <v>192</v>
      </c>
      <c r="C45" s="15" t="str">
        <f>IFERROR(INDEX('قائمة الوحدات'!$B$2:$B$41,MATCH($B45,'قائمة الوحدات'!$A$2:$A$41,0)),"")</f>
        <v>MIL</v>
      </c>
      <c r="D45" s="14" t="str">
        <f>IFERROR(INDEX('قائمة الوحدات'!$C$2:$C$41,MATCH($B45,'قائمة الوحدات'!$A$2:$A$41,0)),"")</f>
        <v>الجهاز العسكري</v>
      </c>
      <c r="E45" s="14" t="str">
        <f>IFERROR(INDEX('قائمة الوحدات'!$D$2:$D$41,MATCH($B45,'قائمة الوحدات'!$A$2:$A$41,0)),"")</f>
        <v>قيادة القوات البرية</v>
      </c>
      <c r="F45" s="14" t="str">
        <f>IFERROR(INDEX('قائمة الوحدات'!$F$2:$F$41,MATCH($B45,'قائمة الوحدات'!$A$2:$A$41,0)),"")</f>
        <v>قيادة القوات البرية</v>
      </c>
      <c r="G45" s="16" t="s">
        <v>61</v>
      </c>
      <c r="H45" s="14" t="str">
        <f>IFERROR(INDEX(المرجع!$A$2:$A$19,MATCH($G45,المرجع!$B$2:$B$19,0)),"")</f>
        <v>البناء المؤسسي</v>
      </c>
      <c r="I45" s="16" t="s">
        <v>54</v>
      </c>
      <c r="J45" s="14" t="str">
        <f>IFERROR(INDEX(المرجع!$D$2:$D$19,MATCH($I45,المرجع!$E$2:$E$19,0)),"")</f>
        <v>التنظيم</v>
      </c>
      <c r="K45" s="16" t="s">
        <v>98</v>
      </c>
      <c r="L45" s="17" t="str">
        <f>IFERROR(INDEX('نقاط التحقق'!$G$2:$G$31,MATCH($K45,'نقاط التحقق'!$A$2:$A$31,0))&amp;"","")</f>
        <v>هيكل تنظيمي معتمد من صاحب الصلاحية</v>
      </c>
      <c r="M45" s="13">
        <v>60</v>
      </c>
      <c r="N45" s="15" t="str">
        <f>IF($M45="","غير مقيّمة",IF($M45&gt;المرجع!$K$3,"مستوفاة بشكل متقدم",IF($M45&lt;=المرجع!$K$2,"مستوفاة بشكل أولي","مستوفاة بشكل جزئي")))</f>
        <v>مستوفاة بشكل جزئي</v>
      </c>
      <c r="O45" s="18" t="s">
        <v>2170</v>
      </c>
    </row>
    <row r="46" spans="1:15">
      <c r="A46" s="16" t="s">
        <v>850</v>
      </c>
      <c r="B46" s="16" t="s">
        <v>192</v>
      </c>
      <c r="C46" s="15" t="str">
        <f>IFERROR(INDEX('قائمة الوحدات'!$B$2:$B$41,MATCH($B46,'قائمة الوحدات'!$A$2:$A$41,0)),"")</f>
        <v>MIL</v>
      </c>
      <c r="D46" s="14" t="str">
        <f>IFERROR(INDEX('قائمة الوحدات'!$C$2:$C$41,MATCH($B46,'قائمة الوحدات'!$A$2:$A$41,0)),"")</f>
        <v>الجهاز العسكري</v>
      </c>
      <c r="E46" s="14" t="str">
        <f>IFERROR(INDEX('قائمة الوحدات'!$D$2:$D$41,MATCH($B46,'قائمة الوحدات'!$A$2:$A$41,0)),"")</f>
        <v>قيادة القوات البرية</v>
      </c>
      <c r="F46" s="14" t="str">
        <f>IFERROR(INDEX('قائمة الوحدات'!$F$2:$F$41,MATCH($B46,'قائمة الوحدات'!$A$2:$A$41,0)),"")</f>
        <v>قيادة القوات البرية</v>
      </c>
      <c r="G46" s="16" t="s">
        <v>61</v>
      </c>
      <c r="H46" s="14" t="str">
        <f>IFERROR(INDEX(المرجع!$A$2:$A$19,MATCH($G46,المرجع!$B$2:$B$19,0)),"")</f>
        <v>البناء المؤسسي</v>
      </c>
      <c r="I46" s="16" t="s">
        <v>54</v>
      </c>
      <c r="J46" s="14" t="str">
        <f>IFERROR(INDEX(المرجع!$D$2:$D$19,MATCH($I46,المرجع!$E$2:$E$19,0)),"")</f>
        <v>التنظيم</v>
      </c>
      <c r="K46" s="16" t="s">
        <v>100</v>
      </c>
      <c r="L46" s="17" t="str">
        <f>IFERROR(INDEX('نقاط التحقق'!$G$2:$G$31,MATCH($K46,'نقاط التحقق'!$A$2:$A$31,0))&amp;"","")</f>
        <v>هيكل تنظيمي منشأ على نظام القوى العاملة</v>
      </c>
      <c r="M46" s="13">
        <v>30</v>
      </c>
      <c r="N46" s="15" t="str">
        <f>IF($M46="","غير مقيّمة",IF($M46&gt;المرجع!$K$3,"مستوفاة بشكل متقدم",IF($M46&lt;=المرجع!$K$2,"مستوفاة بشكل أولي","مستوفاة بشكل جزئي")))</f>
        <v>مستوفاة بشكل أولي</v>
      </c>
      <c r="O46" s="18" t="s">
        <v>2170</v>
      </c>
    </row>
    <row r="47" spans="1:15">
      <c r="A47" s="16" t="s">
        <v>851</v>
      </c>
      <c r="B47" s="16" t="s">
        <v>192</v>
      </c>
      <c r="C47" s="15" t="str">
        <f>IFERROR(INDEX('قائمة الوحدات'!$B$2:$B$41,MATCH($B47,'قائمة الوحدات'!$A$2:$A$41,0)),"")</f>
        <v>MIL</v>
      </c>
      <c r="D47" s="14" t="str">
        <f>IFERROR(INDEX('قائمة الوحدات'!$C$2:$C$41,MATCH($B47,'قائمة الوحدات'!$A$2:$A$41,0)),"")</f>
        <v>الجهاز العسكري</v>
      </c>
      <c r="E47" s="14" t="str">
        <f>IFERROR(INDEX('قائمة الوحدات'!$D$2:$D$41,MATCH($B47,'قائمة الوحدات'!$A$2:$A$41,0)),"")</f>
        <v>قيادة القوات البرية</v>
      </c>
      <c r="F47" s="14" t="str">
        <f>IFERROR(INDEX('قائمة الوحدات'!$F$2:$F$41,MATCH($B47,'قائمة الوحدات'!$A$2:$A$41,0)),"")</f>
        <v>قيادة القوات البرية</v>
      </c>
      <c r="G47" s="16" t="s">
        <v>61</v>
      </c>
      <c r="H47" s="14" t="str">
        <f>IFERROR(INDEX(المرجع!$A$2:$A$19,MATCH($G47,المرجع!$B$2:$B$19,0)),"")</f>
        <v>البناء المؤسسي</v>
      </c>
      <c r="I47" s="16" t="s">
        <v>54</v>
      </c>
      <c r="J47" s="14" t="str">
        <f>IFERROR(INDEX(المرجع!$D$2:$D$19,MATCH($I47,المرجع!$E$2:$E$19,0)),"")</f>
        <v>التنظيم</v>
      </c>
      <c r="K47" s="16" t="s">
        <v>102</v>
      </c>
      <c r="L47" s="17" t="str">
        <f>IFERROR(INDEX('نقاط التحقق'!$G$2:$G$31,MATCH($K47,'نقاط التحقق'!$A$2:$A$31,0))&amp;"","")</f>
        <v>الموظفون المحددون مسكّنون على الهيكل التنظيمي المستهدف</v>
      </c>
      <c r="M47" s="13">
        <v>40</v>
      </c>
      <c r="N47" s="15" t="str">
        <f>IF($M47="","غير مقيّمة",IF($M47&gt;المرجع!$K$3,"مستوفاة بشكل متقدم",IF($M47&lt;=المرجع!$K$2,"مستوفاة بشكل أولي","مستوفاة بشكل جزئي")))</f>
        <v>مستوفاة بشكل جزئي</v>
      </c>
      <c r="O47" s="18" t="s">
        <v>2170</v>
      </c>
    </row>
    <row r="48" spans="1:15">
      <c r="A48" s="16" t="s">
        <v>852</v>
      </c>
      <c r="B48" s="16" t="s">
        <v>192</v>
      </c>
      <c r="C48" s="15" t="str">
        <f>IFERROR(INDEX('قائمة الوحدات'!$B$2:$B$41,MATCH($B48,'قائمة الوحدات'!$A$2:$A$41,0)),"")</f>
        <v>MIL</v>
      </c>
      <c r="D48" s="14" t="str">
        <f>IFERROR(INDEX('قائمة الوحدات'!$C$2:$C$41,MATCH($B48,'قائمة الوحدات'!$A$2:$A$41,0)),"")</f>
        <v>الجهاز العسكري</v>
      </c>
      <c r="E48" s="14" t="str">
        <f>IFERROR(INDEX('قائمة الوحدات'!$D$2:$D$41,MATCH($B48,'قائمة الوحدات'!$A$2:$A$41,0)),"")</f>
        <v>قيادة القوات البرية</v>
      </c>
      <c r="F48" s="14" t="str">
        <f>IFERROR(INDEX('قائمة الوحدات'!$F$2:$F$41,MATCH($B48,'قائمة الوحدات'!$A$2:$A$41,0)),"")</f>
        <v>قيادة القوات البرية</v>
      </c>
      <c r="G48" s="16" t="s">
        <v>61</v>
      </c>
      <c r="H48" s="14" t="str">
        <f>IFERROR(INDEX(المرجع!$A$2:$A$19,MATCH($G48,المرجع!$B$2:$B$19,0)),"")</f>
        <v>البناء المؤسسي</v>
      </c>
      <c r="I48" s="16" t="s">
        <v>56</v>
      </c>
      <c r="J48" s="14" t="str">
        <f>IFERROR(INDEX(المرجع!$D$2:$D$19,MATCH($I48,المرجع!$E$2:$E$19,0)),"")</f>
        <v>الموارد</v>
      </c>
      <c r="K48" s="16" t="s">
        <v>104</v>
      </c>
      <c r="L48" s="17" t="str">
        <f>IFERROR(INDEX('نقاط التحقق'!$G$2:$G$31,MATCH($K48,'نقاط التحقق'!$A$2:$A$31,0))&amp;"","")</f>
        <v>مدير الوحدة التنظيمية والموظفون الرئيسيون معينون/ملحقون</v>
      </c>
      <c r="M48" s="13">
        <v>40</v>
      </c>
      <c r="N48" s="15" t="str">
        <f>IF($M48="","غير مقيّمة",IF($M48&gt;المرجع!$K$3,"مستوفاة بشكل متقدم",IF($M48&lt;=المرجع!$K$2,"مستوفاة بشكل أولي","مستوفاة بشكل جزئي")))</f>
        <v>مستوفاة بشكل جزئي</v>
      </c>
      <c r="O48" s="18" t="s">
        <v>2170</v>
      </c>
    </row>
    <row r="49" spans="1:15">
      <c r="A49" s="16" t="s">
        <v>853</v>
      </c>
      <c r="B49" s="16" t="s">
        <v>192</v>
      </c>
      <c r="C49" s="15" t="str">
        <f>IFERROR(INDEX('قائمة الوحدات'!$B$2:$B$41,MATCH($B49,'قائمة الوحدات'!$A$2:$A$41,0)),"")</f>
        <v>MIL</v>
      </c>
      <c r="D49" s="14" t="str">
        <f>IFERROR(INDEX('قائمة الوحدات'!$C$2:$C$41,MATCH($B49,'قائمة الوحدات'!$A$2:$A$41,0)),"")</f>
        <v>الجهاز العسكري</v>
      </c>
      <c r="E49" s="14" t="str">
        <f>IFERROR(INDEX('قائمة الوحدات'!$D$2:$D$41,MATCH($B49,'قائمة الوحدات'!$A$2:$A$41,0)),"")</f>
        <v>قيادة القوات البرية</v>
      </c>
      <c r="F49" s="14" t="str">
        <f>IFERROR(INDEX('قائمة الوحدات'!$F$2:$F$41,MATCH($B49,'قائمة الوحدات'!$A$2:$A$41,0)),"")</f>
        <v>قيادة القوات البرية</v>
      </c>
      <c r="G49" s="16" t="s">
        <v>61</v>
      </c>
      <c r="H49" s="14" t="str">
        <f>IFERROR(INDEX(المرجع!$A$2:$A$19,MATCH($G49,المرجع!$B$2:$B$19,0)),"")</f>
        <v>البناء المؤسسي</v>
      </c>
      <c r="I49" s="16" t="s">
        <v>56</v>
      </c>
      <c r="J49" s="14" t="str">
        <f>IFERROR(INDEX(المرجع!$D$2:$D$19,MATCH($I49,المرجع!$E$2:$E$19,0)),"")</f>
        <v>الموارد</v>
      </c>
      <c r="K49" s="16" t="s">
        <v>106</v>
      </c>
      <c r="L49" s="17" t="str">
        <f>IFERROR(INDEX('نقاط التحقق'!$G$2:$G$31,MATCH($K49,'نقاط التحقق'!$A$2:$A$31,0))&amp;"","")</f>
        <v>خطة توظيف وتدريب مستكملة</v>
      </c>
      <c r="M49" s="13">
        <v>65</v>
      </c>
      <c r="N49" s="15" t="str">
        <f>IF($M49="","غير مقيّمة",IF($M49&gt;المرجع!$K$3,"مستوفاة بشكل متقدم",IF($M49&lt;=المرجع!$K$2,"مستوفاة بشكل أولي","مستوفاة بشكل جزئي")))</f>
        <v>مستوفاة بشكل جزئي</v>
      </c>
      <c r="O49" s="18" t="s">
        <v>2170</v>
      </c>
    </row>
    <row r="50" spans="1:15">
      <c r="A50" s="16" t="s">
        <v>854</v>
      </c>
      <c r="B50" s="16" t="s">
        <v>192</v>
      </c>
      <c r="C50" s="15" t="str">
        <f>IFERROR(INDEX('قائمة الوحدات'!$B$2:$B$41,MATCH($B50,'قائمة الوحدات'!$A$2:$A$41,0)),"")</f>
        <v>MIL</v>
      </c>
      <c r="D50" s="14" t="str">
        <f>IFERROR(INDEX('قائمة الوحدات'!$C$2:$C$41,MATCH($B50,'قائمة الوحدات'!$A$2:$A$41,0)),"")</f>
        <v>الجهاز العسكري</v>
      </c>
      <c r="E50" s="14" t="str">
        <f>IFERROR(INDEX('قائمة الوحدات'!$D$2:$D$41,MATCH($B50,'قائمة الوحدات'!$A$2:$A$41,0)),"")</f>
        <v>قيادة القوات البرية</v>
      </c>
      <c r="F50" s="14" t="str">
        <f>IFERROR(INDEX('قائمة الوحدات'!$F$2:$F$41,MATCH($B50,'قائمة الوحدات'!$A$2:$A$41,0)),"")</f>
        <v>قيادة القوات البرية</v>
      </c>
      <c r="G50" s="16" t="s">
        <v>61</v>
      </c>
      <c r="H50" s="14" t="str">
        <f>IFERROR(INDEX(المرجع!$A$2:$A$19,MATCH($G50,المرجع!$B$2:$B$19,0)),"")</f>
        <v>البناء المؤسسي</v>
      </c>
      <c r="I50" s="16" t="s">
        <v>56</v>
      </c>
      <c r="J50" s="14" t="str">
        <f>IFERROR(INDEX(المرجع!$D$2:$D$19,MATCH($I50,المرجع!$E$2:$E$19,0)),"")</f>
        <v>الموارد</v>
      </c>
      <c r="K50" s="16" t="s">
        <v>108</v>
      </c>
      <c r="L50" s="17" t="str">
        <f>IFERROR(INDEX('نقاط التحقق'!$G$2:$G$31,MATCH($K50,'نقاط التحقق'!$A$2:$A$31,0))&amp;"","")</f>
        <v>وجود مساحات مكتبية كافية</v>
      </c>
      <c r="M50" s="13">
        <v>50</v>
      </c>
      <c r="N50" s="15" t="str">
        <f>IF($M50="","غير مقيّمة",IF($M50&gt;المرجع!$K$3,"مستوفاة بشكل متقدم",IF($M50&lt;=المرجع!$K$2,"مستوفاة بشكل أولي","مستوفاة بشكل جزئي")))</f>
        <v>مستوفاة بشكل جزئي</v>
      </c>
      <c r="O50" s="18" t="s">
        <v>2170</v>
      </c>
    </row>
    <row r="51" spans="1:15">
      <c r="A51" s="16" t="s">
        <v>855</v>
      </c>
      <c r="B51" s="16" t="s">
        <v>192</v>
      </c>
      <c r="C51" s="15" t="str">
        <f>IFERROR(INDEX('قائمة الوحدات'!$B$2:$B$41,MATCH($B51,'قائمة الوحدات'!$A$2:$A$41,0)),"")</f>
        <v>MIL</v>
      </c>
      <c r="D51" s="14" t="str">
        <f>IFERROR(INDEX('قائمة الوحدات'!$C$2:$C$41,MATCH($B51,'قائمة الوحدات'!$A$2:$A$41,0)),"")</f>
        <v>الجهاز العسكري</v>
      </c>
      <c r="E51" s="14" t="str">
        <f>IFERROR(INDEX('قائمة الوحدات'!$D$2:$D$41,MATCH($B51,'قائمة الوحدات'!$A$2:$A$41,0)),"")</f>
        <v>قيادة القوات البرية</v>
      </c>
      <c r="F51" s="14" t="str">
        <f>IFERROR(INDEX('قائمة الوحدات'!$F$2:$F$41,MATCH($B51,'قائمة الوحدات'!$A$2:$A$41,0)),"")</f>
        <v>قيادة القوات البرية</v>
      </c>
      <c r="G51" s="16" t="s">
        <v>61</v>
      </c>
      <c r="H51" s="14" t="str">
        <f>IFERROR(INDEX(المرجع!$A$2:$A$19,MATCH($G51,المرجع!$B$2:$B$19,0)),"")</f>
        <v>البناء المؤسسي</v>
      </c>
      <c r="I51" s="16" t="s">
        <v>56</v>
      </c>
      <c r="J51" s="14" t="str">
        <f>IFERROR(INDEX(المرجع!$D$2:$D$19,MATCH($I51,المرجع!$E$2:$E$19,0)),"")</f>
        <v>الموارد</v>
      </c>
      <c r="K51" s="16" t="s">
        <v>110</v>
      </c>
      <c r="L51" s="17" t="str">
        <f>IFERROR(INDEX('نقاط التحقق'!$G$2:$G$31,MATCH($K51,'نقاط التحقق'!$A$2:$A$31,0))&amp;"","")</f>
        <v>وجود الاحتياجات التقنية الأساسية</v>
      </c>
      <c r="M51" s="13">
        <v>60</v>
      </c>
      <c r="N51" s="15" t="str">
        <f>IF($M51="","غير مقيّمة",IF($M51&gt;المرجع!$K$3,"مستوفاة بشكل متقدم",IF($M51&lt;=المرجع!$K$2,"مستوفاة بشكل أولي","مستوفاة بشكل جزئي")))</f>
        <v>مستوفاة بشكل جزئي</v>
      </c>
      <c r="O51" s="18" t="s">
        <v>2170</v>
      </c>
    </row>
    <row r="52" spans="1:15">
      <c r="A52" s="16" t="s">
        <v>856</v>
      </c>
      <c r="B52" s="16" t="s">
        <v>192</v>
      </c>
      <c r="C52" s="15" t="str">
        <f>IFERROR(INDEX('قائمة الوحدات'!$B$2:$B$41,MATCH($B52,'قائمة الوحدات'!$A$2:$A$41,0)),"")</f>
        <v>MIL</v>
      </c>
      <c r="D52" s="14" t="str">
        <f>IFERROR(INDEX('قائمة الوحدات'!$C$2:$C$41,MATCH($B52,'قائمة الوحدات'!$A$2:$A$41,0)),"")</f>
        <v>الجهاز العسكري</v>
      </c>
      <c r="E52" s="14" t="str">
        <f>IFERROR(INDEX('قائمة الوحدات'!$D$2:$D$41,MATCH($B52,'قائمة الوحدات'!$A$2:$A$41,0)),"")</f>
        <v>قيادة القوات البرية</v>
      </c>
      <c r="F52" s="14" t="str">
        <f>IFERROR(INDEX('قائمة الوحدات'!$F$2:$F$41,MATCH($B52,'قائمة الوحدات'!$A$2:$A$41,0)),"")</f>
        <v>قيادة القوات البرية</v>
      </c>
      <c r="G52" s="16" t="s">
        <v>61</v>
      </c>
      <c r="H52" s="14" t="str">
        <f>IFERROR(INDEX(المرجع!$A$2:$A$19,MATCH($G52,المرجع!$B$2:$B$19,0)),"")</f>
        <v>البناء المؤسسي</v>
      </c>
      <c r="I52" s="16" t="s">
        <v>59</v>
      </c>
      <c r="J52" s="14" t="str">
        <f>IFERROR(INDEX(المرجع!$D$2:$D$19,MATCH($I52,المرجع!$E$2:$E$19,0)),"")</f>
        <v>الإجراءات</v>
      </c>
      <c r="K52" s="16" t="s">
        <v>112</v>
      </c>
      <c r="L52" s="17" t="str">
        <f>IFERROR(INDEX('نقاط التحقق'!$G$2:$G$31,MATCH($K52,'نقاط التحقق'!$A$2:$A$31,0))&amp;"","")</f>
        <v>إجراءات معتمدة للوحدة التنظيمية</v>
      </c>
      <c r="M52" s="13">
        <v>48</v>
      </c>
      <c r="N52" s="15" t="str">
        <f>IF($M52="","غير مقيّمة",IF($M52&gt;المرجع!$K$3,"مستوفاة بشكل متقدم",IF($M52&lt;=المرجع!$K$2,"مستوفاة بشكل أولي","مستوفاة بشكل جزئي")))</f>
        <v>مستوفاة بشكل جزئي</v>
      </c>
      <c r="O52" s="18" t="s">
        <v>2170</v>
      </c>
    </row>
    <row r="53" spans="1:15">
      <c r="A53" s="16" t="s">
        <v>857</v>
      </c>
      <c r="B53" s="16" t="s">
        <v>192</v>
      </c>
      <c r="C53" s="15" t="str">
        <f>IFERROR(INDEX('قائمة الوحدات'!$B$2:$B$41,MATCH($B53,'قائمة الوحدات'!$A$2:$A$41,0)),"")</f>
        <v>MIL</v>
      </c>
      <c r="D53" s="14" t="str">
        <f>IFERROR(INDEX('قائمة الوحدات'!$C$2:$C$41,MATCH($B53,'قائمة الوحدات'!$A$2:$A$41,0)),"")</f>
        <v>الجهاز العسكري</v>
      </c>
      <c r="E53" s="14" t="str">
        <f>IFERROR(INDEX('قائمة الوحدات'!$D$2:$D$41,MATCH($B53,'قائمة الوحدات'!$A$2:$A$41,0)),"")</f>
        <v>قيادة القوات البرية</v>
      </c>
      <c r="F53" s="14" t="str">
        <f>IFERROR(INDEX('قائمة الوحدات'!$F$2:$F$41,MATCH($B53,'قائمة الوحدات'!$A$2:$A$41,0)),"")</f>
        <v>قيادة القوات البرية</v>
      </c>
      <c r="G53" s="16" t="s">
        <v>61</v>
      </c>
      <c r="H53" s="14" t="str">
        <f>IFERROR(INDEX(المرجع!$A$2:$A$19,MATCH($G53,المرجع!$B$2:$B$19,0)),"")</f>
        <v>البناء المؤسسي</v>
      </c>
      <c r="I53" s="16" t="s">
        <v>63</v>
      </c>
      <c r="J53" s="14" t="str">
        <f>IFERROR(INDEX(المرجع!$D$2:$D$19,MATCH($I53,المرجع!$E$2:$E$19,0)),"")</f>
        <v>إنتاج المخرج الأول</v>
      </c>
      <c r="K53" s="16" t="s">
        <v>114</v>
      </c>
      <c r="L53" s="17" t="str">
        <f>IFERROR(INDEX('نقاط التحقق'!$G$2:$G$31,MATCH($K53,'نقاط التحقق'!$A$2:$A$31,0))&amp;"","")</f>
        <v>إنتاج المخرج الأول من قبل الوحدة التنظيمية</v>
      </c>
      <c r="M53" s="13">
        <v>44</v>
      </c>
      <c r="N53" s="15" t="str">
        <f>IF($M53="","غير مقيّمة",IF($M53&gt;المرجع!$K$3,"مستوفاة بشكل متقدم",IF($M53&lt;=المرجع!$K$2,"مستوفاة بشكل أولي","مستوفاة بشكل جزئي")))</f>
        <v>مستوفاة بشكل جزئي</v>
      </c>
      <c r="O53" s="18" t="s">
        <v>2170</v>
      </c>
    </row>
    <row r="54" spans="1:15">
      <c r="A54" s="16" t="s">
        <v>858</v>
      </c>
      <c r="B54" s="16" t="s">
        <v>192</v>
      </c>
      <c r="C54" s="15" t="str">
        <f>IFERROR(INDEX('قائمة الوحدات'!$B$2:$B$41,MATCH($B54,'قائمة الوحدات'!$A$2:$A$41,0)),"")</f>
        <v>MIL</v>
      </c>
      <c r="D54" s="14" t="str">
        <f>IFERROR(INDEX('قائمة الوحدات'!$C$2:$C$41,MATCH($B54,'قائمة الوحدات'!$A$2:$A$41,0)),"")</f>
        <v>الجهاز العسكري</v>
      </c>
      <c r="E54" s="14" t="str">
        <f>IFERROR(INDEX('قائمة الوحدات'!$D$2:$D$41,MATCH($B54,'قائمة الوحدات'!$A$2:$A$41,0)),"")</f>
        <v>قيادة القوات البرية</v>
      </c>
      <c r="F54" s="14" t="str">
        <f>IFERROR(INDEX('قائمة الوحدات'!$F$2:$F$41,MATCH($B54,'قائمة الوحدات'!$A$2:$A$41,0)),"")</f>
        <v>قيادة القوات البرية</v>
      </c>
      <c r="G54" s="16" t="s">
        <v>65</v>
      </c>
      <c r="H54" s="14" t="str">
        <f>IFERROR(INDEX(المرجع!$A$2:$A$19,MATCH($G54,المرجع!$B$2:$B$19,0)),"")</f>
        <v>التشغيل</v>
      </c>
      <c r="I54" s="16" t="s">
        <v>48</v>
      </c>
      <c r="J54" s="14" t="str">
        <f>IFERROR(INDEX(المرجع!$D$2:$D$19,MATCH($I54,المرجع!$E$2:$E$19,0)),"")</f>
        <v>الأهداف ومؤشرات الأداء</v>
      </c>
      <c r="K54" s="16" t="s">
        <v>116</v>
      </c>
      <c r="L54" s="17" t="str">
        <f>IFERROR(INDEX('نقاط التحقق'!$G$2:$G$31,MATCH($K54,'نقاط التحقق'!$A$2:$A$31,0))&amp;"","")</f>
        <v>تحرك مؤشرات الأداء التشغيلي للوحدة التنظيمية بشكل إيجابي</v>
      </c>
      <c r="M54" s="13">
        <v>30</v>
      </c>
      <c r="N54" s="15" t="str">
        <f>IF($M54="","غير مقيّمة",IF($M54&gt;المرجع!$K$3,"مستوفاة بشكل متقدم",IF($M54&lt;=المرجع!$K$2,"مستوفاة بشكل أولي","مستوفاة بشكل جزئي")))</f>
        <v>مستوفاة بشكل أولي</v>
      </c>
      <c r="O54" s="18"/>
    </row>
    <row r="55" spans="1:15">
      <c r="A55" s="16" t="s">
        <v>859</v>
      </c>
      <c r="B55" s="16" t="s">
        <v>192</v>
      </c>
      <c r="C55" s="15" t="str">
        <f>IFERROR(INDEX('قائمة الوحدات'!$B$2:$B$41,MATCH($B55,'قائمة الوحدات'!$A$2:$A$41,0)),"")</f>
        <v>MIL</v>
      </c>
      <c r="D55" s="14" t="str">
        <f>IFERROR(INDEX('قائمة الوحدات'!$C$2:$C$41,MATCH($B55,'قائمة الوحدات'!$A$2:$A$41,0)),"")</f>
        <v>الجهاز العسكري</v>
      </c>
      <c r="E55" s="14" t="str">
        <f>IFERROR(INDEX('قائمة الوحدات'!$D$2:$D$41,MATCH($B55,'قائمة الوحدات'!$A$2:$A$41,0)),"")</f>
        <v>قيادة القوات البرية</v>
      </c>
      <c r="F55" s="14" t="str">
        <f>IFERROR(INDEX('قائمة الوحدات'!$F$2:$F$41,MATCH($B55,'قائمة الوحدات'!$A$2:$A$41,0)),"")</f>
        <v>قيادة القوات البرية</v>
      </c>
      <c r="G55" s="16" t="s">
        <v>65</v>
      </c>
      <c r="H55" s="14" t="str">
        <f>IFERROR(INDEX(المرجع!$A$2:$A$19,MATCH($G55,المرجع!$B$2:$B$19,0)),"")</f>
        <v>التشغيل</v>
      </c>
      <c r="I55" s="16" t="s">
        <v>48</v>
      </c>
      <c r="J55" s="14" t="str">
        <f>IFERROR(INDEX(المرجع!$D$2:$D$19,MATCH($I55,المرجع!$E$2:$E$19,0)),"")</f>
        <v>الأهداف ومؤشرات الأداء</v>
      </c>
      <c r="K55" s="16" t="s">
        <v>118</v>
      </c>
      <c r="L55" s="17" t="str">
        <f>IFERROR(INDEX('نقاط التحقق'!$G$2:$G$31,MATCH($K55,'نقاط التحقق'!$A$2:$A$31,0))&amp;"","")</f>
        <v>خطة سنوية معتمدة للوحدة التنظيمية</v>
      </c>
      <c r="M55" s="13">
        <v>40</v>
      </c>
      <c r="N55" s="15" t="str">
        <f>IF($M55="","غير مقيّمة",IF($M55&gt;المرجع!$K$3,"مستوفاة بشكل متقدم",IF($M55&lt;=المرجع!$K$2,"مستوفاة بشكل أولي","مستوفاة بشكل جزئي")))</f>
        <v>مستوفاة بشكل جزئي</v>
      </c>
      <c r="O55" s="18"/>
    </row>
    <row r="56" spans="1:15">
      <c r="A56" s="16" t="s">
        <v>860</v>
      </c>
      <c r="B56" s="16" t="s">
        <v>192</v>
      </c>
      <c r="C56" s="15" t="str">
        <f>IFERROR(INDEX('قائمة الوحدات'!$B$2:$B$41,MATCH($B56,'قائمة الوحدات'!$A$2:$A$41,0)),"")</f>
        <v>MIL</v>
      </c>
      <c r="D56" s="14" t="str">
        <f>IFERROR(INDEX('قائمة الوحدات'!$C$2:$C$41,MATCH($B56,'قائمة الوحدات'!$A$2:$A$41,0)),"")</f>
        <v>الجهاز العسكري</v>
      </c>
      <c r="E56" s="14" t="str">
        <f>IFERROR(INDEX('قائمة الوحدات'!$D$2:$D$41,MATCH($B56,'قائمة الوحدات'!$A$2:$A$41,0)),"")</f>
        <v>قيادة القوات البرية</v>
      </c>
      <c r="F56" s="14" t="str">
        <f>IFERROR(INDEX('قائمة الوحدات'!$F$2:$F$41,MATCH($B56,'قائمة الوحدات'!$A$2:$A$41,0)),"")</f>
        <v>قيادة القوات البرية</v>
      </c>
      <c r="G56" s="16" t="s">
        <v>65</v>
      </c>
      <c r="H56" s="14" t="str">
        <f>IFERROR(INDEX(المرجع!$A$2:$A$19,MATCH($G56,المرجع!$B$2:$B$19,0)),"")</f>
        <v>التشغيل</v>
      </c>
      <c r="I56" s="16" t="s">
        <v>51</v>
      </c>
      <c r="J56" s="14" t="str">
        <f>IFERROR(INDEX(المرجع!$D$2:$D$19,MATCH($I56,المرجع!$E$2:$E$19,0)),"")</f>
        <v>الحوكمة</v>
      </c>
      <c r="K56" s="16" t="s">
        <v>120</v>
      </c>
      <c r="L56" s="17" t="str">
        <f>IFERROR(INDEX('نقاط التحقق'!$G$2:$G$31,MATCH($K56,'نقاط التحقق'!$A$2:$A$31,0))&amp;"","")</f>
        <v>محاضر لجان موثقة</v>
      </c>
      <c r="M56" s="13">
        <v>25</v>
      </c>
      <c r="N56" s="15" t="str">
        <f>IF($M56="","غير مقيّمة",IF($M56&gt;المرجع!$K$3,"مستوفاة بشكل متقدم",IF($M56&lt;=المرجع!$K$2,"مستوفاة بشكل أولي","مستوفاة بشكل جزئي")))</f>
        <v>مستوفاة بشكل أولي</v>
      </c>
      <c r="O56" s="18"/>
    </row>
    <row r="57" spans="1:15">
      <c r="A57" s="16" t="s">
        <v>861</v>
      </c>
      <c r="B57" s="16" t="s">
        <v>192</v>
      </c>
      <c r="C57" s="15" t="str">
        <f>IFERROR(INDEX('قائمة الوحدات'!$B$2:$B$41,MATCH($B57,'قائمة الوحدات'!$A$2:$A$41,0)),"")</f>
        <v>MIL</v>
      </c>
      <c r="D57" s="14" t="str">
        <f>IFERROR(INDEX('قائمة الوحدات'!$C$2:$C$41,MATCH($B57,'قائمة الوحدات'!$A$2:$A$41,0)),"")</f>
        <v>الجهاز العسكري</v>
      </c>
      <c r="E57" s="14" t="str">
        <f>IFERROR(INDEX('قائمة الوحدات'!$D$2:$D$41,MATCH($B57,'قائمة الوحدات'!$A$2:$A$41,0)),"")</f>
        <v>قيادة القوات البرية</v>
      </c>
      <c r="F57" s="14" t="str">
        <f>IFERROR(INDEX('قائمة الوحدات'!$F$2:$F$41,MATCH($B57,'قائمة الوحدات'!$A$2:$A$41,0)),"")</f>
        <v>قيادة القوات البرية</v>
      </c>
      <c r="G57" s="16" t="s">
        <v>65</v>
      </c>
      <c r="H57" s="14" t="str">
        <f>IFERROR(INDEX(المرجع!$A$2:$A$19,MATCH($G57,المرجع!$B$2:$B$19,0)),"")</f>
        <v>التشغيل</v>
      </c>
      <c r="I57" s="16" t="s">
        <v>51</v>
      </c>
      <c r="J57" s="14" t="str">
        <f>IFERROR(INDEX(المرجع!$D$2:$D$19,MATCH($I57,المرجع!$E$2:$E$19,0)),"")</f>
        <v>الحوكمة</v>
      </c>
      <c r="K57" s="16" t="s">
        <v>122</v>
      </c>
      <c r="L57" s="17" t="str">
        <f>IFERROR(INDEX('نقاط التحقق'!$G$2:$G$31,MATCH($K57,'نقاط التحقق'!$A$2:$A$31,0))&amp;"","")</f>
        <v>نشر السياسات التي تملكها الوحدة التنظيمية</v>
      </c>
      <c r="M57" s="13">
        <v>25</v>
      </c>
      <c r="N57" s="15" t="str">
        <f>IF($M57="","غير مقيّمة",IF($M57&gt;المرجع!$K$3,"مستوفاة بشكل متقدم",IF($M57&lt;=المرجع!$K$2,"مستوفاة بشكل أولي","مستوفاة بشكل جزئي")))</f>
        <v>مستوفاة بشكل أولي</v>
      </c>
      <c r="O57" s="18"/>
    </row>
    <row r="58" spans="1:15">
      <c r="A58" s="16" t="s">
        <v>862</v>
      </c>
      <c r="B58" s="16" t="s">
        <v>192</v>
      </c>
      <c r="C58" s="15" t="str">
        <f>IFERROR(INDEX('قائمة الوحدات'!$B$2:$B$41,MATCH($B58,'قائمة الوحدات'!$A$2:$A$41,0)),"")</f>
        <v>MIL</v>
      </c>
      <c r="D58" s="14" t="str">
        <f>IFERROR(INDEX('قائمة الوحدات'!$C$2:$C$41,MATCH($B58,'قائمة الوحدات'!$A$2:$A$41,0)),"")</f>
        <v>الجهاز العسكري</v>
      </c>
      <c r="E58" s="14" t="str">
        <f>IFERROR(INDEX('قائمة الوحدات'!$D$2:$D$41,MATCH($B58,'قائمة الوحدات'!$A$2:$A$41,0)),"")</f>
        <v>قيادة القوات البرية</v>
      </c>
      <c r="F58" s="14" t="str">
        <f>IFERROR(INDEX('قائمة الوحدات'!$F$2:$F$41,MATCH($B58,'قائمة الوحدات'!$A$2:$A$41,0)),"")</f>
        <v>قيادة القوات البرية</v>
      </c>
      <c r="G58" s="16" t="s">
        <v>65</v>
      </c>
      <c r="H58" s="14" t="str">
        <f>IFERROR(INDEX(المرجع!$A$2:$A$19,MATCH($G58,المرجع!$B$2:$B$19,0)),"")</f>
        <v>التشغيل</v>
      </c>
      <c r="I58" s="16" t="s">
        <v>51</v>
      </c>
      <c r="J58" s="14" t="str">
        <f>IFERROR(INDEX(المرجع!$D$2:$D$19,MATCH($I58,المرجع!$E$2:$E$19,0)),"")</f>
        <v>الحوكمة</v>
      </c>
      <c r="K58" s="16" t="s">
        <v>124</v>
      </c>
      <c r="L58" s="17" t="str">
        <f>IFERROR(INDEX('نقاط التحقق'!$G$2:$G$31,MATCH($K58,'نقاط التحقق'!$A$2:$A$31,0))&amp;"","")</f>
        <v>اتخاذ القرارات في نطاق الصلاحيات (وجود شواهد)</v>
      </c>
      <c r="M58" s="13">
        <v>55</v>
      </c>
      <c r="N58" s="15" t="str">
        <f>IF($M58="","غير مقيّمة",IF($M58&gt;المرجع!$K$3,"مستوفاة بشكل متقدم",IF($M58&lt;=المرجع!$K$2,"مستوفاة بشكل أولي","مستوفاة بشكل جزئي")))</f>
        <v>مستوفاة بشكل جزئي</v>
      </c>
      <c r="O58" s="18"/>
    </row>
    <row r="59" spans="1:15">
      <c r="A59" s="16" t="s">
        <v>863</v>
      </c>
      <c r="B59" s="16" t="s">
        <v>192</v>
      </c>
      <c r="C59" s="15" t="str">
        <f>IFERROR(INDEX('قائمة الوحدات'!$B$2:$B$41,MATCH($B59,'قائمة الوحدات'!$A$2:$A$41,0)),"")</f>
        <v>MIL</v>
      </c>
      <c r="D59" s="14" t="str">
        <f>IFERROR(INDEX('قائمة الوحدات'!$C$2:$C$41,MATCH($B59,'قائمة الوحدات'!$A$2:$A$41,0)),"")</f>
        <v>الجهاز العسكري</v>
      </c>
      <c r="E59" s="14" t="str">
        <f>IFERROR(INDEX('قائمة الوحدات'!$D$2:$D$41,MATCH($B59,'قائمة الوحدات'!$A$2:$A$41,0)),"")</f>
        <v>قيادة القوات البرية</v>
      </c>
      <c r="F59" s="14" t="str">
        <f>IFERROR(INDEX('قائمة الوحدات'!$F$2:$F$41,MATCH($B59,'قائمة الوحدات'!$A$2:$A$41,0)),"")</f>
        <v>قيادة القوات البرية</v>
      </c>
      <c r="G59" s="16" t="s">
        <v>65</v>
      </c>
      <c r="H59" s="14" t="str">
        <f>IFERROR(INDEX(المرجع!$A$2:$A$19,MATCH($G59,المرجع!$B$2:$B$19,0)),"")</f>
        <v>التشغيل</v>
      </c>
      <c r="I59" s="16" t="s">
        <v>56</v>
      </c>
      <c r="J59" s="14" t="str">
        <f>IFERROR(INDEX(المرجع!$D$2:$D$19,MATCH($I59,المرجع!$E$2:$E$19,0)),"")</f>
        <v>الموارد</v>
      </c>
      <c r="K59" s="16" t="s">
        <v>126</v>
      </c>
      <c r="L59" s="17" t="str">
        <f>IFERROR(INDEX('نقاط التحقق'!$G$2:$G$31,MATCH($K59,'نقاط التحقق'!$A$2:$A$31,0))&amp;"","")</f>
        <v>موارد مستكملة للحد الأدنى الذي يغطي كافة محاور سلسلة القيمة</v>
      </c>
      <c r="M59" s="13">
        <v>55</v>
      </c>
      <c r="N59" s="15" t="str">
        <f>IF($M59="","غير مقيّمة",IF($M59&gt;المرجع!$K$3,"مستوفاة بشكل متقدم",IF($M59&lt;=المرجع!$K$2,"مستوفاة بشكل أولي","مستوفاة بشكل جزئي")))</f>
        <v>مستوفاة بشكل جزئي</v>
      </c>
      <c r="O59" s="18"/>
    </row>
    <row r="60" spans="1:15">
      <c r="A60" s="16" t="s">
        <v>864</v>
      </c>
      <c r="B60" s="16" t="s">
        <v>192</v>
      </c>
      <c r="C60" s="15" t="str">
        <f>IFERROR(INDEX('قائمة الوحدات'!$B$2:$B$41,MATCH($B60,'قائمة الوحدات'!$A$2:$A$41,0)),"")</f>
        <v>MIL</v>
      </c>
      <c r="D60" s="14" t="str">
        <f>IFERROR(INDEX('قائمة الوحدات'!$C$2:$C$41,MATCH($B60,'قائمة الوحدات'!$A$2:$A$41,0)),"")</f>
        <v>الجهاز العسكري</v>
      </c>
      <c r="E60" s="14" t="str">
        <f>IFERROR(INDEX('قائمة الوحدات'!$D$2:$D$41,MATCH($B60,'قائمة الوحدات'!$A$2:$A$41,0)),"")</f>
        <v>قيادة القوات البرية</v>
      </c>
      <c r="F60" s="14" t="str">
        <f>IFERROR(INDEX('قائمة الوحدات'!$F$2:$F$41,MATCH($B60,'قائمة الوحدات'!$A$2:$A$41,0)),"")</f>
        <v>قيادة القوات البرية</v>
      </c>
      <c r="G60" s="16" t="s">
        <v>65</v>
      </c>
      <c r="H60" s="14" t="str">
        <f>IFERROR(INDEX(المرجع!$A$2:$A$19,MATCH($G60,المرجع!$B$2:$B$19,0)),"")</f>
        <v>التشغيل</v>
      </c>
      <c r="I60" s="16" t="s">
        <v>59</v>
      </c>
      <c r="J60" s="14" t="str">
        <f>IFERROR(INDEX(المرجع!$D$2:$D$19,MATCH($I60,المرجع!$E$2:$E$19,0)),"")</f>
        <v>الإجراءات</v>
      </c>
      <c r="K60" s="16" t="s">
        <v>128</v>
      </c>
      <c r="L60" s="17" t="str">
        <f>IFERROR(INDEX('نقاط التحقق'!$G$2:$G$31,MATCH($K60,'نقاط التحقق'!$A$2:$A$31,0))&amp;"","")</f>
        <v>تحقيق تقييم "مطبق بشكل كامل" من منهجية تقييم فعالية الإجراءات</v>
      </c>
      <c r="M60" s="13">
        <v>23</v>
      </c>
      <c r="N60" s="15" t="str">
        <f>IF($M60="","غير مقيّمة",IF($M60&gt;المرجع!$K$3,"مستوفاة بشكل متقدم",IF($M60&lt;=المرجع!$K$2,"مستوفاة بشكل أولي","مستوفاة بشكل جزئي")))</f>
        <v>مستوفاة بشكل أولي</v>
      </c>
      <c r="O60" s="18"/>
    </row>
    <row r="61" spans="1:15">
      <c r="A61" s="16" t="s">
        <v>865</v>
      </c>
      <c r="B61" s="16" t="s">
        <v>192</v>
      </c>
      <c r="C61" s="15" t="str">
        <f>IFERROR(INDEX('قائمة الوحدات'!$B$2:$B$41,MATCH($B61,'قائمة الوحدات'!$A$2:$A$41,0)),"")</f>
        <v>MIL</v>
      </c>
      <c r="D61" s="14" t="str">
        <f>IFERROR(INDEX('قائمة الوحدات'!$C$2:$C$41,MATCH($B61,'قائمة الوحدات'!$A$2:$A$41,0)),"")</f>
        <v>الجهاز العسكري</v>
      </c>
      <c r="E61" s="14" t="str">
        <f>IFERROR(INDEX('قائمة الوحدات'!$D$2:$D$41,MATCH($B61,'قائمة الوحدات'!$A$2:$A$41,0)),"")</f>
        <v>قيادة القوات البرية</v>
      </c>
      <c r="F61" s="14" t="str">
        <f>IFERROR(INDEX('قائمة الوحدات'!$F$2:$F$41,MATCH($B61,'قائمة الوحدات'!$A$2:$A$41,0)),"")</f>
        <v>قيادة القوات البرية</v>
      </c>
      <c r="G61" s="16" t="s">
        <v>65</v>
      </c>
      <c r="H61" s="14" t="str">
        <f>IFERROR(INDEX(المرجع!$A$2:$A$19,MATCH($G61,المرجع!$B$2:$B$19,0)),"")</f>
        <v>التشغيل</v>
      </c>
      <c r="I61" s="16" t="s">
        <v>67</v>
      </c>
      <c r="J61" s="14" t="str">
        <f>IFERROR(INDEX(المرجع!$D$2:$D$19,MATCH($I61,المرجع!$E$2:$E$19,0)),"")</f>
        <v>اكتمال المخرجات المستهدفة</v>
      </c>
      <c r="K61" s="16" t="s">
        <v>130</v>
      </c>
      <c r="L61" s="17" t="str">
        <f>IFERROR(INDEX('نقاط التحقق'!$G$2:$G$31,MATCH($K61,'نقاط التحقق'!$A$2:$A$31,0))&amp;"","")</f>
        <v>اكتمال مخرجات النموذج التشغيلي المستهدف للوحدة التنظيمية</v>
      </c>
      <c r="M61" s="13">
        <v>62</v>
      </c>
      <c r="N61" s="15" t="str">
        <f>IF($M61="","غير مقيّمة",IF($M61&gt;المرجع!$K$3,"مستوفاة بشكل متقدم",IF($M61&lt;=المرجع!$K$2,"مستوفاة بشكل أولي","مستوفاة بشكل جزئي")))</f>
        <v>مستوفاة بشكل جزئي</v>
      </c>
      <c r="O61" s="18"/>
    </row>
    <row r="62" spans="1:15">
      <c r="A62" s="16" t="s">
        <v>866</v>
      </c>
      <c r="B62" s="16" t="s">
        <v>194</v>
      </c>
      <c r="C62" s="15" t="str">
        <f>IFERROR(INDEX('قائمة الوحدات'!$B$2:$B$41,MATCH($B62,'قائمة الوحدات'!$A$2:$A$41,0)),"")</f>
        <v>MIL</v>
      </c>
      <c r="D62" s="14" t="str">
        <f>IFERROR(INDEX('قائمة الوحدات'!$C$2:$C$41,MATCH($B62,'قائمة الوحدات'!$A$2:$A$41,0)),"")</f>
        <v>الجهاز العسكري</v>
      </c>
      <c r="E62" s="14" t="str">
        <f>IFERROR(INDEX('قائمة الوحدات'!$D$2:$D$41,MATCH($B62,'قائمة الوحدات'!$A$2:$A$41,0)),"")</f>
        <v>قيادة القوات الجوية</v>
      </c>
      <c r="F62" s="14" t="str">
        <f>IFERROR(INDEX('قائمة الوحدات'!$F$2:$F$41,MATCH($B62,'قائمة الوحدات'!$A$2:$A$41,0)),"")</f>
        <v>قيادة القوات الجوية</v>
      </c>
      <c r="G62" s="16" t="s">
        <v>43</v>
      </c>
      <c r="H62" s="14" t="str">
        <f>IFERROR(INDEX(المرجع!$A$2:$A$19,MATCH($G62,المرجع!$B$2:$B$19,0)),"")</f>
        <v>التصميم</v>
      </c>
      <c r="I62" s="16" t="s">
        <v>45</v>
      </c>
      <c r="J62" s="14" t="str">
        <f>IFERROR(INDEX(المرجع!$D$2:$D$19,MATCH($I62,المرجع!$E$2:$E$19,0)),"")</f>
        <v>الدور</v>
      </c>
      <c r="K62" s="16" t="s">
        <v>72</v>
      </c>
      <c r="L62" s="17" t="str">
        <f>IFERROR(INDEX('نقاط التحقق'!$G$2:$G$31,MATCH($K62,'نقاط التحقق'!$A$2:$A$31,0))&amp;"","")</f>
        <v>دور مفصل للوحدة التنظيمية</v>
      </c>
      <c r="M62" s="13">
        <v>78</v>
      </c>
      <c r="N62" s="15" t="str">
        <f>IF($M62="","غير مقيّمة",IF($M62&gt;المرجع!$K$3,"مستوفاة بشكل متقدم",IF($M62&lt;=المرجع!$K$2,"مستوفاة بشكل أولي","مستوفاة بشكل جزئي")))</f>
        <v>مستوفاة بشكل متقدم</v>
      </c>
      <c r="O62" s="18"/>
    </row>
    <row r="63" spans="1:15">
      <c r="A63" s="16" t="s">
        <v>867</v>
      </c>
      <c r="B63" s="16" t="s">
        <v>194</v>
      </c>
      <c r="C63" s="15" t="str">
        <f>IFERROR(INDEX('قائمة الوحدات'!$B$2:$B$41,MATCH($B63,'قائمة الوحدات'!$A$2:$A$41,0)),"")</f>
        <v>MIL</v>
      </c>
      <c r="D63" s="14" t="str">
        <f>IFERROR(INDEX('قائمة الوحدات'!$C$2:$C$41,MATCH($B63,'قائمة الوحدات'!$A$2:$A$41,0)),"")</f>
        <v>الجهاز العسكري</v>
      </c>
      <c r="E63" s="14" t="str">
        <f>IFERROR(INDEX('قائمة الوحدات'!$D$2:$D$41,MATCH($B63,'قائمة الوحدات'!$A$2:$A$41,0)),"")</f>
        <v>قيادة القوات الجوية</v>
      </c>
      <c r="F63" s="14" t="str">
        <f>IFERROR(INDEX('قائمة الوحدات'!$F$2:$F$41,MATCH($B63,'قائمة الوحدات'!$A$2:$A$41,0)),"")</f>
        <v>قيادة القوات الجوية</v>
      </c>
      <c r="G63" s="16" t="s">
        <v>43</v>
      </c>
      <c r="H63" s="14" t="str">
        <f>IFERROR(INDEX(المرجع!$A$2:$A$19,MATCH($G63,المرجع!$B$2:$B$19,0)),"")</f>
        <v>التصميم</v>
      </c>
      <c r="I63" s="16" t="s">
        <v>48</v>
      </c>
      <c r="J63" s="14" t="str">
        <f>IFERROR(INDEX(المرجع!$D$2:$D$19,MATCH($I63,المرجع!$E$2:$E$19,0)),"")</f>
        <v>الأهداف ومؤشرات الأداء</v>
      </c>
      <c r="K63" s="16" t="s">
        <v>74</v>
      </c>
      <c r="L63" s="17" t="str">
        <f>IFERROR(INDEX('نقاط التحقق'!$G$2:$G$31,MATCH($K63,'نقاط التحقق'!$A$2:$A$31,0))&amp;"","")</f>
        <v>أهداف محددة للوحدة التنظيمية وربطها بمؤشرات أداء لقياسها</v>
      </c>
      <c r="M63" s="13">
        <v>80</v>
      </c>
      <c r="N63" s="15" t="str">
        <f>IF($M63="","غير مقيّمة",IF($M63&gt;المرجع!$K$3,"مستوفاة بشكل متقدم",IF($M63&lt;=المرجع!$K$2,"مستوفاة بشكل أولي","مستوفاة بشكل جزئي")))</f>
        <v>مستوفاة بشكل متقدم</v>
      </c>
      <c r="O63" s="18"/>
    </row>
    <row r="64" spans="1:15">
      <c r="A64" s="16" t="s">
        <v>868</v>
      </c>
      <c r="B64" s="16" t="s">
        <v>194</v>
      </c>
      <c r="C64" s="15" t="str">
        <f>IFERROR(INDEX('قائمة الوحدات'!$B$2:$B$41,MATCH($B64,'قائمة الوحدات'!$A$2:$A$41,0)),"")</f>
        <v>MIL</v>
      </c>
      <c r="D64" s="14" t="str">
        <f>IFERROR(INDEX('قائمة الوحدات'!$C$2:$C$41,MATCH($B64,'قائمة الوحدات'!$A$2:$A$41,0)),"")</f>
        <v>الجهاز العسكري</v>
      </c>
      <c r="E64" s="14" t="str">
        <f>IFERROR(INDEX('قائمة الوحدات'!$D$2:$D$41,MATCH($B64,'قائمة الوحدات'!$A$2:$A$41,0)),"")</f>
        <v>قيادة القوات الجوية</v>
      </c>
      <c r="F64" s="14" t="str">
        <f>IFERROR(INDEX('قائمة الوحدات'!$F$2:$F$41,MATCH($B64,'قائمة الوحدات'!$A$2:$A$41,0)),"")</f>
        <v>قيادة القوات الجوية</v>
      </c>
      <c r="G64" s="16" t="s">
        <v>43</v>
      </c>
      <c r="H64" s="14" t="str">
        <f>IFERROR(INDEX(المرجع!$A$2:$A$19,MATCH($G64,المرجع!$B$2:$B$19,0)),"")</f>
        <v>التصميم</v>
      </c>
      <c r="I64" s="16" t="s">
        <v>48</v>
      </c>
      <c r="J64" s="14" t="str">
        <f>IFERROR(INDEX(المرجع!$D$2:$D$19,MATCH($I64,المرجع!$E$2:$E$19,0)),"")</f>
        <v>الأهداف ومؤشرات الأداء</v>
      </c>
      <c r="K64" s="16" t="s">
        <v>76</v>
      </c>
      <c r="L64" s="17" t="str">
        <f>IFERROR(INDEX('نقاط التحقق'!$G$2:$G$31,MATCH($K64,'نقاط التحقق'!$A$2:$A$31,0))&amp;"","")</f>
        <v>مؤشرات أداء الوحدة التنظيمية</v>
      </c>
      <c r="M64" s="13">
        <v>100</v>
      </c>
      <c r="N64" s="15" t="str">
        <f>IF($M64="","غير مقيّمة",IF($M64&gt;المرجع!$K$3,"مستوفاة بشكل متقدم",IF($M64&lt;=المرجع!$K$2,"مستوفاة بشكل أولي","مستوفاة بشكل جزئي")))</f>
        <v>مستوفاة بشكل متقدم</v>
      </c>
      <c r="O64" s="18"/>
    </row>
    <row r="65" spans="1:15">
      <c r="A65" s="16" t="s">
        <v>869</v>
      </c>
      <c r="B65" s="16" t="s">
        <v>194</v>
      </c>
      <c r="C65" s="15" t="str">
        <f>IFERROR(INDEX('قائمة الوحدات'!$B$2:$B$41,MATCH($B65,'قائمة الوحدات'!$A$2:$A$41,0)),"")</f>
        <v>MIL</v>
      </c>
      <c r="D65" s="14" t="str">
        <f>IFERROR(INDEX('قائمة الوحدات'!$C$2:$C$41,MATCH($B65,'قائمة الوحدات'!$A$2:$A$41,0)),"")</f>
        <v>الجهاز العسكري</v>
      </c>
      <c r="E65" s="14" t="str">
        <f>IFERROR(INDEX('قائمة الوحدات'!$D$2:$D$41,MATCH($B65,'قائمة الوحدات'!$A$2:$A$41,0)),"")</f>
        <v>قيادة القوات الجوية</v>
      </c>
      <c r="F65" s="14" t="str">
        <f>IFERROR(INDEX('قائمة الوحدات'!$F$2:$F$41,MATCH($B65,'قائمة الوحدات'!$A$2:$A$41,0)),"")</f>
        <v>قيادة القوات الجوية</v>
      </c>
      <c r="G65" s="16" t="s">
        <v>43</v>
      </c>
      <c r="H65" s="14" t="str">
        <f>IFERROR(INDEX(المرجع!$A$2:$A$19,MATCH($G65,المرجع!$B$2:$B$19,0)),"")</f>
        <v>التصميم</v>
      </c>
      <c r="I65" s="16" t="s">
        <v>51</v>
      </c>
      <c r="J65" s="14" t="str">
        <f>IFERROR(INDEX(المرجع!$D$2:$D$19,MATCH($I65,المرجع!$E$2:$E$19,0)),"")</f>
        <v>الحوكمة</v>
      </c>
      <c r="K65" s="16" t="s">
        <v>78</v>
      </c>
      <c r="L65" s="17" t="str">
        <f>IFERROR(INDEX('نقاط التحقق'!$G$2:$G$31,MATCH($K65,'نقاط التحقق'!$A$2:$A$31,0))&amp;"","")</f>
        <v>تفصيل القرارات ومصفوفة الصلاحيات واللجان ذات العلاقة لاعتماد مخرجات الوحدة التنظيمية</v>
      </c>
      <c r="M65" s="13">
        <v>77</v>
      </c>
      <c r="N65" s="15" t="str">
        <f>IF($M65="","غير مقيّمة",IF($M65&gt;المرجع!$K$3,"مستوفاة بشكل متقدم",IF($M65&lt;=المرجع!$K$2,"مستوفاة بشكل أولي","مستوفاة بشكل جزئي")))</f>
        <v>مستوفاة بشكل متقدم</v>
      </c>
      <c r="O65" s="18"/>
    </row>
    <row r="66" spans="1:15">
      <c r="A66" s="16" t="s">
        <v>870</v>
      </c>
      <c r="B66" s="16" t="s">
        <v>194</v>
      </c>
      <c r="C66" s="15" t="str">
        <f>IFERROR(INDEX('قائمة الوحدات'!$B$2:$B$41,MATCH($B66,'قائمة الوحدات'!$A$2:$A$41,0)),"")</f>
        <v>MIL</v>
      </c>
      <c r="D66" s="14" t="str">
        <f>IFERROR(INDEX('قائمة الوحدات'!$C$2:$C$41,MATCH($B66,'قائمة الوحدات'!$A$2:$A$41,0)),"")</f>
        <v>الجهاز العسكري</v>
      </c>
      <c r="E66" s="14" t="str">
        <f>IFERROR(INDEX('قائمة الوحدات'!$D$2:$D$41,MATCH($B66,'قائمة الوحدات'!$A$2:$A$41,0)),"")</f>
        <v>قيادة القوات الجوية</v>
      </c>
      <c r="F66" s="14" t="str">
        <f>IFERROR(INDEX('قائمة الوحدات'!$F$2:$F$41,MATCH($B66,'قائمة الوحدات'!$A$2:$A$41,0)),"")</f>
        <v>قيادة القوات الجوية</v>
      </c>
      <c r="G66" s="16" t="s">
        <v>43</v>
      </c>
      <c r="H66" s="14" t="str">
        <f>IFERROR(INDEX(المرجع!$A$2:$A$19,MATCH($G66,المرجع!$B$2:$B$19,0)),"")</f>
        <v>التصميم</v>
      </c>
      <c r="I66" s="16" t="s">
        <v>54</v>
      </c>
      <c r="J66" s="14" t="str">
        <f>IFERROR(INDEX(المرجع!$D$2:$D$19,MATCH($I66,المرجع!$E$2:$E$19,0)),"")</f>
        <v>التنظيم</v>
      </c>
      <c r="K66" s="16" t="s">
        <v>80</v>
      </c>
      <c r="L66" s="17" t="str">
        <f>IFERROR(INDEX('نقاط التحقق'!$G$2:$G$31,MATCH($K66,'نقاط التحقق'!$A$2:$A$31,0))&amp;"","")</f>
        <v>تطوير الأدوار والمسؤوليات للوحدة التنظيمية وتفصيل الهيكل التنظيمي</v>
      </c>
      <c r="M66" s="13">
        <v>90</v>
      </c>
      <c r="N66" s="15" t="str">
        <f>IF($M66="","غير مقيّمة",IF($M66&gt;المرجع!$K$3,"مستوفاة بشكل متقدم",IF($M66&lt;=المرجع!$K$2,"مستوفاة بشكل أولي","مستوفاة بشكل جزئي")))</f>
        <v>مستوفاة بشكل متقدم</v>
      </c>
      <c r="O66" s="18"/>
    </row>
    <row r="67" spans="1:15">
      <c r="A67" s="16" t="s">
        <v>871</v>
      </c>
      <c r="B67" s="16" t="s">
        <v>194</v>
      </c>
      <c r="C67" s="15" t="str">
        <f>IFERROR(INDEX('قائمة الوحدات'!$B$2:$B$41,MATCH($B67,'قائمة الوحدات'!$A$2:$A$41,0)),"")</f>
        <v>MIL</v>
      </c>
      <c r="D67" s="14" t="str">
        <f>IFERROR(INDEX('قائمة الوحدات'!$C$2:$C$41,MATCH($B67,'قائمة الوحدات'!$A$2:$A$41,0)),"")</f>
        <v>الجهاز العسكري</v>
      </c>
      <c r="E67" s="14" t="str">
        <f>IFERROR(INDEX('قائمة الوحدات'!$D$2:$D$41,MATCH($B67,'قائمة الوحدات'!$A$2:$A$41,0)),"")</f>
        <v>قيادة القوات الجوية</v>
      </c>
      <c r="F67" s="14" t="str">
        <f>IFERROR(INDEX('قائمة الوحدات'!$F$2:$F$41,MATCH($B67,'قائمة الوحدات'!$A$2:$A$41,0)),"")</f>
        <v>قيادة القوات الجوية</v>
      </c>
      <c r="G67" s="16" t="s">
        <v>43</v>
      </c>
      <c r="H67" s="14" t="str">
        <f>IFERROR(INDEX(المرجع!$A$2:$A$19,MATCH($G67,المرجع!$B$2:$B$19,0)),"")</f>
        <v>التصميم</v>
      </c>
      <c r="I67" s="16" t="s">
        <v>56</v>
      </c>
      <c r="J67" s="14" t="str">
        <f>IFERROR(INDEX(المرجع!$D$2:$D$19,MATCH($I67,المرجع!$E$2:$E$19,0)),"")</f>
        <v>الموارد</v>
      </c>
      <c r="K67" s="16" t="s">
        <v>82</v>
      </c>
      <c r="L67" s="17" t="str">
        <f>IFERROR(INDEX('نقاط التحقق'!$G$2:$G$31,MATCH($K67,'نقاط التحقق'!$A$2:$A$31,0))&amp;"","")</f>
        <v>تفصيل احتياج الموارد البشرية للوحدة التنظيمية</v>
      </c>
      <c r="M67" s="13">
        <v>71</v>
      </c>
      <c r="N67" s="15" t="str">
        <f>IF($M67="","غير مقيّمة",IF($M67&gt;المرجع!$K$3,"مستوفاة بشكل متقدم",IF($M67&lt;=المرجع!$K$2,"مستوفاة بشكل أولي","مستوفاة بشكل جزئي")))</f>
        <v>مستوفاة بشكل متقدم</v>
      </c>
      <c r="O67" s="18"/>
    </row>
    <row r="68" spans="1:15">
      <c r="A68" s="16" t="s">
        <v>872</v>
      </c>
      <c r="B68" s="16" t="s">
        <v>194</v>
      </c>
      <c r="C68" s="15" t="str">
        <f>IFERROR(INDEX('قائمة الوحدات'!$B$2:$B$41,MATCH($B68,'قائمة الوحدات'!$A$2:$A$41,0)),"")</f>
        <v>MIL</v>
      </c>
      <c r="D68" s="14" t="str">
        <f>IFERROR(INDEX('قائمة الوحدات'!$C$2:$C$41,MATCH($B68,'قائمة الوحدات'!$A$2:$A$41,0)),"")</f>
        <v>الجهاز العسكري</v>
      </c>
      <c r="E68" s="14" t="str">
        <f>IFERROR(INDEX('قائمة الوحدات'!$D$2:$D$41,MATCH($B68,'قائمة الوحدات'!$A$2:$A$41,0)),"")</f>
        <v>قيادة القوات الجوية</v>
      </c>
      <c r="F68" s="14" t="str">
        <f>IFERROR(INDEX('قائمة الوحدات'!$F$2:$F$41,MATCH($B68,'قائمة الوحدات'!$A$2:$A$41,0)),"")</f>
        <v>قيادة القوات الجوية</v>
      </c>
      <c r="G68" s="16" t="s">
        <v>43</v>
      </c>
      <c r="H68" s="14" t="str">
        <f>IFERROR(INDEX(المرجع!$A$2:$A$19,MATCH($G68,المرجع!$B$2:$B$19,0)),"")</f>
        <v>التصميم</v>
      </c>
      <c r="I68" s="16" t="s">
        <v>59</v>
      </c>
      <c r="J68" s="14" t="str">
        <f>IFERROR(INDEX(المرجع!$D$2:$D$19,MATCH($I68,المرجع!$E$2:$E$19,0)),"")</f>
        <v>الإجراءات</v>
      </c>
      <c r="K68" s="16" t="s">
        <v>84</v>
      </c>
      <c r="L68" s="17" t="str">
        <f>IFERROR(INDEX('نقاط التحقق'!$G$2:$G$31,MATCH($K68,'نقاط التحقق'!$A$2:$A$31,0))&amp;"","")</f>
        <v>تفصيل المخرجات إلى إجراءات عالية المستوى</v>
      </c>
      <c r="M68" s="13">
        <v>88</v>
      </c>
      <c r="N68" s="15" t="str">
        <f>IF($M68="","غير مقيّمة",IF($M68&gt;المرجع!$K$3,"مستوفاة بشكل متقدم",IF($M68&lt;=المرجع!$K$2,"مستوفاة بشكل أولي","مستوفاة بشكل جزئي")))</f>
        <v>مستوفاة بشكل متقدم</v>
      </c>
      <c r="O68" s="18"/>
    </row>
    <row r="69" spans="1:15">
      <c r="A69" s="16" t="s">
        <v>873</v>
      </c>
      <c r="B69" s="16" t="s">
        <v>194</v>
      </c>
      <c r="C69" s="15" t="str">
        <f>IFERROR(INDEX('قائمة الوحدات'!$B$2:$B$41,MATCH($B69,'قائمة الوحدات'!$A$2:$A$41,0)),"")</f>
        <v>MIL</v>
      </c>
      <c r="D69" s="14" t="str">
        <f>IFERROR(INDEX('قائمة الوحدات'!$C$2:$C$41,MATCH($B69,'قائمة الوحدات'!$A$2:$A$41,0)),"")</f>
        <v>الجهاز العسكري</v>
      </c>
      <c r="E69" s="14" t="str">
        <f>IFERROR(INDEX('قائمة الوحدات'!$D$2:$D$41,MATCH($B69,'قائمة الوحدات'!$A$2:$A$41,0)),"")</f>
        <v>قيادة القوات الجوية</v>
      </c>
      <c r="F69" s="14" t="str">
        <f>IFERROR(INDEX('قائمة الوحدات'!$F$2:$F$41,MATCH($B69,'قائمة الوحدات'!$A$2:$A$41,0)),"")</f>
        <v>قيادة القوات الجوية</v>
      </c>
      <c r="G69" s="16" t="s">
        <v>61</v>
      </c>
      <c r="H69" s="14" t="str">
        <f>IFERROR(INDEX(المرجع!$A$2:$A$19,MATCH($G69,المرجع!$B$2:$B$19,0)),"")</f>
        <v>البناء المؤسسي</v>
      </c>
      <c r="I69" s="16" t="s">
        <v>45</v>
      </c>
      <c r="J69" s="14" t="str">
        <f>IFERROR(INDEX(المرجع!$D$2:$D$19,MATCH($I69,المرجع!$E$2:$E$19,0)),"")</f>
        <v>الدور</v>
      </c>
      <c r="K69" s="16" t="s">
        <v>86</v>
      </c>
      <c r="L69" s="17" t="str">
        <f>IFERROR(INDEX('نقاط التحقق'!$G$2:$G$31,MATCH($K69,'نقاط التحقق'!$A$2:$A$31,0))&amp;"","")</f>
        <v>دور معتمد للوحدة التنظيمية</v>
      </c>
      <c r="M69" s="13">
        <v>82</v>
      </c>
      <c r="N69" s="15" t="str">
        <f>IF($M69="","غير مقيّمة",IF($M69&gt;المرجع!$K$3,"مستوفاة بشكل متقدم",IF($M69&lt;=المرجع!$K$2,"مستوفاة بشكل أولي","مستوفاة بشكل جزئي")))</f>
        <v>مستوفاة بشكل متقدم</v>
      </c>
      <c r="O69" s="18"/>
    </row>
    <row r="70" spans="1:15">
      <c r="A70" s="16" t="s">
        <v>874</v>
      </c>
      <c r="B70" s="16" t="s">
        <v>194</v>
      </c>
      <c r="C70" s="15" t="str">
        <f>IFERROR(INDEX('قائمة الوحدات'!$B$2:$B$41,MATCH($B70,'قائمة الوحدات'!$A$2:$A$41,0)),"")</f>
        <v>MIL</v>
      </c>
      <c r="D70" s="14" t="str">
        <f>IFERROR(INDEX('قائمة الوحدات'!$C$2:$C$41,MATCH($B70,'قائمة الوحدات'!$A$2:$A$41,0)),"")</f>
        <v>الجهاز العسكري</v>
      </c>
      <c r="E70" s="14" t="str">
        <f>IFERROR(INDEX('قائمة الوحدات'!$D$2:$D$41,MATCH($B70,'قائمة الوحدات'!$A$2:$A$41,0)),"")</f>
        <v>قيادة القوات الجوية</v>
      </c>
      <c r="F70" s="14" t="str">
        <f>IFERROR(INDEX('قائمة الوحدات'!$F$2:$F$41,MATCH($B70,'قائمة الوحدات'!$A$2:$A$41,0)),"")</f>
        <v>قيادة القوات الجوية</v>
      </c>
      <c r="G70" s="16" t="s">
        <v>61</v>
      </c>
      <c r="H70" s="14" t="str">
        <f>IFERROR(INDEX(المرجع!$A$2:$A$19,MATCH($G70,المرجع!$B$2:$B$19,0)),"")</f>
        <v>البناء المؤسسي</v>
      </c>
      <c r="I70" s="16" t="s">
        <v>48</v>
      </c>
      <c r="J70" s="14" t="str">
        <f>IFERROR(INDEX(المرجع!$D$2:$D$19,MATCH($I70,المرجع!$E$2:$E$19,0)),"")</f>
        <v>الأهداف ومؤشرات الأداء</v>
      </c>
      <c r="K70" s="16" t="s">
        <v>88</v>
      </c>
      <c r="L70" s="17" t="str">
        <f>IFERROR(INDEX('نقاط التحقق'!$G$2:$G$31,MATCH($K70,'نقاط التحقق'!$A$2:$A$31,0))&amp;"","")</f>
        <v>أهداف تشغيلية معتمدة من صاحب الصلاحية</v>
      </c>
      <c r="M70" s="13">
        <v>60</v>
      </c>
      <c r="N70" s="15" t="str">
        <f>IF($M70="","غير مقيّمة",IF($M70&gt;المرجع!$K$3,"مستوفاة بشكل متقدم",IF($M70&lt;=المرجع!$K$2,"مستوفاة بشكل أولي","مستوفاة بشكل جزئي")))</f>
        <v>مستوفاة بشكل جزئي</v>
      </c>
      <c r="O70" s="18"/>
    </row>
    <row r="71" spans="1:15">
      <c r="A71" s="16" t="s">
        <v>875</v>
      </c>
      <c r="B71" s="16" t="s">
        <v>194</v>
      </c>
      <c r="C71" s="15" t="str">
        <f>IFERROR(INDEX('قائمة الوحدات'!$B$2:$B$41,MATCH($B71,'قائمة الوحدات'!$A$2:$A$41,0)),"")</f>
        <v>MIL</v>
      </c>
      <c r="D71" s="14" t="str">
        <f>IFERROR(INDEX('قائمة الوحدات'!$C$2:$C$41,MATCH($B71,'قائمة الوحدات'!$A$2:$A$41,0)),"")</f>
        <v>الجهاز العسكري</v>
      </c>
      <c r="E71" s="14" t="str">
        <f>IFERROR(INDEX('قائمة الوحدات'!$D$2:$D$41,MATCH($B71,'قائمة الوحدات'!$A$2:$A$41,0)),"")</f>
        <v>قيادة القوات الجوية</v>
      </c>
      <c r="F71" s="14" t="str">
        <f>IFERROR(INDEX('قائمة الوحدات'!$F$2:$F$41,MATCH($B71,'قائمة الوحدات'!$A$2:$A$41,0)),"")</f>
        <v>قيادة القوات الجوية</v>
      </c>
      <c r="G71" s="16" t="s">
        <v>61</v>
      </c>
      <c r="H71" s="14" t="str">
        <f>IFERROR(INDEX(المرجع!$A$2:$A$19,MATCH($G71,المرجع!$B$2:$B$19,0)),"")</f>
        <v>البناء المؤسسي</v>
      </c>
      <c r="I71" s="16" t="s">
        <v>48</v>
      </c>
      <c r="J71" s="14" t="str">
        <f>IFERROR(INDEX(المرجع!$D$2:$D$19,MATCH($I71,المرجع!$E$2:$E$19,0)),"")</f>
        <v>الأهداف ومؤشرات الأداء</v>
      </c>
      <c r="K71" s="16" t="s">
        <v>90</v>
      </c>
      <c r="L71" s="17" t="str">
        <f>IFERROR(INDEX('نقاط التحقق'!$G$2:$G$31,MATCH($K71,'نقاط التحقق'!$A$2:$A$31,0))&amp;"","")</f>
        <v>نشر الأهداف التشغيلية على موظفي الوحدة التنظيمية</v>
      </c>
      <c r="M71" s="13">
        <v>40</v>
      </c>
      <c r="N71" s="15" t="str">
        <f>IF($M71="","غير مقيّمة",IF($M71&gt;المرجع!$K$3,"مستوفاة بشكل متقدم",IF($M71&lt;=المرجع!$K$2,"مستوفاة بشكل أولي","مستوفاة بشكل جزئي")))</f>
        <v>مستوفاة بشكل جزئي</v>
      </c>
      <c r="O71" s="18"/>
    </row>
    <row r="72" spans="1:15">
      <c r="A72" s="16" t="s">
        <v>876</v>
      </c>
      <c r="B72" s="16" t="s">
        <v>194</v>
      </c>
      <c r="C72" s="15" t="str">
        <f>IFERROR(INDEX('قائمة الوحدات'!$B$2:$B$41,MATCH($B72,'قائمة الوحدات'!$A$2:$A$41,0)),"")</f>
        <v>MIL</v>
      </c>
      <c r="D72" s="14" t="str">
        <f>IFERROR(INDEX('قائمة الوحدات'!$C$2:$C$41,MATCH($B72,'قائمة الوحدات'!$A$2:$A$41,0)),"")</f>
        <v>الجهاز العسكري</v>
      </c>
      <c r="E72" s="14" t="str">
        <f>IFERROR(INDEX('قائمة الوحدات'!$D$2:$D$41,MATCH($B72,'قائمة الوحدات'!$A$2:$A$41,0)),"")</f>
        <v>قيادة القوات الجوية</v>
      </c>
      <c r="F72" s="14" t="str">
        <f>IFERROR(INDEX('قائمة الوحدات'!$F$2:$F$41,MATCH($B72,'قائمة الوحدات'!$A$2:$A$41,0)),"")</f>
        <v>قيادة القوات الجوية</v>
      </c>
      <c r="G72" s="16" t="s">
        <v>61</v>
      </c>
      <c r="H72" s="14" t="str">
        <f>IFERROR(INDEX(المرجع!$A$2:$A$19,MATCH($G72,المرجع!$B$2:$B$19,0)),"")</f>
        <v>البناء المؤسسي</v>
      </c>
      <c r="I72" s="16" t="s">
        <v>51</v>
      </c>
      <c r="J72" s="14" t="str">
        <f>IFERROR(INDEX(المرجع!$D$2:$D$19,MATCH($I72,المرجع!$E$2:$E$19,0)),"")</f>
        <v>الحوكمة</v>
      </c>
      <c r="K72" s="16" t="s">
        <v>92</v>
      </c>
      <c r="L72" s="17" t="str">
        <f>IFERROR(INDEX('نقاط التحقق'!$G$2:$G$31,MATCH($K72,'نقاط التحقق'!$A$2:$A$31,0))&amp;"","")</f>
        <v>مصفوفة صلاحيات معتمدة ومعممة على أصحاب المصلحة</v>
      </c>
      <c r="M72" s="13">
        <v>55</v>
      </c>
      <c r="N72" s="15" t="str">
        <f>IF($M72="","غير مقيّمة",IF($M72&gt;المرجع!$K$3,"مستوفاة بشكل متقدم",IF($M72&lt;=المرجع!$K$2,"مستوفاة بشكل أولي","مستوفاة بشكل جزئي")))</f>
        <v>مستوفاة بشكل جزئي</v>
      </c>
      <c r="O72" s="18"/>
    </row>
    <row r="73" spans="1:15">
      <c r="A73" s="16" t="s">
        <v>877</v>
      </c>
      <c r="B73" s="16" t="s">
        <v>194</v>
      </c>
      <c r="C73" s="15" t="str">
        <f>IFERROR(INDEX('قائمة الوحدات'!$B$2:$B$41,MATCH($B73,'قائمة الوحدات'!$A$2:$A$41,0)),"")</f>
        <v>MIL</v>
      </c>
      <c r="D73" s="14" t="str">
        <f>IFERROR(INDEX('قائمة الوحدات'!$C$2:$C$41,MATCH($B73,'قائمة الوحدات'!$A$2:$A$41,0)),"")</f>
        <v>الجهاز العسكري</v>
      </c>
      <c r="E73" s="14" t="str">
        <f>IFERROR(INDEX('قائمة الوحدات'!$D$2:$D$41,MATCH($B73,'قائمة الوحدات'!$A$2:$A$41,0)),"")</f>
        <v>قيادة القوات الجوية</v>
      </c>
      <c r="F73" s="14" t="str">
        <f>IFERROR(INDEX('قائمة الوحدات'!$F$2:$F$41,MATCH($B73,'قائمة الوحدات'!$A$2:$A$41,0)),"")</f>
        <v>قيادة القوات الجوية</v>
      </c>
      <c r="G73" s="16" t="s">
        <v>61</v>
      </c>
      <c r="H73" s="14" t="str">
        <f>IFERROR(INDEX(المرجع!$A$2:$A$19,MATCH($G73,المرجع!$B$2:$B$19,0)),"")</f>
        <v>البناء المؤسسي</v>
      </c>
      <c r="I73" s="16" t="s">
        <v>51</v>
      </c>
      <c r="J73" s="14" t="str">
        <f>IFERROR(INDEX(المرجع!$D$2:$D$19,MATCH($I73,المرجع!$E$2:$E$19,0)),"")</f>
        <v>الحوكمة</v>
      </c>
      <c r="K73" s="16" t="s">
        <v>94</v>
      </c>
      <c r="L73" s="17" t="str">
        <f>IFERROR(INDEX('نقاط التحقق'!$G$2:$G$31,MATCH($K73,'نقاط التحقق'!$A$2:$A$31,0))&amp;"","")</f>
        <v>سياسات معتمدة للتي تملكها الوحدة التنظيمية</v>
      </c>
      <c r="M73" s="13">
        <v>35</v>
      </c>
      <c r="N73" s="15" t="str">
        <f>IF($M73="","غير مقيّمة",IF($M73&gt;المرجع!$K$3,"مستوفاة بشكل متقدم",IF($M73&lt;=المرجع!$K$2,"مستوفاة بشكل أولي","مستوفاة بشكل جزئي")))</f>
        <v>مستوفاة بشكل جزئي</v>
      </c>
      <c r="O73" s="18"/>
    </row>
    <row r="74" spans="1:15">
      <c r="A74" s="16" t="s">
        <v>878</v>
      </c>
      <c r="B74" s="16" t="s">
        <v>194</v>
      </c>
      <c r="C74" s="15" t="str">
        <f>IFERROR(INDEX('قائمة الوحدات'!$B$2:$B$41,MATCH($B74,'قائمة الوحدات'!$A$2:$A$41,0)),"")</f>
        <v>MIL</v>
      </c>
      <c r="D74" s="14" t="str">
        <f>IFERROR(INDEX('قائمة الوحدات'!$C$2:$C$41,MATCH($B74,'قائمة الوحدات'!$A$2:$A$41,0)),"")</f>
        <v>الجهاز العسكري</v>
      </c>
      <c r="E74" s="14" t="str">
        <f>IFERROR(INDEX('قائمة الوحدات'!$D$2:$D$41,MATCH($B74,'قائمة الوحدات'!$A$2:$A$41,0)),"")</f>
        <v>قيادة القوات الجوية</v>
      </c>
      <c r="F74" s="14" t="str">
        <f>IFERROR(INDEX('قائمة الوحدات'!$F$2:$F$41,MATCH($B74,'قائمة الوحدات'!$A$2:$A$41,0)),"")</f>
        <v>قيادة القوات الجوية</v>
      </c>
      <c r="G74" s="16" t="s">
        <v>61</v>
      </c>
      <c r="H74" s="14" t="str">
        <f>IFERROR(INDEX(المرجع!$A$2:$A$19,MATCH($G74,المرجع!$B$2:$B$19,0)),"")</f>
        <v>البناء المؤسسي</v>
      </c>
      <c r="I74" s="16" t="s">
        <v>51</v>
      </c>
      <c r="J74" s="14" t="str">
        <f>IFERROR(INDEX(المرجع!$D$2:$D$19,MATCH($I74,المرجع!$E$2:$E$19,0)),"")</f>
        <v>الحوكمة</v>
      </c>
      <c r="K74" s="16" t="s">
        <v>96</v>
      </c>
      <c r="L74" s="17" t="str">
        <f>IFERROR(INDEX('نقاط التحقق'!$G$2:$G$31,MATCH($K74,'نقاط التحقق'!$A$2:$A$31,0))&amp;"","")</f>
        <v>قرار تشكيل معتمد للجان ذات العلاقة</v>
      </c>
      <c r="M74" s="13">
        <v>55</v>
      </c>
      <c r="N74" s="15" t="str">
        <f>IF($M74="","غير مقيّمة",IF($M74&gt;المرجع!$K$3,"مستوفاة بشكل متقدم",IF($M74&lt;=المرجع!$K$2,"مستوفاة بشكل أولي","مستوفاة بشكل جزئي")))</f>
        <v>مستوفاة بشكل جزئي</v>
      </c>
      <c r="O74" s="18"/>
    </row>
    <row r="75" spans="1:15">
      <c r="A75" s="16" t="s">
        <v>879</v>
      </c>
      <c r="B75" s="16" t="s">
        <v>194</v>
      </c>
      <c r="C75" s="15" t="str">
        <f>IFERROR(INDEX('قائمة الوحدات'!$B$2:$B$41,MATCH($B75,'قائمة الوحدات'!$A$2:$A$41,0)),"")</f>
        <v>MIL</v>
      </c>
      <c r="D75" s="14" t="str">
        <f>IFERROR(INDEX('قائمة الوحدات'!$C$2:$C$41,MATCH($B75,'قائمة الوحدات'!$A$2:$A$41,0)),"")</f>
        <v>الجهاز العسكري</v>
      </c>
      <c r="E75" s="14" t="str">
        <f>IFERROR(INDEX('قائمة الوحدات'!$D$2:$D$41,MATCH($B75,'قائمة الوحدات'!$A$2:$A$41,0)),"")</f>
        <v>قيادة القوات الجوية</v>
      </c>
      <c r="F75" s="14" t="str">
        <f>IFERROR(INDEX('قائمة الوحدات'!$F$2:$F$41,MATCH($B75,'قائمة الوحدات'!$A$2:$A$41,0)),"")</f>
        <v>قيادة القوات الجوية</v>
      </c>
      <c r="G75" s="16" t="s">
        <v>61</v>
      </c>
      <c r="H75" s="14" t="str">
        <f>IFERROR(INDEX(المرجع!$A$2:$A$19,MATCH($G75,المرجع!$B$2:$B$19,0)),"")</f>
        <v>البناء المؤسسي</v>
      </c>
      <c r="I75" s="16" t="s">
        <v>54</v>
      </c>
      <c r="J75" s="14" t="str">
        <f>IFERROR(INDEX(المرجع!$D$2:$D$19,MATCH($I75,المرجع!$E$2:$E$19,0)),"")</f>
        <v>التنظيم</v>
      </c>
      <c r="K75" s="16" t="s">
        <v>98</v>
      </c>
      <c r="L75" s="17" t="str">
        <f>IFERROR(INDEX('نقاط التحقق'!$G$2:$G$31,MATCH($K75,'نقاط التحقق'!$A$2:$A$31,0))&amp;"","")</f>
        <v>هيكل تنظيمي معتمد من صاحب الصلاحية</v>
      </c>
      <c r="M75" s="13">
        <v>65</v>
      </c>
      <c r="N75" s="15" t="str">
        <f>IF($M75="","غير مقيّمة",IF($M75&gt;المرجع!$K$3,"مستوفاة بشكل متقدم",IF($M75&lt;=المرجع!$K$2,"مستوفاة بشكل أولي","مستوفاة بشكل جزئي")))</f>
        <v>مستوفاة بشكل جزئي</v>
      </c>
      <c r="O75" s="18"/>
    </row>
    <row r="76" spans="1:15">
      <c r="A76" s="16" t="s">
        <v>880</v>
      </c>
      <c r="B76" s="16" t="s">
        <v>194</v>
      </c>
      <c r="C76" s="15" t="str">
        <f>IFERROR(INDEX('قائمة الوحدات'!$B$2:$B$41,MATCH($B76,'قائمة الوحدات'!$A$2:$A$41,0)),"")</f>
        <v>MIL</v>
      </c>
      <c r="D76" s="14" t="str">
        <f>IFERROR(INDEX('قائمة الوحدات'!$C$2:$C$41,MATCH($B76,'قائمة الوحدات'!$A$2:$A$41,0)),"")</f>
        <v>الجهاز العسكري</v>
      </c>
      <c r="E76" s="14" t="str">
        <f>IFERROR(INDEX('قائمة الوحدات'!$D$2:$D$41,MATCH($B76,'قائمة الوحدات'!$A$2:$A$41,0)),"")</f>
        <v>قيادة القوات الجوية</v>
      </c>
      <c r="F76" s="14" t="str">
        <f>IFERROR(INDEX('قائمة الوحدات'!$F$2:$F$41,MATCH($B76,'قائمة الوحدات'!$A$2:$A$41,0)),"")</f>
        <v>قيادة القوات الجوية</v>
      </c>
      <c r="G76" s="16" t="s">
        <v>61</v>
      </c>
      <c r="H76" s="14" t="str">
        <f>IFERROR(INDEX(المرجع!$A$2:$A$19,MATCH($G76,المرجع!$B$2:$B$19,0)),"")</f>
        <v>البناء المؤسسي</v>
      </c>
      <c r="I76" s="16" t="s">
        <v>54</v>
      </c>
      <c r="J76" s="14" t="str">
        <f>IFERROR(INDEX(المرجع!$D$2:$D$19,MATCH($I76,المرجع!$E$2:$E$19,0)),"")</f>
        <v>التنظيم</v>
      </c>
      <c r="K76" s="16" t="s">
        <v>100</v>
      </c>
      <c r="L76" s="17" t="str">
        <f>IFERROR(INDEX('نقاط التحقق'!$G$2:$G$31,MATCH($K76,'نقاط التحقق'!$A$2:$A$31,0))&amp;"","")</f>
        <v>هيكل تنظيمي منشأ على نظام القوى العاملة</v>
      </c>
      <c r="M76" s="13">
        <v>65</v>
      </c>
      <c r="N76" s="15" t="str">
        <f>IF($M76="","غير مقيّمة",IF($M76&gt;المرجع!$K$3,"مستوفاة بشكل متقدم",IF($M76&lt;=المرجع!$K$2,"مستوفاة بشكل أولي","مستوفاة بشكل جزئي")))</f>
        <v>مستوفاة بشكل جزئي</v>
      </c>
      <c r="O76" s="18"/>
    </row>
    <row r="77" spans="1:15">
      <c r="A77" s="16" t="s">
        <v>881</v>
      </c>
      <c r="B77" s="16" t="s">
        <v>194</v>
      </c>
      <c r="C77" s="15" t="str">
        <f>IFERROR(INDEX('قائمة الوحدات'!$B$2:$B$41,MATCH($B77,'قائمة الوحدات'!$A$2:$A$41,0)),"")</f>
        <v>MIL</v>
      </c>
      <c r="D77" s="14" t="str">
        <f>IFERROR(INDEX('قائمة الوحدات'!$C$2:$C$41,MATCH($B77,'قائمة الوحدات'!$A$2:$A$41,0)),"")</f>
        <v>الجهاز العسكري</v>
      </c>
      <c r="E77" s="14" t="str">
        <f>IFERROR(INDEX('قائمة الوحدات'!$D$2:$D$41,MATCH($B77,'قائمة الوحدات'!$A$2:$A$41,0)),"")</f>
        <v>قيادة القوات الجوية</v>
      </c>
      <c r="F77" s="14" t="str">
        <f>IFERROR(INDEX('قائمة الوحدات'!$F$2:$F$41,MATCH($B77,'قائمة الوحدات'!$A$2:$A$41,0)),"")</f>
        <v>قيادة القوات الجوية</v>
      </c>
      <c r="G77" s="16" t="s">
        <v>61</v>
      </c>
      <c r="H77" s="14" t="str">
        <f>IFERROR(INDEX(المرجع!$A$2:$A$19,MATCH($G77,المرجع!$B$2:$B$19,0)),"")</f>
        <v>البناء المؤسسي</v>
      </c>
      <c r="I77" s="16" t="s">
        <v>54</v>
      </c>
      <c r="J77" s="14" t="str">
        <f>IFERROR(INDEX(المرجع!$D$2:$D$19,MATCH($I77,المرجع!$E$2:$E$19,0)),"")</f>
        <v>التنظيم</v>
      </c>
      <c r="K77" s="16" t="s">
        <v>102</v>
      </c>
      <c r="L77" s="17" t="str">
        <f>IFERROR(INDEX('نقاط التحقق'!$G$2:$G$31,MATCH($K77,'نقاط التحقق'!$A$2:$A$31,0))&amp;"","")</f>
        <v>الموظفون المحددون مسكّنون على الهيكل التنظيمي المستهدف</v>
      </c>
      <c r="M77" s="13">
        <v>60</v>
      </c>
      <c r="N77" s="15" t="str">
        <f>IF($M77="","غير مقيّمة",IF($M77&gt;المرجع!$K$3,"مستوفاة بشكل متقدم",IF($M77&lt;=المرجع!$K$2,"مستوفاة بشكل أولي","مستوفاة بشكل جزئي")))</f>
        <v>مستوفاة بشكل جزئي</v>
      </c>
      <c r="O77" s="18"/>
    </row>
    <row r="78" spans="1:15">
      <c r="A78" s="16" t="s">
        <v>882</v>
      </c>
      <c r="B78" s="16" t="s">
        <v>194</v>
      </c>
      <c r="C78" s="15" t="str">
        <f>IFERROR(INDEX('قائمة الوحدات'!$B$2:$B$41,MATCH($B78,'قائمة الوحدات'!$A$2:$A$41,0)),"")</f>
        <v>MIL</v>
      </c>
      <c r="D78" s="14" t="str">
        <f>IFERROR(INDEX('قائمة الوحدات'!$C$2:$C$41,MATCH($B78,'قائمة الوحدات'!$A$2:$A$41,0)),"")</f>
        <v>الجهاز العسكري</v>
      </c>
      <c r="E78" s="14" t="str">
        <f>IFERROR(INDEX('قائمة الوحدات'!$D$2:$D$41,MATCH($B78,'قائمة الوحدات'!$A$2:$A$41,0)),"")</f>
        <v>قيادة القوات الجوية</v>
      </c>
      <c r="F78" s="14" t="str">
        <f>IFERROR(INDEX('قائمة الوحدات'!$F$2:$F$41,MATCH($B78,'قائمة الوحدات'!$A$2:$A$41,0)),"")</f>
        <v>قيادة القوات الجوية</v>
      </c>
      <c r="G78" s="16" t="s">
        <v>61</v>
      </c>
      <c r="H78" s="14" t="str">
        <f>IFERROR(INDEX(المرجع!$A$2:$A$19,MATCH($G78,المرجع!$B$2:$B$19,0)),"")</f>
        <v>البناء المؤسسي</v>
      </c>
      <c r="I78" s="16" t="s">
        <v>56</v>
      </c>
      <c r="J78" s="14" t="str">
        <f>IFERROR(INDEX(المرجع!$D$2:$D$19,MATCH($I78,المرجع!$E$2:$E$19,0)),"")</f>
        <v>الموارد</v>
      </c>
      <c r="K78" s="16" t="s">
        <v>104</v>
      </c>
      <c r="L78" s="17" t="str">
        <f>IFERROR(INDEX('نقاط التحقق'!$G$2:$G$31,MATCH($K78,'نقاط التحقق'!$A$2:$A$31,0))&amp;"","")</f>
        <v>مدير الوحدة التنظيمية والموظفون الرئيسيون معينون/ملحقون</v>
      </c>
      <c r="M78" s="13">
        <v>85</v>
      </c>
      <c r="N78" s="15" t="str">
        <f>IF($M78="","غير مقيّمة",IF($M78&gt;المرجع!$K$3,"مستوفاة بشكل متقدم",IF($M78&lt;=المرجع!$K$2,"مستوفاة بشكل أولي","مستوفاة بشكل جزئي")))</f>
        <v>مستوفاة بشكل متقدم</v>
      </c>
      <c r="O78" s="18"/>
    </row>
    <row r="79" spans="1:15">
      <c r="A79" s="16" t="s">
        <v>883</v>
      </c>
      <c r="B79" s="16" t="s">
        <v>194</v>
      </c>
      <c r="C79" s="15" t="str">
        <f>IFERROR(INDEX('قائمة الوحدات'!$B$2:$B$41,MATCH($B79,'قائمة الوحدات'!$A$2:$A$41,0)),"")</f>
        <v>MIL</v>
      </c>
      <c r="D79" s="14" t="str">
        <f>IFERROR(INDEX('قائمة الوحدات'!$C$2:$C$41,MATCH($B79,'قائمة الوحدات'!$A$2:$A$41,0)),"")</f>
        <v>الجهاز العسكري</v>
      </c>
      <c r="E79" s="14" t="str">
        <f>IFERROR(INDEX('قائمة الوحدات'!$D$2:$D$41,MATCH($B79,'قائمة الوحدات'!$A$2:$A$41,0)),"")</f>
        <v>قيادة القوات الجوية</v>
      </c>
      <c r="F79" s="14" t="str">
        <f>IFERROR(INDEX('قائمة الوحدات'!$F$2:$F$41,MATCH($B79,'قائمة الوحدات'!$A$2:$A$41,0)),"")</f>
        <v>قيادة القوات الجوية</v>
      </c>
      <c r="G79" s="16" t="s">
        <v>61</v>
      </c>
      <c r="H79" s="14" t="str">
        <f>IFERROR(INDEX(المرجع!$A$2:$A$19,MATCH($G79,المرجع!$B$2:$B$19,0)),"")</f>
        <v>البناء المؤسسي</v>
      </c>
      <c r="I79" s="16" t="s">
        <v>56</v>
      </c>
      <c r="J79" s="14" t="str">
        <f>IFERROR(INDEX(المرجع!$D$2:$D$19,MATCH($I79,المرجع!$E$2:$E$19,0)),"")</f>
        <v>الموارد</v>
      </c>
      <c r="K79" s="16" t="s">
        <v>106</v>
      </c>
      <c r="L79" s="17" t="str">
        <f>IFERROR(INDEX('نقاط التحقق'!$G$2:$G$31,MATCH($K79,'نقاط التحقق'!$A$2:$A$31,0))&amp;"","")</f>
        <v>خطة توظيف وتدريب مستكملة</v>
      </c>
      <c r="M79" s="13">
        <v>60</v>
      </c>
      <c r="N79" s="15" t="str">
        <f>IF($M79="","غير مقيّمة",IF($M79&gt;المرجع!$K$3,"مستوفاة بشكل متقدم",IF($M79&lt;=المرجع!$K$2,"مستوفاة بشكل أولي","مستوفاة بشكل جزئي")))</f>
        <v>مستوفاة بشكل جزئي</v>
      </c>
      <c r="O79" s="18"/>
    </row>
    <row r="80" spans="1:15">
      <c r="A80" s="16" t="s">
        <v>884</v>
      </c>
      <c r="B80" s="16" t="s">
        <v>194</v>
      </c>
      <c r="C80" s="15" t="str">
        <f>IFERROR(INDEX('قائمة الوحدات'!$B$2:$B$41,MATCH($B80,'قائمة الوحدات'!$A$2:$A$41,0)),"")</f>
        <v>MIL</v>
      </c>
      <c r="D80" s="14" t="str">
        <f>IFERROR(INDEX('قائمة الوحدات'!$C$2:$C$41,MATCH($B80,'قائمة الوحدات'!$A$2:$A$41,0)),"")</f>
        <v>الجهاز العسكري</v>
      </c>
      <c r="E80" s="14" t="str">
        <f>IFERROR(INDEX('قائمة الوحدات'!$D$2:$D$41,MATCH($B80,'قائمة الوحدات'!$A$2:$A$41,0)),"")</f>
        <v>قيادة القوات الجوية</v>
      </c>
      <c r="F80" s="14" t="str">
        <f>IFERROR(INDEX('قائمة الوحدات'!$F$2:$F$41,MATCH($B80,'قائمة الوحدات'!$A$2:$A$41,0)),"")</f>
        <v>قيادة القوات الجوية</v>
      </c>
      <c r="G80" s="16" t="s">
        <v>61</v>
      </c>
      <c r="H80" s="14" t="str">
        <f>IFERROR(INDEX(المرجع!$A$2:$A$19,MATCH($G80,المرجع!$B$2:$B$19,0)),"")</f>
        <v>البناء المؤسسي</v>
      </c>
      <c r="I80" s="16" t="s">
        <v>56</v>
      </c>
      <c r="J80" s="14" t="str">
        <f>IFERROR(INDEX(المرجع!$D$2:$D$19,MATCH($I80,المرجع!$E$2:$E$19,0)),"")</f>
        <v>الموارد</v>
      </c>
      <c r="K80" s="16" t="s">
        <v>108</v>
      </c>
      <c r="L80" s="17" t="str">
        <f>IFERROR(INDEX('نقاط التحقق'!$G$2:$G$31,MATCH($K80,'نقاط التحقق'!$A$2:$A$31,0))&amp;"","")</f>
        <v>وجود مساحات مكتبية كافية</v>
      </c>
      <c r="M80" s="13">
        <v>65</v>
      </c>
      <c r="N80" s="15" t="str">
        <f>IF($M80="","غير مقيّمة",IF($M80&gt;المرجع!$K$3,"مستوفاة بشكل متقدم",IF($M80&lt;=المرجع!$K$2,"مستوفاة بشكل أولي","مستوفاة بشكل جزئي")))</f>
        <v>مستوفاة بشكل جزئي</v>
      </c>
      <c r="O80" s="18"/>
    </row>
    <row r="81" spans="1:15">
      <c r="A81" s="16" t="s">
        <v>885</v>
      </c>
      <c r="B81" s="16" t="s">
        <v>194</v>
      </c>
      <c r="C81" s="15" t="str">
        <f>IFERROR(INDEX('قائمة الوحدات'!$B$2:$B$41,MATCH($B81,'قائمة الوحدات'!$A$2:$A$41,0)),"")</f>
        <v>MIL</v>
      </c>
      <c r="D81" s="14" t="str">
        <f>IFERROR(INDEX('قائمة الوحدات'!$C$2:$C$41,MATCH($B81,'قائمة الوحدات'!$A$2:$A$41,0)),"")</f>
        <v>الجهاز العسكري</v>
      </c>
      <c r="E81" s="14" t="str">
        <f>IFERROR(INDEX('قائمة الوحدات'!$D$2:$D$41,MATCH($B81,'قائمة الوحدات'!$A$2:$A$41,0)),"")</f>
        <v>قيادة القوات الجوية</v>
      </c>
      <c r="F81" s="14" t="str">
        <f>IFERROR(INDEX('قائمة الوحدات'!$F$2:$F$41,MATCH($B81,'قائمة الوحدات'!$A$2:$A$41,0)),"")</f>
        <v>قيادة القوات الجوية</v>
      </c>
      <c r="G81" s="16" t="s">
        <v>61</v>
      </c>
      <c r="H81" s="14" t="str">
        <f>IFERROR(INDEX(المرجع!$A$2:$A$19,MATCH($G81,المرجع!$B$2:$B$19,0)),"")</f>
        <v>البناء المؤسسي</v>
      </c>
      <c r="I81" s="16" t="s">
        <v>56</v>
      </c>
      <c r="J81" s="14" t="str">
        <f>IFERROR(INDEX(المرجع!$D$2:$D$19,MATCH($I81,المرجع!$E$2:$E$19,0)),"")</f>
        <v>الموارد</v>
      </c>
      <c r="K81" s="16" t="s">
        <v>110</v>
      </c>
      <c r="L81" s="17" t="str">
        <f>IFERROR(INDEX('نقاط التحقق'!$G$2:$G$31,MATCH($K81,'نقاط التحقق'!$A$2:$A$31,0))&amp;"","")</f>
        <v>وجود الاحتياجات التقنية الأساسية</v>
      </c>
      <c r="M81" s="13">
        <v>65</v>
      </c>
      <c r="N81" s="15" t="str">
        <f>IF($M81="","غير مقيّمة",IF($M81&gt;المرجع!$K$3,"مستوفاة بشكل متقدم",IF($M81&lt;=المرجع!$K$2,"مستوفاة بشكل أولي","مستوفاة بشكل جزئي")))</f>
        <v>مستوفاة بشكل جزئي</v>
      </c>
      <c r="O81" s="18"/>
    </row>
    <row r="82" spans="1:15">
      <c r="A82" s="16" t="s">
        <v>886</v>
      </c>
      <c r="B82" s="16" t="s">
        <v>194</v>
      </c>
      <c r="C82" s="15" t="str">
        <f>IFERROR(INDEX('قائمة الوحدات'!$B$2:$B$41,MATCH($B82,'قائمة الوحدات'!$A$2:$A$41,0)),"")</f>
        <v>MIL</v>
      </c>
      <c r="D82" s="14" t="str">
        <f>IFERROR(INDEX('قائمة الوحدات'!$C$2:$C$41,MATCH($B82,'قائمة الوحدات'!$A$2:$A$41,0)),"")</f>
        <v>الجهاز العسكري</v>
      </c>
      <c r="E82" s="14" t="str">
        <f>IFERROR(INDEX('قائمة الوحدات'!$D$2:$D$41,MATCH($B82,'قائمة الوحدات'!$A$2:$A$41,0)),"")</f>
        <v>قيادة القوات الجوية</v>
      </c>
      <c r="F82" s="14" t="str">
        <f>IFERROR(INDEX('قائمة الوحدات'!$F$2:$F$41,MATCH($B82,'قائمة الوحدات'!$A$2:$A$41,0)),"")</f>
        <v>قيادة القوات الجوية</v>
      </c>
      <c r="G82" s="16" t="s">
        <v>61</v>
      </c>
      <c r="H82" s="14" t="str">
        <f>IFERROR(INDEX(المرجع!$A$2:$A$19,MATCH($G82,المرجع!$B$2:$B$19,0)),"")</f>
        <v>البناء المؤسسي</v>
      </c>
      <c r="I82" s="16" t="s">
        <v>59</v>
      </c>
      <c r="J82" s="14" t="str">
        <f>IFERROR(INDEX(المرجع!$D$2:$D$19,MATCH($I82,المرجع!$E$2:$E$19,0)),"")</f>
        <v>الإجراءات</v>
      </c>
      <c r="K82" s="16" t="s">
        <v>112</v>
      </c>
      <c r="L82" s="17" t="str">
        <f>IFERROR(INDEX('نقاط التحقق'!$G$2:$G$31,MATCH($K82,'نقاط التحقق'!$A$2:$A$31,0))&amp;"","")</f>
        <v>إجراءات معتمدة للوحدة التنظيمية</v>
      </c>
      <c r="M82" s="13">
        <v>55</v>
      </c>
      <c r="N82" s="15" t="str">
        <f>IF($M82="","غير مقيّمة",IF($M82&gt;المرجع!$K$3,"مستوفاة بشكل متقدم",IF($M82&lt;=المرجع!$K$2,"مستوفاة بشكل أولي","مستوفاة بشكل جزئي")))</f>
        <v>مستوفاة بشكل جزئي</v>
      </c>
      <c r="O82" s="18"/>
    </row>
    <row r="83" spans="1:15">
      <c r="A83" s="16" t="s">
        <v>887</v>
      </c>
      <c r="B83" s="16" t="s">
        <v>194</v>
      </c>
      <c r="C83" s="15" t="str">
        <f>IFERROR(INDEX('قائمة الوحدات'!$B$2:$B$41,MATCH($B83,'قائمة الوحدات'!$A$2:$A$41,0)),"")</f>
        <v>MIL</v>
      </c>
      <c r="D83" s="14" t="str">
        <f>IFERROR(INDEX('قائمة الوحدات'!$C$2:$C$41,MATCH($B83,'قائمة الوحدات'!$A$2:$A$41,0)),"")</f>
        <v>الجهاز العسكري</v>
      </c>
      <c r="E83" s="14" t="str">
        <f>IFERROR(INDEX('قائمة الوحدات'!$D$2:$D$41,MATCH($B83,'قائمة الوحدات'!$A$2:$A$41,0)),"")</f>
        <v>قيادة القوات الجوية</v>
      </c>
      <c r="F83" s="14" t="str">
        <f>IFERROR(INDEX('قائمة الوحدات'!$F$2:$F$41,MATCH($B83,'قائمة الوحدات'!$A$2:$A$41,0)),"")</f>
        <v>قيادة القوات الجوية</v>
      </c>
      <c r="G83" s="16" t="s">
        <v>61</v>
      </c>
      <c r="H83" s="14" t="str">
        <f>IFERROR(INDEX(المرجع!$A$2:$A$19,MATCH($G83,المرجع!$B$2:$B$19,0)),"")</f>
        <v>البناء المؤسسي</v>
      </c>
      <c r="I83" s="16" t="s">
        <v>63</v>
      </c>
      <c r="J83" s="14" t="str">
        <f>IFERROR(INDEX(المرجع!$D$2:$D$19,MATCH($I83,المرجع!$E$2:$E$19,0)),"")</f>
        <v>إنتاج المخرج الأول</v>
      </c>
      <c r="K83" s="16" t="s">
        <v>114</v>
      </c>
      <c r="L83" s="17" t="str">
        <f>IFERROR(INDEX('نقاط التحقق'!$G$2:$G$31,MATCH($K83,'نقاط التحقق'!$A$2:$A$31,0))&amp;"","")</f>
        <v>إنتاج المخرج الأول من قبل الوحدة التنظيمية</v>
      </c>
      <c r="M83" s="13">
        <v>80</v>
      </c>
      <c r="N83" s="15" t="str">
        <f>IF($M83="","غير مقيّمة",IF($M83&gt;المرجع!$K$3,"مستوفاة بشكل متقدم",IF($M83&lt;=المرجع!$K$2,"مستوفاة بشكل أولي","مستوفاة بشكل جزئي")))</f>
        <v>مستوفاة بشكل متقدم</v>
      </c>
      <c r="O83" s="18"/>
    </row>
    <row r="84" spans="1:15">
      <c r="A84" s="16" t="s">
        <v>888</v>
      </c>
      <c r="B84" s="16" t="s">
        <v>194</v>
      </c>
      <c r="C84" s="15" t="str">
        <f>IFERROR(INDEX('قائمة الوحدات'!$B$2:$B$41,MATCH($B84,'قائمة الوحدات'!$A$2:$A$41,0)),"")</f>
        <v>MIL</v>
      </c>
      <c r="D84" s="14" t="str">
        <f>IFERROR(INDEX('قائمة الوحدات'!$C$2:$C$41,MATCH($B84,'قائمة الوحدات'!$A$2:$A$41,0)),"")</f>
        <v>الجهاز العسكري</v>
      </c>
      <c r="E84" s="14" t="str">
        <f>IFERROR(INDEX('قائمة الوحدات'!$D$2:$D$41,MATCH($B84,'قائمة الوحدات'!$A$2:$A$41,0)),"")</f>
        <v>قيادة القوات الجوية</v>
      </c>
      <c r="F84" s="14" t="str">
        <f>IFERROR(INDEX('قائمة الوحدات'!$F$2:$F$41,MATCH($B84,'قائمة الوحدات'!$A$2:$A$41,0)),"")</f>
        <v>قيادة القوات الجوية</v>
      </c>
      <c r="G84" s="16" t="s">
        <v>65</v>
      </c>
      <c r="H84" s="14" t="str">
        <f>IFERROR(INDEX(المرجع!$A$2:$A$19,MATCH($G84,المرجع!$B$2:$B$19,0)),"")</f>
        <v>التشغيل</v>
      </c>
      <c r="I84" s="16" t="s">
        <v>48</v>
      </c>
      <c r="J84" s="14" t="str">
        <f>IFERROR(INDEX(المرجع!$D$2:$D$19,MATCH($I84,المرجع!$E$2:$E$19,0)),"")</f>
        <v>الأهداف ومؤشرات الأداء</v>
      </c>
      <c r="K84" s="16" t="s">
        <v>116</v>
      </c>
      <c r="L84" s="17" t="str">
        <f>IFERROR(INDEX('نقاط التحقق'!$G$2:$G$31,MATCH($K84,'نقاط التحقق'!$A$2:$A$31,0))&amp;"","")</f>
        <v>تحرك مؤشرات الأداء التشغيلي للوحدة التنظيمية بشكل إيجابي</v>
      </c>
      <c r="M84" s="13">
        <v>65</v>
      </c>
      <c r="N84" s="15" t="str">
        <f>IF($M84="","غير مقيّمة",IF($M84&gt;المرجع!$K$3,"مستوفاة بشكل متقدم",IF($M84&lt;=المرجع!$K$2,"مستوفاة بشكل أولي","مستوفاة بشكل جزئي")))</f>
        <v>مستوفاة بشكل جزئي</v>
      </c>
      <c r="O84" s="18"/>
    </row>
    <row r="85" spans="1:15">
      <c r="A85" s="16" t="s">
        <v>889</v>
      </c>
      <c r="B85" s="16" t="s">
        <v>194</v>
      </c>
      <c r="C85" s="15" t="str">
        <f>IFERROR(INDEX('قائمة الوحدات'!$B$2:$B$41,MATCH($B85,'قائمة الوحدات'!$A$2:$A$41,0)),"")</f>
        <v>MIL</v>
      </c>
      <c r="D85" s="14" t="str">
        <f>IFERROR(INDEX('قائمة الوحدات'!$C$2:$C$41,MATCH($B85,'قائمة الوحدات'!$A$2:$A$41,0)),"")</f>
        <v>الجهاز العسكري</v>
      </c>
      <c r="E85" s="14" t="str">
        <f>IFERROR(INDEX('قائمة الوحدات'!$D$2:$D$41,MATCH($B85,'قائمة الوحدات'!$A$2:$A$41,0)),"")</f>
        <v>قيادة القوات الجوية</v>
      </c>
      <c r="F85" s="14" t="str">
        <f>IFERROR(INDEX('قائمة الوحدات'!$F$2:$F$41,MATCH($B85,'قائمة الوحدات'!$A$2:$A$41,0)),"")</f>
        <v>قيادة القوات الجوية</v>
      </c>
      <c r="G85" s="16" t="s">
        <v>65</v>
      </c>
      <c r="H85" s="14" t="str">
        <f>IFERROR(INDEX(المرجع!$A$2:$A$19,MATCH($G85,المرجع!$B$2:$B$19,0)),"")</f>
        <v>التشغيل</v>
      </c>
      <c r="I85" s="16" t="s">
        <v>48</v>
      </c>
      <c r="J85" s="14" t="str">
        <f>IFERROR(INDEX(المرجع!$D$2:$D$19,MATCH($I85,المرجع!$E$2:$E$19,0)),"")</f>
        <v>الأهداف ومؤشرات الأداء</v>
      </c>
      <c r="K85" s="16" t="s">
        <v>118</v>
      </c>
      <c r="L85" s="17" t="str">
        <f>IFERROR(INDEX('نقاط التحقق'!$G$2:$G$31,MATCH($K85,'نقاط التحقق'!$A$2:$A$31,0))&amp;"","")</f>
        <v>خطة سنوية معتمدة للوحدة التنظيمية</v>
      </c>
      <c r="M85" s="13">
        <v>35</v>
      </c>
      <c r="N85" s="15" t="str">
        <f>IF($M85="","غير مقيّمة",IF($M85&gt;المرجع!$K$3,"مستوفاة بشكل متقدم",IF($M85&lt;=المرجع!$K$2,"مستوفاة بشكل أولي","مستوفاة بشكل جزئي")))</f>
        <v>مستوفاة بشكل جزئي</v>
      </c>
      <c r="O85" s="18"/>
    </row>
    <row r="86" spans="1:15">
      <c r="A86" s="16" t="s">
        <v>890</v>
      </c>
      <c r="B86" s="16" t="s">
        <v>194</v>
      </c>
      <c r="C86" s="15" t="str">
        <f>IFERROR(INDEX('قائمة الوحدات'!$B$2:$B$41,MATCH($B86,'قائمة الوحدات'!$A$2:$A$41,0)),"")</f>
        <v>MIL</v>
      </c>
      <c r="D86" s="14" t="str">
        <f>IFERROR(INDEX('قائمة الوحدات'!$C$2:$C$41,MATCH($B86,'قائمة الوحدات'!$A$2:$A$41,0)),"")</f>
        <v>الجهاز العسكري</v>
      </c>
      <c r="E86" s="14" t="str">
        <f>IFERROR(INDEX('قائمة الوحدات'!$D$2:$D$41,MATCH($B86,'قائمة الوحدات'!$A$2:$A$41,0)),"")</f>
        <v>قيادة القوات الجوية</v>
      </c>
      <c r="F86" s="14" t="str">
        <f>IFERROR(INDEX('قائمة الوحدات'!$F$2:$F$41,MATCH($B86,'قائمة الوحدات'!$A$2:$A$41,0)),"")</f>
        <v>قيادة القوات الجوية</v>
      </c>
      <c r="G86" s="16" t="s">
        <v>65</v>
      </c>
      <c r="H86" s="14" t="str">
        <f>IFERROR(INDEX(المرجع!$A$2:$A$19,MATCH($G86,المرجع!$B$2:$B$19,0)),"")</f>
        <v>التشغيل</v>
      </c>
      <c r="I86" s="16" t="s">
        <v>51</v>
      </c>
      <c r="J86" s="14" t="str">
        <f>IFERROR(INDEX(المرجع!$D$2:$D$19,MATCH($I86,المرجع!$E$2:$E$19,0)),"")</f>
        <v>الحوكمة</v>
      </c>
      <c r="K86" s="16" t="s">
        <v>120</v>
      </c>
      <c r="L86" s="17" t="str">
        <f>IFERROR(INDEX('نقاط التحقق'!$G$2:$G$31,MATCH($K86,'نقاط التحقق'!$A$2:$A$31,0))&amp;"","")</f>
        <v>محاضر لجان موثقة</v>
      </c>
      <c r="M86" s="13">
        <v>35</v>
      </c>
      <c r="N86" s="15" t="str">
        <f>IF($M86="","غير مقيّمة",IF($M86&gt;المرجع!$K$3,"مستوفاة بشكل متقدم",IF($M86&lt;=المرجع!$K$2,"مستوفاة بشكل أولي","مستوفاة بشكل جزئي")))</f>
        <v>مستوفاة بشكل جزئي</v>
      </c>
      <c r="O86" s="18"/>
    </row>
    <row r="87" spans="1:15">
      <c r="A87" s="16" t="s">
        <v>891</v>
      </c>
      <c r="B87" s="16" t="s">
        <v>194</v>
      </c>
      <c r="C87" s="15" t="str">
        <f>IFERROR(INDEX('قائمة الوحدات'!$B$2:$B$41,MATCH($B87,'قائمة الوحدات'!$A$2:$A$41,0)),"")</f>
        <v>MIL</v>
      </c>
      <c r="D87" s="14" t="str">
        <f>IFERROR(INDEX('قائمة الوحدات'!$C$2:$C$41,MATCH($B87,'قائمة الوحدات'!$A$2:$A$41,0)),"")</f>
        <v>الجهاز العسكري</v>
      </c>
      <c r="E87" s="14" t="str">
        <f>IFERROR(INDEX('قائمة الوحدات'!$D$2:$D$41,MATCH($B87,'قائمة الوحدات'!$A$2:$A$41,0)),"")</f>
        <v>قيادة القوات الجوية</v>
      </c>
      <c r="F87" s="14" t="str">
        <f>IFERROR(INDEX('قائمة الوحدات'!$F$2:$F$41,MATCH($B87,'قائمة الوحدات'!$A$2:$A$41,0)),"")</f>
        <v>قيادة القوات الجوية</v>
      </c>
      <c r="G87" s="16" t="s">
        <v>65</v>
      </c>
      <c r="H87" s="14" t="str">
        <f>IFERROR(INDEX(المرجع!$A$2:$A$19,MATCH($G87,المرجع!$B$2:$B$19,0)),"")</f>
        <v>التشغيل</v>
      </c>
      <c r="I87" s="16" t="s">
        <v>51</v>
      </c>
      <c r="J87" s="14" t="str">
        <f>IFERROR(INDEX(المرجع!$D$2:$D$19,MATCH($I87,المرجع!$E$2:$E$19,0)),"")</f>
        <v>الحوكمة</v>
      </c>
      <c r="K87" s="16" t="s">
        <v>122</v>
      </c>
      <c r="L87" s="17" t="str">
        <f>IFERROR(INDEX('نقاط التحقق'!$G$2:$G$31,MATCH($K87,'نقاط التحقق'!$A$2:$A$31,0))&amp;"","")</f>
        <v>نشر السياسات التي تملكها الوحدة التنظيمية</v>
      </c>
      <c r="M87" s="13">
        <v>30</v>
      </c>
      <c r="N87" s="15" t="str">
        <f>IF($M87="","غير مقيّمة",IF($M87&gt;المرجع!$K$3,"مستوفاة بشكل متقدم",IF($M87&lt;=المرجع!$K$2,"مستوفاة بشكل أولي","مستوفاة بشكل جزئي")))</f>
        <v>مستوفاة بشكل أولي</v>
      </c>
      <c r="O87" s="18"/>
    </row>
    <row r="88" spans="1:15">
      <c r="A88" s="16" t="s">
        <v>892</v>
      </c>
      <c r="B88" s="16" t="s">
        <v>194</v>
      </c>
      <c r="C88" s="15" t="str">
        <f>IFERROR(INDEX('قائمة الوحدات'!$B$2:$B$41,MATCH($B88,'قائمة الوحدات'!$A$2:$A$41,0)),"")</f>
        <v>MIL</v>
      </c>
      <c r="D88" s="14" t="str">
        <f>IFERROR(INDEX('قائمة الوحدات'!$C$2:$C$41,MATCH($B88,'قائمة الوحدات'!$A$2:$A$41,0)),"")</f>
        <v>الجهاز العسكري</v>
      </c>
      <c r="E88" s="14" t="str">
        <f>IFERROR(INDEX('قائمة الوحدات'!$D$2:$D$41,MATCH($B88,'قائمة الوحدات'!$A$2:$A$41,0)),"")</f>
        <v>قيادة القوات الجوية</v>
      </c>
      <c r="F88" s="14" t="str">
        <f>IFERROR(INDEX('قائمة الوحدات'!$F$2:$F$41,MATCH($B88,'قائمة الوحدات'!$A$2:$A$41,0)),"")</f>
        <v>قيادة القوات الجوية</v>
      </c>
      <c r="G88" s="16" t="s">
        <v>65</v>
      </c>
      <c r="H88" s="14" t="str">
        <f>IFERROR(INDEX(المرجع!$A$2:$A$19,MATCH($G88,المرجع!$B$2:$B$19,0)),"")</f>
        <v>التشغيل</v>
      </c>
      <c r="I88" s="16" t="s">
        <v>51</v>
      </c>
      <c r="J88" s="14" t="str">
        <f>IFERROR(INDEX(المرجع!$D$2:$D$19,MATCH($I88,المرجع!$E$2:$E$19,0)),"")</f>
        <v>الحوكمة</v>
      </c>
      <c r="K88" s="16" t="s">
        <v>124</v>
      </c>
      <c r="L88" s="17" t="str">
        <f>IFERROR(INDEX('نقاط التحقق'!$G$2:$G$31,MATCH($K88,'نقاط التحقق'!$A$2:$A$31,0))&amp;"","")</f>
        <v>اتخاذ القرارات في نطاق الصلاحيات (وجود شواهد)</v>
      </c>
      <c r="M88" s="13">
        <v>55</v>
      </c>
      <c r="N88" s="15" t="str">
        <f>IF($M88="","غير مقيّمة",IF($M88&gt;المرجع!$K$3,"مستوفاة بشكل متقدم",IF($M88&lt;=المرجع!$K$2,"مستوفاة بشكل أولي","مستوفاة بشكل جزئي")))</f>
        <v>مستوفاة بشكل جزئي</v>
      </c>
      <c r="O88" s="18"/>
    </row>
    <row r="89" spans="1:15">
      <c r="A89" s="16" t="s">
        <v>893</v>
      </c>
      <c r="B89" s="16" t="s">
        <v>194</v>
      </c>
      <c r="C89" s="15" t="str">
        <f>IFERROR(INDEX('قائمة الوحدات'!$B$2:$B$41,MATCH($B89,'قائمة الوحدات'!$A$2:$A$41,0)),"")</f>
        <v>MIL</v>
      </c>
      <c r="D89" s="14" t="str">
        <f>IFERROR(INDEX('قائمة الوحدات'!$C$2:$C$41,MATCH($B89,'قائمة الوحدات'!$A$2:$A$41,0)),"")</f>
        <v>الجهاز العسكري</v>
      </c>
      <c r="E89" s="14" t="str">
        <f>IFERROR(INDEX('قائمة الوحدات'!$D$2:$D$41,MATCH($B89,'قائمة الوحدات'!$A$2:$A$41,0)),"")</f>
        <v>قيادة القوات الجوية</v>
      </c>
      <c r="F89" s="14" t="str">
        <f>IFERROR(INDEX('قائمة الوحدات'!$F$2:$F$41,MATCH($B89,'قائمة الوحدات'!$A$2:$A$41,0)),"")</f>
        <v>قيادة القوات الجوية</v>
      </c>
      <c r="G89" s="16" t="s">
        <v>65</v>
      </c>
      <c r="H89" s="14" t="str">
        <f>IFERROR(INDEX(المرجع!$A$2:$A$19,MATCH($G89,المرجع!$B$2:$B$19,0)),"")</f>
        <v>التشغيل</v>
      </c>
      <c r="I89" s="16" t="s">
        <v>56</v>
      </c>
      <c r="J89" s="14" t="str">
        <f>IFERROR(INDEX(المرجع!$D$2:$D$19,MATCH($I89,المرجع!$E$2:$E$19,0)),"")</f>
        <v>الموارد</v>
      </c>
      <c r="K89" s="16" t="s">
        <v>126</v>
      </c>
      <c r="L89" s="17" t="str">
        <f>IFERROR(INDEX('نقاط التحقق'!$G$2:$G$31,MATCH($K89,'نقاط التحقق'!$A$2:$A$31,0))&amp;"","")</f>
        <v>موارد مستكملة للحد الأدنى الذي يغطي كافة محاور سلسلة القيمة</v>
      </c>
      <c r="M89" s="13">
        <v>54</v>
      </c>
      <c r="N89" s="15" t="str">
        <f>IF($M89="","غير مقيّمة",IF($M89&gt;المرجع!$K$3,"مستوفاة بشكل متقدم",IF($M89&lt;=المرجع!$K$2,"مستوفاة بشكل أولي","مستوفاة بشكل جزئي")))</f>
        <v>مستوفاة بشكل جزئي</v>
      </c>
      <c r="O89" s="18"/>
    </row>
    <row r="90" spans="1:15">
      <c r="A90" s="16" t="s">
        <v>894</v>
      </c>
      <c r="B90" s="16" t="s">
        <v>194</v>
      </c>
      <c r="C90" s="15" t="str">
        <f>IFERROR(INDEX('قائمة الوحدات'!$B$2:$B$41,MATCH($B90,'قائمة الوحدات'!$A$2:$A$41,0)),"")</f>
        <v>MIL</v>
      </c>
      <c r="D90" s="14" t="str">
        <f>IFERROR(INDEX('قائمة الوحدات'!$C$2:$C$41,MATCH($B90,'قائمة الوحدات'!$A$2:$A$41,0)),"")</f>
        <v>الجهاز العسكري</v>
      </c>
      <c r="E90" s="14" t="str">
        <f>IFERROR(INDEX('قائمة الوحدات'!$D$2:$D$41,MATCH($B90,'قائمة الوحدات'!$A$2:$A$41,0)),"")</f>
        <v>قيادة القوات الجوية</v>
      </c>
      <c r="F90" s="14" t="str">
        <f>IFERROR(INDEX('قائمة الوحدات'!$F$2:$F$41,MATCH($B90,'قائمة الوحدات'!$A$2:$A$41,0)),"")</f>
        <v>قيادة القوات الجوية</v>
      </c>
      <c r="G90" s="16" t="s">
        <v>65</v>
      </c>
      <c r="H90" s="14" t="str">
        <f>IFERROR(INDEX(المرجع!$A$2:$A$19,MATCH($G90,المرجع!$B$2:$B$19,0)),"")</f>
        <v>التشغيل</v>
      </c>
      <c r="I90" s="16" t="s">
        <v>59</v>
      </c>
      <c r="J90" s="14" t="str">
        <f>IFERROR(INDEX(المرجع!$D$2:$D$19,MATCH($I90,المرجع!$E$2:$E$19,0)),"")</f>
        <v>الإجراءات</v>
      </c>
      <c r="K90" s="16" t="s">
        <v>128</v>
      </c>
      <c r="L90" s="17" t="str">
        <f>IFERROR(INDEX('نقاط التحقق'!$G$2:$G$31,MATCH($K90,'نقاط التحقق'!$A$2:$A$31,0))&amp;"","")</f>
        <v>تحقيق تقييم "مطبق بشكل كامل" من منهجية تقييم فعالية الإجراءات</v>
      </c>
      <c r="M90" s="13">
        <v>56</v>
      </c>
      <c r="N90" s="15" t="str">
        <f>IF($M90="","غير مقيّمة",IF($M90&gt;المرجع!$K$3,"مستوفاة بشكل متقدم",IF($M90&lt;=المرجع!$K$2,"مستوفاة بشكل أولي","مستوفاة بشكل جزئي")))</f>
        <v>مستوفاة بشكل جزئي</v>
      </c>
      <c r="O90" s="18"/>
    </row>
    <row r="91" spans="1:15">
      <c r="A91" s="16" t="s">
        <v>895</v>
      </c>
      <c r="B91" s="16" t="s">
        <v>194</v>
      </c>
      <c r="C91" s="15" t="str">
        <f>IFERROR(INDEX('قائمة الوحدات'!$B$2:$B$41,MATCH($B91,'قائمة الوحدات'!$A$2:$A$41,0)),"")</f>
        <v>MIL</v>
      </c>
      <c r="D91" s="14" t="str">
        <f>IFERROR(INDEX('قائمة الوحدات'!$C$2:$C$41,MATCH($B91,'قائمة الوحدات'!$A$2:$A$41,0)),"")</f>
        <v>الجهاز العسكري</v>
      </c>
      <c r="E91" s="14" t="str">
        <f>IFERROR(INDEX('قائمة الوحدات'!$D$2:$D$41,MATCH($B91,'قائمة الوحدات'!$A$2:$A$41,0)),"")</f>
        <v>قيادة القوات الجوية</v>
      </c>
      <c r="F91" s="14" t="str">
        <f>IFERROR(INDEX('قائمة الوحدات'!$F$2:$F$41,MATCH($B91,'قائمة الوحدات'!$A$2:$A$41,0)),"")</f>
        <v>قيادة القوات الجوية</v>
      </c>
      <c r="G91" s="16" t="s">
        <v>65</v>
      </c>
      <c r="H91" s="14" t="str">
        <f>IFERROR(INDEX(المرجع!$A$2:$A$19,MATCH($G91,المرجع!$B$2:$B$19,0)),"")</f>
        <v>التشغيل</v>
      </c>
      <c r="I91" s="16" t="s">
        <v>67</v>
      </c>
      <c r="J91" s="14" t="str">
        <f>IFERROR(INDEX(المرجع!$D$2:$D$19,MATCH($I91,المرجع!$E$2:$E$19,0)),"")</f>
        <v>اكتمال المخرجات المستهدفة</v>
      </c>
      <c r="K91" s="16" t="s">
        <v>130</v>
      </c>
      <c r="L91" s="17" t="str">
        <f>IFERROR(INDEX('نقاط التحقق'!$G$2:$G$31,MATCH($K91,'نقاط التحقق'!$A$2:$A$31,0))&amp;"","")</f>
        <v>اكتمال مخرجات النموذج التشغيلي المستهدف للوحدة التنظيمية</v>
      </c>
      <c r="M91" s="13">
        <v>54</v>
      </c>
      <c r="N91" s="15" t="str">
        <f>IF($M91="","غير مقيّمة",IF($M91&gt;المرجع!$K$3,"مستوفاة بشكل متقدم",IF($M91&lt;=المرجع!$K$2,"مستوفاة بشكل أولي","مستوفاة بشكل جزئي")))</f>
        <v>مستوفاة بشكل جزئي</v>
      </c>
      <c r="O91" s="18"/>
    </row>
    <row r="92" spans="1:15">
      <c r="A92" s="16" t="s">
        <v>896</v>
      </c>
      <c r="B92" s="16" t="s">
        <v>196</v>
      </c>
      <c r="C92" s="15" t="str">
        <f>IFERROR(INDEX('قائمة الوحدات'!$B$2:$B$41,MATCH($B92,'قائمة الوحدات'!$A$2:$A$41,0)),"")</f>
        <v>MIL</v>
      </c>
      <c r="D92" s="14" t="str">
        <f>IFERROR(INDEX('قائمة الوحدات'!$C$2:$C$41,MATCH($B92,'قائمة الوحدات'!$A$2:$A$41,0)),"")</f>
        <v>الجهاز العسكري</v>
      </c>
      <c r="E92" s="14" t="str">
        <f>IFERROR(INDEX('قائمة الوحدات'!$D$2:$D$41,MATCH($B92,'قائمة الوحدات'!$A$2:$A$41,0)),"")</f>
        <v>قيادة القوات البحرية</v>
      </c>
      <c r="F92" s="14" t="str">
        <f>IFERROR(INDEX('قائمة الوحدات'!$F$2:$F$41,MATCH($B92,'قائمة الوحدات'!$A$2:$A$41,0)),"")</f>
        <v>قيادة القوات البحرية</v>
      </c>
      <c r="G92" s="16" t="s">
        <v>43</v>
      </c>
      <c r="H92" s="14" t="str">
        <f>IFERROR(INDEX(المرجع!$A$2:$A$19,MATCH($G92,المرجع!$B$2:$B$19,0)),"")</f>
        <v>التصميم</v>
      </c>
      <c r="I92" s="16" t="s">
        <v>45</v>
      </c>
      <c r="J92" s="14" t="str">
        <f>IFERROR(INDEX(المرجع!$D$2:$D$19,MATCH($I92,المرجع!$E$2:$E$19,0)),"")</f>
        <v>الدور</v>
      </c>
      <c r="K92" s="16" t="s">
        <v>72</v>
      </c>
      <c r="L92" s="17" t="str">
        <f>IFERROR(INDEX('نقاط التحقق'!$G$2:$G$31,MATCH($K92,'نقاط التحقق'!$A$2:$A$31,0))&amp;"","")</f>
        <v>دور مفصل للوحدة التنظيمية</v>
      </c>
      <c r="M92" s="13">
        <v>80</v>
      </c>
      <c r="N92" s="15" t="str">
        <f>IF($M92="","غير مقيّمة",IF($M92&gt;المرجع!$K$3,"مستوفاة بشكل متقدم",IF($M92&lt;=المرجع!$K$2,"مستوفاة بشكل أولي","مستوفاة بشكل جزئي")))</f>
        <v>مستوفاة بشكل متقدم</v>
      </c>
      <c r="O92" s="18"/>
    </row>
    <row r="93" spans="1:15">
      <c r="A93" s="16" t="s">
        <v>897</v>
      </c>
      <c r="B93" s="16" t="s">
        <v>196</v>
      </c>
      <c r="C93" s="15" t="str">
        <f>IFERROR(INDEX('قائمة الوحدات'!$B$2:$B$41,MATCH($B93,'قائمة الوحدات'!$A$2:$A$41,0)),"")</f>
        <v>MIL</v>
      </c>
      <c r="D93" s="14" t="str">
        <f>IFERROR(INDEX('قائمة الوحدات'!$C$2:$C$41,MATCH($B93,'قائمة الوحدات'!$A$2:$A$41,0)),"")</f>
        <v>الجهاز العسكري</v>
      </c>
      <c r="E93" s="14" t="str">
        <f>IFERROR(INDEX('قائمة الوحدات'!$D$2:$D$41,MATCH($B93,'قائمة الوحدات'!$A$2:$A$41,0)),"")</f>
        <v>قيادة القوات البحرية</v>
      </c>
      <c r="F93" s="14" t="str">
        <f>IFERROR(INDEX('قائمة الوحدات'!$F$2:$F$41,MATCH($B93,'قائمة الوحدات'!$A$2:$A$41,0)),"")</f>
        <v>قيادة القوات البحرية</v>
      </c>
      <c r="G93" s="16" t="s">
        <v>43</v>
      </c>
      <c r="H93" s="14" t="str">
        <f>IFERROR(INDEX(المرجع!$A$2:$A$19,MATCH($G93,المرجع!$B$2:$B$19,0)),"")</f>
        <v>التصميم</v>
      </c>
      <c r="I93" s="16" t="s">
        <v>48</v>
      </c>
      <c r="J93" s="14" t="str">
        <f>IFERROR(INDEX(المرجع!$D$2:$D$19,MATCH($I93,المرجع!$E$2:$E$19,0)),"")</f>
        <v>الأهداف ومؤشرات الأداء</v>
      </c>
      <c r="K93" s="16" t="s">
        <v>74</v>
      </c>
      <c r="L93" s="17" t="str">
        <f>IFERROR(INDEX('نقاط التحقق'!$G$2:$G$31,MATCH($K93,'نقاط التحقق'!$A$2:$A$31,0))&amp;"","")</f>
        <v>أهداف محددة للوحدة التنظيمية وربطها بمؤشرات أداء لقياسها</v>
      </c>
      <c r="M93" s="13">
        <v>70</v>
      </c>
      <c r="N93" s="15" t="str">
        <f>IF($M93="","غير مقيّمة",IF($M93&gt;المرجع!$K$3,"مستوفاة بشكل متقدم",IF($M93&lt;=المرجع!$K$2,"مستوفاة بشكل أولي","مستوفاة بشكل جزئي")))</f>
        <v>مستوفاة بشكل جزئي</v>
      </c>
      <c r="O93" s="18"/>
    </row>
    <row r="94" spans="1:15">
      <c r="A94" s="16" t="s">
        <v>898</v>
      </c>
      <c r="B94" s="16" t="s">
        <v>196</v>
      </c>
      <c r="C94" s="15" t="str">
        <f>IFERROR(INDEX('قائمة الوحدات'!$B$2:$B$41,MATCH($B94,'قائمة الوحدات'!$A$2:$A$41,0)),"")</f>
        <v>MIL</v>
      </c>
      <c r="D94" s="14" t="str">
        <f>IFERROR(INDEX('قائمة الوحدات'!$C$2:$C$41,MATCH($B94,'قائمة الوحدات'!$A$2:$A$41,0)),"")</f>
        <v>الجهاز العسكري</v>
      </c>
      <c r="E94" s="14" t="str">
        <f>IFERROR(INDEX('قائمة الوحدات'!$D$2:$D$41,MATCH($B94,'قائمة الوحدات'!$A$2:$A$41,0)),"")</f>
        <v>قيادة القوات البحرية</v>
      </c>
      <c r="F94" s="14" t="str">
        <f>IFERROR(INDEX('قائمة الوحدات'!$F$2:$F$41,MATCH($B94,'قائمة الوحدات'!$A$2:$A$41,0)),"")</f>
        <v>قيادة القوات البحرية</v>
      </c>
      <c r="G94" s="16" t="s">
        <v>43</v>
      </c>
      <c r="H94" s="14" t="str">
        <f>IFERROR(INDEX(المرجع!$A$2:$A$19,MATCH($G94,المرجع!$B$2:$B$19,0)),"")</f>
        <v>التصميم</v>
      </c>
      <c r="I94" s="16" t="s">
        <v>48</v>
      </c>
      <c r="J94" s="14" t="str">
        <f>IFERROR(INDEX(المرجع!$D$2:$D$19,MATCH($I94,المرجع!$E$2:$E$19,0)),"")</f>
        <v>الأهداف ومؤشرات الأداء</v>
      </c>
      <c r="K94" s="16" t="s">
        <v>76</v>
      </c>
      <c r="L94" s="17" t="str">
        <f>IFERROR(INDEX('نقاط التحقق'!$G$2:$G$31,MATCH($K94,'نقاط التحقق'!$A$2:$A$31,0))&amp;"","")</f>
        <v>مؤشرات أداء الوحدة التنظيمية</v>
      </c>
      <c r="M94" s="13">
        <v>90</v>
      </c>
      <c r="N94" s="15" t="str">
        <f>IF($M94="","غير مقيّمة",IF($M94&gt;المرجع!$K$3,"مستوفاة بشكل متقدم",IF($M94&lt;=المرجع!$K$2,"مستوفاة بشكل أولي","مستوفاة بشكل جزئي")))</f>
        <v>مستوفاة بشكل متقدم</v>
      </c>
      <c r="O94" s="18"/>
    </row>
    <row r="95" spans="1:15">
      <c r="A95" s="16" t="s">
        <v>899</v>
      </c>
      <c r="B95" s="16" t="s">
        <v>196</v>
      </c>
      <c r="C95" s="15" t="str">
        <f>IFERROR(INDEX('قائمة الوحدات'!$B$2:$B$41,MATCH($B95,'قائمة الوحدات'!$A$2:$A$41,0)),"")</f>
        <v>MIL</v>
      </c>
      <c r="D95" s="14" t="str">
        <f>IFERROR(INDEX('قائمة الوحدات'!$C$2:$C$41,MATCH($B95,'قائمة الوحدات'!$A$2:$A$41,0)),"")</f>
        <v>الجهاز العسكري</v>
      </c>
      <c r="E95" s="14" t="str">
        <f>IFERROR(INDEX('قائمة الوحدات'!$D$2:$D$41,MATCH($B95,'قائمة الوحدات'!$A$2:$A$41,0)),"")</f>
        <v>قيادة القوات البحرية</v>
      </c>
      <c r="F95" s="14" t="str">
        <f>IFERROR(INDEX('قائمة الوحدات'!$F$2:$F$41,MATCH($B95,'قائمة الوحدات'!$A$2:$A$41,0)),"")</f>
        <v>قيادة القوات البحرية</v>
      </c>
      <c r="G95" s="16" t="s">
        <v>43</v>
      </c>
      <c r="H95" s="14" t="str">
        <f>IFERROR(INDEX(المرجع!$A$2:$A$19,MATCH($G95,المرجع!$B$2:$B$19,0)),"")</f>
        <v>التصميم</v>
      </c>
      <c r="I95" s="16" t="s">
        <v>51</v>
      </c>
      <c r="J95" s="14" t="str">
        <f>IFERROR(INDEX(المرجع!$D$2:$D$19,MATCH($I95,المرجع!$E$2:$E$19,0)),"")</f>
        <v>الحوكمة</v>
      </c>
      <c r="K95" s="16" t="s">
        <v>78</v>
      </c>
      <c r="L95" s="17" t="str">
        <f>IFERROR(INDEX('نقاط التحقق'!$G$2:$G$31,MATCH($K95,'نقاط التحقق'!$A$2:$A$31,0))&amp;"","")</f>
        <v>تفصيل القرارات ومصفوفة الصلاحيات واللجان ذات العلاقة لاعتماد مخرجات الوحدة التنظيمية</v>
      </c>
      <c r="M95" s="13">
        <v>86</v>
      </c>
      <c r="N95" s="15" t="str">
        <f>IF($M95="","غير مقيّمة",IF($M95&gt;المرجع!$K$3,"مستوفاة بشكل متقدم",IF($M95&lt;=المرجع!$K$2,"مستوفاة بشكل أولي","مستوفاة بشكل جزئي")))</f>
        <v>مستوفاة بشكل متقدم</v>
      </c>
      <c r="O95" s="18"/>
    </row>
    <row r="96" spans="1:15">
      <c r="A96" s="16" t="s">
        <v>900</v>
      </c>
      <c r="B96" s="16" t="s">
        <v>196</v>
      </c>
      <c r="C96" s="15" t="str">
        <f>IFERROR(INDEX('قائمة الوحدات'!$B$2:$B$41,MATCH($B96,'قائمة الوحدات'!$A$2:$A$41,0)),"")</f>
        <v>MIL</v>
      </c>
      <c r="D96" s="14" t="str">
        <f>IFERROR(INDEX('قائمة الوحدات'!$C$2:$C$41,MATCH($B96,'قائمة الوحدات'!$A$2:$A$41,0)),"")</f>
        <v>الجهاز العسكري</v>
      </c>
      <c r="E96" s="14" t="str">
        <f>IFERROR(INDEX('قائمة الوحدات'!$D$2:$D$41,MATCH($B96,'قائمة الوحدات'!$A$2:$A$41,0)),"")</f>
        <v>قيادة القوات البحرية</v>
      </c>
      <c r="F96" s="14" t="str">
        <f>IFERROR(INDEX('قائمة الوحدات'!$F$2:$F$41,MATCH($B96,'قائمة الوحدات'!$A$2:$A$41,0)),"")</f>
        <v>قيادة القوات البحرية</v>
      </c>
      <c r="G96" s="16" t="s">
        <v>43</v>
      </c>
      <c r="H96" s="14" t="str">
        <f>IFERROR(INDEX(المرجع!$A$2:$A$19,MATCH($G96,المرجع!$B$2:$B$19,0)),"")</f>
        <v>التصميم</v>
      </c>
      <c r="I96" s="16" t="s">
        <v>54</v>
      </c>
      <c r="J96" s="14" t="str">
        <f>IFERROR(INDEX(المرجع!$D$2:$D$19,MATCH($I96,المرجع!$E$2:$E$19,0)),"")</f>
        <v>التنظيم</v>
      </c>
      <c r="K96" s="16" t="s">
        <v>80</v>
      </c>
      <c r="L96" s="17" t="str">
        <f>IFERROR(INDEX('نقاط التحقق'!$G$2:$G$31,MATCH($K96,'نقاط التحقق'!$A$2:$A$31,0))&amp;"","")</f>
        <v>تطوير الأدوار والمسؤوليات للوحدة التنظيمية وتفصيل الهيكل التنظيمي</v>
      </c>
      <c r="M96" s="13">
        <v>83</v>
      </c>
      <c r="N96" s="15" t="str">
        <f>IF($M96="","غير مقيّمة",IF($M96&gt;المرجع!$K$3,"مستوفاة بشكل متقدم",IF($M96&lt;=المرجع!$K$2,"مستوفاة بشكل أولي","مستوفاة بشكل جزئي")))</f>
        <v>مستوفاة بشكل متقدم</v>
      </c>
      <c r="O96" s="18"/>
    </row>
    <row r="97" spans="1:15">
      <c r="A97" s="16" t="s">
        <v>901</v>
      </c>
      <c r="B97" s="16" t="s">
        <v>196</v>
      </c>
      <c r="C97" s="15" t="str">
        <f>IFERROR(INDEX('قائمة الوحدات'!$B$2:$B$41,MATCH($B97,'قائمة الوحدات'!$A$2:$A$41,0)),"")</f>
        <v>MIL</v>
      </c>
      <c r="D97" s="14" t="str">
        <f>IFERROR(INDEX('قائمة الوحدات'!$C$2:$C$41,MATCH($B97,'قائمة الوحدات'!$A$2:$A$41,0)),"")</f>
        <v>الجهاز العسكري</v>
      </c>
      <c r="E97" s="14" t="str">
        <f>IFERROR(INDEX('قائمة الوحدات'!$D$2:$D$41,MATCH($B97,'قائمة الوحدات'!$A$2:$A$41,0)),"")</f>
        <v>قيادة القوات البحرية</v>
      </c>
      <c r="F97" s="14" t="str">
        <f>IFERROR(INDEX('قائمة الوحدات'!$F$2:$F$41,MATCH($B97,'قائمة الوحدات'!$A$2:$A$41,0)),"")</f>
        <v>قيادة القوات البحرية</v>
      </c>
      <c r="G97" s="16" t="s">
        <v>43</v>
      </c>
      <c r="H97" s="14" t="str">
        <f>IFERROR(INDEX(المرجع!$A$2:$A$19,MATCH($G97,المرجع!$B$2:$B$19,0)),"")</f>
        <v>التصميم</v>
      </c>
      <c r="I97" s="16" t="s">
        <v>56</v>
      </c>
      <c r="J97" s="14" t="str">
        <f>IFERROR(INDEX(المرجع!$D$2:$D$19,MATCH($I97,المرجع!$E$2:$E$19,0)),"")</f>
        <v>الموارد</v>
      </c>
      <c r="K97" s="16" t="s">
        <v>82</v>
      </c>
      <c r="L97" s="17" t="str">
        <f>IFERROR(INDEX('نقاط التحقق'!$G$2:$G$31,MATCH($K97,'نقاط التحقق'!$A$2:$A$31,0))&amp;"","")</f>
        <v>تفصيل احتياج الموارد البشرية للوحدة التنظيمية</v>
      </c>
      <c r="M97" s="13">
        <v>91</v>
      </c>
      <c r="N97" s="15" t="str">
        <f>IF($M97="","غير مقيّمة",IF($M97&gt;المرجع!$K$3,"مستوفاة بشكل متقدم",IF($M97&lt;=المرجع!$K$2,"مستوفاة بشكل أولي","مستوفاة بشكل جزئي")))</f>
        <v>مستوفاة بشكل متقدم</v>
      </c>
      <c r="O97" s="18"/>
    </row>
    <row r="98" spans="1:15">
      <c r="A98" s="16" t="s">
        <v>902</v>
      </c>
      <c r="B98" s="16" t="s">
        <v>196</v>
      </c>
      <c r="C98" s="15" t="str">
        <f>IFERROR(INDEX('قائمة الوحدات'!$B$2:$B$41,MATCH($B98,'قائمة الوحدات'!$A$2:$A$41,0)),"")</f>
        <v>MIL</v>
      </c>
      <c r="D98" s="14" t="str">
        <f>IFERROR(INDEX('قائمة الوحدات'!$C$2:$C$41,MATCH($B98,'قائمة الوحدات'!$A$2:$A$41,0)),"")</f>
        <v>الجهاز العسكري</v>
      </c>
      <c r="E98" s="14" t="str">
        <f>IFERROR(INDEX('قائمة الوحدات'!$D$2:$D$41,MATCH($B98,'قائمة الوحدات'!$A$2:$A$41,0)),"")</f>
        <v>قيادة القوات البحرية</v>
      </c>
      <c r="F98" s="14" t="str">
        <f>IFERROR(INDEX('قائمة الوحدات'!$F$2:$F$41,MATCH($B98,'قائمة الوحدات'!$A$2:$A$41,0)),"")</f>
        <v>قيادة القوات البحرية</v>
      </c>
      <c r="G98" s="16" t="s">
        <v>43</v>
      </c>
      <c r="H98" s="14" t="str">
        <f>IFERROR(INDEX(المرجع!$A$2:$A$19,MATCH($G98,المرجع!$B$2:$B$19,0)),"")</f>
        <v>التصميم</v>
      </c>
      <c r="I98" s="16" t="s">
        <v>59</v>
      </c>
      <c r="J98" s="14" t="str">
        <f>IFERROR(INDEX(المرجع!$D$2:$D$19,MATCH($I98,المرجع!$E$2:$E$19,0)),"")</f>
        <v>الإجراءات</v>
      </c>
      <c r="K98" s="16" t="s">
        <v>84</v>
      </c>
      <c r="L98" s="17" t="str">
        <f>IFERROR(INDEX('نقاط التحقق'!$G$2:$G$31,MATCH($K98,'نقاط التحقق'!$A$2:$A$31,0))&amp;"","")</f>
        <v>تفصيل المخرجات إلى إجراءات عالية المستوى</v>
      </c>
      <c r="M98" s="13">
        <v>81</v>
      </c>
      <c r="N98" s="15" t="str">
        <f>IF($M98="","غير مقيّمة",IF($M98&gt;المرجع!$K$3,"مستوفاة بشكل متقدم",IF($M98&lt;=المرجع!$K$2,"مستوفاة بشكل أولي","مستوفاة بشكل جزئي")))</f>
        <v>مستوفاة بشكل متقدم</v>
      </c>
      <c r="O98" s="18"/>
    </row>
    <row r="99" spans="1:15">
      <c r="A99" s="16" t="s">
        <v>903</v>
      </c>
      <c r="B99" s="16" t="s">
        <v>196</v>
      </c>
      <c r="C99" s="15" t="str">
        <f>IFERROR(INDEX('قائمة الوحدات'!$B$2:$B$41,MATCH($B99,'قائمة الوحدات'!$A$2:$A$41,0)),"")</f>
        <v>MIL</v>
      </c>
      <c r="D99" s="14" t="str">
        <f>IFERROR(INDEX('قائمة الوحدات'!$C$2:$C$41,MATCH($B99,'قائمة الوحدات'!$A$2:$A$41,0)),"")</f>
        <v>الجهاز العسكري</v>
      </c>
      <c r="E99" s="14" t="str">
        <f>IFERROR(INDEX('قائمة الوحدات'!$D$2:$D$41,MATCH($B99,'قائمة الوحدات'!$A$2:$A$41,0)),"")</f>
        <v>قيادة القوات البحرية</v>
      </c>
      <c r="F99" s="14" t="str">
        <f>IFERROR(INDEX('قائمة الوحدات'!$F$2:$F$41,MATCH($B99,'قائمة الوحدات'!$A$2:$A$41,0)),"")</f>
        <v>قيادة القوات البحرية</v>
      </c>
      <c r="G99" s="16" t="s">
        <v>61</v>
      </c>
      <c r="H99" s="14" t="str">
        <f>IFERROR(INDEX(المرجع!$A$2:$A$19,MATCH($G99,المرجع!$B$2:$B$19,0)),"")</f>
        <v>البناء المؤسسي</v>
      </c>
      <c r="I99" s="16" t="s">
        <v>45</v>
      </c>
      <c r="J99" s="14" t="str">
        <f>IFERROR(INDEX(المرجع!$D$2:$D$19,MATCH($I99,المرجع!$E$2:$E$19,0)),"")</f>
        <v>الدور</v>
      </c>
      <c r="K99" s="16" t="s">
        <v>86</v>
      </c>
      <c r="L99" s="17" t="str">
        <f>IFERROR(INDEX('نقاط التحقق'!$G$2:$G$31,MATCH($K99,'نقاط التحقق'!$A$2:$A$31,0))&amp;"","")</f>
        <v>دور معتمد للوحدة التنظيمية</v>
      </c>
      <c r="M99" s="13">
        <v>67</v>
      </c>
      <c r="N99" s="15" t="str">
        <f>IF($M99="","غير مقيّمة",IF($M99&gt;المرجع!$K$3,"مستوفاة بشكل متقدم",IF($M99&lt;=المرجع!$K$2,"مستوفاة بشكل أولي","مستوفاة بشكل جزئي")))</f>
        <v>مستوفاة بشكل جزئي</v>
      </c>
      <c r="O99" s="18"/>
    </row>
    <row r="100" spans="1:15">
      <c r="A100" s="16" t="s">
        <v>904</v>
      </c>
      <c r="B100" s="16" t="s">
        <v>196</v>
      </c>
      <c r="C100" s="15" t="str">
        <f>IFERROR(INDEX('قائمة الوحدات'!$B$2:$B$41,MATCH($B100,'قائمة الوحدات'!$A$2:$A$41,0)),"")</f>
        <v>MIL</v>
      </c>
      <c r="D100" s="14" t="str">
        <f>IFERROR(INDEX('قائمة الوحدات'!$C$2:$C$41,MATCH($B100,'قائمة الوحدات'!$A$2:$A$41,0)),"")</f>
        <v>الجهاز العسكري</v>
      </c>
      <c r="E100" s="14" t="str">
        <f>IFERROR(INDEX('قائمة الوحدات'!$D$2:$D$41,MATCH($B100,'قائمة الوحدات'!$A$2:$A$41,0)),"")</f>
        <v>قيادة القوات البحرية</v>
      </c>
      <c r="F100" s="14" t="str">
        <f>IFERROR(INDEX('قائمة الوحدات'!$F$2:$F$41,MATCH($B100,'قائمة الوحدات'!$A$2:$A$41,0)),"")</f>
        <v>قيادة القوات البحرية</v>
      </c>
      <c r="G100" s="16" t="s">
        <v>61</v>
      </c>
      <c r="H100" s="14" t="str">
        <f>IFERROR(INDEX(المرجع!$A$2:$A$19,MATCH($G100,المرجع!$B$2:$B$19,0)),"")</f>
        <v>البناء المؤسسي</v>
      </c>
      <c r="I100" s="16" t="s">
        <v>48</v>
      </c>
      <c r="J100" s="14" t="str">
        <f>IFERROR(INDEX(المرجع!$D$2:$D$19,MATCH($I100,المرجع!$E$2:$E$19,0)),"")</f>
        <v>الأهداف ومؤشرات الأداء</v>
      </c>
      <c r="K100" s="16" t="s">
        <v>88</v>
      </c>
      <c r="L100" s="17" t="str">
        <f>IFERROR(INDEX('نقاط التحقق'!$G$2:$G$31,MATCH($K100,'نقاط التحقق'!$A$2:$A$31,0))&amp;"","")</f>
        <v>أهداف تشغيلية معتمدة من صاحب الصلاحية</v>
      </c>
      <c r="M100" s="13">
        <v>45</v>
      </c>
      <c r="N100" s="15" t="str">
        <f>IF($M100="","غير مقيّمة",IF($M100&gt;المرجع!$K$3,"مستوفاة بشكل متقدم",IF($M100&lt;=المرجع!$K$2,"مستوفاة بشكل أولي","مستوفاة بشكل جزئي")))</f>
        <v>مستوفاة بشكل جزئي</v>
      </c>
      <c r="O100" s="18"/>
    </row>
    <row r="101" spans="1:15">
      <c r="A101" s="16" t="s">
        <v>905</v>
      </c>
      <c r="B101" s="16" t="s">
        <v>196</v>
      </c>
      <c r="C101" s="15" t="str">
        <f>IFERROR(INDEX('قائمة الوحدات'!$B$2:$B$41,MATCH($B101,'قائمة الوحدات'!$A$2:$A$41,0)),"")</f>
        <v>MIL</v>
      </c>
      <c r="D101" s="14" t="str">
        <f>IFERROR(INDEX('قائمة الوحدات'!$C$2:$C$41,MATCH($B101,'قائمة الوحدات'!$A$2:$A$41,0)),"")</f>
        <v>الجهاز العسكري</v>
      </c>
      <c r="E101" s="14" t="str">
        <f>IFERROR(INDEX('قائمة الوحدات'!$D$2:$D$41,MATCH($B101,'قائمة الوحدات'!$A$2:$A$41,0)),"")</f>
        <v>قيادة القوات البحرية</v>
      </c>
      <c r="F101" s="14" t="str">
        <f>IFERROR(INDEX('قائمة الوحدات'!$F$2:$F$41,MATCH($B101,'قائمة الوحدات'!$A$2:$A$41,0)),"")</f>
        <v>قيادة القوات البحرية</v>
      </c>
      <c r="G101" s="16" t="s">
        <v>61</v>
      </c>
      <c r="H101" s="14" t="str">
        <f>IFERROR(INDEX(المرجع!$A$2:$A$19,MATCH($G101,المرجع!$B$2:$B$19,0)),"")</f>
        <v>البناء المؤسسي</v>
      </c>
      <c r="I101" s="16" t="s">
        <v>48</v>
      </c>
      <c r="J101" s="14" t="str">
        <f>IFERROR(INDEX(المرجع!$D$2:$D$19,MATCH($I101,المرجع!$E$2:$E$19,0)),"")</f>
        <v>الأهداف ومؤشرات الأداء</v>
      </c>
      <c r="K101" s="16" t="s">
        <v>90</v>
      </c>
      <c r="L101" s="17" t="str">
        <f>IFERROR(INDEX('نقاط التحقق'!$G$2:$G$31,MATCH($K101,'نقاط التحقق'!$A$2:$A$31,0))&amp;"","")</f>
        <v>نشر الأهداف التشغيلية على موظفي الوحدة التنظيمية</v>
      </c>
      <c r="M101" s="13">
        <v>50</v>
      </c>
      <c r="N101" s="15" t="str">
        <f>IF($M101="","غير مقيّمة",IF($M101&gt;المرجع!$K$3,"مستوفاة بشكل متقدم",IF($M101&lt;=المرجع!$K$2,"مستوفاة بشكل أولي","مستوفاة بشكل جزئي")))</f>
        <v>مستوفاة بشكل جزئي</v>
      </c>
      <c r="O101" s="18"/>
    </row>
    <row r="102" spans="1:15">
      <c r="A102" s="16" t="s">
        <v>906</v>
      </c>
      <c r="B102" s="16" t="s">
        <v>196</v>
      </c>
      <c r="C102" s="15" t="str">
        <f>IFERROR(INDEX('قائمة الوحدات'!$B$2:$B$41,MATCH($B102,'قائمة الوحدات'!$A$2:$A$41,0)),"")</f>
        <v>MIL</v>
      </c>
      <c r="D102" s="14" t="str">
        <f>IFERROR(INDEX('قائمة الوحدات'!$C$2:$C$41,MATCH($B102,'قائمة الوحدات'!$A$2:$A$41,0)),"")</f>
        <v>الجهاز العسكري</v>
      </c>
      <c r="E102" s="14" t="str">
        <f>IFERROR(INDEX('قائمة الوحدات'!$D$2:$D$41,MATCH($B102,'قائمة الوحدات'!$A$2:$A$41,0)),"")</f>
        <v>قيادة القوات البحرية</v>
      </c>
      <c r="F102" s="14" t="str">
        <f>IFERROR(INDEX('قائمة الوحدات'!$F$2:$F$41,MATCH($B102,'قائمة الوحدات'!$A$2:$A$41,0)),"")</f>
        <v>قيادة القوات البحرية</v>
      </c>
      <c r="G102" s="16" t="s">
        <v>61</v>
      </c>
      <c r="H102" s="14" t="str">
        <f>IFERROR(INDEX(المرجع!$A$2:$A$19,MATCH($G102,المرجع!$B$2:$B$19,0)),"")</f>
        <v>البناء المؤسسي</v>
      </c>
      <c r="I102" s="16" t="s">
        <v>51</v>
      </c>
      <c r="J102" s="14" t="str">
        <f>IFERROR(INDEX(المرجع!$D$2:$D$19,MATCH($I102,المرجع!$E$2:$E$19,0)),"")</f>
        <v>الحوكمة</v>
      </c>
      <c r="K102" s="16" t="s">
        <v>92</v>
      </c>
      <c r="L102" s="17" t="str">
        <f>IFERROR(INDEX('نقاط التحقق'!$G$2:$G$31,MATCH($K102,'نقاط التحقق'!$A$2:$A$31,0))&amp;"","")</f>
        <v>مصفوفة صلاحيات معتمدة ومعممة على أصحاب المصلحة</v>
      </c>
      <c r="M102" s="13">
        <v>45</v>
      </c>
      <c r="N102" s="15" t="str">
        <f>IF($M102="","غير مقيّمة",IF($M102&gt;المرجع!$K$3,"مستوفاة بشكل متقدم",IF($M102&lt;=المرجع!$K$2,"مستوفاة بشكل أولي","مستوفاة بشكل جزئي")))</f>
        <v>مستوفاة بشكل جزئي</v>
      </c>
      <c r="O102" s="18"/>
    </row>
    <row r="103" spans="1:15">
      <c r="A103" s="16" t="s">
        <v>907</v>
      </c>
      <c r="B103" s="16" t="s">
        <v>196</v>
      </c>
      <c r="C103" s="15" t="str">
        <f>IFERROR(INDEX('قائمة الوحدات'!$B$2:$B$41,MATCH($B103,'قائمة الوحدات'!$A$2:$A$41,0)),"")</f>
        <v>MIL</v>
      </c>
      <c r="D103" s="14" t="str">
        <f>IFERROR(INDEX('قائمة الوحدات'!$C$2:$C$41,MATCH($B103,'قائمة الوحدات'!$A$2:$A$41,0)),"")</f>
        <v>الجهاز العسكري</v>
      </c>
      <c r="E103" s="14" t="str">
        <f>IFERROR(INDEX('قائمة الوحدات'!$D$2:$D$41,MATCH($B103,'قائمة الوحدات'!$A$2:$A$41,0)),"")</f>
        <v>قيادة القوات البحرية</v>
      </c>
      <c r="F103" s="14" t="str">
        <f>IFERROR(INDEX('قائمة الوحدات'!$F$2:$F$41,MATCH($B103,'قائمة الوحدات'!$A$2:$A$41,0)),"")</f>
        <v>قيادة القوات البحرية</v>
      </c>
      <c r="G103" s="16" t="s">
        <v>61</v>
      </c>
      <c r="H103" s="14" t="str">
        <f>IFERROR(INDEX(المرجع!$A$2:$A$19,MATCH($G103,المرجع!$B$2:$B$19,0)),"")</f>
        <v>البناء المؤسسي</v>
      </c>
      <c r="I103" s="16" t="s">
        <v>51</v>
      </c>
      <c r="J103" s="14" t="str">
        <f>IFERROR(INDEX(المرجع!$D$2:$D$19,MATCH($I103,المرجع!$E$2:$E$19,0)),"")</f>
        <v>الحوكمة</v>
      </c>
      <c r="K103" s="16" t="s">
        <v>94</v>
      </c>
      <c r="L103" s="17" t="str">
        <f>IFERROR(INDEX('نقاط التحقق'!$G$2:$G$31,MATCH($K103,'نقاط التحقق'!$A$2:$A$31,0))&amp;"","")</f>
        <v>سياسات معتمدة للتي تملكها الوحدة التنظيمية</v>
      </c>
      <c r="M103" s="13">
        <v>35</v>
      </c>
      <c r="N103" s="15" t="str">
        <f>IF($M103="","غير مقيّمة",IF($M103&gt;المرجع!$K$3,"مستوفاة بشكل متقدم",IF($M103&lt;=المرجع!$K$2,"مستوفاة بشكل أولي","مستوفاة بشكل جزئي")))</f>
        <v>مستوفاة بشكل جزئي</v>
      </c>
      <c r="O103" s="18"/>
    </row>
    <row r="104" spans="1:15">
      <c r="A104" s="16" t="s">
        <v>908</v>
      </c>
      <c r="B104" s="16" t="s">
        <v>196</v>
      </c>
      <c r="C104" s="15" t="str">
        <f>IFERROR(INDEX('قائمة الوحدات'!$B$2:$B$41,MATCH($B104,'قائمة الوحدات'!$A$2:$A$41,0)),"")</f>
        <v>MIL</v>
      </c>
      <c r="D104" s="14" t="str">
        <f>IFERROR(INDEX('قائمة الوحدات'!$C$2:$C$41,MATCH($B104,'قائمة الوحدات'!$A$2:$A$41,0)),"")</f>
        <v>الجهاز العسكري</v>
      </c>
      <c r="E104" s="14" t="str">
        <f>IFERROR(INDEX('قائمة الوحدات'!$D$2:$D$41,MATCH($B104,'قائمة الوحدات'!$A$2:$A$41,0)),"")</f>
        <v>قيادة القوات البحرية</v>
      </c>
      <c r="F104" s="14" t="str">
        <f>IFERROR(INDEX('قائمة الوحدات'!$F$2:$F$41,MATCH($B104,'قائمة الوحدات'!$A$2:$A$41,0)),"")</f>
        <v>قيادة القوات البحرية</v>
      </c>
      <c r="G104" s="16" t="s">
        <v>61</v>
      </c>
      <c r="H104" s="14" t="str">
        <f>IFERROR(INDEX(المرجع!$A$2:$A$19,MATCH($G104,المرجع!$B$2:$B$19,0)),"")</f>
        <v>البناء المؤسسي</v>
      </c>
      <c r="I104" s="16" t="s">
        <v>51</v>
      </c>
      <c r="J104" s="14" t="str">
        <f>IFERROR(INDEX(المرجع!$D$2:$D$19,MATCH($I104,المرجع!$E$2:$E$19,0)),"")</f>
        <v>الحوكمة</v>
      </c>
      <c r="K104" s="16" t="s">
        <v>96</v>
      </c>
      <c r="L104" s="17" t="str">
        <f>IFERROR(INDEX('نقاط التحقق'!$G$2:$G$31,MATCH($K104,'نقاط التحقق'!$A$2:$A$31,0))&amp;"","")</f>
        <v>قرار تشكيل معتمد للجان ذات العلاقة</v>
      </c>
      <c r="M104" s="13">
        <v>55</v>
      </c>
      <c r="N104" s="15" t="str">
        <f>IF($M104="","غير مقيّمة",IF($M104&gt;المرجع!$K$3,"مستوفاة بشكل متقدم",IF($M104&lt;=المرجع!$K$2,"مستوفاة بشكل أولي","مستوفاة بشكل جزئي")))</f>
        <v>مستوفاة بشكل جزئي</v>
      </c>
      <c r="O104" s="18"/>
    </row>
    <row r="105" spans="1:15">
      <c r="A105" s="16" t="s">
        <v>909</v>
      </c>
      <c r="B105" s="16" t="s">
        <v>196</v>
      </c>
      <c r="C105" s="15" t="str">
        <f>IFERROR(INDEX('قائمة الوحدات'!$B$2:$B$41,MATCH($B105,'قائمة الوحدات'!$A$2:$A$41,0)),"")</f>
        <v>MIL</v>
      </c>
      <c r="D105" s="14" t="str">
        <f>IFERROR(INDEX('قائمة الوحدات'!$C$2:$C$41,MATCH($B105,'قائمة الوحدات'!$A$2:$A$41,0)),"")</f>
        <v>الجهاز العسكري</v>
      </c>
      <c r="E105" s="14" t="str">
        <f>IFERROR(INDEX('قائمة الوحدات'!$D$2:$D$41,MATCH($B105,'قائمة الوحدات'!$A$2:$A$41,0)),"")</f>
        <v>قيادة القوات البحرية</v>
      </c>
      <c r="F105" s="14" t="str">
        <f>IFERROR(INDEX('قائمة الوحدات'!$F$2:$F$41,MATCH($B105,'قائمة الوحدات'!$A$2:$A$41,0)),"")</f>
        <v>قيادة القوات البحرية</v>
      </c>
      <c r="G105" s="16" t="s">
        <v>61</v>
      </c>
      <c r="H105" s="14" t="str">
        <f>IFERROR(INDEX(المرجع!$A$2:$A$19,MATCH($G105,المرجع!$B$2:$B$19,0)),"")</f>
        <v>البناء المؤسسي</v>
      </c>
      <c r="I105" s="16" t="s">
        <v>54</v>
      </c>
      <c r="J105" s="14" t="str">
        <f>IFERROR(INDEX(المرجع!$D$2:$D$19,MATCH($I105,المرجع!$E$2:$E$19,0)),"")</f>
        <v>التنظيم</v>
      </c>
      <c r="K105" s="16" t="s">
        <v>98</v>
      </c>
      <c r="L105" s="17" t="str">
        <f>IFERROR(INDEX('نقاط التحقق'!$G$2:$G$31,MATCH($K105,'نقاط التحقق'!$A$2:$A$31,0))&amp;"","")</f>
        <v>هيكل تنظيمي معتمد من صاحب الصلاحية</v>
      </c>
      <c r="M105" s="13">
        <v>65</v>
      </c>
      <c r="N105" s="15" t="str">
        <f>IF($M105="","غير مقيّمة",IF($M105&gt;المرجع!$K$3,"مستوفاة بشكل متقدم",IF($M105&lt;=المرجع!$K$2,"مستوفاة بشكل أولي","مستوفاة بشكل جزئي")))</f>
        <v>مستوفاة بشكل جزئي</v>
      </c>
      <c r="O105" s="18"/>
    </row>
    <row r="106" spans="1:15">
      <c r="A106" s="16" t="s">
        <v>910</v>
      </c>
      <c r="B106" s="16" t="s">
        <v>196</v>
      </c>
      <c r="C106" s="15" t="str">
        <f>IFERROR(INDEX('قائمة الوحدات'!$B$2:$B$41,MATCH($B106,'قائمة الوحدات'!$A$2:$A$41,0)),"")</f>
        <v>MIL</v>
      </c>
      <c r="D106" s="14" t="str">
        <f>IFERROR(INDEX('قائمة الوحدات'!$C$2:$C$41,MATCH($B106,'قائمة الوحدات'!$A$2:$A$41,0)),"")</f>
        <v>الجهاز العسكري</v>
      </c>
      <c r="E106" s="14" t="str">
        <f>IFERROR(INDEX('قائمة الوحدات'!$D$2:$D$41,MATCH($B106,'قائمة الوحدات'!$A$2:$A$41,0)),"")</f>
        <v>قيادة القوات البحرية</v>
      </c>
      <c r="F106" s="14" t="str">
        <f>IFERROR(INDEX('قائمة الوحدات'!$F$2:$F$41,MATCH($B106,'قائمة الوحدات'!$A$2:$A$41,0)),"")</f>
        <v>قيادة القوات البحرية</v>
      </c>
      <c r="G106" s="16" t="s">
        <v>61</v>
      </c>
      <c r="H106" s="14" t="str">
        <f>IFERROR(INDEX(المرجع!$A$2:$A$19,MATCH($G106,المرجع!$B$2:$B$19,0)),"")</f>
        <v>البناء المؤسسي</v>
      </c>
      <c r="I106" s="16" t="s">
        <v>54</v>
      </c>
      <c r="J106" s="14" t="str">
        <f>IFERROR(INDEX(المرجع!$D$2:$D$19,MATCH($I106,المرجع!$E$2:$E$19,0)),"")</f>
        <v>التنظيم</v>
      </c>
      <c r="K106" s="16" t="s">
        <v>100</v>
      </c>
      <c r="L106" s="17" t="str">
        <f>IFERROR(INDEX('نقاط التحقق'!$G$2:$G$31,MATCH($K106,'نقاط التحقق'!$A$2:$A$31,0))&amp;"","")</f>
        <v>هيكل تنظيمي منشأ على نظام القوى العاملة</v>
      </c>
      <c r="M106" s="13">
        <v>65</v>
      </c>
      <c r="N106" s="15" t="str">
        <f>IF($M106="","غير مقيّمة",IF($M106&gt;المرجع!$K$3,"مستوفاة بشكل متقدم",IF($M106&lt;=المرجع!$K$2,"مستوفاة بشكل أولي","مستوفاة بشكل جزئي")))</f>
        <v>مستوفاة بشكل جزئي</v>
      </c>
      <c r="O106" s="18"/>
    </row>
    <row r="107" spans="1:15">
      <c r="A107" s="16" t="s">
        <v>911</v>
      </c>
      <c r="B107" s="16" t="s">
        <v>196</v>
      </c>
      <c r="C107" s="15" t="str">
        <f>IFERROR(INDEX('قائمة الوحدات'!$B$2:$B$41,MATCH($B107,'قائمة الوحدات'!$A$2:$A$41,0)),"")</f>
        <v>MIL</v>
      </c>
      <c r="D107" s="14" t="str">
        <f>IFERROR(INDEX('قائمة الوحدات'!$C$2:$C$41,MATCH($B107,'قائمة الوحدات'!$A$2:$A$41,0)),"")</f>
        <v>الجهاز العسكري</v>
      </c>
      <c r="E107" s="14" t="str">
        <f>IFERROR(INDEX('قائمة الوحدات'!$D$2:$D$41,MATCH($B107,'قائمة الوحدات'!$A$2:$A$41,0)),"")</f>
        <v>قيادة القوات البحرية</v>
      </c>
      <c r="F107" s="14" t="str">
        <f>IFERROR(INDEX('قائمة الوحدات'!$F$2:$F$41,MATCH($B107,'قائمة الوحدات'!$A$2:$A$41,0)),"")</f>
        <v>قيادة القوات البحرية</v>
      </c>
      <c r="G107" s="16" t="s">
        <v>61</v>
      </c>
      <c r="H107" s="14" t="str">
        <f>IFERROR(INDEX(المرجع!$A$2:$A$19,MATCH($G107,المرجع!$B$2:$B$19,0)),"")</f>
        <v>البناء المؤسسي</v>
      </c>
      <c r="I107" s="16" t="s">
        <v>54</v>
      </c>
      <c r="J107" s="14" t="str">
        <f>IFERROR(INDEX(المرجع!$D$2:$D$19,MATCH($I107,المرجع!$E$2:$E$19,0)),"")</f>
        <v>التنظيم</v>
      </c>
      <c r="K107" s="16" t="s">
        <v>102</v>
      </c>
      <c r="L107" s="17" t="str">
        <f>IFERROR(INDEX('نقاط التحقق'!$G$2:$G$31,MATCH($K107,'نقاط التحقق'!$A$2:$A$31,0))&amp;"","")</f>
        <v>الموظفون المحددون مسكّنون على الهيكل التنظيمي المستهدف</v>
      </c>
      <c r="M107" s="13">
        <v>60</v>
      </c>
      <c r="N107" s="15" t="str">
        <f>IF($M107="","غير مقيّمة",IF($M107&gt;المرجع!$K$3,"مستوفاة بشكل متقدم",IF($M107&lt;=المرجع!$K$2,"مستوفاة بشكل أولي","مستوفاة بشكل جزئي")))</f>
        <v>مستوفاة بشكل جزئي</v>
      </c>
      <c r="O107" s="18"/>
    </row>
    <row r="108" spans="1:15">
      <c r="A108" s="16" t="s">
        <v>912</v>
      </c>
      <c r="B108" s="16" t="s">
        <v>196</v>
      </c>
      <c r="C108" s="15" t="str">
        <f>IFERROR(INDEX('قائمة الوحدات'!$B$2:$B$41,MATCH($B108,'قائمة الوحدات'!$A$2:$A$41,0)),"")</f>
        <v>MIL</v>
      </c>
      <c r="D108" s="14" t="str">
        <f>IFERROR(INDEX('قائمة الوحدات'!$C$2:$C$41,MATCH($B108,'قائمة الوحدات'!$A$2:$A$41,0)),"")</f>
        <v>الجهاز العسكري</v>
      </c>
      <c r="E108" s="14" t="str">
        <f>IFERROR(INDEX('قائمة الوحدات'!$D$2:$D$41,MATCH($B108,'قائمة الوحدات'!$A$2:$A$41,0)),"")</f>
        <v>قيادة القوات البحرية</v>
      </c>
      <c r="F108" s="14" t="str">
        <f>IFERROR(INDEX('قائمة الوحدات'!$F$2:$F$41,MATCH($B108,'قائمة الوحدات'!$A$2:$A$41,0)),"")</f>
        <v>قيادة القوات البحرية</v>
      </c>
      <c r="G108" s="16" t="s">
        <v>61</v>
      </c>
      <c r="H108" s="14" t="str">
        <f>IFERROR(INDEX(المرجع!$A$2:$A$19,MATCH($G108,المرجع!$B$2:$B$19,0)),"")</f>
        <v>البناء المؤسسي</v>
      </c>
      <c r="I108" s="16" t="s">
        <v>56</v>
      </c>
      <c r="J108" s="14" t="str">
        <f>IFERROR(INDEX(المرجع!$D$2:$D$19,MATCH($I108,المرجع!$E$2:$E$19,0)),"")</f>
        <v>الموارد</v>
      </c>
      <c r="K108" s="16" t="s">
        <v>104</v>
      </c>
      <c r="L108" s="17" t="str">
        <f>IFERROR(INDEX('نقاط التحقق'!$G$2:$G$31,MATCH($K108,'نقاط التحقق'!$A$2:$A$31,0))&amp;"","")</f>
        <v>مدير الوحدة التنظيمية والموظفون الرئيسيون معينون/ملحقون</v>
      </c>
      <c r="M108" s="13">
        <v>45</v>
      </c>
      <c r="N108" s="15" t="str">
        <f>IF($M108="","غير مقيّمة",IF($M108&gt;المرجع!$K$3,"مستوفاة بشكل متقدم",IF($M108&lt;=المرجع!$K$2,"مستوفاة بشكل أولي","مستوفاة بشكل جزئي")))</f>
        <v>مستوفاة بشكل جزئي</v>
      </c>
      <c r="O108" s="18"/>
    </row>
    <row r="109" spans="1:15">
      <c r="A109" s="16" t="s">
        <v>913</v>
      </c>
      <c r="B109" s="16" t="s">
        <v>196</v>
      </c>
      <c r="C109" s="15" t="str">
        <f>IFERROR(INDEX('قائمة الوحدات'!$B$2:$B$41,MATCH($B109,'قائمة الوحدات'!$A$2:$A$41,0)),"")</f>
        <v>MIL</v>
      </c>
      <c r="D109" s="14" t="str">
        <f>IFERROR(INDEX('قائمة الوحدات'!$C$2:$C$41,MATCH($B109,'قائمة الوحدات'!$A$2:$A$41,0)),"")</f>
        <v>الجهاز العسكري</v>
      </c>
      <c r="E109" s="14" t="str">
        <f>IFERROR(INDEX('قائمة الوحدات'!$D$2:$D$41,MATCH($B109,'قائمة الوحدات'!$A$2:$A$41,0)),"")</f>
        <v>قيادة القوات البحرية</v>
      </c>
      <c r="F109" s="14" t="str">
        <f>IFERROR(INDEX('قائمة الوحدات'!$F$2:$F$41,MATCH($B109,'قائمة الوحدات'!$A$2:$A$41,0)),"")</f>
        <v>قيادة القوات البحرية</v>
      </c>
      <c r="G109" s="16" t="s">
        <v>61</v>
      </c>
      <c r="H109" s="14" t="str">
        <f>IFERROR(INDEX(المرجع!$A$2:$A$19,MATCH($G109,المرجع!$B$2:$B$19,0)),"")</f>
        <v>البناء المؤسسي</v>
      </c>
      <c r="I109" s="16" t="s">
        <v>56</v>
      </c>
      <c r="J109" s="14" t="str">
        <f>IFERROR(INDEX(المرجع!$D$2:$D$19,MATCH($I109,المرجع!$E$2:$E$19,0)),"")</f>
        <v>الموارد</v>
      </c>
      <c r="K109" s="16" t="s">
        <v>106</v>
      </c>
      <c r="L109" s="17" t="str">
        <f>IFERROR(INDEX('نقاط التحقق'!$G$2:$G$31,MATCH($K109,'نقاط التحقق'!$A$2:$A$31,0))&amp;"","")</f>
        <v>خطة توظيف وتدريب مستكملة</v>
      </c>
      <c r="M109" s="13">
        <v>75</v>
      </c>
      <c r="N109" s="15" t="str">
        <f>IF($M109="","غير مقيّمة",IF($M109&gt;المرجع!$K$3,"مستوفاة بشكل متقدم",IF($M109&lt;=المرجع!$K$2,"مستوفاة بشكل أولي","مستوفاة بشكل جزئي")))</f>
        <v>مستوفاة بشكل متقدم</v>
      </c>
      <c r="O109" s="18"/>
    </row>
    <row r="110" spans="1:15">
      <c r="A110" s="16" t="s">
        <v>914</v>
      </c>
      <c r="B110" s="16" t="s">
        <v>196</v>
      </c>
      <c r="C110" s="15" t="str">
        <f>IFERROR(INDEX('قائمة الوحدات'!$B$2:$B$41,MATCH($B110,'قائمة الوحدات'!$A$2:$A$41,0)),"")</f>
        <v>MIL</v>
      </c>
      <c r="D110" s="14" t="str">
        <f>IFERROR(INDEX('قائمة الوحدات'!$C$2:$C$41,MATCH($B110,'قائمة الوحدات'!$A$2:$A$41,0)),"")</f>
        <v>الجهاز العسكري</v>
      </c>
      <c r="E110" s="14" t="str">
        <f>IFERROR(INDEX('قائمة الوحدات'!$D$2:$D$41,MATCH($B110,'قائمة الوحدات'!$A$2:$A$41,0)),"")</f>
        <v>قيادة القوات البحرية</v>
      </c>
      <c r="F110" s="14" t="str">
        <f>IFERROR(INDEX('قائمة الوحدات'!$F$2:$F$41,MATCH($B110,'قائمة الوحدات'!$A$2:$A$41,0)),"")</f>
        <v>قيادة القوات البحرية</v>
      </c>
      <c r="G110" s="16" t="s">
        <v>61</v>
      </c>
      <c r="H110" s="14" t="str">
        <f>IFERROR(INDEX(المرجع!$A$2:$A$19,MATCH($G110,المرجع!$B$2:$B$19,0)),"")</f>
        <v>البناء المؤسسي</v>
      </c>
      <c r="I110" s="16" t="s">
        <v>56</v>
      </c>
      <c r="J110" s="14" t="str">
        <f>IFERROR(INDEX(المرجع!$D$2:$D$19,MATCH($I110,المرجع!$E$2:$E$19,0)),"")</f>
        <v>الموارد</v>
      </c>
      <c r="K110" s="16" t="s">
        <v>108</v>
      </c>
      <c r="L110" s="17" t="str">
        <f>IFERROR(INDEX('نقاط التحقق'!$G$2:$G$31,MATCH($K110,'نقاط التحقق'!$A$2:$A$31,0))&amp;"","")</f>
        <v>وجود مساحات مكتبية كافية</v>
      </c>
      <c r="M110" s="13">
        <v>75</v>
      </c>
      <c r="N110" s="15" t="str">
        <f>IF($M110="","غير مقيّمة",IF($M110&gt;المرجع!$K$3,"مستوفاة بشكل متقدم",IF($M110&lt;=المرجع!$K$2,"مستوفاة بشكل أولي","مستوفاة بشكل جزئي")))</f>
        <v>مستوفاة بشكل متقدم</v>
      </c>
      <c r="O110" s="18"/>
    </row>
    <row r="111" spans="1:15">
      <c r="A111" s="16" t="s">
        <v>915</v>
      </c>
      <c r="B111" s="16" t="s">
        <v>196</v>
      </c>
      <c r="C111" s="15" t="str">
        <f>IFERROR(INDEX('قائمة الوحدات'!$B$2:$B$41,MATCH($B111,'قائمة الوحدات'!$A$2:$A$41,0)),"")</f>
        <v>MIL</v>
      </c>
      <c r="D111" s="14" t="str">
        <f>IFERROR(INDEX('قائمة الوحدات'!$C$2:$C$41,MATCH($B111,'قائمة الوحدات'!$A$2:$A$41,0)),"")</f>
        <v>الجهاز العسكري</v>
      </c>
      <c r="E111" s="14" t="str">
        <f>IFERROR(INDEX('قائمة الوحدات'!$D$2:$D$41,MATCH($B111,'قائمة الوحدات'!$A$2:$A$41,0)),"")</f>
        <v>قيادة القوات البحرية</v>
      </c>
      <c r="F111" s="14" t="str">
        <f>IFERROR(INDEX('قائمة الوحدات'!$F$2:$F$41,MATCH($B111,'قائمة الوحدات'!$A$2:$A$41,0)),"")</f>
        <v>قيادة القوات البحرية</v>
      </c>
      <c r="G111" s="16" t="s">
        <v>61</v>
      </c>
      <c r="H111" s="14" t="str">
        <f>IFERROR(INDEX(المرجع!$A$2:$A$19,MATCH($G111,المرجع!$B$2:$B$19,0)),"")</f>
        <v>البناء المؤسسي</v>
      </c>
      <c r="I111" s="16" t="s">
        <v>56</v>
      </c>
      <c r="J111" s="14" t="str">
        <f>IFERROR(INDEX(المرجع!$D$2:$D$19,MATCH($I111,المرجع!$E$2:$E$19,0)),"")</f>
        <v>الموارد</v>
      </c>
      <c r="K111" s="16" t="s">
        <v>110</v>
      </c>
      <c r="L111" s="17" t="str">
        <f>IFERROR(INDEX('نقاط التحقق'!$G$2:$G$31,MATCH($K111,'نقاط التحقق'!$A$2:$A$31,0))&amp;"","")</f>
        <v>وجود الاحتياجات التقنية الأساسية</v>
      </c>
      <c r="M111" s="13">
        <v>55</v>
      </c>
      <c r="N111" s="15" t="str">
        <f>IF($M111="","غير مقيّمة",IF($M111&gt;المرجع!$K$3,"مستوفاة بشكل متقدم",IF($M111&lt;=المرجع!$K$2,"مستوفاة بشكل أولي","مستوفاة بشكل جزئي")))</f>
        <v>مستوفاة بشكل جزئي</v>
      </c>
      <c r="O111" s="18"/>
    </row>
    <row r="112" spans="1:15">
      <c r="A112" s="16" t="s">
        <v>916</v>
      </c>
      <c r="B112" s="16" t="s">
        <v>196</v>
      </c>
      <c r="C112" s="15" t="str">
        <f>IFERROR(INDEX('قائمة الوحدات'!$B$2:$B$41,MATCH($B112,'قائمة الوحدات'!$A$2:$A$41,0)),"")</f>
        <v>MIL</v>
      </c>
      <c r="D112" s="14" t="str">
        <f>IFERROR(INDEX('قائمة الوحدات'!$C$2:$C$41,MATCH($B112,'قائمة الوحدات'!$A$2:$A$41,0)),"")</f>
        <v>الجهاز العسكري</v>
      </c>
      <c r="E112" s="14" t="str">
        <f>IFERROR(INDEX('قائمة الوحدات'!$D$2:$D$41,MATCH($B112,'قائمة الوحدات'!$A$2:$A$41,0)),"")</f>
        <v>قيادة القوات البحرية</v>
      </c>
      <c r="F112" s="14" t="str">
        <f>IFERROR(INDEX('قائمة الوحدات'!$F$2:$F$41,MATCH($B112,'قائمة الوحدات'!$A$2:$A$41,0)),"")</f>
        <v>قيادة القوات البحرية</v>
      </c>
      <c r="G112" s="16" t="s">
        <v>61</v>
      </c>
      <c r="H112" s="14" t="str">
        <f>IFERROR(INDEX(المرجع!$A$2:$A$19,MATCH($G112,المرجع!$B$2:$B$19,0)),"")</f>
        <v>البناء المؤسسي</v>
      </c>
      <c r="I112" s="16" t="s">
        <v>59</v>
      </c>
      <c r="J112" s="14" t="str">
        <f>IFERROR(INDEX(المرجع!$D$2:$D$19,MATCH($I112,المرجع!$E$2:$E$19,0)),"")</f>
        <v>الإجراءات</v>
      </c>
      <c r="K112" s="16" t="s">
        <v>112</v>
      </c>
      <c r="L112" s="17" t="str">
        <f>IFERROR(INDEX('نقاط التحقق'!$G$2:$G$31,MATCH($K112,'نقاط التحقق'!$A$2:$A$31,0))&amp;"","")</f>
        <v>إجراءات معتمدة للوحدة التنظيمية</v>
      </c>
      <c r="M112" s="13">
        <v>70</v>
      </c>
      <c r="N112" s="15" t="str">
        <f>IF($M112="","غير مقيّمة",IF($M112&gt;المرجع!$K$3,"مستوفاة بشكل متقدم",IF($M112&lt;=المرجع!$K$2,"مستوفاة بشكل أولي","مستوفاة بشكل جزئي")))</f>
        <v>مستوفاة بشكل جزئي</v>
      </c>
      <c r="O112" s="18"/>
    </row>
    <row r="113" spans="1:15">
      <c r="A113" s="16" t="s">
        <v>917</v>
      </c>
      <c r="B113" s="16" t="s">
        <v>196</v>
      </c>
      <c r="C113" s="15" t="str">
        <f>IFERROR(INDEX('قائمة الوحدات'!$B$2:$B$41,MATCH($B113,'قائمة الوحدات'!$A$2:$A$41,0)),"")</f>
        <v>MIL</v>
      </c>
      <c r="D113" s="14" t="str">
        <f>IFERROR(INDEX('قائمة الوحدات'!$C$2:$C$41,MATCH($B113,'قائمة الوحدات'!$A$2:$A$41,0)),"")</f>
        <v>الجهاز العسكري</v>
      </c>
      <c r="E113" s="14" t="str">
        <f>IFERROR(INDEX('قائمة الوحدات'!$D$2:$D$41,MATCH($B113,'قائمة الوحدات'!$A$2:$A$41,0)),"")</f>
        <v>قيادة القوات البحرية</v>
      </c>
      <c r="F113" s="14" t="str">
        <f>IFERROR(INDEX('قائمة الوحدات'!$F$2:$F$41,MATCH($B113,'قائمة الوحدات'!$A$2:$A$41,0)),"")</f>
        <v>قيادة القوات البحرية</v>
      </c>
      <c r="G113" s="16" t="s">
        <v>61</v>
      </c>
      <c r="H113" s="14" t="str">
        <f>IFERROR(INDEX(المرجع!$A$2:$A$19,MATCH($G113,المرجع!$B$2:$B$19,0)),"")</f>
        <v>البناء المؤسسي</v>
      </c>
      <c r="I113" s="16" t="s">
        <v>63</v>
      </c>
      <c r="J113" s="14" t="str">
        <f>IFERROR(INDEX(المرجع!$D$2:$D$19,MATCH($I113,المرجع!$E$2:$E$19,0)),"")</f>
        <v>إنتاج المخرج الأول</v>
      </c>
      <c r="K113" s="16" t="s">
        <v>114</v>
      </c>
      <c r="L113" s="17" t="str">
        <f>IFERROR(INDEX('نقاط التحقق'!$G$2:$G$31,MATCH($K113,'نقاط التحقق'!$A$2:$A$31,0))&amp;"","")</f>
        <v>إنتاج المخرج الأول من قبل الوحدة التنظيمية</v>
      </c>
      <c r="M113" s="13">
        <v>88</v>
      </c>
      <c r="N113" s="15" t="str">
        <f>IF($M113="","غير مقيّمة",IF($M113&gt;المرجع!$K$3,"مستوفاة بشكل متقدم",IF($M113&lt;=المرجع!$K$2,"مستوفاة بشكل أولي","مستوفاة بشكل جزئي")))</f>
        <v>مستوفاة بشكل متقدم</v>
      </c>
      <c r="O113" s="18"/>
    </row>
    <row r="114" spans="1:15">
      <c r="A114" s="16" t="s">
        <v>918</v>
      </c>
      <c r="B114" s="16" t="s">
        <v>196</v>
      </c>
      <c r="C114" s="15" t="str">
        <f>IFERROR(INDEX('قائمة الوحدات'!$B$2:$B$41,MATCH($B114,'قائمة الوحدات'!$A$2:$A$41,0)),"")</f>
        <v>MIL</v>
      </c>
      <c r="D114" s="14" t="str">
        <f>IFERROR(INDEX('قائمة الوحدات'!$C$2:$C$41,MATCH($B114,'قائمة الوحدات'!$A$2:$A$41,0)),"")</f>
        <v>الجهاز العسكري</v>
      </c>
      <c r="E114" s="14" t="str">
        <f>IFERROR(INDEX('قائمة الوحدات'!$D$2:$D$41,MATCH($B114,'قائمة الوحدات'!$A$2:$A$41,0)),"")</f>
        <v>قيادة القوات البحرية</v>
      </c>
      <c r="F114" s="14" t="str">
        <f>IFERROR(INDEX('قائمة الوحدات'!$F$2:$F$41,MATCH($B114,'قائمة الوحدات'!$A$2:$A$41,0)),"")</f>
        <v>قيادة القوات البحرية</v>
      </c>
      <c r="G114" s="16" t="s">
        <v>65</v>
      </c>
      <c r="H114" s="14" t="str">
        <f>IFERROR(INDEX(المرجع!$A$2:$A$19,MATCH($G114,المرجع!$B$2:$B$19,0)),"")</f>
        <v>التشغيل</v>
      </c>
      <c r="I114" s="16" t="s">
        <v>48</v>
      </c>
      <c r="J114" s="14" t="str">
        <f>IFERROR(INDEX(المرجع!$D$2:$D$19,MATCH($I114,المرجع!$E$2:$E$19,0)),"")</f>
        <v>الأهداف ومؤشرات الأداء</v>
      </c>
      <c r="K114" s="16" t="s">
        <v>116</v>
      </c>
      <c r="L114" s="17" t="str">
        <f>IFERROR(INDEX('نقاط التحقق'!$G$2:$G$31,MATCH($K114,'نقاط التحقق'!$A$2:$A$31,0))&amp;"","")</f>
        <v>تحرك مؤشرات الأداء التشغيلي للوحدة التنظيمية بشكل إيجابي</v>
      </c>
      <c r="M114" s="13">
        <v>45</v>
      </c>
      <c r="N114" s="15" t="str">
        <f>IF($M114="","غير مقيّمة",IF($M114&gt;المرجع!$K$3,"مستوفاة بشكل متقدم",IF($M114&lt;=المرجع!$K$2,"مستوفاة بشكل أولي","مستوفاة بشكل جزئي")))</f>
        <v>مستوفاة بشكل جزئي</v>
      </c>
      <c r="O114" s="18"/>
    </row>
    <row r="115" spans="1:15">
      <c r="A115" s="16" t="s">
        <v>919</v>
      </c>
      <c r="B115" s="16" t="s">
        <v>196</v>
      </c>
      <c r="C115" s="15" t="str">
        <f>IFERROR(INDEX('قائمة الوحدات'!$B$2:$B$41,MATCH($B115,'قائمة الوحدات'!$A$2:$A$41,0)),"")</f>
        <v>MIL</v>
      </c>
      <c r="D115" s="14" t="str">
        <f>IFERROR(INDEX('قائمة الوحدات'!$C$2:$C$41,MATCH($B115,'قائمة الوحدات'!$A$2:$A$41,0)),"")</f>
        <v>الجهاز العسكري</v>
      </c>
      <c r="E115" s="14" t="str">
        <f>IFERROR(INDEX('قائمة الوحدات'!$D$2:$D$41,MATCH($B115,'قائمة الوحدات'!$A$2:$A$41,0)),"")</f>
        <v>قيادة القوات البحرية</v>
      </c>
      <c r="F115" s="14" t="str">
        <f>IFERROR(INDEX('قائمة الوحدات'!$F$2:$F$41,MATCH($B115,'قائمة الوحدات'!$A$2:$A$41,0)),"")</f>
        <v>قيادة القوات البحرية</v>
      </c>
      <c r="G115" s="16" t="s">
        <v>65</v>
      </c>
      <c r="H115" s="14" t="str">
        <f>IFERROR(INDEX(المرجع!$A$2:$A$19,MATCH($G115,المرجع!$B$2:$B$19,0)),"")</f>
        <v>التشغيل</v>
      </c>
      <c r="I115" s="16" t="s">
        <v>48</v>
      </c>
      <c r="J115" s="14" t="str">
        <f>IFERROR(INDEX(المرجع!$D$2:$D$19,MATCH($I115,المرجع!$E$2:$E$19,0)),"")</f>
        <v>الأهداف ومؤشرات الأداء</v>
      </c>
      <c r="K115" s="16" t="s">
        <v>118</v>
      </c>
      <c r="L115" s="17" t="str">
        <f>IFERROR(INDEX('نقاط التحقق'!$G$2:$G$31,MATCH($K115,'نقاط التحقق'!$A$2:$A$31,0))&amp;"","")</f>
        <v>خطة سنوية معتمدة للوحدة التنظيمية</v>
      </c>
      <c r="M115" s="13">
        <v>40</v>
      </c>
      <c r="N115" s="15" t="str">
        <f>IF($M115="","غير مقيّمة",IF($M115&gt;المرجع!$K$3,"مستوفاة بشكل متقدم",IF($M115&lt;=المرجع!$K$2,"مستوفاة بشكل أولي","مستوفاة بشكل جزئي")))</f>
        <v>مستوفاة بشكل جزئي</v>
      </c>
      <c r="O115" s="18"/>
    </row>
    <row r="116" spans="1:15">
      <c r="A116" s="16" t="s">
        <v>920</v>
      </c>
      <c r="B116" s="16" t="s">
        <v>196</v>
      </c>
      <c r="C116" s="15" t="str">
        <f>IFERROR(INDEX('قائمة الوحدات'!$B$2:$B$41,MATCH($B116,'قائمة الوحدات'!$A$2:$A$41,0)),"")</f>
        <v>MIL</v>
      </c>
      <c r="D116" s="14" t="str">
        <f>IFERROR(INDEX('قائمة الوحدات'!$C$2:$C$41,MATCH($B116,'قائمة الوحدات'!$A$2:$A$41,0)),"")</f>
        <v>الجهاز العسكري</v>
      </c>
      <c r="E116" s="14" t="str">
        <f>IFERROR(INDEX('قائمة الوحدات'!$D$2:$D$41,MATCH($B116,'قائمة الوحدات'!$A$2:$A$41,0)),"")</f>
        <v>قيادة القوات البحرية</v>
      </c>
      <c r="F116" s="14" t="str">
        <f>IFERROR(INDEX('قائمة الوحدات'!$F$2:$F$41,MATCH($B116,'قائمة الوحدات'!$A$2:$A$41,0)),"")</f>
        <v>قيادة القوات البحرية</v>
      </c>
      <c r="G116" s="16" t="s">
        <v>65</v>
      </c>
      <c r="H116" s="14" t="str">
        <f>IFERROR(INDEX(المرجع!$A$2:$A$19,MATCH($G116,المرجع!$B$2:$B$19,0)),"")</f>
        <v>التشغيل</v>
      </c>
      <c r="I116" s="16" t="s">
        <v>51</v>
      </c>
      <c r="J116" s="14" t="str">
        <f>IFERROR(INDEX(المرجع!$D$2:$D$19,MATCH($I116,المرجع!$E$2:$E$19,0)),"")</f>
        <v>الحوكمة</v>
      </c>
      <c r="K116" s="16" t="s">
        <v>120</v>
      </c>
      <c r="L116" s="17" t="str">
        <f>IFERROR(INDEX('نقاط التحقق'!$G$2:$G$31,MATCH($K116,'نقاط التحقق'!$A$2:$A$31,0))&amp;"","")</f>
        <v>محاضر لجان موثقة</v>
      </c>
      <c r="M116" s="13">
        <v>10</v>
      </c>
      <c r="N116" s="15" t="str">
        <f>IF($M116="","غير مقيّمة",IF($M116&gt;المرجع!$K$3,"مستوفاة بشكل متقدم",IF($M116&lt;=المرجع!$K$2,"مستوفاة بشكل أولي","مستوفاة بشكل جزئي")))</f>
        <v>مستوفاة بشكل أولي</v>
      </c>
      <c r="O116" s="18"/>
    </row>
    <row r="117" spans="1:15">
      <c r="A117" s="16" t="s">
        <v>921</v>
      </c>
      <c r="B117" s="16" t="s">
        <v>196</v>
      </c>
      <c r="C117" s="15" t="str">
        <f>IFERROR(INDEX('قائمة الوحدات'!$B$2:$B$41,MATCH($B117,'قائمة الوحدات'!$A$2:$A$41,0)),"")</f>
        <v>MIL</v>
      </c>
      <c r="D117" s="14" t="str">
        <f>IFERROR(INDEX('قائمة الوحدات'!$C$2:$C$41,MATCH($B117,'قائمة الوحدات'!$A$2:$A$41,0)),"")</f>
        <v>الجهاز العسكري</v>
      </c>
      <c r="E117" s="14" t="str">
        <f>IFERROR(INDEX('قائمة الوحدات'!$D$2:$D$41,MATCH($B117,'قائمة الوحدات'!$A$2:$A$41,0)),"")</f>
        <v>قيادة القوات البحرية</v>
      </c>
      <c r="F117" s="14" t="str">
        <f>IFERROR(INDEX('قائمة الوحدات'!$F$2:$F$41,MATCH($B117,'قائمة الوحدات'!$A$2:$A$41,0)),"")</f>
        <v>قيادة القوات البحرية</v>
      </c>
      <c r="G117" s="16" t="s">
        <v>65</v>
      </c>
      <c r="H117" s="14" t="str">
        <f>IFERROR(INDEX(المرجع!$A$2:$A$19,MATCH($G117,المرجع!$B$2:$B$19,0)),"")</f>
        <v>التشغيل</v>
      </c>
      <c r="I117" s="16" t="s">
        <v>51</v>
      </c>
      <c r="J117" s="14" t="str">
        <f>IFERROR(INDEX(المرجع!$D$2:$D$19,MATCH($I117,المرجع!$E$2:$E$19,0)),"")</f>
        <v>الحوكمة</v>
      </c>
      <c r="K117" s="16" t="s">
        <v>122</v>
      </c>
      <c r="L117" s="17" t="str">
        <f>IFERROR(INDEX('نقاط التحقق'!$G$2:$G$31,MATCH($K117,'نقاط التحقق'!$A$2:$A$31,0))&amp;"","")</f>
        <v>نشر السياسات التي تملكها الوحدة التنظيمية</v>
      </c>
      <c r="M117" s="13">
        <v>25</v>
      </c>
      <c r="N117" s="15" t="str">
        <f>IF($M117="","غير مقيّمة",IF($M117&gt;المرجع!$K$3,"مستوفاة بشكل متقدم",IF($M117&lt;=المرجع!$K$2,"مستوفاة بشكل أولي","مستوفاة بشكل جزئي")))</f>
        <v>مستوفاة بشكل أولي</v>
      </c>
      <c r="O117" s="18"/>
    </row>
    <row r="118" spans="1:15">
      <c r="A118" s="16" t="s">
        <v>922</v>
      </c>
      <c r="B118" s="16" t="s">
        <v>196</v>
      </c>
      <c r="C118" s="15" t="str">
        <f>IFERROR(INDEX('قائمة الوحدات'!$B$2:$B$41,MATCH($B118,'قائمة الوحدات'!$A$2:$A$41,0)),"")</f>
        <v>MIL</v>
      </c>
      <c r="D118" s="14" t="str">
        <f>IFERROR(INDEX('قائمة الوحدات'!$C$2:$C$41,MATCH($B118,'قائمة الوحدات'!$A$2:$A$41,0)),"")</f>
        <v>الجهاز العسكري</v>
      </c>
      <c r="E118" s="14" t="str">
        <f>IFERROR(INDEX('قائمة الوحدات'!$D$2:$D$41,MATCH($B118,'قائمة الوحدات'!$A$2:$A$41,0)),"")</f>
        <v>قيادة القوات البحرية</v>
      </c>
      <c r="F118" s="14" t="str">
        <f>IFERROR(INDEX('قائمة الوحدات'!$F$2:$F$41,MATCH($B118,'قائمة الوحدات'!$A$2:$A$41,0)),"")</f>
        <v>قيادة القوات البحرية</v>
      </c>
      <c r="G118" s="16" t="s">
        <v>65</v>
      </c>
      <c r="H118" s="14" t="str">
        <f>IFERROR(INDEX(المرجع!$A$2:$A$19,MATCH($G118,المرجع!$B$2:$B$19,0)),"")</f>
        <v>التشغيل</v>
      </c>
      <c r="I118" s="16" t="s">
        <v>51</v>
      </c>
      <c r="J118" s="14" t="str">
        <f>IFERROR(INDEX(المرجع!$D$2:$D$19,MATCH($I118,المرجع!$E$2:$E$19,0)),"")</f>
        <v>الحوكمة</v>
      </c>
      <c r="K118" s="16" t="s">
        <v>124</v>
      </c>
      <c r="L118" s="17" t="str">
        <f>IFERROR(INDEX('نقاط التحقق'!$G$2:$G$31,MATCH($K118,'نقاط التحقق'!$A$2:$A$31,0))&amp;"","")</f>
        <v>اتخاذ القرارات في نطاق الصلاحيات (وجود شواهد)</v>
      </c>
      <c r="M118" s="13">
        <v>35</v>
      </c>
      <c r="N118" s="15" t="str">
        <f>IF($M118="","غير مقيّمة",IF($M118&gt;المرجع!$K$3,"مستوفاة بشكل متقدم",IF($M118&lt;=المرجع!$K$2,"مستوفاة بشكل أولي","مستوفاة بشكل جزئي")))</f>
        <v>مستوفاة بشكل جزئي</v>
      </c>
      <c r="O118" s="18"/>
    </row>
    <row r="119" spans="1:15">
      <c r="A119" s="16" t="s">
        <v>923</v>
      </c>
      <c r="B119" s="16" t="s">
        <v>196</v>
      </c>
      <c r="C119" s="15" t="str">
        <f>IFERROR(INDEX('قائمة الوحدات'!$B$2:$B$41,MATCH($B119,'قائمة الوحدات'!$A$2:$A$41,0)),"")</f>
        <v>MIL</v>
      </c>
      <c r="D119" s="14" t="str">
        <f>IFERROR(INDEX('قائمة الوحدات'!$C$2:$C$41,MATCH($B119,'قائمة الوحدات'!$A$2:$A$41,0)),"")</f>
        <v>الجهاز العسكري</v>
      </c>
      <c r="E119" s="14" t="str">
        <f>IFERROR(INDEX('قائمة الوحدات'!$D$2:$D$41,MATCH($B119,'قائمة الوحدات'!$A$2:$A$41,0)),"")</f>
        <v>قيادة القوات البحرية</v>
      </c>
      <c r="F119" s="14" t="str">
        <f>IFERROR(INDEX('قائمة الوحدات'!$F$2:$F$41,MATCH($B119,'قائمة الوحدات'!$A$2:$A$41,0)),"")</f>
        <v>قيادة القوات البحرية</v>
      </c>
      <c r="G119" s="16" t="s">
        <v>65</v>
      </c>
      <c r="H119" s="14" t="str">
        <f>IFERROR(INDEX(المرجع!$A$2:$A$19,MATCH($G119,المرجع!$B$2:$B$19,0)),"")</f>
        <v>التشغيل</v>
      </c>
      <c r="I119" s="16" t="s">
        <v>56</v>
      </c>
      <c r="J119" s="14" t="str">
        <f>IFERROR(INDEX(المرجع!$D$2:$D$19,MATCH($I119,المرجع!$E$2:$E$19,0)),"")</f>
        <v>الموارد</v>
      </c>
      <c r="K119" s="16" t="s">
        <v>126</v>
      </c>
      <c r="L119" s="17" t="str">
        <f>IFERROR(INDEX('نقاط التحقق'!$G$2:$G$31,MATCH($K119,'نقاط التحقق'!$A$2:$A$31,0))&amp;"","")</f>
        <v>موارد مستكملة للحد الأدنى الذي يغطي كافة محاور سلسلة القيمة</v>
      </c>
      <c r="M119" s="13">
        <v>55</v>
      </c>
      <c r="N119" s="15" t="str">
        <f>IF($M119="","غير مقيّمة",IF($M119&gt;المرجع!$K$3,"مستوفاة بشكل متقدم",IF($M119&lt;=المرجع!$K$2,"مستوفاة بشكل أولي","مستوفاة بشكل جزئي")))</f>
        <v>مستوفاة بشكل جزئي</v>
      </c>
      <c r="O119" s="18"/>
    </row>
    <row r="120" spans="1:15">
      <c r="A120" s="16" t="s">
        <v>924</v>
      </c>
      <c r="B120" s="16" t="s">
        <v>196</v>
      </c>
      <c r="C120" s="15" t="str">
        <f>IFERROR(INDEX('قائمة الوحدات'!$B$2:$B$41,MATCH($B120,'قائمة الوحدات'!$A$2:$A$41,0)),"")</f>
        <v>MIL</v>
      </c>
      <c r="D120" s="14" t="str">
        <f>IFERROR(INDEX('قائمة الوحدات'!$C$2:$C$41,MATCH($B120,'قائمة الوحدات'!$A$2:$A$41,0)),"")</f>
        <v>الجهاز العسكري</v>
      </c>
      <c r="E120" s="14" t="str">
        <f>IFERROR(INDEX('قائمة الوحدات'!$D$2:$D$41,MATCH($B120,'قائمة الوحدات'!$A$2:$A$41,0)),"")</f>
        <v>قيادة القوات البحرية</v>
      </c>
      <c r="F120" s="14" t="str">
        <f>IFERROR(INDEX('قائمة الوحدات'!$F$2:$F$41,MATCH($B120,'قائمة الوحدات'!$A$2:$A$41,0)),"")</f>
        <v>قيادة القوات البحرية</v>
      </c>
      <c r="G120" s="16" t="s">
        <v>65</v>
      </c>
      <c r="H120" s="14" t="str">
        <f>IFERROR(INDEX(المرجع!$A$2:$A$19,MATCH($G120,المرجع!$B$2:$B$19,0)),"")</f>
        <v>التشغيل</v>
      </c>
      <c r="I120" s="16" t="s">
        <v>59</v>
      </c>
      <c r="J120" s="14" t="str">
        <f>IFERROR(INDEX(المرجع!$D$2:$D$19,MATCH($I120,المرجع!$E$2:$E$19,0)),"")</f>
        <v>الإجراءات</v>
      </c>
      <c r="K120" s="16" t="s">
        <v>128</v>
      </c>
      <c r="L120" s="17" t="str">
        <f>IFERROR(INDEX('نقاط التحقق'!$G$2:$G$31,MATCH($K120,'نقاط التحقق'!$A$2:$A$31,0))&amp;"","")</f>
        <v>تحقيق تقييم "مطبق بشكل كامل" من منهجية تقييم فعالية الإجراءات</v>
      </c>
      <c r="M120" s="13">
        <v>24</v>
      </c>
      <c r="N120" s="15" t="str">
        <f>IF($M120="","غير مقيّمة",IF($M120&gt;المرجع!$K$3,"مستوفاة بشكل متقدم",IF($M120&lt;=المرجع!$K$2,"مستوفاة بشكل أولي","مستوفاة بشكل جزئي")))</f>
        <v>مستوفاة بشكل أولي</v>
      </c>
      <c r="O120" s="18"/>
    </row>
    <row r="121" spans="1:15">
      <c r="A121" s="16" t="s">
        <v>925</v>
      </c>
      <c r="B121" s="16" t="s">
        <v>196</v>
      </c>
      <c r="C121" s="15" t="str">
        <f>IFERROR(INDEX('قائمة الوحدات'!$B$2:$B$41,MATCH($B121,'قائمة الوحدات'!$A$2:$A$41,0)),"")</f>
        <v>MIL</v>
      </c>
      <c r="D121" s="14" t="str">
        <f>IFERROR(INDEX('قائمة الوحدات'!$C$2:$C$41,MATCH($B121,'قائمة الوحدات'!$A$2:$A$41,0)),"")</f>
        <v>الجهاز العسكري</v>
      </c>
      <c r="E121" s="14" t="str">
        <f>IFERROR(INDEX('قائمة الوحدات'!$D$2:$D$41,MATCH($B121,'قائمة الوحدات'!$A$2:$A$41,0)),"")</f>
        <v>قيادة القوات البحرية</v>
      </c>
      <c r="F121" s="14" t="str">
        <f>IFERROR(INDEX('قائمة الوحدات'!$F$2:$F$41,MATCH($B121,'قائمة الوحدات'!$A$2:$A$41,0)),"")</f>
        <v>قيادة القوات البحرية</v>
      </c>
      <c r="G121" s="16" t="s">
        <v>65</v>
      </c>
      <c r="H121" s="14" t="str">
        <f>IFERROR(INDEX(المرجع!$A$2:$A$19,MATCH($G121,المرجع!$B$2:$B$19,0)),"")</f>
        <v>التشغيل</v>
      </c>
      <c r="I121" s="16" t="s">
        <v>67</v>
      </c>
      <c r="J121" s="14" t="str">
        <f>IFERROR(INDEX(المرجع!$D$2:$D$19,MATCH($I121,المرجع!$E$2:$E$19,0)),"")</f>
        <v>اكتمال المخرجات المستهدفة</v>
      </c>
      <c r="K121" s="16" t="s">
        <v>130</v>
      </c>
      <c r="L121" s="17" t="str">
        <f>IFERROR(INDEX('نقاط التحقق'!$G$2:$G$31,MATCH($K121,'نقاط التحقق'!$A$2:$A$31,0))&amp;"","")</f>
        <v>اكتمال مخرجات النموذج التشغيلي المستهدف للوحدة التنظيمية</v>
      </c>
      <c r="M121" s="13">
        <v>40</v>
      </c>
      <c r="N121" s="15" t="str">
        <f>IF($M121="","غير مقيّمة",IF($M121&gt;المرجع!$K$3,"مستوفاة بشكل متقدم",IF($M121&lt;=المرجع!$K$2,"مستوفاة بشكل أولي","مستوفاة بشكل جزئي")))</f>
        <v>مستوفاة بشكل جزئي</v>
      </c>
      <c r="O121" s="18"/>
    </row>
    <row r="122" spans="1:15">
      <c r="A122" s="16" t="s">
        <v>926</v>
      </c>
      <c r="B122" s="16" t="s">
        <v>198</v>
      </c>
      <c r="C122" s="15" t="str">
        <f>IFERROR(INDEX('قائمة الوحدات'!$B$2:$B$41,MATCH($B122,'قائمة الوحدات'!$A$2:$A$41,0)),"")</f>
        <v>MIL</v>
      </c>
      <c r="D122" s="14" t="str">
        <f>IFERROR(INDEX('قائمة الوحدات'!$C$2:$C$41,MATCH($B122,'قائمة الوحدات'!$A$2:$A$41,0)),"")</f>
        <v>الجهاز العسكري</v>
      </c>
      <c r="E122" s="14" t="str">
        <f>IFERROR(INDEX('قائمة الوحدات'!$D$2:$D$41,MATCH($B122,'قائمة الوحدات'!$A$2:$A$41,0)),"")</f>
        <v>قيادة قوات الدفاع الجوي</v>
      </c>
      <c r="F122" s="14" t="str">
        <f>IFERROR(INDEX('قائمة الوحدات'!$F$2:$F$41,MATCH($B122,'قائمة الوحدات'!$A$2:$A$41,0)),"")</f>
        <v>قيادة قوات الدفاع الجوي</v>
      </c>
      <c r="G122" s="16" t="s">
        <v>43</v>
      </c>
      <c r="H122" s="14" t="str">
        <f>IFERROR(INDEX(المرجع!$A$2:$A$19,MATCH($G122,المرجع!$B$2:$B$19,0)),"")</f>
        <v>التصميم</v>
      </c>
      <c r="I122" s="16" t="s">
        <v>45</v>
      </c>
      <c r="J122" s="14" t="str">
        <f>IFERROR(INDEX(المرجع!$D$2:$D$19,MATCH($I122,المرجع!$E$2:$E$19,0)),"")</f>
        <v>الدور</v>
      </c>
      <c r="K122" s="16" t="s">
        <v>72</v>
      </c>
      <c r="L122" s="17" t="str">
        <f>IFERROR(INDEX('نقاط التحقق'!$G$2:$G$31,MATCH($K122,'نقاط التحقق'!$A$2:$A$31,0))&amp;"","")</f>
        <v>دور مفصل للوحدة التنظيمية</v>
      </c>
      <c r="M122" s="13">
        <v>96</v>
      </c>
      <c r="N122" s="15" t="str">
        <f>IF($M122="","غير مقيّمة",IF($M122&gt;المرجع!$K$3,"مستوفاة بشكل متقدم",IF($M122&lt;=المرجع!$K$2,"مستوفاة بشكل أولي","مستوفاة بشكل جزئي")))</f>
        <v>مستوفاة بشكل متقدم</v>
      </c>
      <c r="O122" s="18"/>
    </row>
    <row r="123" spans="1:15">
      <c r="A123" s="16" t="s">
        <v>927</v>
      </c>
      <c r="B123" s="16" t="s">
        <v>198</v>
      </c>
      <c r="C123" s="15" t="str">
        <f>IFERROR(INDEX('قائمة الوحدات'!$B$2:$B$41,MATCH($B123,'قائمة الوحدات'!$A$2:$A$41,0)),"")</f>
        <v>MIL</v>
      </c>
      <c r="D123" s="14" t="str">
        <f>IFERROR(INDEX('قائمة الوحدات'!$C$2:$C$41,MATCH($B123,'قائمة الوحدات'!$A$2:$A$41,0)),"")</f>
        <v>الجهاز العسكري</v>
      </c>
      <c r="E123" s="14" t="str">
        <f>IFERROR(INDEX('قائمة الوحدات'!$D$2:$D$41,MATCH($B123,'قائمة الوحدات'!$A$2:$A$41,0)),"")</f>
        <v>قيادة قوات الدفاع الجوي</v>
      </c>
      <c r="F123" s="14" t="str">
        <f>IFERROR(INDEX('قائمة الوحدات'!$F$2:$F$41,MATCH($B123,'قائمة الوحدات'!$A$2:$A$41,0)),"")</f>
        <v>قيادة قوات الدفاع الجوي</v>
      </c>
      <c r="G123" s="16" t="s">
        <v>43</v>
      </c>
      <c r="H123" s="14" t="str">
        <f>IFERROR(INDEX(المرجع!$A$2:$A$19,MATCH($G123,المرجع!$B$2:$B$19,0)),"")</f>
        <v>التصميم</v>
      </c>
      <c r="I123" s="16" t="s">
        <v>48</v>
      </c>
      <c r="J123" s="14" t="str">
        <f>IFERROR(INDEX(المرجع!$D$2:$D$19,MATCH($I123,المرجع!$E$2:$E$19,0)),"")</f>
        <v>الأهداف ومؤشرات الأداء</v>
      </c>
      <c r="K123" s="16" t="s">
        <v>74</v>
      </c>
      <c r="L123" s="17" t="str">
        <f>IFERROR(INDEX('نقاط التحقق'!$G$2:$G$31,MATCH($K123,'نقاط التحقق'!$A$2:$A$31,0))&amp;"","")</f>
        <v>أهداف محددة للوحدة التنظيمية وربطها بمؤشرات أداء لقياسها</v>
      </c>
      <c r="M123" s="13">
        <v>70</v>
      </c>
      <c r="N123" s="15" t="str">
        <f>IF($M123="","غير مقيّمة",IF($M123&gt;المرجع!$K$3,"مستوفاة بشكل متقدم",IF($M123&lt;=المرجع!$K$2,"مستوفاة بشكل أولي","مستوفاة بشكل جزئي")))</f>
        <v>مستوفاة بشكل جزئي</v>
      </c>
      <c r="O123" s="18"/>
    </row>
    <row r="124" spans="1:15">
      <c r="A124" s="16" t="s">
        <v>928</v>
      </c>
      <c r="B124" s="16" t="s">
        <v>198</v>
      </c>
      <c r="C124" s="15" t="str">
        <f>IFERROR(INDEX('قائمة الوحدات'!$B$2:$B$41,MATCH($B124,'قائمة الوحدات'!$A$2:$A$41,0)),"")</f>
        <v>MIL</v>
      </c>
      <c r="D124" s="14" t="str">
        <f>IFERROR(INDEX('قائمة الوحدات'!$C$2:$C$41,MATCH($B124,'قائمة الوحدات'!$A$2:$A$41,0)),"")</f>
        <v>الجهاز العسكري</v>
      </c>
      <c r="E124" s="14" t="str">
        <f>IFERROR(INDEX('قائمة الوحدات'!$D$2:$D$41,MATCH($B124,'قائمة الوحدات'!$A$2:$A$41,0)),"")</f>
        <v>قيادة قوات الدفاع الجوي</v>
      </c>
      <c r="F124" s="14" t="str">
        <f>IFERROR(INDEX('قائمة الوحدات'!$F$2:$F$41,MATCH($B124,'قائمة الوحدات'!$A$2:$A$41,0)),"")</f>
        <v>قيادة قوات الدفاع الجوي</v>
      </c>
      <c r="G124" s="16" t="s">
        <v>43</v>
      </c>
      <c r="H124" s="14" t="str">
        <f>IFERROR(INDEX(المرجع!$A$2:$A$19,MATCH($G124,المرجع!$B$2:$B$19,0)),"")</f>
        <v>التصميم</v>
      </c>
      <c r="I124" s="16" t="s">
        <v>48</v>
      </c>
      <c r="J124" s="14" t="str">
        <f>IFERROR(INDEX(المرجع!$D$2:$D$19,MATCH($I124,المرجع!$E$2:$E$19,0)),"")</f>
        <v>الأهداف ومؤشرات الأداء</v>
      </c>
      <c r="K124" s="16" t="s">
        <v>76</v>
      </c>
      <c r="L124" s="17" t="str">
        <f>IFERROR(INDEX('نقاط التحقق'!$G$2:$G$31,MATCH($K124,'نقاط التحقق'!$A$2:$A$31,0))&amp;"","")</f>
        <v>مؤشرات أداء الوحدة التنظيمية</v>
      </c>
      <c r="M124" s="13">
        <v>95</v>
      </c>
      <c r="N124" s="15" t="str">
        <f>IF($M124="","غير مقيّمة",IF($M124&gt;المرجع!$K$3,"مستوفاة بشكل متقدم",IF($M124&lt;=المرجع!$K$2,"مستوفاة بشكل أولي","مستوفاة بشكل جزئي")))</f>
        <v>مستوفاة بشكل متقدم</v>
      </c>
      <c r="O124" s="18"/>
    </row>
    <row r="125" spans="1:15">
      <c r="A125" s="16" t="s">
        <v>929</v>
      </c>
      <c r="B125" s="16" t="s">
        <v>198</v>
      </c>
      <c r="C125" s="15" t="str">
        <f>IFERROR(INDEX('قائمة الوحدات'!$B$2:$B$41,MATCH($B125,'قائمة الوحدات'!$A$2:$A$41,0)),"")</f>
        <v>MIL</v>
      </c>
      <c r="D125" s="14" t="str">
        <f>IFERROR(INDEX('قائمة الوحدات'!$C$2:$C$41,MATCH($B125,'قائمة الوحدات'!$A$2:$A$41,0)),"")</f>
        <v>الجهاز العسكري</v>
      </c>
      <c r="E125" s="14" t="str">
        <f>IFERROR(INDEX('قائمة الوحدات'!$D$2:$D$41,MATCH($B125,'قائمة الوحدات'!$A$2:$A$41,0)),"")</f>
        <v>قيادة قوات الدفاع الجوي</v>
      </c>
      <c r="F125" s="14" t="str">
        <f>IFERROR(INDEX('قائمة الوحدات'!$F$2:$F$41,MATCH($B125,'قائمة الوحدات'!$A$2:$A$41,0)),"")</f>
        <v>قيادة قوات الدفاع الجوي</v>
      </c>
      <c r="G125" s="16" t="s">
        <v>43</v>
      </c>
      <c r="H125" s="14" t="str">
        <f>IFERROR(INDEX(المرجع!$A$2:$A$19,MATCH($G125,المرجع!$B$2:$B$19,0)),"")</f>
        <v>التصميم</v>
      </c>
      <c r="I125" s="16" t="s">
        <v>51</v>
      </c>
      <c r="J125" s="14" t="str">
        <f>IFERROR(INDEX(المرجع!$D$2:$D$19,MATCH($I125,المرجع!$E$2:$E$19,0)),"")</f>
        <v>الحوكمة</v>
      </c>
      <c r="K125" s="16" t="s">
        <v>78</v>
      </c>
      <c r="L125" s="17" t="str">
        <f>IFERROR(INDEX('نقاط التحقق'!$G$2:$G$31,MATCH($K125,'نقاط التحقق'!$A$2:$A$31,0))&amp;"","")</f>
        <v>تفصيل القرارات ومصفوفة الصلاحيات واللجان ذات العلاقة لاعتماد مخرجات الوحدة التنظيمية</v>
      </c>
      <c r="M125" s="13">
        <v>83</v>
      </c>
      <c r="N125" s="15" t="str">
        <f>IF($M125="","غير مقيّمة",IF($M125&gt;المرجع!$K$3,"مستوفاة بشكل متقدم",IF($M125&lt;=المرجع!$K$2,"مستوفاة بشكل أولي","مستوفاة بشكل جزئي")))</f>
        <v>مستوفاة بشكل متقدم</v>
      </c>
      <c r="O125" s="18"/>
    </row>
    <row r="126" spans="1:15">
      <c r="A126" s="16" t="s">
        <v>930</v>
      </c>
      <c r="B126" s="16" t="s">
        <v>198</v>
      </c>
      <c r="C126" s="15" t="str">
        <f>IFERROR(INDEX('قائمة الوحدات'!$B$2:$B$41,MATCH($B126,'قائمة الوحدات'!$A$2:$A$41,0)),"")</f>
        <v>MIL</v>
      </c>
      <c r="D126" s="14" t="str">
        <f>IFERROR(INDEX('قائمة الوحدات'!$C$2:$C$41,MATCH($B126,'قائمة الوحدات'!$A$2:$A$41,0)),"")</f>
        <v>الجهاز العسكري</v>
      </c>
      <c r="E126" s="14" t="str">
        <f>IFERROR(INDEX('قائمة الوحدات'!$D$2:$D$41,MATCH($B126,'قائمة الوحدات'!$A$2:$A$41,0)),"")</f>
        <v>قيادة قوات الدفاع الجوي</v>
      </c>
      <c r="F126" s="14" t="str">
        <f>IFERROR(INDEX('قائمة الوحدات'!$F$2:$F$41,MATCH($B126,'قائمة الوحدات'!$A$2:$A$41,0)),"")</f>
        <v>قيادة قوات الدفاع الجوي</v>
      </c>
      <c r="G126" s="16" t="s">
        <v>43</v>
      </c>
      <c r="H126" s="14" t="str">
        <f>IFERROR(INDEX(المرجع!$A$2:$A$19,MATCH($G126,المرجع!$B$2:$B$19,0)),"")</f>
        <v>التصميم</v>
      </c>
      <c r="I126" s="16" t="s">
        <v>54</v>
      </c>
      <c r="J126" s="14" t="str">
        <f>IFERROR(INDEX(المرجع!$D$2:$D$19,MATCH($I126,المرجع!$E$2:$E$19,0)),"")</f>
        <v>التنظيم</v>
      </c>
      <c r="K126" s="16" t="s">
        <v>80</v>
      </c>
      <c r="L126" s="17" t="str">
        <f>IFERROR(INDEX('نقاط التحقق'!$G$2:$G$31,MATCH($K126,'نقاط التحقق'!$A$2:$A$31,0))&amp;"","")</f>
        <v>تطوير الأدوار والمسؤوليات للوحدة التنظيمية وتفصيل الهيكل التنظيمي</v>
      </c>
      <c r="M126" s="13">
        <v>75</v>
      </c>
      <c r="N126" s="15" t="str">
        <f>IF($M126="","غير مقيّمة",IF($M126&gt;المرجع!$K$3,"مستوفاة بشكل متقدم",IF($M126&lt;=المرجع!$K$2,"مستوفاة بشكل أولي","مستوفاة بشكل جزئي")))</f>
        <v>مستوفاة بشكل متقدم</v>
      </c>
      <c r="O126" s="18"/>
    </row>
    <row r="127" spans="1:15">
      <c r="A127" s="16" t="s">
        <v>931</v>
      </c>
      <c r="B127" s="16" t="s">
        <v>198</v>
      </c>
      <c r="C127" s="15" t="str">
        <f>IFERROR(INDEX('قائمة الوحدات'!$B$2:$B$41,MATCH($B127,'قائمة الوحدات'!$A$2:$A$41,0)),"")</f>
        <v>MIL</v>
      </c>
      <c r="D127" s="14" t="str">
        <f>IFERROR(INDEX('قائمة الوحدات'!$C$2:$C$41,MATCH($B127,'قائمة الوحدات'!$A$2:$A$41,0)),"")</f>
        <v>الجهاز العسكري</v>
      </c>
      <c r="E127" s="14" t="str">
        <f>IFERROR(INDEX('قائمة الوحدات'!$D$2:$D$41,MATCH($B127,'قائمة الوحدات'!$A$2:$A$41,0)),"")</f>
        <v>قيادة قوات الدفاع الجوي</v>
      </c>
      <c r="F127" s="14" t="str">
        <f>IFERROR(INDEX('قائمة الوحدات'!$F$2:$F$41,MATCH($B127,'قائمة الوحدات'!$A$2:$A$41,0)),"")</f>
        <v>قيادة قوات الدفاع الجوي</v>
      </c>
      <c r="G127" s="16" t="s">
        <v>43</v>
      </c>
      <c r="H127" s="14" t="str">
        <f>IFERROR(INDEX(المرجع!$A$2:$A$19,MATCH($G127,المرجع!$B$2:$B$19,0)),"")</f>
        <v>التصميم</v>
      </c>
      <c r="I127" s="16" t="s">
        <v>56</v>
      </c>
      <c r="J127" s="14" t="str">
        <f>IFERROR(INDEX(المرجع!$D$2:$D$19,MATCH($I127,المرجع!$E$2:$E$19,0)),"")</f>
        <v>الموارد</v>
      </c>
      <c r="K127" s="16" t="s">
        <v>82</v>
      </c>
      <c r="L127" s="17" t="str">
        <f>IFERROR(INDEX('نقاط التحقق'!$G$2:$G$31,MATCH($K127,'نقاط التحقق'!$A$2:$A$31,0))&amp;"","")</f>
        <v>تفصيل احتياج الموارد البشرية للوحدة التنظيمية</v>
      </c>
      <c r="M127" s="13">
        <v>83</v>
      </c>
      <c r="N127" s="15" t="str">
        <f>IF($M127="","غير مقيّمة",IF($M127&gt;المرجع!$K$3,"مستوفاة بشكل متقدم",IF($M127&lt;=المرجع!$K$2,"مستوفاة بشكل أولي","مستوفاة بشكل جزئي")))</f>
        <v>مستوفاة بشكل متقدم</v>
      </c>
      <c r="O127" s="18"/>
    </row>
    <row r="128" spans="1:15">
      <c r="A128" s="16" t="s">
        <v>932</v>
      </c>
      <c r="B128" s="16" t="s">
        <v>198</v>
      </c>
      <c r="C128" s="15" t="str">
        <f>IFERROR(INDEX('قائمة الوحدات'!$B$2:$B$41,MATCH($B128,'قائمة الوحدات'!$A$2:$A$41,0)),"")</f>
        <v>MIL</v>
      </c>
      <c r="D128" s="14" t="str">
        <f>IFERROR(INDEX('قائمة الوحدات'!$C$2:$C$41,MATCH($B128,'قائمة الوحدات'!$A$2:$A$41,0)),"")</f>
        <v>الجهاز العسكري</v>
      </c>
      <c r="E128" s="14" t="str">
        <f>IFERROR(INDEX('قائمة الوحدات'!$D$2:$D$41,MATCH($B128,'قائمة الوحدات'!$A$2:$A$41,0)),"")</f>
        <v>قيادة قوات الدفاع الجوي</v>
      </c>
      <c r="F128" s="14" t="str">
        <f>IFERROR(INDEX('قائمة الوحدات'!$F$2:$F$41,MATCH($B128,'قائمة الوحدات'!$A$2:$A$41,0)),"")</f>
        <v>قيادة قوات الدفاع الجوي</v>
      </c>
      <c r="G128" s="16" t="s">
        <v>43</v>
      </c>
      <c r="H128" s="14" t="str">
        <f>IFERROR(INDEX(المرجع!$A$2:$A$19,MATCH($G128,المرجع!$B$2:$B$19,0)),"")</f>
        <v>التصميم</v>
      </c>
      <c r="I128" s="16" t="s">
        <v>59</v>
      </c>
      <c r="J128" s="14" t="str">
        <f>IFERROR(INDEX(المرجع!$D$2:$D$19,MATCH($I128,المرجع!$E$2:$E$19,0)),"")</f>
        <v>الإجراءات</v>
      </c>
      <c r="K128" s="16" t="s">
        <v>84</v>
      </c>
      <c r="L128" s="17" t="str">
        <f>IFERROR(INDEX('نقاط التحقق'!$G$2:$G$31,MATCH($K128,'نقاط التحقق'!$A$2:$A$31,0))&amp;"","")</f>
        <v>تفصيل المخرجات إلى إجراءات عالية المستوى</v>
      </c>
      <c r="M128" s="13">
        <v>98</v>
      </c>
      <c r="N128" s="15" t="str">
        <f>IF($M128="","غير مقيّمة",IF($M128&gt;المرجع!$K$3,"مستوفاة بشكل متقدم",IF($M128&lt;=المرجع!$K$2,"مستوفاة بشكل أولي","مستوفاة بشكل جزئي")))</f>
        <v>مستوفاة بشكل متقدم</v>
      </c>
      <c r="O128" s="18"/>
    </row>
    <row r="129" spans="1:15">
      <c r="A129" s="16" t="s">
        <v>933</v>
      </c>
      <c r="B129" s="16" t="s">
        <v>198</v>
      </c>
      <c r="C129" s="15" t="str">
        <f>IFERROR(INDEX('قائمة الوحدات'!$B$2:$B$41,MATCH($B129,'قائمة الوحدات'!$A$2:$A$41,0)),"")</f>
        <v>MIL</v>
      </c>
      <c r="D129" s="14" t="str">
        <f>IFERROR(INDEX('قائمة الوحدات'!$C$2:$C$41,MATCH($B129,'قائمة الوحدات'!$A$2:$A$41,0)),"")</f>
        <v>الجهاز العسكري</v>
      </c>
      <c r="E129" s="14" t="str">
        <f>IFERROR(INDEX('قائمة الوحدات'!$D$2:$D$41,MATCH($B129,'قائمة الوحدات'!$A$2:$A$41,0)),"")</f>
        <v>قيادة قوات الدفاع الجوي</v>
      </c>
      <c r="F129" s="14" t="str">
        <f>IFERROR(INDEX('قائمة الوحدات'!$F$2:$F$41,MATCH($B129,'قائمة الوحدات'!$A$2:$A$41,0)),"")</f>
        <v>قيادة قوات الدفاع الجوي</v>
      </c>
      <c r="G129" s="16" t="s">
        <v>61</v>
      </c>
      <c r="H129" s="14" t="str">
        <f>IFERROR(INDEX(المرجع!$A$2:$A$19,MATCH($G129,المرجع!$B$2:$B$19,0)),"")</f>
        <v>البناء المؤسسي</v>
      </c>
      <c r="I129" s="16" t="s">
        <v>45</v>
      </c>
      <c r="J129" s="14" t="str">
        <f>IFERROR(INDEX(المرجع!$D$2:$D$19,MATCH($I129,المرجع!$E$2:$E$19,0)),"")</f>
        <v>الدور</v>
      </c>
      <c r="K129" s="16" t="s">
        <v>86</v>
      </c>
      <c r="L129" s="17" t="str">
        <f>IFERROR(INDEX('نقاط التحقق'!$G$2:$G$31,MATCH($K129,'نقاط التحقق'!$A$2:$A$31,0))&amp;"","")</f>
        <v>دور معتمد للوحدة التنظيمية</v>
      </c>
      <c r="M129" s="13">
        <v>55</v>
      </c>
      <c r="N129" s="15" t="str">
        <f>IF($M129="","غير مقيّمة",IF($M129&gt;المرجع!$K$3,"مستوفاة بشكل متقدم",IF($M129&lt;=المرجع!$K$2,"مستوفاة بشكل أولي","مستوفاة بشكل جزئي")))</f>
        <v>مستوفاة بشكل جزئي</v>
      </c>
      <c r="O129" s="18"/>
    </row>
    <row r="130" spans="1:15">
      <c r="A130" s="16" t="s">
        <v>934</v>
      </c>
      <c r="B130" s="16" t="s">
        <v>198</v>
      </c>
      <c r="C130" s="15" t="str">
        <f>IFERROR(INDEX('قائمة الوحدات'!$B$2:$B$41,MATCH($B130,'قائمة الوحدات'!$A$2:$A$41,0)),"")</f>
        <v>MIL</v>
      </c>
      <c r="D130" s="14" t="str">
        <f>IFERROR(INDEX('قائمة الوحدات'!$C$2:$C$41,MATCH($B130,'قائمة الوحدات'!$A$2:$A$41,0)),"")</f>
        <v>الجهاز العسكري</v>
      </c>
      <c r="E130" s="14" t="str">
        <f>IFERROR(INDEX('قائمة الوحدات'!$D$2:$D$41,MATCH($B130,'قائمة الوحدات'!$A$2:$A$41,0)),"")</f>
        <v>قيادة قوات الدفاع الجوي</v>
      </c>
      <c r="F130" s="14" t="str">
        <f>IFERROR(INDEX('قائمة الوحدات'!$F$2:$F$41,MATCH($B130,'قائمة الوحدات'!$A$2:$A$41,0)),"")</f>
        <v>قيادة قوات الدفاع الجوي</v>
      </c>
      <c r="G130" s="16" t="s">
        <v>61</v>
      </c>
      <c r="H130" s="14" t="str">
        <f>IFERROR(INDEX(المرجع!$A$2:$A$19,MATCH($G130,المرجع!$B$2:$B$19,0)),"")</f>
        <v>البناء المؤسسي</v>
      </c>
      <c r="I130" s="16" t="s">
        <v>48</v>
      </c>
      <c r="J130" s="14" t="str">
        <f>IFERROR(INDEX(المرجع!$D$2:$D$19,MATCH($I130,المرجع!$E$2:$E$19,0)),"")</f>
        <v>الأهداف ومؤشرات الأداء</v>
      </c>
      <c r="K130" s="16" t="s">
        <v>88</v>
      </c>
      <c r="L130" s="17" t="str">
        <f>IFERROR(INDEX('نقاط التحقق'!$G$2:$G$31,MATCH($K130,'نقاط التحقق'!$A$2:$A$31,0))&amp;"","")</f>
        <v>أهداف تشغيلية معتمدة من صاحب الصلاحية</v>
      </c>
      <c r="M130" s="13">
        <v>30</v>
      </c>
      <c r="N130" s="15" t="str">
        <f>IF($M130="","غير مقيّمة",IF($M130&gt;المرجع!$K$3,"مستوفاة بشكل متقدم",IF($M130&lt;=المرجع!$K$2,"مستوفاة بشكل أولي","مستوفاة بشكل جزئي")))</f>
        <v>مستوفاة بشكل أولي</v>
      </c>
      <c r="O130" s="18"/>
    </row>
    <row r="131" spans="1:15">
      <c r="A131" s="16" t="s">
        <v>935</v>
      </c>
      <c r="B131" s="16" t="s">
        <v>198</v>
      </c>
      <c r="C131" s="15" t="str">
        <f>IFERROR(INDEX('قائمة الوحدات'!$B$2:$B$41,MATCH($B131,'قائمة الوحدات'!$A$2:$A$41,0)),"")</f>
        <v>MIL</v>
      </c>
      <c r="D131" s="14" t="str">
        <f>IFERROR(INDEX('قائمة الوحدات'!$C$2:$C$41,MATCH($B131,'قائمة الوحدات'!$A$2:$A$41,0)),"")</f>
        <v>الجهاز العسكري</v>
      </c>
      <c r="E131" s="14" t="str">
        <f>IFERROR(INDEX('قائمة الوحدات'!$D$2:$D$41,MATCH($B131,'قائمة الوحدات'!$A$2:$A$41,0)),"")</f>
        <v>قيادة قوات الدفاع الجوي</v>
      </c>
      <c r="F131" s="14" t="str">
        <f>IFERROR(INDEX('قائمة الوحدات'!$F$2:$F$41,MATCH($B131,'قائمة الوحدات'!$A$2:$A$41,0)),"")</f>
        <v>قيادة قوات الدفاع الجوي</v>
      </c>
      <c r="G131" s="16" t="s">
        <v>61</v>
      </c>
      <c r="H131" s="14" t="str">
        <f>IFERROR(INDEX(المرجع!$A$2:$A$19,MATCH($G131,المرجع!$B$2:$B$19,0)),"")</f>
        <v>البناء المؤسسي</v>
      </c>
      <c r="I131" s="16" t="s">
        <v>48</v>
      </c>
      <c r="J131" s="14" t="str">
        <f>IFERROR(INDEX(المرجع!$D$2:$D$19,MATCH($I131,المرجع!$E$2:$E$19,0)),"")</f>
        <v>الأهداف ومؤشرات الأداء</v>
      </c>
      <c r="K131" s="16" t="s">
        <v>90</v>
      </c>
      <c r="L131" s="17" t="str">
        <f>IFERROR(INDEX('نقاط التحقق'!$G$2:$G$31,MATCH($K131,'نقاط التحقق'!$A$2:$A$31,0))&amp;"","")</f>
        <v>نشر الأهداف التشغيلية على موظفي الوحدة التنظيمية</v>
      </c>
      <c r="M131" s="13">
        <v>35</v>
      </c>
      <c r="N131" s="15" t="str">
        <f>IF($M131="","غير مقيّمة",IF($M131&gt;المرجع!$K$3,"مستوفاة بشكل متقدم",IF($M131&lt;=المرجع!$K$2,"مستوفاة بشكل أولي","مستوفاة بشكل جزئي")))</f>
        <v>مستوفاة بشكل جزئي</v>
      </c>
      <c r="O131" s="18"/>
    </row>
    <row r="132" spans="1:15">
      <c r="A132" s="16" t="s">
        <v>936</v>
      </c>
      <c r="B132" s="16" t="s">
        <v>198</v>
      </c>
      <c r="C132" s="15" t="str">
        <f>IFERROR(INDEX('قائمة الوحدات'!$B$2:$B$41,MATCH($B132,'قائمة الوحدات'!$A$2:$A$41,0)),"")</f>
        <v>MIL</v>
      </c>
      <c r="D132" s="14" t="str">
        <f>IFERROR(INDEX('قائمة الوحدات'!$C$2:$C$41,MATCH($B132,'قائمة الوحدات'!$A$2:$A$41,0)),"")</f>
        <v>الجهاز العسكري</v>
      </c>
      <c r="E132" s="14" t="str">
        <f>IFERROR(INDEX('قائمة الوحدات'!$D$2:$D$41,MATCH($B132,'قائمة الوحدات'!$A$2:$A$41,0)),"")</f>
        <v>قيادة قوات الدفاع الجوي</v>
      </c>
      <c r="F132" s="14" t="str">
        <f>IFERROR(INDEX('قائمة الوحدات'!$F$2:$F$41,MATCH($B132,'قائمة الوحدات'!$A$2:$A$41,0)),"")</f>
        <v>قيادة قوات الدفاع الجوي</v>
      </c>
      <c r="G132" s="16" t="s">
        <v>61</v>
      </c>
      <c r="H132" s="14" t="str">
        <f>IFERROR(INDEX(المرجع!$A$2:$A$19,MATCH($G132,المرجع!$B$2:$B$19,0)),"")</f>
        <v>البناء المؤسسي</v>
      </c>
      <c r="I132" s="16" t="s">
        <v>51</v>
      </c>
      <c r="J132" s="14" t="str">
        <f>IFERROR(INDEX(المرجع!$D$2:$D$19,MATCH($I132,المرجع!$E$2:$E$19,0)),"")</f>
        <v>الحوكمة</v>
      </c>
      <c r="K132" s="16" t="s">
        <v>92</v>
      </c>
      <c r="L132" s="17" t="str">
        <f>IFERROR(INDEX('نقاط التحقق'!$G$2:$G$31,MATCH($K132,'نقاط التحقق'!$A$2:$A$31,0))&amp;"","")</f>
        <v>مصفوفة صلاحيات معتمدة ومعممة على أصحاب المصلحة</v>
      </c>
      <c r="M132" s="13">
        <v>45</v>
      </c>
      <c r="N132" s="15" t="str">
        <f>IF($M132="","غير مقيّمة",IF($M132&gt;المرجع!$K$3,"مستوفاة بشكل متقدم",IF($M132&lt;=المرجع!$K$2,"مستوفاة بشكل أولي","مستوفاة بشكل جزئي")))</f>
        <v>مستوفاة بشكل جزئي</v>
      </c>
      <c r="O132" s="18"/>
    </row>
    <row r="133" spans="1:15">
      <c r="A133" s="16" t="s">
        <v>937</v>
      </c>
      <c r="B133" s="16" t="s">
        <v>198</v>
      </c>
      <c r="C133" s="15" t="str">
        <f>IFERROR(INDEX('قائمة الوحدات'!$B$2:$B$41,MATCH($B133,'قائمة الوحدات'!$A$2:$A$41,0)),"")</f>
        <v>MIL</v>
      </c>
      <c r="D133" s="14" t="str">
        <f>IFERROR(INDEX('قائمة الوحدات'!$C$2:$C$41,MATCH($B133,'قائمة الوحدات'!$A$2:$A$41,0)),"")</f>
        <v>الجهاز العسكري</v>
      </c>
      <c r="E133" s="14" t="str">
        <f>IFERROR(INDEX('قائمة الوحدات'!$D$2:$D$41,MATCH($B133,'قائمة الوحدات'!$A$2:$A$41,0)),"")</f>
        <v>قيادة قوات الدفاع الجوي</v>
      </c>
      <c r="F133" s="14" t="str">
        <f>IFERROR(INDEX('قائمة الوحدات'!$F$2:$F$41,MATCH($B133,'قائمة الوحدات'!$A$2:$A$41,0)),"")</f>
        <v>قيادة قوات الدفاع الجوي</v>
      </c>
      <c r="G133" s="16" t="s">
        <v>61</v>
      </c>
      <c r="H133" s="14" t="str">
        <f>IFERROR(INDEX(المرجع!$A$2:$A$19,MATCH($G133,المرجع!$B$2:$B$19,0)),"")</f>
        <v>البناء المؤسسي</v>
      </c>
      <c r="I133" s="16" t="s">
        <v>51</v>
      </c>
      <c r="J133" s="14" t="str">
        <f>IFERROR(INDEX(المرجع!$D$2:$D$19,MATCH($I133,المرجع!$E$2:$E$19,0)),"")</f>
        <v>الحوكمة</v>
      </c>
      <c r="K133" s="16" t="s">
        <v>94</v>
      </c>
      <c r="L133" s="17" t="str">
        <f>IFERROR(INDEX('نقاط التحقق'!$G$2:$G$31,MATCH($K133,'نقاط التحقق'!$A$2:$A$31,0))&amp;"","")</f>
        <v>سياسات معتمدة للتي تملكها الوحدة التنظيمية</v>
      </c>
      <c r="M133" s="13">
        <v>70</v>
      </c>
      <c r="N133" s="15" t="str">
        <f>IF($M133="","غير مقيّمة",IF($M133&gt;المرجع!$K$3,"مستوفاة بشكل متقدم",IF($M133&lt;=المرجع!$K$2,"مستوفاة بشكل أولي","مستوفاة بشكل جزئي")))</f>
        <v>مستوفاة بشكل جزئي</v>
      </c>
      <c r="O133" s="18"/>
    </row>
    <row r="134" spans="1:15">
      <c r="A134" s="16" t="s">
        <v>938</v>
      </c>
      <c r="B134" s="16" t="s">
        <v>198</v>
      </c>
      <c r="C134" s="15" t="str">
        <f>IFERROR(INDEX('قائمة الوحدات'!$B$2:$B$41,MATCH($B134,'قائمة الوحدات'!$A$2:$A$41,0)),"")</f>
        <v>MIL</v>
      </c>
      <c r="D134" s="14" t="str">
        <f>IFERROR(INDEX('قائمة الوحدات'!$C$2:$C$41,MATCH($B134,'قائمة الوحدات'!$A$2:$A$41,0)),"")</f>
        <v>الجهاز العسكري</v>
      </c>
      <c r="E134" s="14" t="str">
        <f>IFERROR(INDEX('قائمة الوحدات'!$D$2:$D$41,MATCH($B134,'قائمة الوحدات'!$A$2:$A$41,0)),"")</f>
        <v>قيادة قوات الدفاع الجوي</v>
      </c>
      <c r="F134" s="14" t="str">
        <f>IFERROR(INDEX('قائمة الوحدات'!$F$2:$F$41,MATCH($B134,'قائمة الوحدات'!$A$2:$A$41,0)),"")</f>
        <v>قيادة قوات الدفاع الجوي</v>
      </c>
      <c r="G134" s="16" t="s">
        <v>61</v>
      </c>
      <c r="H134" s="14" t="str">
        <f>IFERROR(INDEX(المرجع!$A$2:$A$19,MATCH($G134,المرجع!$B$2:$B$19,0)),"")</f>
        <v>البناء المؤسسي</v>
      </c>
      <c r="I134" s="16" t="s">
        <v>51</v>
      </c>
      <c r="J134" s="14" t="str">
        <f>IFERROR(INDEX(المرجع!$D$2:$D$19,MATCH($I134,المرجع!$E$2:$E$19,0)),"")</f>
        <v>الحوكمة</v>
      </c>
      <c r="K134" s="16" t="s">
        <v>96</v>
      </c>
      <c r="L134" s="17" t="str">
        <f>IFERROR(INDEX('نقاط التحقق'!$G$2:$G$31,MATCH($K134,'نقاط التحقق'!$A$2:$A$31,0))&amp;"","")</f>
        <v>قرار تشكيل معتمد للجان ذات العلاقة</v>
      </c>
      <c r="M134" s="13">
        <v>65</v>
      </c>
      <c r="N134" s="15" t="str">
        <f>IF($M134="","غير مقيّمة",IF($M134&gt;المرجع!$K$3,"مستوفاة بشكل متقدم",IF($M134&lt;=المرجع!$K$2,"مستوفاة بشكل أولي","مستوفاة بشكل جزئي")))</f>
        <v>مستوفاة بشكل جزئي</v>
      </c>
      <c r="O134" s="18"/>
    </row>
    <row r="135" spans="1:15">
      <c r="A135" s="16" t="s">
        <v>939</v>
      </c>
      <c r="B135" s="16" t="s">
        <v>198</v>
      </c>
      <c r="C135" s="15" t="str">
        <f>IFERROR(INDEX('قائمة الوحدات'!$B$2:$B$41,MATCH($B135,'قائمة الوحدات'!$A$2:$A$41,0)),"")</f>
        <v>MIL</v>
      </c>
      <c r="D135" s="14" t="str">
        <f>IFERROR(INDEX('قائمة الوحدات'!$C$2:$C$41,MATCH($B135,'قائمة الوحدات'!$A$2:$A$41,0)),"")</f>
        <v>الجهاز العسكري</v>
      </c>
      <c r="E135" s="14" t="str">
        <f>IFERROR(INDEX('قائمة الوحدات'!$D$2:$D$41,MATCH($B135,'قائمة الوحدات'!$A$2:$A$41,0)),"")</f>
        <v>قيادة قوات الدفاع الجوي</v>
      </c>
      <c r="F135" s="14" t="str">
        <f>IFERROR(INDEX('قائمة الوحدات'!$F$2:$F$41,MATCH($B135,'قائمة الوحدات'!$A$2:$A$41,0)),"")</f>
        <v>قيادة قوات الدفاع الجوي</v>
      </c>
      <c r="G135" s="16" t="s">
        <v>61</v>
      </c>
      <c r="H135" s="14" t="str">
        <f>IFERROR(INDEX(المرجع!$A$2:$A$19,MATCH($G135,المرجع!$B$2:$B$19,0)),"")</f>
        <v>البناء المؤسسي</v>
      </c>
      <c r="I135" s="16" t="s">
        <v>54</v>
      </c>
      <c r="J135" s="14" t="str">
        <f>IFERROR(INDEX(المرجع!$D$2:$D$19,MATCH($I135,المرجع!$E$2:$E$19,0)),"")</f>
        <v>التنظيم</v>
      </c>
      <c r="K135" s="16" t="s">
        <v>98</v>
      </c>
      <c r="L135" s="17" t="str">
        <f>IFERROR(INDEX('نقاط التحقق'!$G$2:$G$31,MATCH($K135,'نقاط التحقق'!$A$2:$A$31,0))&amp;"","")</f>
        <v>هيكل تنظيمي معتمد من صاحب الصلاحية</v>
      </c>
      <c r="M135" s="13">
        <v>95</v>
      </c>
      <c r="N135" s="15" t="str">
        <f>IF($M135="","غير مقيّمة",IF($M135&gt;المرجع!$K$3,"مستوفاة بشكل متقدم",IF($M135&lt;=المرجع!$K$2,"مستوفاة بشكل أولي","مستوفاة بشكل جزئي")))</f>
        <v>مستوفاة بشكل متقدم</v>
      </c>
      <c r="O135" s="18"/>
    </row>
    <row r="136" spans="1:15">
      <c r="A136" s="16" t="s">
        <v>940</v>
      </c>
      <c r="B136" s="16" t="s">
        <v>198</v>
      </c>
      <c r="C136" s="15" t="str">
        <f>IFERROR(INDEX('قائمة الوحدات'!$B$2:$B$41,MATCH($B136,'قائمة الوحدات'!$A$2:$A$41,0)),"")</f>
        <v>MIL</v>
      </c>
      <c r="D136" s="14" t="str">
        <f>IFERROR(INDEX('قائمة الوحدات'!$C$2:$C$41,MATCH($B136,'قائمة الوحدات'!$A$2:$A$41,0)),"")</f>
        <v>الجهاز العسكري</v>
      </c>
      <c r="E136" s="14" t="str">
        <f>IFERROR(INDEX('قائمة الوحدات'!$D$2:$D$41,MATCH($B136,'قائمة الوحدات'!$A$2:$A$41,0)),"")</f>
        <v>قيادة قوات الدفاع الجوي</v>
      </c>
      <c r="F136" s="14" t="str">
        <f>IFERROR(INDEX('قائمة الوحدات'!$F$2:$F$41,MATCH($B136,'قائمة الوحدات'!$A$2:$A$41,0)),"")</f>
        <v>قيادة قوات الدفاع الجوي</v>
      </c>
      <c r="G136" s="16" t="s">
        <v>61</v>
      </c>
      <c r="H136" s="14" t="str">
        <f>IFERROR(INDEX(المرجع!$A$2:$A$19,MATCH($G136,المرجع!$B$2:$B$19,0)),"")</f>
        <v>البناء المؤسسي</v>
      </c>
      <c r="I136" s="16" t="s">
        <v>54</v>
      </c>
      <c r="J136" s="14" t="str">
        <f>IFERROR(INDEX(المرجع!$D$2:$D$19,MATCH($I136,المرجع!$E$2:$E$19,0)),"")</f>
        <v>التنظيم</v>
      </c>
      <c r="K136" s="16" t="s">
        <v>100</v>
      </c>
      <c r="L136" s="17" t="str">
        <f>IFERROR(INDEX('نقاط التحقق'!$G$2:$G$31,MATCH($K136,'نقاط التحقق'!$A$2:$A$31,0))&amp;"","")</f>
        <v>هيكل تنظيمي منشأ على نظام القوى العاملة</v>
      </c>
      <c r="M136" s="13">
        <v>95</v>
      </c>
      <c r="N136" s="15" t="str">
        <f>IF($M136="","غير مقيّمة",IF($M136&gt;المرجع!$K$3,"مستوفاة بشكل متقدم",IF($M136&lt;=المرجع!$K$2,"مستوفاة بشكل أولي","مستوفاة بشكل جزئي")))</f>
        <v>مستوفاة بشكل متقدم</v>
      </c>
      <c r="O136" s="18"/>
    </row>
    <row r="137" spans="1:15">
      <c r="A137" s="16" t="s">
        <v>941</v>
      </c>
      <c r="B137" s="16" t="s">
        <v>198</v>
      </c>
      <c r="C137" s="15" t="str">
        <f>IFERROR(INDEX('قائمة الوحدات'!$B$2:$B$41,MATCH($B137,'قائمة الوحدات'!$A$2:$A$41,0)),"")</f>
        <v>MIL</v>
      </c>
      <c r="D137" s="14" t="str">
        <f>IFERROR(INDEX('قائمة الوحدات'!$C$2:$C$41,MATCH($B137,'قائمة الوحدات'!$A$2:$A$41,0)),"")</f>
        <v>الجهاز العسكري</v>
      </c>
      <c r="E137" s="14" t="str">
        <f>IFERROR(INDEX('قائمة الوحدات'!$D$2:$D$41,MATCH($B137,'قائمة الوحدات'!$A$2:$A$41,0)),"")</f>
        <v>قيادة قوات الدفاع الجوي</v>
      </c>
      <c r="F137" s="14" t="str">
        <f>IFERROR(INDEX('قائمة الوحدات'!$F$2:$F$41,MATCH($B137,'قائمة الوحدات'!$A$2:$A$41,0)),"")</f>
        <v>قيادة قوات الدفاع الجوي</v>
      </c>
      <c r="G137" s="16" t="s">
        <v>61</v>
      </c>
      <c r="H137" s="14" t="str">
        <f>IFERROR(INDEX(المرجع!$A$2:$A$19,MATCH($G137,المرجع!$B$2:$B$19,0)),"")</f>
        <v>البناء المؤسسي</v>
      </c>
      <c r="I137" s="16" t="s">
        <v>54</v>
      </c>
      <c r="J137" s="14" t="str">
        <f>IFERROR(INDEX(المرجع!$D$2:$D$19,MATCH($I137,المرجع!$E$2:$E$19,0)),"")</f>
        <v>التنظيم</v>
      </c>
      <c r="K137" s="16" t="s">
        <v>102</v>
      </c>
      <c r="L137" s="17" t="str">
        <f>IFERROR(INDEX('نقاط التحقق'!$G$2:$G$31,MATCH($K137,'نقاط التحقق'!$A$2:$A$31,0))&amp;"","")</f>
        <v>الموظفون المحددون مسكّنون على الهيكل التنظيمي المستهدف</v>
      </c>
      <c r="M137" s="13">
        <v>95</v>
      </c>
      <c r="N137" s="15" t="str">
        <f>IF($M137="","غير مقيّمة",IF($M137&gt;المرجع!$K$3,"مستوفاة بشكل متقدم",IF($M137&lt;=المرجع!$K$2,"مستوفاة بشكل أولي","مستوفاة بشكل جزئي")))</f>
        <v>مستوفاة بشكل متقدم</v>
      </c>
      <c r="O137" s="18"/>
    </row>
    <row r="138" spans="1:15">
      <c r="A138" s="16" t="s">
        <v>942</v>
      </c>
      <c r="B138" s="16" t="s">
        <v>198</v>
      </c>
      <c r="C138" s="15" t="str">
        <f>IFERROR(INDEX('قائمة الوحدات'!$B$2:$B$41,MATCH($B138,'قائمة الوحدات'!$A$2:$A$41,0)),"")</f>
        <v>MIL</v>
      </c>
      <c r="D138" s="14" t="str">
        <f>IFERROR(INDEX('قائمة الوحدات'!$C$2:$C$41,MATCH($B138,'قائمة الوحدات'!$A$2:$A$41,0)),"")</f>
        <v>الجهاز العسكري</v>
      </c>
      <c r="E138" s="14" t="str">
        <f>IFERROR(INDEX('قائمة الوحدات'!$D$2:$D$41,MATCH($B138,'قائمة الوحدات'!$A$2:$A$41,0)),"")</f>
        <v>قيادة قوات الدفاع الجوي</v>
      </c>
      <c r="F138" s="14" t="str">
        <f>IFERROR(INDEX('قائمة الوحدات'!$F$2:$F$41,MATCH($B138,'قائمة الوحدات'!$A$2:$A$41,0)),"")</f>
        <v>قيادة قوات الدفاع الجوي</v>
      </c>
      <c r="G138" s="16" t="s">
        <v>61</v>
      </c>
      <c r="H138" s="14" t="str">
        <f>IFERROR(INDEX(المرجع!$A$2:$A$19,MATCH($G138,المرجع!$B$2:$B$19,0)),"")</f>
        <v>البناء المؤسسي</v>
      </c>
      <c r="I138" s="16" t="s">
        <v>56</v>
      </c>
      <c r="J138" s="14" t="str">
        <f>IFERROR(INDEX(المرجع!$D$2:$D$19,MATCH($I138,المرجع!$E$2:$E$19,0)),"")</f>
        <v>الموارد</v>
      </c>
      <c r="K138" s="16" t="s">
        <v>104</v>
      </c>
      <c r="L138" s="17" t="str">
        <f>IFERROR(INDEX('نقاط التحقق'!$G$2:$G$31,MATCH($K138,'نقاط التحقق'!$A$2:$A$31,0))&amp;"","")</f>
        <v>مدير الوحدة التنظيمية والموظفون الرئيسيون معينون/ملحقون</v>
      </c>
      <c r="M138" s="13">
        <v>90</v>
      </c>
      <c r="N138" s="15" t="str">
        <f>IF($M138="","غير مقيّمة",IF($M138&gt;المرجع!$K$3,"مستوفاة بشكل متقدم",IF($M138&lt;=المرجع!$K$2,"مستوفاة بشكل أولي","مستوفاة بشكل جزئي")))</f>
        <v>مستوفاة بشكل متقدم</v>
      </c>
      <c r="O138" s="18"/>
    </row>
    <row r="139" spans="1:15">
      <c r="A139" s="16" t="s">
        <v>943</v>
      </c>
      <c r="B139" s="16" t="s">
        <v>198</v>
      </c>
      <c r="C139" s="15" t="str">
        <f>IFERROR(INDEX('قائمة الوحدات'!$B$2:$B$41,MATCH($B139,'قائمة الوحدات'!$A$2:$A$41,0)),"")</f>
        <v>MIL</v>
      </c>
      <c r="D139" s="14" t="str">
        <f>IFERROR(INDEX('قائمة الوحدات'!$C$2:$C$41,MATCH($B139,'قائمة الوحدات'!$A$2:$A$41,0)),"")</f>
        <v>الجهاز العسكري</v>
      </c>
      <c r="E139" s="14" t="str">
        <f>IFERROR(INDEX('قائمة الوحدات'!$D$2:$D$41,MATCH($B139,'قائمة الوحدات'!$A$2:$A$41,0)),"")</f>
        <v>قيادة قوات الدفاع الجوي</v>
      </c>
      <c r="F139" s="14" t="str">
        <f>IFERROR(INDEX('قائمة الوحدات'!$F$2:$F$41,MATCH($B139,'قائمة الوحدات'!$A$2:$A$41,0)),"")</f>
        <v>قيادة قوات الدفاع الجوي</v>
      </c>
      <c r="G139" s="16" t="s">
        <v>61</v>
      </c>
      <c r="H139" s="14" t="str">
        <f>IFERROR(INDEX(المرجع!$A$2:$A$19,MATCH($G139,المرجع!$B$2:$B$19,0)),"")</f>
        <v>البناء المؤسسي</v>
      </c>
      <c r="I139" s="16" t="s">
        <v>56</v>
      </c>
      <c r="J139" s="14" t="str">
        <f>IFERROR(INDEX(المرجع!$D$2:$D$19,MATCH($I139,المرجع!$E$2:$E$19,0)),"")</f>
        <v>الموارد</v>
      </c>
      <c r="K139" s="16" t="s">
        <v>106</v>
      </c>
      <c r="L139" s="17" t="str">
        <f>IFERROR(INDEX('نقاط التحقق'!$G$2:$G$31,MATCH($K139,'نقاط التحقق'!$A$2:$A$31,0))&amp;"","")</f>
        <v>خطة توظيف وتدريب مستكملة</v>
      </c>
      <c r="M139" s="13">
        <v>75</v>
      </c>
      <c r="N139" s="15" t="str">
        <f>IF($M139="","غير مقيّمة",IF($M139&gt;المرجع!$K$3,"مستوفاة بشكل متقدم",IF($M139&lt;=المرجع!$K$2,"مستوفاة بشكل أولي","مستوفاة بشكل جزئي")))</f>
        <v>مستوفاة بشكل متقدم</v>
      </c>
      <c r="O139" s="18"/>
    </row>
    <row r="140" spans="1:15">
      <c r="A140" s="16" t="s">
        <v>944</v>
      </c>
      <c r="B140" s="16" t="s">
        <v>198</v>
      </c>
      <c r="C140" s="15" t="str">
        <f>IFERROR(INDEX('قائمة الوحدات'!$B$2:$B$41,MATCH($B140,'قائمة الوحدات'!$A$2:$A$41,0)),"")</f>
        <v>MIL</v>
      </c>
      <c r="D140" s="14" t="str">
        <f>IFERROR(INDEX('قائمة الوحدات'!$C$2:$C$41,MATCH($B140,'قائمة الوحدات'!$A$2:$A$41,0)),"")</f>
        <v>الجهاز العسكري</v>
      </c>
      <c r="E140" s="14" t="str">
        <f>IFERROR(INDEX('قائمة الوحدات'!$D$2:$D$41,MATCH($B140,'قائمة الوحدات'!$A$2:$A$41,0)),"")</f>
        <v>قيادة قوات الدفاع الجوي</v>
      </c>
      <c r="F140" s="14" t="str">
        <f>IFERROR(INDEX('قائمة الوحدات'!$F$2:$F$41,MATCH($B140,'قائمة الوحدات'!$A$2:$A$41,0)),"")</f>
        <v>قيادة قوات الدفاع الجوي</v>
      </c>
      <c r="G140" s="16" t="s">
        <v>61</v>
      </c>
      <c r="H140" s="14" t="str">
        <f>IFERROR(INDEX(المرجع!$A$2:$A$19,MATCH($G140,المرجع!$B$2:$B$19,0)),"")</f>
        <v>البناء المؤسسي</v>
      </c>
      <c r="I140" s="16" t="s">
        <v>56</v>
      </c>
      <c r="J140" s="14" t="str">
        <f>IFERROR(INDEX(المرجع!$D$2:$D$19,MATCH($I140,المرجع!$E$2:$E$19,0)),"")</f>
        <v>الموارد</v>
      </c>
      <c r="K140" s="16" t="s">
        <v>108</v>
      </c>
      <c r="L140" s="17" t="str">
        <f>IFERROR(INDEX('نقاط التحقق'!$G$2:$G$31,MATCH($K140,'نقاط التحقق'!$A$2:$A$31,0))&amp;"","")</f>
        <v>وجود مساحات مكتبية كافية</v>
      </c>
      <c r="M140" s="13">
        <v>65</v>
      </c>
      <c r="N140" s="15" t="str">
        <f>IF($M140="","غير مقيّمة",IF($M140&gt;المرجع!$K$3,"مستوفاة بشكل متقدم",IF($M140&lt;=المرجع!$K$2,"مستوفاة بشكل أولي","مستوفاة بشكل جزئي")))</f>
        <v>مستوفاة بشكل جزئي</v>
      </c>
      <c r="O140" s="18"/>
    </row>
    <row r="141" spans="1:15">
      <c r="A141" s="16" t="s">
        <v>945</v>
      </c>
      <c r="B141" s="16" t="s">
        <v>198</v>
      </c>
      <c r="C141" s="15" t="str">
        <f>IFERROR(INDEX('قائمة الوحدات'!$B$2:$B$41,MATCH($B141,'قائمة الوحدات'!$A$2:$A$41,0)),"")</f>
        <v>MIL</v>
      </c>
      <c r="D141" s="14" t="str">
        <f>IFERROR(INDEX('قائمة الوحدات'!$C$2:$C$41,MATCH($B141,'قائمة الوحدات'!$A$2:$A$41,0)),"")</f>
        <v>الجهاز العسكري</v>
      </c>
      <c r="E141" s="14" t="str">
        <f>IFERROR(INDEX('قائمة الوحدات'!$D$2:$D$41,MATCH($B141,'قائمة الوحدات'!$A$2:$A$41,0)),"")</f>
        <v>قيادة قوات الدفاع الجوي</v>
      </c>
      <c r="F141" s="14" t="str">
        <f>IFERROR(INDEX('قائمة الوحدات'!$F$2:$F$41,MATCH($B141,'قائمة الوحدات'!$A$2:$A$41,0)),"")</f>
        <v>قيادة قوات الدفاع الجوي</v>
      </c>
      <c r="G141" s="16" t="s">
        <v>61</v>
      </c>
      <c r="H141" s="14" t="str">
        <f>IFERROR(INDEX(المرجع!$A$2:$A$19,MATCH($G141,المرجع!$B$2:$B$19,0)),"")</f>
        <v>البناء المؤسسي</v>
      </c>
      <c r="I141" s="16" t="s">
        <v>56</v>
      </c>
      <c r="J141" s="14" t="str">
        <f>IFERROR(INDEX(المرجع!$D$2:$D$19,MATCH($I141,المرجع!$E$2:$E$19,0)),"")</f>
        <v>الموارد</v>
      </c>
      <c r="K141" s="16" t="s">
        <v>110</v>
      </c>
      <c r="L141" s="17" t="str">
        <f>IFERROR(INDEX('نقاط التحقق'!$G$2:$G$31,MATCH($K141,'نقاط التحقق'!$A$2:$A$31,0))&amp;"","")</f>
        <v>وجود الاحتياجات التقنية الأساسية</v>
      </c>
      <c r="M141" s="13">
        <v>65</v>
      </c>
      <c r="N141" s="15" t="str">
        <f>IF($M141="","غير مقيّمة",IF($M141&gt;المرجع!$K$3,"مستوفاة بشكل متقدم",IF($M141&lt;=المرجع!$K$2,"مستوفاة بشكل أولي","مستوفاة بشكل جزئي")))</f>
        <v>مستوفاة بشكل جزئي</v>
      </c>
      <c r="O141" s="18"/>
    </row>
    <row r="142" spans="1:15">
      <c r="A142" s="16" t="s">
        <v>946</v>
      </c>
      <c r="B142" s="16" t="s">
        <v>198</v>
      </c>
      <c r="C142" s="15" t="str">
        <f>IFERROR(INDEX('قائمة الوحدات'!$B$2:$B$41,MATCH($B142,'قائمة الوحدات'!$A$2:$A$41,0)),"")</f>
        <v>MIL</v>
      </c>
      <c r="D142" s="14" t="str">
        <f>IFERROR(INDEX('قائمة الوحدات'!$C$2:$C$41,MATCH($B142,'قائمة الوحدات'!$A$2:$A$41,0)),"")</f>
        <v>الجهاز العسكري</v>
      </c>
      <c r="E142" s="14" t="str">
        <f>IFERROR(INDEX('قائمة الوحدات'!$D$2:$D$41,MATCH($B142,'قائمة الوحدات'!$A$2:$A$41,0)),"")</f>
        <v>قيادة قوات الدفاع الجوي</v>
      </c>
      <c r="F142" s="14" t="str">
        <f>IFERROR(INDEX('قائمة الوحدات'!$F$2:$F$41,MATCH($B142,'قائمة الوحدات'!$A$2:$A$41,0)),"")</f>
        <v>قيادة قوات الدفاع الجوي</v>
      </c>
      <c r="G142" s="16" t="s">
        <v>61</v>
      </c>
      <c r="H142" s="14" t="str">
        <f>IFERROR(INDEX(المرجع!$A$2:$A$19,MATCH($G142,المرجع!$B$2:$B$19,0)),"")</f>
        <v>البناء المؤسسي</v>
      </c>
      <c r="I142" s="16" t="s">
        <v>59</v>
      </c>
      <c r="J142" s="14" t="str">
        <f>IFERROR(INDEX(المرجع!$D$2:$D$19,MATCH($I142,المرجع!$E$2:$E$19,0)),"")</f>
        <v>الإجراءات</v>
      </c>
      <c r="K142" s="16" t="s">
        <v>112</v>
      </c>
      <c r="L142" s="17" t="str">
        <f>IFERROR(INDEX('نقاط التحقق'!$G$2:$G$31,MATCH($K142,'نقاط التحقق'!$A$2:$A$31,0))&amp;"","")</f>
        <v>إجراءات معتمدة للوحدة التنظيمية</v>
      </c>
      <c r="M142" s="13">
        <v>80</v>
      </c>
      <c r="N142" s="15" t="str">
        <f>IF($M142="","غير مقيّمة",IF($M142&gt;المرجع!$K$3,"مستوفاة بشكل متقدم",IF($M142&lt;=المرجع!$K$2,"مستوفاة بشكل أولي","مستوفاة بشكل جزئي")))</f>
        <v>مستوفاة بشكل متقدم</v>
      </c>
      <c r="O142" s="18"/>
    </row>
    <row r="143" spans="1:15">
      <c r="A143" s="16" t="s">
        <v>947</v>
      </c>
      <c r="B143" s="16" t="s">
        <v>198</v>
      </c>
      <c r="C143" s="15" t="str">
        <f>IFERROR(INDEX('قائمة الوحدات'!$B$2:$B$41,MATCH($B143,'قائمة الوحدات'!$A$2:$A$41,0)),"")</f>
        <v>MIL</v>
      </c>
      <c r="D143" s="14" t="str">
        <f>IFERROR(INDEX('قائمة الوحدات'!$C$2:$C$41,MATCH($B143,'قائمة الوحدات'!$A$2:$A$41,0)),"")</f>
        <v>الجهاز العسكري</v>
      </c>
      <c r="E143" s="14" t="str">
        <f>IFERROR(INDEX('قائمة الوحدات'!$D$2:$D$41,MATCH($B143,'قائمة الوحدات'!$A$2:$A$41,0)),"")</f>
        <v>قيادة قوات الدفاع الجوي</v>
      </c>
      <c r="F143" s="14" t="str">
        <f>IFERROR(INDEX('قائمة الوحدات'!$F$2:$F$41,MATCH($B143,'قائمة الوحدات'!$A$2:$A$41,0)),"")</f>
        <v>قيادة قوات الدفاع الجوي</v>
      </c>
      <c r="G143" s="16" t="s">
        <v>61</v>
      </c>
      <c r="H143" s="14" t="str">
        <f>IFERROR(INDEX(المرجع!$A$2:$A$19,MATCH($G143,المرجع!$B$2:$B$19,0)),"")</f>
        <v>البناء المؤسسي</v>
      </c>
      <c r="I143" s="16" t="s">
        <v>63</v>
      </c>
      <c r="J143" s="14" t="str">
        <f>IFERROR(INDEX(المرجع!$D$2:$D$19,MATCH($I143,المرجع!$E$2:$E$19,0)),"")</f>
        <v>إنتاج المخرج الأول</v>
      </c>
      <c r="K143" s="16" t="s">
        <v>114</v>
      </c>
      <c r="L143" s="17" t="str">
        <f>IFERROR(INDEX('نقاط التحقق'!$G$2:$G$31,MATCH($K143,'نقاط التحقق'!$A$2:$A$31,0))&amp;"","")</f>
        <v>إنتاج المخرج الأول من قبل الوحدة التنظيمية</v>
      </c>
      <c r="M143" s="13">
        <v>84</v>
      </c>
      <c r="N143" s="15" t="str">
        <f>IF($M143="","غير مقيّمة",IF($M143&gt;المرجع!$K$3,"مستوفاة بشكل متقدم",IF($M143&lt;=المرجع!$K$2,"مستوفاة بشكل أولي","مستوفاة بشكل جزئي")))</f>
        <v>مستوفاة بشكل متقدم</v>
      </c>
      <c r="O143" s="18"/>
    </row>
    <row r="144" spans="1:15">
      <c r="A144" s="16" t="s">
        <v>948</v>
      </c>
      <c r="B144" s="16" t="s">
        <v>198</v>
      </c>
      <c r="C144" s="15" t="str">
        <f>IFERROR(INDEX('قائمة الوحدات'!$B$2:$B$41,MATCH($B144,'قائمة الوحدات'!$A$2:$A$41,0)),"")</f>
        <v>MIL</v>
      </c>
      <c r="D144" s="14" t="str">
        <f>IFERROR(INDEX('قائمة الوحدات'!$C$2:$C$41,MATCH($B144,'قائمة الوحدات'!$A$2:$A$41,0)),"")</f>
        <v>الجهاز العسكري</v>
      </c>
      <c r="E144" s="14" t="str">
        <f>IFERROR(INDEX('قائمة الوحدات'!$D$2:$D$41,MATCH($B144,'قائمة الوحدات'!$A$2:$A$41,0)),"")</f>
        <v>قيادة قوات الدفاع الجوي</v>
      </c>
      <c r="F144" s="14" t="str">
        <f>IFERROR(INDEX('قائمة الوحدات'!$F$2:$F$41,MATCH($B144,'قائمة الوحدات'!$A$2:$A$41,0)),"")</f>
        <v>قيادة قوات الدفاع الجوي</v>
      </c>
      <c r="G144" s="16" t="s">
        <v>65</v>
      </c>
      <c r="H144" s="14" t="str">
        <f>IFERROR(INDEX(المرجع!$A$2:$A$19,MATCH($G144,المرجع!$B$2:$B$19,0)),"")</f>
        <v>التشغيل</v>
      </c>
      <c r="I144" s="16" t="s">
        <v>48</v>
      </c>
      <c r="J144" s="14" t="str">
        <f>IFERROR(INDEX(المرجع!$D$2:$D$19,MATCH($I144,المرجع!$E$2:$E$19,0)),"")</f>
        <v>الأهداف ومؤشرات الأداء</v>
      </c>
      <c r="K144" s="16" t="s">
        <v>116</v>
      </c>
      <c r="L144" s="17" t="str">
        <f>IFERROR(INDEX('نقاط التحقق'!$G$2:$G$31,MATCH($K144,'نقاط التحقق'!$A$2:$A$31,0))&amp;"","")</f>
        <v>تحرك مؤشرات الأداء التشغيلي للوحدة التنظيمية بشكل إيجابي</v>
      </c>
      <c r="M144" s="13">
        <v>30</v>
      </c>
      <c r="N144" s="15" t="str">
        <f>IF($M144="","غير مقيّمة",IF($M144&gt;المرجع!$K$3,"مستوفاة بشكل متقدم",IF($M144&lt;=المرجع!$K$2,"مستوفاة بشكل أولي","مستوفاة بشكل جزئي")))</f>
        <v>مستوفاة بشكل أولي</v>
      </c>
      <c r="O144" s="18"/>
    </row>
    <row r="145" spans="1:15">
      <c r="A145" s="16" t="s">
        <v>949</v>
      </c>
      <c r="B145" s="16" t="s">
        <v>198</v>
      </c>
      <c r="C145" s="15" t="str">
        <f>IFERROR(INDEX('قائمة الوحدات'!$B$2:$B$41,MATCH($B145,'قائمة الوحدات'!$A$2:$A$41,0)),"")</f>
        <v>MIL</v>
      </c>
      <c r="D145" s="14" t="str">
        <f>IFERROR(INDEX('قائمة الوحدات'!$C$2:$C$41,MATCH($B145,'قائمة الوحدات'!$A$2:$A$41,0)),"")</f>
        <v>الجهاز العسكري</v>
      </c>
      <c r="E145" s="14" t="str">
        <f>IFERROR(INDEX('قائمة الوحدات'!$D$2:$D$41,MATCH($B145,'قائمة الوحدات'!$A$2:$A$41,0)),"")</f>
        <v>قيادة قوات الدفاع الجوي</v>
      </c>
      <c r="F145" s="14" t="str">
        <f>IFERROR(INDEX('قائمة الوحدات'!$F$2:$F$41,MATCH($B145,'قائمة الوحدات'!$A$2:$A$41,0)),"")</f>
        <v>قيادة قوات الدفاع الجوي</v>
      </c>
      <c r="G145" s="16" t="s">
        <v>65</v>
      </c>
      <c r="H145" s="14" t="str">
        <f>IFERROR(INDEX(المرجع!$A$2:$A$19,MATCH($G145,المرجع!$B$2:$B$19,0)),"")</f>
        <v>التشغيل</v>
      </c>
      <c r="I145" s="16" t="s">
        <v>48</v>
      </c>
      <c r="J145" s="14" t="str">
        <f>IFERROR(INDEX(المرجع!$D$2:$D$19,MATCH($I145,المرجع!$E$2:$E$19,0)),"")</f>
        <v>الأهداف ومؤشرات الأداء</v>
      </c>
      <c r="K145" s="16" t="s">
        <v>118</v>
      </c>
      <c r="L145" s="17" t="str">
        <f>IFERROR(INDEX('نقاط التحقق'!$G$2:$G$31,MATCH($K145,'نقاط التحقق'!$A$2:$A$31,0))&amp;"","")</f>
        <v>خطة سنوية معتمدة للوحدة التنظيمية</v>
      </c>
      <c r="M145" s="13">
        <v>25</v>
      </c>
      <c r="N145" s="15" t="str">
        <f>IF($M145="","غير مقيّمة",IF($M145&gt;المرجع!$K$3,"مستوفاة بشكل متقدم",IF($M145&lt;=المرجع!$K$2,"مستوفاة بشكل أولي","مستوفاة بشكل جزئي")))</f>
        <v>مستوفاة بشكل أولي</v>
      </c>
      <c r="O145" s="18"/>
    </row>
    <row r="146" spans="1:15">
      <c r="A146" s="16" t="s">
        <v>950</v>
      </c>
      <c r="B146" s="16" t="s">
        <v>198</v>
      </c>
      <c r="C146" s="15" t="str">
        <f>IFERROR(INDEX('قائمة الوحدات'!$B$2:$B$41,MATCH($B146,'قائمة الوحدات'!$A$2:$A$41,0)),"")</f>
        <v>MIL</v>
      </c>
      <c r="D146" s="14" t="str">
        <f>IFERROR(INDEX('قائمة الوحدات'!$C$2:$C$41,MATCH($B146,'قائمة الوحدات'!$A$2:$A$41,0)),"")</f>
        <v>الجهاز العسكري</v>
      </c>
      <c r="E146" s="14" t="str">
        <f>IFERROR(INDEX('قائمة الوحدات'!$D$2:$D$41,MATCH($B146,'قائمة الوحدات'!$A$2:$A$41,0)),"")</f>
        <v>قيادة قوات الدفاع الجوي</v>
      </c>
      <c r="F146" s="14" t="str">
        <f>IFERROR(INDEX('قائمة الوحدات'!$F$2:$F$41,MATCH($B146,'قائمة الوحدات'!$A$2:$A$41,0)),"")</f>
        <v>قيادة قوات الدفاع الجوي</v>
      </c>
      <c r="G146" s="16" t="s">
        <v>65</v>
      </c>
      <c r="H146" s="14" t="str">
        <f>IFERROR(INDEX(المرجع!$A$2:$A$19,MATCH($G146,المرجع!$B$2:$B$19,0)),"")</f>
        <v>التشغيل</v>
      </c>
      <c r="I146" s="16" t="s">
        <v>51</v>
      </c>
      <c r="J146" s="14" t="str">
        <f>IFERROR(INDEX(المرجع!$D$2:$D$19,MATCH($I146,المرجع!$E$2:$E$19,0)),"")</f>
        <v>الحوكمة</v>
      </c>
      <c r="K146" s="16" t="s">
        <v>120</v>
      </c>
      <c r="L146" s="17" t="str">
        <f>IFERROR(INDEX('نقاط التحقق'!$G$2:$G$31,MATCH($K146,'نقاط التحقق'!$A$2:$A$31,0))&amp;"","")</f>
        <v>محاضر لجان موثقة</v>
      </c>
      <c r="M146" s="13">
        <v>30</v>
      </c>
      <c r="N146" s="15" t="str">
        <f>IF($M146="","غير مقيّمة",IF($M146&gt;المرجع!$K$3,"مستوفاة بشكل متقدم",IF($M146&lt;=المرجع!$K$2,"مستوفاة بشكل أولي","مستوفاة بشكل جزئي")))</f>
        <v>مستوفاة بشكل أولي</v>
      </c>
      <c r="O146" s="18"/>
    </row>
    <row r="147" spans="1:15">
      <c r="A147" s="16" t="s">
        <v>951</v>
      </c>
      <c r="B147" s="16" t="s">
        <v>198</v>
      </c>
      <c r="C147" s="15" t="str">
        <f>IFERROR(INDEX('قائمة الوحدات'!$B$2:$B$41,MATCH($B147,'قائمة الوحدات'!$A$2:$A$41,0)),"")</f>
        <v>MIL</v>
      </c>
      <c r="D147" s="14" t="str">
        <f>IFERROR(INDEX('قائمة الوحدات'!$C$2:$C$41,MATCH($B147,'قائمة الوحدات'!$A$2:$A$41,0)),"")</f>
        <v>الجهاز العسكري</v>
      </c>
      <c r="E147" s="14" t="str">
        <f>IFERROR(INDEX('قائمة الوحدات'!$D$2:$D$41,MATCH($B147,'قائمة الوحدات'!$A$2:$A$41,0)),"")</f>
        <v>قيادة قوات الدفاع الجوي</v>
      </c>
      <c r="F147" s="14" t="str">
        <f>IFERROR(INDEX('قائمة الوحدات'!$F$2:$F$41,MATCH($B147,'قائمة الوحدات'!$A$2:$A$41,0)),"")</f>
        <v>قيادة قوات الدفاع الجوي</v>
      </c>
      <c r="G147" s="16" t="s">
        <v>65</v>
      </c>
      <c r="H147" s="14" t="str">
        <f>IFERROR(INDEX(المرجع!$A$2:$A$19,MATCH($G147,المرجع!$B$2:$B$19,0)),"")</f>
        <v>التشغيل</v>
      </c>
      <c r="I147" s="16" t="s">
        <v>51</v>
      </c>
      <c r="J147" s="14" t="str">
        <f>IFERROR(INDEX(المرجع!$D$2:$D$19,MATCH($I147,المرجع!$E$2:$E$19,0)),"")</f>
        <v>الحوكمة</v>
      </c>
      <c r="K147" s="16" t="s">
        <v>122</v>
      </c>
      <c r="L147" s="17" t="str">
        <f>IFERROR(INDEX('نقاط التحقق'!$G$2:$G$31,MATCH($K147,'نقاط التحقق'!$A$2:$A$31,0))&amp;"","")</f>
        <v>نشر السياسات التي تملكها الوحدة التنظيمية</v>
      </c>
      <c r="M147" s="13">
        <v>10</v>
      </c>
      <c r="N147" s="15" t="str">
        <f>IF($M147="","غير مقيّمة",IF($M147&gt;المرجع!$K$3,"مستوفاة بشكل متقدم",IF($M147&lt;=المرجع!$K$2,"مستوفاة بشكل أولي","مستوفاة بشكل جزئي")))</f>
        <v>مستوفاة بشكل أولي</v>
      </c>
      <c r="O147" s="18"/>
    </row>
    <row r="148" spans="1:15">
      <c r="A148" s="16" t="s">
        <v>952</v>
      </c>
      <c r="B148" s="16" t="s">
        <v>198</v>
      </c>
      <c r="C148" s="15" t="str">
        <f>IFERROR(INDEX('قائمة الوحدات'!$B$2:$B$41,MATCH($B148,'قائمة الوحدات'!$A$2:$A$41,0)),"")</f>
        <v>MIL</v>
      </c>
      <c r="D148" s="14" t="str">
        <f>IFERROR(INDEX('قائمة الوحدات'!$C$2:$C$41,MATCH($B148,'قائمة الوحدات'!$A$2:$A$41,0)),"")</f>
        <v>الجهاز العسكري</v>
      </c>
      <c r="E148" s="14" t="str">
        <f>IFERROR(INDEX('قائمة الوحدات'!$D$2:$D$41,MATCH($B148,'قائمة الوحدات'!$A$2:$A$41,0)),"")</f>
        <v>قيادة قوات الدفاع الجوي</v>
      </c>
      <c r="F148" s="14" t="str">
        <f>IFERROR(INDEX('قائمة الوحدات'!$F$2:$F$41,MATCH($B148,'قائمة الوحدات'!$A$2:$A$41,0)),"")</f>
        <v>قيادة قوات الدفاع الجوي</v>
      </c>
      <c r="G148" s="16" t="s">
        <v>65</v>
      </c>
      <c r="H148" s="14" t="str">
        <f>IFERROR(INDEX(المرجع!$A$2:$A$19,MATCH($G148,المرجع!$B$2:$B$19,0)),"")</f>
        <v>التشغيل</v>
      </c>
      <c r="I148" s="16" t="s">
        <v>51</v>
      </c>
      <c r="J148" s="14" t="str">
        <f>IFERROR(INDEX(المرجع!$D$2:$D$19,MATCH($I148,المرجع!$E$2:$E$19,0)),"")</f>
        <v>الحوكمة</v>
      </c>
      <c r="K148" s="16" t="s">
        <v>124</v>
      </c>
      <c r="L148" s="17" t="str">
        <f>IFERROR(INDEX('نقاط التحقق'!$G$2:$G$31,MATCH($K148,'نقاط التحقق'!$A$2:$A$31,0))&amp;"","")</f>
        <v>اتخاذ القرارات في نطاق الصلاحيات (وجود شواهد)</v>
      </c>
      <c r="M148" s="13">
        <v>15</v>
      </c>
      <c r="N148" s="15" t="str">
        <f>IF($M148="","غير مقيّمة",IF($M148&gt;المرجع!$K$3,"مستوفاة بشكل متقدم",IF($M148&lt;=المرجع!$K$2,"مستوفاة بشكل أولي","مستوفاة بشكل جزئي")))</f>
        <v>مستوفاة بشكل أولي</v>
      </c>
      <c r="O148" s="18"/>
    </row>
    <row r="149" spans="1:15">
      <c r="A149" s="16" t="s">
        <v>953</v>
      </c>
      <c r="B149" s="16" t="s">
        <v>198</v>
      </c>
      <c r="C149" s="15" t="str">
        <f>IFERROR(INDEX('قائمة الوحدات'!$B$2:$B$41,MATCH($B149,'قائمة الوحدات'!$A$2:$A$41,0)),"")</f>
        <v>MIL</v>
      </c>
      <c r="D149" s="14" t="str">
        <f>IFERROR(INDEX('قائمة الوحدات'!$C$2:$C$41,MATCH($B149,'قائمة الوحدات'!$A$2:$A$41,0)),"")</f>
        <v>الجهاز العسكري</v>
      </c>
      <c r="E149" s="14" t="str">
        <f>IFERROR(INDEX('قائمة الوحدات'!$D$2:$D$41,MATCH($B149,'قائمة الوحدات'!$A$2:$A$41,0)),"")</f>
        <v>قيادة قوات الدفاع الجوي</v>
      </c>
      <c r="F149" s="14" t="str">
        <f>IFERROR(INDEX('قائمة الوحدات'!$F$2:$F$41,MATCH($B149,'قائمة الوحدات'!$A$2:$A$41,0)),"")</f>
        <v>قيادة قوات الدفاع الجوي</v>
      </c>
      <c r="G149" s="16" t="s">
        <v>65</v>
      </c>
      <c r="H149" s="14" t="str">
        <f>IFERROR(INDEX(المرجع!$A$2:$A$19,MATCH($G149,المرجع!$B$2:$B$19,0)),"")</f>
        <v>التشغيل</v>
      </c>
      <c r="I149" s="16" t="s">
        <v>56</v>
      </c>
      <c r="J149" s="14" t="str">
        <f>IFERROR(INDEX(المرجع!$D$2:$D$19,MATCH($I149,المرجع!$E$2:$E$19,0)),"")</f>
        <v>الموارد</v>
      </c>
      <c r="K149" s="16" t="s">
        <v>126</v>
      </c>
      <c r="L149" s="17" t="str">
        <f>IFERROR(INDEX('نقاط التحقق'!$G$2:$G$31,MATCH($K149,'نقاط التحقق'!$A$2:$A$31,0))&amp;"","")</f>
        <v>موارد مستكملة للحد الأدنى الذي يغطي كافة محاور سلسلة القيمة</v>
      </c>
      <c r="M149" s="13">
        <v>49</v>
      </c>
      <c r="N149" s="15" t="str">
        <f>IF($M149="","غير مقيّمة",IF($M149&gt;المرجع!$K$3,"مستوفاة بشكل متقدم",IF($M149&lt;=المرجع!$K$2,"مستوفاة بشكل أولي","مستوفاة بشكل جزئي")))</f>
        <v>مستوفاة بشكل جزئي</v>
      </c>
      <c r="O149" s="18"/>
    </row>
    <row r="150" spans="1:15">
      <c r="A150" s="16" t="s">
        <v>954</v>
      </c>
      <c r="B150" s="16" t="s">
        <v>198</v>
      </c>
      <c r="C150" s="15" t="str">
        <f>IFERROR(INDEX('قائمة الوحدات'!$B$2:$B$41,MATCH($B150,'قائمة الوحدات'!$A$2:$A$41,0)),"")</f>
        <v>MIL</v>
      </c>
      <c r="D150" s="14" t="str">
        <f>IFERROR(INDEX('قائمة الوحدات'!$C$2:$C$41,MATCH($B150,'قائمة الوحدات'!$A$2:$A$41,0)),"")</f>
        <v>الجهاز العسكري</v>
      </c>
      <c r="E150" s="14" t="str">
        <f>IFERROR(INDEX('قائمة الوحدات'!$D$2:$D$41,MATCH($B150,'قائمة الوحدات'!$A$2:$A$41,0)),"")</f>
        <v>قيادة قوات الدفاع الجوي</v>
      </c>
      <c r="F150" s="14" t="str">
        <f>IFERROR(INDEX('قائمة الوحدات'!$F$2:$F$41,MATCH($B150,'قائمة الوحدات'!$A$2:$A$41,0)),"")</f>
        <v>قيادة قوات الدفاع الجوي</v>
      </c>
      <c r="G150" s="16" t="s">
        <v>65</v>
      </c>
      <c r="H150" s="14" t="str">
        <f>IFERROR(INDEX(المرجع!$A$2:$A$19,MATCH($G150,المرجع!$B$2:$B$19,0)),"")</f>
        <v>التشغيل</v>
      </c>
      <c r="I150" s="16" t="s">
        <v>59</v>
      </c>
      <c r="J150" s="14" t="str">
        <f>IFERROR(INDEX(المرجع!$D$2:$D$19,MATCH($I150,المرجع!$E$2:$E$19,0)),"")</f>
        <v>الإجراءات</v>
      </c>
      <c r="K150" s="16" t="s">
        <v>128</v>
      </c>
      <c r="L150" s="17" t="str">
        <f>IFERROR(INDEX('نقاط التحقق'!$G$2:$G$31,MATCH($K150,'نقاط التحقق'!$A$2:$A$31,0))&amp;"","")</f>
        <v>تحقيق تقييم "مطبق بشكل كامل" من منهجية تقييم فعالية الإجراءات</v>
      </c>
      <c r="M150" s="13">
        <v>24</v>
      </c>
      <c r="N150" s="15" t="str">
        <f>IF($M150="","غير مقيّمة",IF($M150&gt;المرجع!$K$3,"مستوفاة بشكل متقدم",IF($M150&lt;=المرجع!$K$2,"مستوفاة بشكل أولي","مستوفاة بشكل جزئي")))</f>
        <v>مستوفاة بشكل أولي</v>
      </c>
      <c r="O150" s="18"/>
    </row>
    <row r="151" spans="1:15">
      <c r="A151" s="16" t="s">
        <v>955</v>
      </c>
      <c r="B151" s="16" t="s">
        <v>198</v>
      </c>
      <c r="C151" s="15" t="str">
        <f>IFERROR(INDEX('قائمة الوحدات'!$B$2:$B$41,MATCH($B151,'قائمة الوحدات'!$A$2:$A$41,0)),"")</f>
        <v>MIL</v>
      </c>
      <c r="D151" s="14" t="str">
        <f>IFERROR(INDEX('قائمة الوحدات'!$C$2:$C$41,MATCH($B151,'قائمة الوحدات'!$A$2:$A$41,0)),"")</f>
        <v>الجهاز العسكري</v>
      </c>
      <c r="E151" s="14" t="str">
        <f>IFERROR(INDEX('قائمة الوحدات'!$D$2:$D$41,MATCH($B151,'قائمة الوحدات'!$A$2:$A$41,0)),"")</f>
        <v>قيادة قوات الدفاع الجوي</v>
      </c>
      <c r="F151" s="14" t="str">
        <f>IFERROR(INDEX('قائمة الوحدات'!$F$2:$F$41,MATCH($B151,'قائمة الوحدات'!$A$2:$A$41,0)),"")</f>
        <v>قيادة قوات الدفاع الجوي</v>
      </c>
      <c r="G151" s="16" t="s">
        <v>65</v>
      </c>
      <c r="H151" s="14" t="str">
        <f>IFERROR(INDEX(المرجع!$A$2:$A$19,MATCH($G151,المرجع!$B$2:$B$19,0)),"")</f>
        <v>التشغيل</v>
      </c>
      <c r="I151" s="16" t="s">
        <v>67</v>
      </c>
      <c r="J151" s="14" t="str">
        <f>IFERROR(INDEX(المرجع!$D$2:$D$19,MATCH($I151,المرجع!$E$2:$E$19,0)),"")</f>
        <v>اكتمال المخرجات المستهدفة</v>
      </c>
      <c r="K151" s="16" t="s">
        <v>130</v>
      </c>
      <c r="L151" s="17" t="str">
        <f>IFERROR(INDEX('نقاط التحقق'!$G$2:$G$31,MATCH($K151,'نقاط التحقق'!$A$2:$A$31,0))&amp;"","")</f>
        <v>اكتمال مخرجات النموذج التشغيلي المستهدف للوحدة التنظيمية</v>
      </c>
      <c r="M151" s="13">
        <v>59</v>
      </c>
      <c r="N151" s="15" t="str">
        <f>IF($M151="","غير مقيّمة",IF($M151&gt;المرجع!$K$3,"مستوفاة بشكل متقدم",IF($M151&lt;=المرجع!$K$2,"مستوفاة بشكل أولي","مستوفاة بشكل جزئي")))</f>
        <v>مستوفاة بشكل جزئي</v>
      </c>
      <c r="O151" s="18"/>
    </row>
    <row r="152" spans="1:15">
      <c r="A152" s="16" t="s">
        <v>956</v>
      </c>
      <c r="B152" s="16" t="s">
        <v>200</v>
      </c>
      <c r="C152" s="15" t="str">
        <f>IFERROR(INDEX('قائمة الوحدات'!$B$2:$B$41,MATCH($B152,'قائمة الوحدات'!$A$2:$A$41,0)),"")</f>
        <v>MIL</v>
      </c>
      <c r="D152" s="14" t="str">
        <f>IFERROR(INDEX('قائمة الوحدات'!$C$2:$C$41,MATCH($B152,'قائمة الوحدات'!$A$2:$A$41,0)),"")</f>
        <v>الجهاز العسكري</v>
      </c>
      <c r="E152" s="14" t="str">
        <f>IFERROR(INDEX('قائمة الوحدات'!$D$2:$D$41,MATCH($B152,'قائمة الوحدات'!$A$2:$A$41,0)),"")</f>
        <v>قيادة القوات الاستراتيجية</v>
      </c>
      <c r="F152" s="14" t="str">
        <f>IFERROR(INDEX('قائمة الوحدات'!$F$2:$F$41,MATCH($B152,'قائمة الوحدات'!$A$2:$A$41,0)),"")</f>
        <v>قيادة القوات الاستراتيجية</v>
      </c>
      <c r="G152" s="16" t="s">
        <v>43</v>
      </c>
      <c r="H152" s="14" t="str">
        <f>IFERROR(INDEX(المرجع!$A$2:$A$19,MATCH($G152,المرجع!$B$2:$B$19,0)),"")</f>
        <v>التصميم</v>
      </c>
      <c r="I152" s="16" t="s">
        <v>45</v>
      </c>
      <c r="J152" s="14" t="str">
        <f>IFERROR(INDEX(المرجع!$D$2:$D$19,MATCH($I152,المرجع!$E$2:$E$19,0)),"")</f>
        <v>الدور</v>
      </c>
      <c r="K152" s="16" t="s">
        <v>72</v>
      </c>
      <c r="L152" s="17" t="str">
        <f>IFERROR(INDEX('نقاط التحقق'!$G$2:$G$31,MATCH($K152,'نقاط التحقق'!$A$2:$A$31,0))&amp;"","")</f>
        <v>دور مفصل للوحدة التنظيمية</v>
      </c>
      <c r="M152" s="13">
        <v>87</v>
      </c>
      <c r="N152" s="15" t="str">
        <f>IF($M152="","غير مقيّمة",IF($M152&gt;المرجع!$K$3,"مستوفاة بشكل متقدم",IF($M152&lt;=المرجع!$K$2,"مستوفاة بشكل أولي","مستوفاة بشكل جزئي")))</f>
        <v>مستوفاة بشكل متقدم</v>
      </c>
      <c r="O152" s="18"/>
    </row>
    <row r="153" spans="1:15">
      <c r="A153" s="16" t="s">
        <v>957</v>
      </c>
      <c r="B153" s="16" t="s">
        <v>200</v>
      </c>
      <c r="C153" s="15" t="str">
        <f>IFERROR(INDEX('قائمة الوحدات'!$B$2:$B$41,MATCH($B153,'قائمة الوحدات'!$A$2:$A$41,0)),"")</f>
        <v>MIL</v>
      </c>
      <c r="D153" s="14" t="str">
        <f>IFERROR(INDEX('قائمة الوحدات'!$C$2:$C$41,MATCH($B153,'قائمة الوحدات'!$A$2:$A$41,0)),"")</f>
        <v>الجهاز العسكري</v>
      </c>
      <c r="E153" s="14" t="str">
        <f>IFERROR(INDEX('قائمة الوحدات'!$D$2:$D$41,MATCH($B153,'قائمة الوحدات'!$A$2:$A$41,0)),"")</f>
        <v>قيادة القوات الاستراتيجية</v>
      </c>
      <c r="F153" s="14" t="str">
        <f>IFERROR(INDEX('قائمة الوحدات'!$F$2:$F$41,MATCH($B153,'قائمة الوحدات'!$A$2:$A$41,0)),"")</f>
        <v>قيادة القوات الاستراتيجية</v>
      </c>
      <c r="G153" s="16" t="s">
        <v>43</v>
      </c>
      <c r="H153" s="14" t="str">
        <f>IFERROR(INDEX(المرجع!$A$2:$A$19,MATCH($G153,المرجع!$B$2:$B$19,0)),"")</f>
        <v>التصميم</v>
      </c>
      <c r="I153" s="16" t="s">
        <v>48</v>
      </c>
      <c r="J153" s="14" t="str">
        <f>IFERROR(INDEX(المرجع!$D$2:$D$19,MATCH($I153,المرجع!$E$2:$E$19,0)),"")</f>
        <v>الأهداف ومؤشرات الأداء</v>
      </c>
      <c r="K153" s="16" t="s">
        <v>74</v>
      </c>
      <c r="L153" s="17" t="str">
        <f>IFERROR(INDEX('نقاط التحقق'!$G$2:$G$31,MATCH($K153,'نقاط التحقق'!$A$2:$A$31,0))&amp;"","")</f>
        <v>أهداف محددة للوحدة التنظيمية وربطها بمؤشرات أداء لقياسها</v>
      </c>
      <c r="M153" s="13">
        <v>85</v>
      </c>
      <c r="N153" s="15" t="str">
        <f>IF($M153="","غير مقيّمة",IF($M153&gt;المرجع!$K$3,"مستوفاة بشكل متقدم",IF($M153&lt;=المرجع!$K$2,"مستوفاة بشكل أولي","مستوفاة بشكل جزئي")))</f>
        <v>مستوفاة بشكل متقدم</v>
      </c>
      <c r="O153" s="18"/>
    </row>
    <row r="154" spans="1:15">
      <c r="A154" s="16" t="s">
        <v>958</v>
      </c>
      <c r="B154" s="16" t="s">
        <v>200</v>
      </c>
      <c r="C154" s="15" t="str">
        <f>IFERROR(INDEX('قائمة الوحدات'!$B$2:$B$41,MATCH($B154,'قائمة الوحدات'!$A$2:$A$41,0)),"")</f>
        <v>MIL</v>
      </c>
      <c r="D154" s="14" t="str">
        <f>IFERROR(INDEX('قائمة الوحدات'!$C$2:$C$41,MATCH($B154,'قائمة الوحدات'!$A$2:$A$41,0)),"")</f>
        <v>الجهاز العسكري</v>
      </c>
      <c r="E154" s="14" t="str">
        <f>IFERROR(INDEX('قائمة الوحدات'!$D$2:$D$41,MATCH($B154,'قائمة الوحدات'!$A$2:$A$41,0)),"")</f>
        <v>قيادة القوات الاستراتيجية</v>
      </c>
      <c r="F154" s="14" t="str">
        <f>IFERROR(INDEX('قائمة الوحدات'!$F$2:$F$41,MATCH($B154,'قائمة الوحدات'!$A$2:$A$41,0)),"")</f>
        <v>قيادة القوات الاستراتيجية</v>
      </c>
      <c r="G154" s="16" t="s">
        <v>43</v>
      </c>
      <c r="H154" s="14" t="str">
        <f>IFERROR(INDEX(المرجع!$A$2:$A$19,MATCH($G154,المرجع!$B$2:$B$19,0)),"")</f>
        <v>التصميم</v>
      </c>
      <c r="I154" s="16" t="s">
        <v>48</v>
      </c>
      <c r="J154" s="14" t="str">
        <f>IFERROR(INDEX(المرجع!$D$2:$D$19,MATCH($I154,المرجع!$E$2:$E$19,0)),"")</f>
        <v>الأهداف ومؤشرات الأداء</v>
      </c>
      <c r="K154" s="16" t="s">
        <v>76</v>
      </c>
      <c r="L154" s="17" t="str">
        <f>IFERROR(INDEX('نقاط التحقق'!$G$2:$G$31,MATCH($K154,'نقاط التحقق'!$A$2:$A$31,0))&amp;"","")</f>
        <v>مؤشرات أداء الوحدة التنظيمية</v>
      </c>
      <c r="M154" s="13">
        <v>80</v>
      </c>
      <c r="N154" s="15" t="str">
        <f>IF($M154="","غير مقيّمة",IF($M154&gt;المرجع!$K$3,"مستوفاة بشكل متقدم",IF($M154&lt;=المرجع!$K$2,"مستوفاة بشكل أولي","مستوفاة بشكل جزئي")))</f>
        <v>مستوفاة بشكل متقدم</v>
      </c>
      <c r="O154" s="18"/>
    </row>
    <row r="155" spans="1:15">
      <c r="A155" s="16" t="s">
        <v>959</v>
      </c>
      <c r="B155" s="16" t="s">
        <v>200</v>
      </c>
      <c r="C155" s="15" t="str">
        <f>IFERROR(INDEX('قائمة الوحدات'!$B$2:$B$41,MATCH($B155,'قائمة الوحدات'!$A$2:$A$41,0)),"")</f>
        <v>MIL</v>
      </c>
      <c r="D155" s="14" t="str">
        <f>IFERROR(INDEX('قائمة الوحدات'!$C$2:$C$41,MATCH($B155,'قائمة الوحدات'!$A$2:$A$41,0)),"")</f>
        <v>الجهاز العسكري</v>
      </c>
      <c r="E155" s="14" t="str">
        <f>IFERROR(INDEX('قائمة الوحدات'!$D$2:$D$41,MATCH($B155,'قائمة الوحدات'!$A$2:$A$41,0)),"")</f>
        <v>قيادة القوات الاستراتيجية</v>
      </c>
      <c r="F155" s="14" t="str">
        <f>IFERROR(INDEX('قائمة الوحدات'!$F$2:$F$41,MATCH($B155,'قائمة الوحدات'!$A$2:$A$41,0)),"")</f>
        <v>قيادة القوات الاستراتيجية</v>
      </c>
      <c r="G155" s="16" t="s">
        <v>43</v>
      </c>
      <c r="H155" s="14" t="str">
        <f>IFERROR(INDEX(المرجع!$A$2:$A$19,MATCH($G155,المرجع!$B$2:$B$19,0)),"")</f>
        <v>التصميم</v>
      </c>
      <c r="I155" s="16" t="s">
        <v>51</v>
      </c>
      <c r="J155" s="14" t="str">
        <f>IFERROR(INDEX(المرجع!$D$2:$D$19,MATCH($I155,المرجع!$E$2:$E$19,0)),"")</f>
        <v>الحوكمة</v>
      </c>
      <c r="K155" s="16" t="s">
        <v>78</v>
      </c>
      <c r="L155" s="17" t="str">
        <f>IFERROR(INDEX('نقاط التحقق'!$G$2:$G$31,MATCH($K155,'نقاط التحقق'!$A$2:$A$31,0))&amp;"","")</f>
        <v>تفصيل القرارات ومصفوفة الصلاحيات واللجان ذات العلاقة لاعتماد مخرجات الوحدة التنظيمية</v>
      </c>
      <c r="M155" s="13">
        <v>90</v>
      </c>
      <c r="N155" s="15" t="str">
        <f>IF($M155="","غير مقيّمة",IF($M155&gt;المرجع!$K$3,"مستوفاة بشكل متقدم",IF($M155&lt;=المرجع!$K$2,"مستوفاة بشكل أولي","مستوفاة بشكل جزئي")))</f>
        <v>مستوفاة بشكل متقدم</v>
      </c>
      <c r="O155" s="18"/>
    </row>
    <row r="156" spans="1:15">
      <c r="A156" s="16" t="s">
        <v>960</v>
      </c>
      <c r="B156" s="16" t="s">
        <v>200</v>
      </c>
      <c r="C156" s="15" t="str">
        <f>IFERROR(INDEX('قائمة الوحدات'!$B$2:$B$41,MATCH($B156,'قائمة الوحدات'!$A$2:$A$41,0)),"")</f>
        <v>MIL</v>
      </c>
      <c r="D156" s="14" t="str">
        <f>IFERROR(INDEX('قائمة الوحدات'!$C$2:$C$41,MATCH($B156,'قائمة الوحدات'!$A$2:$A$41,0)),"")</f>
        <v>الجهاز العسكري</v>
      </c>
      <c r="E156" s="14" t="str">
        <f>IFERROR(INDEX('قائمة الوحدات'!$D$2:$D$41,MATCH($B156,'قائمة الوحدات'!$A$2:$A$41,0)),"")</f>
        <v>قيادة القوات الاستراتيجية</v>
      </c>
      <c r="F156" s="14" t="str">
        <f>IFERROR(INDEX('قائمة الوحدات'!$F$2:$F$41,MATCH($B156,'قائمة الوحدات'!$A$2:$A$41,0)),"")</f>
        <v>قيادة القوات الاستراتيجية</v>
      </c>
      <c r="G156" s="16" t="s">
        <v>43</v>
      </c>
      <c r="H156" s="14" t="str">
        <f>IFERROR(INDEX(المرجع!$A$2:$A$19,MATCH($G156,المرجع!$B$2:$B$19,0)),"")</f>
        <v>التصميم</v>
      </c>
      <c r="I156" s="16" t="s">
        <v>54</v>
      </c>
      <c r="J156" s="14" t="str">
        <f>IFERROR(INDEX(المرجع!$D$2:$D$19,MATCH($I156,المرجع!$E$2:$E$19,0)),"")</f>
        <v>التنظيم</v>
      </c>
      <c r="K156" s="16" t="s">
        <v>80</v>
      </c>
      <c r="L156" s="17" t="str">
        <f>IFERROR(INDEX('نقاط التحقق'!$G$2:$G$31,MATCH($K156,'نقاط التحقق'!$A$2:$A$31,0))&amp;"","")</f>
        <v>تطوير الأدوار والمسؤوليات للوحدة التنظيمية وتفصيل الهيكل التنظيمي</v>
      </c>
      <c r="M156" s="13">
        <v>79</v>
      </c>
      <c r="N156" s="15" t="str">
        <f>IF($M156="","غير مقيّمة",IF($M156&gt;المرجع!$K$3,"مستوفاة بشكل متقدم",IF($M156&lt;=المرجع!$K$2,"مستوفاة بشكل أولي","مستوفاة بشكل جزئي")))</f>
        <v>مستوفاة بشكل متقدم</v>
      </c>
      <c r="O156" s="18"/>
    </row>
    <row r="157" spans="1:15">
      <c r="A157" s="16" t="s">
        <v>961</v>
      </c>
      <c r="B157" s="16" t="s">
        <v>200</v>
      </c>
      <c r="C157" s="15" t="str">
        <f>IFERROR(INDEX('قائمة الوحدات'!$B$2:$B$41,MATCH($B157,'قائمة الوحدات'!$A$2:$A$41,0)),"")</f>
        <v>MIL</v>
      </c>
      <c r="D157" s="14" t="str">
        <f>IFERROR(INDEX('قائمة الوحدات'!$C$2:$C$41,MATCH($B157,'قائمة الوحدات'!$A$2:$A$41,0)),"")</f>
        <v>الجهاز العسكري</v>
      </c>
      <c r="E157" s="14" t="str">
        <f>IFERROR(INDEX('قائمة الوحدات'!$D$2:$D$41,MATCH($B157,'قائمة الوحدات'!$A$2:$A$41,0)),"")</f>
        <v>قيادة القوات الاستراتيجية</v>
      </c>
      <c r="F157" s="14" t="str">
        <f>IFERROR(INDEX('قائمة الوحدات'!$F$2:$F$41,MATCH($B157,'قائمة الوحدات'!$A$2:$A$41,0)),"")</f>
        <v>قيادة القوات الاستراتيجية</v>
      </c>
      <c r="G157" s="16" t="s">
        <v>43</v>
      </c>
      <c r="H157" s="14" t="str">
        <f>IFERROR(INDEX(المرجع!$A$2:$A$19,MATCH($G157,المرجع!$B$2:$B$19,0)),"")</f>
        <v>التصميم</v>
      </c>
      <c r="I157" s="16" t="s">
        <v>56</v>
      </c>
      <c r="J157" s="14" t="str">
        <f>IFERROR(INDEX(المرجع!$D$2:$D$19,MATCH($I157,المرجع!$E$2:$E$19,0)),"")</f>
        <v>الموارد</v>
      </c>
      <c r="K157" s="16" t="s">
        <v>82</v>
      </c>
      <c r="L157" s="17" t="str">
        <f>IFERROR(INDEX('نقاط التحقق'!$G$2:$G$31,MATCH($K157,'نقاط التحقق'!$A$2:$A$31,0))&amp;"","")</f>
        <v>تفصيل احتياج الموارد البشرية للوحدة التنظيمية</v>
      </c>
      <c r="M157" s="13">
        <v>88</v>
      </c>
      <c r="N157" s="15" t="str">
        <f>IF($M157="","غير مقيّمة",IF($M157&gt;المرجع!$K$3,"مستوفاة بشكل متقدم",IF($M157&lt;=المرجع!$K$2,"مستوفاة بشكل أولي","مستوفاة بشكل جزئي")))</f>
        <v>مستوفاة بشكل متقدم</v>
      </c>
      <c r="O157" s="18"/>
    </row>
    <row r="158" spans="1:15">
      <c r="A158" s="16" t="s">
        <v>962</v>
      </c>
      <c r="B158" s="16" t="s">
        <v>200</v>
      </c>
      <c r="C158" s="15" t="str">
        <f>IFERROR(INDEX('قائمة الوحدات'!$B$2:$B$41,MATCH($B158,'قائمة الوحدات'!$A$2:$A$41,0)),"")</f>
        <v>MIL</v>
      </c>
      <c r="D158" s="14" t="str">
        <f>IFERROR(INDEX('قائمة الوحدات'!$C$2:$C$41,MATCH($B158,'قائمة الوحدات'!$A$2:$A$41,0)),"")</f>
        <v>الجهاز العسكري</v>
      </c>
      <c r="E158" s="14" t="str">
        <f>IFERROR(INDEX('قائمة الوحدات'!$D$2:$D$41,MATCH($B158,'قائمة الوحدات'!$A$2:$A$41,0)),"")</f>
        <v>قيادة القوات الاستراتيجية</v>
      </c>
      <c r="F158" s="14" t="str">
        <f>IFERROR(INDEX('قائمة الوحدات'!$F$2:$F$41,MATCH($B158,'قائمة الوحدات'!$A$2:$A$41,0)),"")</f>
        <v>قيادة القوات الاستراتيجية</v>
      </c>
      <c r="G158" s="16" t="s">
        <v>43</v>
      </c>
      <c r="H158" s="14" t="str">
        <f>IFERROR(INDEX(المرجع!$A$2:$A$19,MATCH($G158,المرجع!$B$2:$B$19,0)),"")</f>
        <v>التصميم</v>
      </c>
      <c r="I158" s="16" t="s">
        <v>59</v>
      </c>
      <c r="J158" s="14" t="str">
        <f>IFERROR(INDEX(المرجع!$D$2:$D$19,MATCH($I158,المرجع!$E$2:$E$19,0)),"")</f>
        <v>الإجراءات</v>
      </c>
      <c r="K158" s="16" t="s">
        <v>84</v>
      </c>
      <c r="L158" s="17" t="str">
        <f>IFERROR(INDEX('نقاط التحقق'!$G$2:$G$31,MATCH($K158,'نقاط التحقق'!$A$2:$A$31,0))&amp;"","")</f>
        <v>تفصيل المخرجات إلى إجراءات عالية المستوى</v>
      </c>
      <c r="M158" s="13">
        <v>73</v>
      </c>
      <c r="N158" s="15" t="str">
        <f>IF($M158="","غير مقيّمة",IF($M158&gt;المرجع!$K$3,"مستوفاة بشكل متقدم",IF($M158&lt;=المرجع!$K$2,"مستوفاة بشكل أولي","مستوفاة بشكل جزئي")))</f>
        <v>مستوفاة بشكل متقدم</v>
      </c>
      <c r="O158" s="18"/>
    </row>
    <row r="159" spans="1:15">
      <c r="A159" s="16" t="s">
        <v>963</v>
      </c>
      <c r="B159" s="16" t="s">
        <v>200</v>
      </c>
      <c r="C159" s="15" t="str">
        <f>IFERROR(INDEX('قائمة الوحدات'!$B$2:$B$41,MATCH($B159,'قائمة الوحدات'!$A$2:$A$41,0)),"")</f>
        <v>MIL</v>
      </c>
      <c r="D159" s="14" t="str">
        <f>IFERROR(INDEX('قائمة الوحدات'!$C$2:$C$41,MATCH($B159,'قائمة الوحدات'!$A$2:$A$41,0)),"")</f>
        <v>الجهاز العسكري</v>
      </c>
      <c r="E159" s="14" t="str">
        <f>IFERROR(INDEX('قائمة الوحدات'!$D$2:$D$41,MATCH($B159,'قائمة الوحدات'!$A$2:$A$41,0)),"")</f>
        <v>قيادة القوات الاستراتيجية</v>
      </c>
      <c r="F159" s="14" t="str">
        <f>IFERROR(INDEX('قائمة الوحدات'!$F$2:$F$41,MATCH($B159,'قائمة الوحدات'!$A$2:$A$41,0)),"")</f>
        <v>قيادة القوات الاستراتيجية</v>
      </c>
      <c r="G159" s="16" t="s">
        <v>61</v>
      </c>
      <c r="H159" s="14" t="str">
        <f>IFERROR(INDEX(المرجع!$A$2:$A$19,MATCH($G159,المرجع!$B$2:$B$19,0)),"")</f>
        <v>البناء المؤسسي</v>
      </c>
      <c r="I159" s="16" t="s">
        <v>45</v>
      </c>
      <c r="J159" s="14" t="str">
        <f>IFERROR(INDEX(المرجع!$D$2:$D$19,MATCH($I159,المرجع!$E$2:$E$19,0)),"")</f>
        <v>الدور</v>
      </c>
      <c r="K159" s="16" t="s">
        <v>86</v>
      </c>
      <c r="L159" s="17" t="str">
        <f>IFERROR(INDEX('نقاط التحقق'!$G$2:$G$31,MATCH($K159,'نقاط التحقق'!$A$2:$A$31,0))&amp;"","")</f>
        <v>دور معتمد للوحدة التنظيمية</v>
      </c>
      <c r="M159" s="13">
        <v>77</v>
      </c>
      <c r="N159" s="15" t="str">
        <f>IF($M159="","غير مقيّمة",IF($M159&gt;المرجع!$K$3,"مستوفاة بشكل متقدم",IF($M159&lt;=المرجع!$K$2,"مستوفاة بشكل أولي","مستوفاة بشكل جزئي")))</f>
        <v>مستوفاة بشكل متقدم</v>
      </c>
      <c r="O159" s="18"/>
    </row>
    <row r="160" spans="1:15">
      <c r="A160" s="16" t="s">
        <v>964</v>
      </c>
      <c r="B160" s="16" t="s">
        <v>200</v>
      </c>
      <c r="C160" s="15" t="str">
        <f>IFERROR(INDEX('قائمة الوحدات'!$B$2:$B$41,MATCH($B160,'قائمة الوحدات'!$A$2:$A$41,0)),"")</f>
        <v>MIL</v>
      </c>
      <c r="D160" s="14" t="str">
        <f>IFERROR(INDEX('قائمة الوحدات'!$C$2:$C$41,MATCH($B160,'قائمة الوحدات'!$A$2:$A$41,0)),"")</f>
        <v>الجهاز العسكري</v>
      </c>
      <c r="E160" s="14" t="str">
        <f>IFERROR(INDEX('قائمة الوحدات'!$D$2:$D$41,MATCH($B160,'قائمة الوحدات'!$A$2:$A$41,0)),"")</f>
        <v>قيادة القوات الاستراتيجية</v>
      </c>
      <c r="F160" s="14" t="str">
        <f>IFERROR(INDEX('قائمة الوحدات'!$F$2:$F$41,MATCH($B160,'قائمة الوحدات'!$A$2:$A$41,0)),"")</f>
        <v>قيادة القوات الاستراتيجية</v>
      </c>
      <c r="G160" s="16" t="s">
        <v>61</v>
      </c>
      <c r="H160" s="14" t="str">
        <f>IFERROR(INDEX(المرجع!$A$2:$A$19,MATCH($G160,المرجع!$B$2:$B$19,0)),"")</f>
        <v>البناء المؤسسي</v>
      </c>
      <c r="I160" s="16" t="s">
        <v>48</v>
      </c>
      <c r="J160" s="14" t="str">
        <f>IFERROR(INDEX(المرجع!$D$2:$D$19,MATCH($I160,المرجع!$E$2:$E$19,0)),"")</f>
        <v>الأهداف ومؤشرات الأداء</v>
      </c>
      <c r="K160" s="16" t="s">
        <v>88</v>
      </c>
      <c r="L160" s="17" t="str">
        <f>IFERROR(INDEX('نقاط التحقق'!$G$2:$G$31,MATCH($K160,'نقاط التحقق'!$A$2:$A$31,0))&amp;"","")</f>
        <v>أهداف تشغيلية معتمدة من صاحب الصلاحية</v>
      </c>
      <c r="M160" s="13">
        <v>60</v>
      </c>
      <c r="N160" s="15" t="str">
        <f>IF($M160="","غير مقيّمة",IF($M160&gt;المرجع!$K$3,"مستوفاة بشكل متقدم",IF($M160&lt;=المرجع!$K$2,"مستوفاة بشكل أولي","مستوفاة بشكل جزئي")))</f>
        <v>مستوفاة بشكل جزئي</v>
      </c>
      <c r="O160" s="18"/>
    </row>
    <row r="161" spans="1:15">
      <c r="A161" s="16" t="s">
        <v>965</v>
      </c>
      <c r="B161" s="16" t="s">
        <v>200</v>
      </c>
      <c r="C161" s="15" t="str">
        <f>IFERROR(INDEX('قائمة الوحدات'!$B$2:$B$41,MATCH($B161,'قائمة الوحدات'!$A$2:$A$41,0)),"")</f>
        <v>MIL</v>
      </c>
      <c r="D161" s="14" t="str">
        <f>IFERROR(INDEX('قائمة الوحدات'!$C$2:$C$41,MATCH($B161,'قائمة الوحدات'!$A$2:$A$41,0)),"")</f>
        <v>الجهاز العسكري</v>
      </c>
      <c r="E161" s="14" t="str">
        <f>IFERROR(INDEX('قائمة الوحدات'!$D$2:$D$41,MATCH($B161,'قائمة الوحدات'!$A$2:$A$41,0)),"")</f>
        <v>قيادة القوات الاستراتيجية</v>
      </c>
      <c r="F161" s="14" t="str">
        <f>IFERROR(INDEX('قائمة الوحدات'!$F$2:$F$41,MATCH($B161,'قائمة الوحدات'!$A$2:$A$41,0)),"")</f>
        <v>قيادة القوات الاستراتيجية</v>
      </c>
      <c r="G161" s="16" t="s">
        <v>61</v>
      </c>
      <c r="H161" s="14" t="str">
        <f>IFERROR(INDEX(المرجع!$A$2:$A$19,MATCH($G161,المرجع!$B$2:$B$19,0)),"")</f>
        <v>البناء المؤسسي</v>
      </c>
      <c r="I161" s="16" t="s">
        <v>48</v>
      </c>
      <c r="J161" s="14" t="str">
        <f>IFERROR(INDEX(المرجع!$D$2:$D$19,MATCH($I161,المرجع!$E$2:$E$19,0)),"")</f>
        <v>الأهداف ومؤشرات الأداء</v>
      </c>
      <c r="K161" s="16" t="s">
        <v>90</v>
      </c>
      <c r="L161" s="17" t="str">
        <f>IFERROR(INDEX('نقاط التحقق'!$G$2:$G$31,MATCH($K161,'نقاط التحقق'!$A$2:$A$31,0))&amp;"","")</f>
        <v>نشر الأهداف التشغيلية على موظفي الوحدة التنظيمية</v>
      </c>
      <c r="M161" s="13">
        <v>85</v>
      </c>
      <c r="N161" s="15" t="str">
        <f>IF($M161="","غير مقيّمة",IF($M161&gt;المرجع!$K$3,"مستوفاة بشكل متقدم",IF($M161&lt;=المرجع!$K$2,"مستوفاة بشكل أولي","مستوفاة بشكل جزئي")))</f>
        <v>مستوفاة بشكل متقدم</v>
      </c>
      <c r="O161" s="18"/>
    </row>
    <row r="162" spans="1:15">
      <c r="A162" s="16" t="s">
        <v>966</v>
      </c>
      <c r="B162" s="16" t="s">
        <v>200</v>
      </c>
      <c r="C162" s="15" t="str">
        <f>IFERROR(INDEX('قائمة الوحدات'!$B$2:$B$41,MATCH($B162,'قائمة الوحدات'!$A$2:$A$41,0)),"")</f>
        <v>MIL</v>
      </c>
      <c r="D162" s="14" t="str">
        <f>IFERROR(INDEX('قائمة الوحدات'!$C$2:$C$41,MATCH($B162,'قائمة الوحدات'!$A$2:$A$41,0)),"")</f>
        <v>الجهاز العسكري</v>
      </c>
      <c r="E162" s="14" t="str">
        <f>IFERROR(INDEX('قائمة الوحدات'!$D$2:$D$41,MATCH($B162,'قائمة الوحدات'!$A$2:$A$41,0)),"")</f>
        <v>قيادة القوات الاستراتيجية</v>
      </c>
      <c r="F162" s="14" t="str">
        <f>IFERROR(INDEX('قائمة الوحدات'!$F$2:$F$41,MATCH($B162,'قائمة الوحدات'!$A$2:$A$41,0)),"")</f>
        <v>قيادة القوات الاستراتيجية</v>
      </c>
      <c r="G162" s="16" t="s">
        <v>61</v>
      </c>
      <c r="H162" s="14" t="str">
        <f>IFERROR(INDEX(المرجع!$A$2:$A$19,MATCH($G162,المرجع!$B$2:$B$19,0)),"")</f>
        <v>البناء المؤسسي</v>
      </c>
      <c r="I162" s="16" t="s">
        <v>51</v>
      </c>
      <c r="J162" s="14" t="str">
        <f>IFERROR(INDEX(المرجع!$D$2:$D$19,MATCH($I162,المرجع!$E$2:$E$19,0)),"")</f>
        <v>الحوكمة</v>
      </c>
      <c r="K162" s="16" t="s">
        <v>92</v>
      </c>
      <c r="L162" s="17" t="str">
        <f>IFERROR(INDEX('نقاط التحقق'!$G$2:$G$31,MATCH($K162,'نقاط التحقق'!$A$2:$A$31,0))&amp;"","")</f>
        <v>مصفوفة صلاحيات معتمدة ومعممة على أصحاب المصلحة</v>
      </c>
      <c r="M162" s="13">
        <v>60</v>
      </c>
      <c r="N162" s="15" t="str">
        <f>IF($M162="","غير مقيّمة",IF($M162&gt;المرجع!$K$3,"مستوفاة بشكل متقدم",IF($M162&lt;=المرجع!$K$2,"مستوفاة بشكل أولي","مستوفاة بشكل جزئي")))</f>
        <v>مستوفاة بشكل جزئي</v>
      </c>
      <c r="O162" s="18"/>
    </row>
    <row r="163" spans="1:15">
      <c r="A163" s="16" t="s">
        <v>967</v>
      </c>
      <c r="B163" s="16" t="s">
        <v>200</v>
      </c>
      <c r="C163" s="15" t="str">
        <f>IFERROR(INDEX('قائمة الوحدات'!$B$2:$B$41,MATCH($B163,'قائمة الوحدات'!$A$2:$A$41,0)),"")</f>
        <v>MIL</v>
      </c>
      <c r="D163" s="14" t="str">
        <f>IFERROR(INDEX('قائمة الوحدات'!$C$2:$C$41,MATCH($B163,'قائمة الوحدات'!$A$2:$A$41,0)),"")</f>
        <v>الجهاز العسكري</v>
      </c>
      <c r="E163" s="14" t="str">
        <f>IFERROR(INDEX('قائمة الوحدات'!$D$2:$D$41,MATCH($B163,'قائمة الوحدات'!$A$2:$A$41,0)),"")</f>
        <v>قيادة القوات الاستراتيجية</v>
      </c>
      <c r="F163" s="14" t="str">
        <f>IFERROR(INDEX('قائمة الوحدات'!$F$2:$F$41,MATCH($B163,'قائمة الوحدات'!$A$2:$A$41,0)),"")</f>
        <v>قيادة القوات الاستراتيجية</v>
      </c>
      <c r="G163" s="16" t="s">
        <v>61</v>
      </c>
      <c r="H163" s="14" t="str">
        <f>IFERROR(INDEX(المرجع!$A$2:$A$19,MATCH($G163,المرجع!$B$2:$B$19,0)),"")</f>
        <v>البناء المؤسسي</v>
      </c>
      <c r="I163" s="16" t="s">
        <v>51</v>
      </c>
      <c r="J163" s="14" t="str">
        <f>IFERROR(INDEX(المرجع!$D$2:$D$19,MATCH($I163,المرجع!$E$2:$E$19,0)),"")</f>
        <v>الحوكمة</v>
      </c>
      <c r="K163" s="16" t="s">
        <v>94</v>
      </c>
      <c r="L163" s="17" t="str">
        <f>IFERROR(INDEX('نقاط التحقق'!$G$2:$G$31,MATCH($K163,'نقاط التحقق'!$A$2:$A$31,0))&amp;"","")</f>
        <v>سياسات معتمدة للتي تملكها الوحدة التنظيمية</v>
      </c>
      <c r="M163" s="13">
        <v>40</v>
      </c>
      <c r="N163" s="15" t="str">
        <f>IF($M163="","غير مقيّمة",IF($M163&gt;المرجع!$K$3,"مستوفاة بشكل متقدم",IF($M163&lt;=المرجع!$K$2,"مستوفاة بشكل أولي","مستوفاة بشكل جزئي")))</f>
        <v>مستوفاة بشكل جزئي</v>
      </c>
      <c r="O163" s="18"/>
    </row>
    <row r="164" spans="1:15">
      <c r="A164" s="16" t="s">
        <v>968</v>
      </c>
      <c r="B164" s="16" t="s">
        <v>200</v>
      </c>
      <c r="C164" s="15" t="str">
        <f>IFERROR(INDEX('قائمة الوحدات'!$B$2:$B$41,MATCH($B164,'قائمة الوحدات'!$A$2:$A$41,0)),"")</f>
        <v>MIL</v>
      </c>
      <c r="D164" s="14" t="str">
        <f>IFERROR(INDEX('قائمة الوحدات'!$C$2:$C$41,MATCH($B164,'قائمة الوحدات'!$A$2:$A$41,0)),"")</f>
        <v>الجهاز العسكري</v>
      </c>
      <c r="E164" s="14" t="str">
        <f>IFERROR(INDEX('قائمة الوحدات'!$D$2:$D$41,MATCH($B164,'قائمة الوحدات'!$A$2:$A$41,0)),"")</f>
        <v>قيادة القوات الاستراتيجية</v>
      </c>
      <c r="F164" s="14" t="str">
        <f>IFERROR(INDEX('قائمة الوحدات'!$F$2:$F$41,MATCH($B164,'قائمة الوحدات'!$A$2:$A$41,0)),"")</f>
        <v>قيادة القوات الاستراتيجية</v>
      </c>
      <c r="G164" s="16" t="s">
        <v>61</v>
      </c>
      <c r="H164" s="14" t="str">
        <f>IFERROR(INDEX(المرجع!$A$2:$A$19,MATCH($G164,المرجع!$B$2:$B$19,0)),"")</f>
        <v>البناء المؤسسي</v>
      </c>
      <c r="I164" s="16" t="s">
        <v>51</v>
      </c>
      <c r="J164" s="14" t="str">
        <f>IFERROR(INDEX(المرجع!$D$2:$D$19,MATCH($I164,المرجع!$E$2:$E$19,0)),"")</f>
        <v>الحوكمة</v>
      </c>
      <c r="K164" s="16" t="s">
        <v>96</v>
      </c>
      <c r="L164" s="17" t="str">
        <f>IFERROR(INDEX('نقاط التحقق'!$G$2:$G$31,MATCH($K164,'نقاط التحقق'!$A$2:$A$31,0))&amp;"","")</f>
        <v>قرار تشكيل معتمد للجان ذات العلاقة</v>
      </c>
      <c r="M164" s="13">
        <v>30</v>
      </c>
      <c r="N164" s="15" t="str">
        <f>IF($M164="","غير مقيّمة",IF($M164&gt;المرجع!$K$3,"مستوفاة بشكل متقدم",IF($M164&lt;=المرجع!$K$2,"مستوفاة بشكل أولي","مستوفاة بشكل جزئي")))</f>
        <v>مستوفاة بشكل أولي</v>
      </c>
      <c r="O164" s="18"/>
    </row>
    <row r="165" spans="1:15">
      <c r="A165" s="16" t="s">
        <v>969</v>
      </c>
      <c r="B165" s="16" t="s">
        <v>200</v>
      </c>
      <c r="C165" s="15" t="str">
        <f>IFERROR(INDEX('قائمة الوحدات'!$B$2:$B$41,MATCH($B165,'قائمة الوحدات'!$A$2:$A$41,0)),"")</f>
        <v>MIL</v>
      </c>
      <c r="D165" s="14" t="str">
        <f>IFERROR(INDEX('قائمة الوحدات'!$C$2:$C$41,MATCH($B165,'قائمة الوحدات'!$A$2:$A$41,0)),"")</f>
        <v>الجهاز العسكري</v>
      </c>
      <c r="E165" s="14" t="str">
        <f>IFERROR(INDEX('قائمة الوحدات'!$D$2:$D$41,MATCH($B165,'قائمة الوحدات'!$A$2:$A$41,0)),"")</f>
        <v>قيادة القوات الاستراتيجية</v>
      </c>
      <c r="F165" s="14" t="str">
        <f>IFERROR(INDEX('قائمة الوحدات'!$F$2:$F$41,MATCH($B165,'قائمة الوحدات'!$A$2:$A$41,0)),"")</f>
        <v>قيادة القوات الاستراتيجية</v>
      </c>
      <c r="G165" s="16" t="s">
        <v>61</v>
      </c>
      <c r="H165" s="14" t="str">
        <f>IFERROR(INDEX(المرجع!$A$2:$A$19,MATCH($G165,المرجع!$B$2:$B$19,0)),"")</f>
        <v>البناء المؤسسي</v>
      </c>
      <c r="I165" s="16" t="s">
        <v>54</v>
      </c>
      <c r="J165" s="14" t="str">
        <f>IFERROR(INDEX(المرجع!$D$2:$D$19,MATCH($I165,المرجع!$E$2:$E$19,0)),"")</f>
        <v>التنظيم</v>
      </c>
      <c r="K165" s="16" t="s">
        <v>98</v>
      </c>
      <c r="L165" s="17" t="str">
        <f>IFERROR(INDEX('نقاط التحقق'!$G$2:$G$31,MATCH($K165,'نقاط التحقق'!$A$2:$A$31,0))&amp;"","")</f>
        <v>هيكل تنظيمي معتمد من صاحب الصلاحية</v>
      </c>
      <c r="M165" s="13">
        <v>65</v>
      </c>
      <c r="N165" s="15" t="str">
        <f>IF($M165="","غير مقيّمة",IF($M165&gt;المرجع!$K$3,"مستوفاة بشكل متقدم",IF($M165&lt;=المرجع!$K$2,"مستوفاة بشكل أولي","مستوفاة بشكل جزئي")))</f>
        <v>مستوفاة بشكل جزئي</v>
      </c>
      <c r="O165" s="18"/>
    </row>
    <row r="166" spans="1:15">
      <c r="A166" s="16" t="s">
        <v>970</v>
      </c>
      <c r="B166" s="16" t="s">
        <v>200</v>
      </c>
      <c r="C166" s="15" t="str">
        <f>IFERROR(INDEX('قائمة الوحدات'!$B$2:$B$41,MATCH($B166,'قائمة الوحدات'!$A$2:$A$41,0)),"")</f>
        <v>MIL</v>
      </c>
      <c r="D166" s="14" t="str">
        <f>IFERROR(INDEX('قائمة الوحدات'!$C$2:$C$41,MATCH($B166,'قائمة الوحدات'!$A$2:$A$41,0)),"")</f>
        <v>الجهاز العسكري</v>
      </c>
      <c r="E166" s="14" t="str">
        <f>IFERROR(INDEX('قائمة الوحدات'!$D$2:$D$41,MATCH($B166,'قائمة الوحدات'!$A$2:$A$41,0)),"")</f>
        <v>قيادة القوات الاستراتيجية</v>
      </c>
      <c r="F166" s="14" t="str">
        <f>IFERROR(INDEX('قائمة الوحدات'!$F$2:$F$41,MATCH($B166,'قائمة الوحدات'!$A$2:$A$41,0)),"")</f>
        <v>قيادة القوات الاستراتيجية</v>
      </c>
      <c r="G166" s="16" t="s">
        <v>61</v>
      </c>
      <c r="H166" s="14" t="str">
        <f>IFERROR(INDEX(المرجع!$A$2:$A$19,MATCH($G166,المرجع!$B$2:$B$19,0)),"")</f>
        <v>البناء المؤسسي</v>
      </c>
      <c r="I166" s="16" t="s">
        <v>54</v>
      </c>
      <c r="J166" s="14" t="str">
        <f>IFERROR(INDEX(المرجع!$D$2:$D$19,MATCH($I166,المرجع!$E$2:$E$19,0)),"")</f>
        <v>التنظيم</v>
      </c>
      <c r="K166" s="16" t="s">
        <v>100</v>
      </c>
      <c r="L166" s="17" t="str">
        <f>IFERROR(INDEX('نقاط التحقق'!$G$2:$G$31,MATCH($K166,'نقاط التحقق'!$A$2:$A$31,0))&amp;"","")</f>
        <v>هيكل تنظيمي منشأ على نظام القوى العاملة</v>
      </c>
      <c r="M166" s="13">
        <v>60</v>
      </c>
      <c r="N166" s="15" t="str">
        <f>IF($M166="","غير مقيّمة",IF($M166&gt;المرجع!$K$3,"مستوفاة بشكل متقدم",IF($M166&lt;=المرجع!$K$2,"مستوفاة بشكل أولي","مستوفاة بشكل جزئي")))</f>
        <v>مستوفاة بشكل جزئي</v>
      </c>
      <c r="O166" s="18"/>
    </row>
    <row r="167" spans="1:15">
      <c r="A167" s="16" t="s">
        <v>971</v>
      </c>
      <c r="B167" s="16" t="s">
        <v>200</v>
      </c>
      <c r="C167" s="15" t="str">
        <f>IFERROR(INDEX('قائمة الوحدات'!$B$2:$B$41,MATCH($B167,'قائمة الوحدات'!$A$2:$A$41,0)),"")</f>
        <v>MIL</v>
      </c>
      <c r="D167" s="14" t="str">
        <f>IFERROR(INDEX('قائمة الوحدات'!$C$2:$C$41,MATCH($B167,'قائمة الوحدات'!$A$2:$A$41,0)),"")</f>
        <v>الجهاز العسكري</v>
      </c>
      <c r="E167" s="14" t="str">
        <f>IFERROR(INDEX('قائمة الوحدات'!$D$2:$D$41,MATCH($B167,'قائمة الوحدات'!$A$2:$A$41,0)),"")</f>
        <v>قيادة القوات الاستراتيجية</v>
      </c>
      <c r="F167" s="14" t="str">
        <f>IFERROR(INDEX('قائمة الوحدات'!$F$2:$F$41,MATCH($B167,'قائمة الوحدات'!$A$2:$A$41,0)),"")</f>
        <v>قيادة القوات الاستراتيجية</v>
      </c>
      <c r="G167" s="16" t="s">
        <v>61</v>
      </c>
      <c r="H167" s="14" t="str">
        <f>IFERROR(INDEX(المرجع!$A$2:$A$19,MATCH($G167,المرجع!$B$2:$B$19,0)),"")</f>
        <v>البناء المؤسسي</v>
      </c>
      <c r="I167" s="16" t="s">
        <v>54</v>
      </c>
      <c r="J167" s="14" t="str">
        <f>IFERROR(INDEX(المرجع!$D$2:$D$19,MATCH($I167,المرجع!$E$2:$E$19,0)),"")</f>
        <v>التنظيم</v>
      </c>
      <c r="K167" s="16" t="s">
        <v>102</v>
      </c>
      <c r="L167" s="17" t="str">
        <f>IFERROR(INDEX('نقاط التحقق'!$G$2:$G$31,MATCH($K167,'نقاط التحقق'!$A$2:$A$31,0))&amp;"","")</f>
        <v>الموظفون المحددون مسكّنون على الهيكل التنظيمي المستهدف</v>
      </c>
      <c r="M167" s="13">
        <v>60</v>
      </c>
      <c r="N167" s="15" t="str">
        <f>IF($M167="","غير مقيّمة",IF($M167&gt;المرجع!$K$3,"مستوفاة بشكل متقدم",IF($M167&lt;=المرجع!$K$2,"مستوفاة بشكل أولي","مستوفاة بشكل جزئي")))</f>
        <v>مستوفاة بشكل جزئي</v>
      </c>
      <c r="O167" s="18"/>
    </row>
    <row r="168" spans="1:15">
      <c r="A168" s="16" t="s">
        <v>972</v>
      </c>
      <c r="B168" s="16" t="s">
        <v>200</v>
      </c>
      <c r="C168" s="15" t="str">
        <f>IFERROR(INDEX('قائمة الوحدات'!$B$2:$B$41,MATCH($B168,'قائمة الوحدات'!$A$2:$A$41,0)),"")</f>
        <v>MIL</v>
      </c>
      <c r="D168" s="14" t="str">
        <f>IFERROR(INDEX('قائمة الوحدات'!$C$2:$C$41,MATCH($B168,'قائمة الوحدات'!$A$2:$A$41,0)),"")</f>
        <v>الجهاز العسكري</v>
      </c>
      <c r="E168" s="14" t="str">
        <f>IFERROR(INDEX('قائمة الوحدات'!$D$2:$D$41,MATCH($B168,'قائمة الوحدات'!$A$2:$A$41,0)),"")</f>
        <v>قيادة القوات الاستراتيجية</v>
      </c>
      <c r="F168" s="14" t="str">
        <f>IFERROR(INDEX('قائمة الوحدات'!$F$2:$F$41,MATCH($B168,'قائمة الوحدات'!$A$2:$A$41,0)),"")</f>
        <v>قيادة القوات الاستراتيجية</v>
      </c>
      <c r="G168" s="16" t="s">
        <v>61</v>
      </c>
      <c r="H168" s="14" t="str">
        <f>IFERROR(INDEX(المرجع!$A$2:$A$19,MATCH($G168,المرجع!$B$2:$B$19,0)),"")</f>
        <v>البناء المؤسسي</v>
      </c>
      <c r="I168" s="16" t="s">
        <v>56</v>
      </c>
      <c r="J168" s="14" t="str">
        <f>IFERROR(INDEX(المرجع!$D$2:$D$19,MATCH($I168,المرجع!$E$2:$E$19,0)),"")</f>
        <v>الموارد</v>
      </c>
      <c r="K168" s="16" t="s">
        <v>104</v>
      </c>
      <c r="L168" s="17" t="str">
        <f>IFERROR(INDEX('نقاط التحقق'!$G$2:$G$31,MATCH($K168,'نقاط التحقق'!$A$2:$A$31,0))&amp;"","")</f>
        <v>مدير الوحدة التنظيمية والموظفون الرئيسيون معينون/ملحقون</v>
      </c>
      <c r="M168" s="13">
        <v>50</v>
      </c>
      <c r="N168" s="15" t="str">
        <f>IF($M168="","غير مقيّمة",IF($M168&gt;المرجع!$K$3,"مستوفاة بشكل متقدم",IF($M168&lt;=المرجع!$K$2,"مستوفاة بشكل أولي","مستوفاة بشكل جزئي")))</f>
        <v>مستوفاة بشكل جزئي</v>
      </c>
      <c r="O168" s="18"/>
    </row>
    <row r="169" spans="1:15">
      <c r="A169" s="16" t="s">
        <v>973</v>
      </c>
      <c r="B169" s="16" t="s">
        <v>200</v>
      </c>
      <c r="C169" s="15" t="str">
        <f>IFERROR(INDEX('قائمة الوحدات'!$B$2:$B$41,MATCH($B169,'قائمة الوحدات'!$A$2:$A$41,0)),"")</f>
        <v>MIL</v>
      </c>
      <c r="D169" s="14" t="str">
        <f>IFERROR(INDEX('قائمة الوحدات'!$C$2:$C$41,MATCH($B169,'قائمة الوحدات'!$A$2:$A$41,0)),"")</f>
        <v>الجهاز العسكري</v>
      </c>
      <c r="E169" s="14" t="str">
        <f>IFERROR(INDEX('قائمة الوحدات'!$D$2:$D$41,MATCH($B169,'قائمة الوحدات'!$A$2:$A$41,0)),"")</f>
        <v>قيادة القوات الاستراتيجية</v>
      </c>
      <c r="F169" s="14" t="str">
        <f>IFERROR(INDEX('قائمة الوحدات'!$F$2:$F$41,MATCH($B169,'قائمة الوحدات'!$A$2:$A$41,0)),"")</f>
        <v>قيادة القوات الاستراتيجية</v>
      </c>
      <c r="G169" s="16" t="s">
        <v>61</v>
      </c>
      <c r="H169" s="14" t="str">
        <f>IFERROR(INDEX(المرجع!$A$2:$A$19,MATCH($G169,المرجع!$B$2:$B$19,0)),"")</f>
        <v>البناء المؤسسي</v>
      </c>
      <c r="I169" s="16" t="s">
        <v>56</v>
      </c>
      <c r="J169" s="14" t="str">
        <f>IFERROR(INDEX(المرجع!$D$2:$D$19,MATCH($I169,المرجع!$E$2:$E$19,0)),"")</f>
        <v>الموارد</v>
      </c>
      <c r="K169" s="16" t="s">
        <v>106</v>
      </c>
      <c r="L169" s="17" t="str">
        <f>IFERROR(INDEX('نقاط التحقق'!$G$2:$G$31,MATCH($K169,'نقاط التحقق'!$A$2:$A$31,0))&amp;"","")</f>
        <v>خطة توظيف وتدريب مستكملة</v>
      </c>
      <c r="M169" s="13">
        <v>70</v>
      </c>
      <c r="N169" s="15" t="str">
        <f>IF($M169="","غير مقيّمة",IF($M169&gt;المرجع!$K$3,"مستوفاة بشكل متقدم",IF($M169&lt;=المرجع!$K$2,"مستوفاة بشكل أولي","مستوفاة بشكل جزئي")))</f>
        <v>مستوفاة بشكل جزئي</v>
      </c>
      <c r="O169" s="18"/>
    </row>
    <row r="170" spans="1:15">
      <c r="A170" s="16" t="s">
        <v>974</v>
      </c>
      <c r="B170" s="16" t="s">
        <v>200</v>
      </c>
      <c r="C170" s="15" t="str">
        <f>IFERROR(INDEX('قائمة الوحدات'!$B$2:$B$41,MATCH($B170,'قائمة الوحدات'!$A$2:$A$41,0)),"")</f>
        <v>MIL</v>
      </c>
      <c r="D170" s="14" t="str">
        <f>IFERROR(INDEX('قائمة الوحدات'!$C$2:$C$41,MATCH($B170,'قائمة الوحدات'!$A$2:$A$41,0)),"")</f>
        <v>الجهاز العسكري</v>
      </c>
      <c r="E170" s="14" t="str">
        <f>IFERROR(INDEX('قائمة الوحدات'!$D$2:$D$41,MATCH($B170,'قائمة الوحدات'!$A$2:$A$41,0)),"")</f>
        <v>قيادة القوات الاستراتيجية</v>
      </c>
      <c r="F170" s="14" t="str">
        <f>IFERROR(INDEX('قائمة الوحدات'!$F$2:$F$41,MATCH($B170,'قائمة الوحدات'!$A$2:$A$41,0)),"")</f>
        <v>قيادة القوات الاستراتيجية</v>
      </c>
      <c r="G170" s="16" t="s">
        <v>61</v>
      </c>
      <c r="H170" s="14" t="str">
        <f>IFERROR(INDEX(المرجع!$A$2:$A$19,MATCH($G170,المرجع!$B$2:$B$19,0)),"")</f>
        <v>البناء المؤسسي</v>
      </c>
      <c r="I170" s="16" t="s">
        <v>56</v>
      </c>
      <c r="J170" s="14" t="str">
        <f>IFERROR(INDEX(المرجع!$D$2:$D$19,MATCH($I170,المرجع!$E$2:$E$19,0)),"")</f>
        <v>الموارد</v>
      </c>
      <c r="K170" s="16" t="s">
        <v>108</v>
      </c>
      <c r="L170" s="17" t="str">
        <f>IFERROR(INDEX('نقاط التحقق'!$G$2:$G$31,MATCH($K170,'نقاط التحقق'!$A$2:$A$31,0))&amp;"","")</f>
        <v>وجود مساحات مكتبية كافية</v>
      </c>
      <c r="M170" s="13">
        <v>55</v>
      </c>
      <c r="N170" s="15" t="str">
        <f>IF($M170="","غير مقيّمة",IF($M170&gt;المرجع!$K$3,"مستوفاة بشكل متقدم",IF($M170&lt;=المرجع!$K$2,"مستوفاة بشكل أولي","مستوفاة بشكل جزئي")))</f>
        <v>مستوفاة بشكل جزئي</v>
      </c>
      <c r="O170" s="18"/>
    </row>
    <row r="171" spans="1:15">
      <c r="A171" s="16" t="s">
        <v>975</v>
      </c>
      <c r="B171" s="16" t="s">
        <v>200</v>
      </c>
      <c r="C171" s="15" t="str">
        <f>IFERROR(INDEX('قائمة الوحدات'!$B$2:$B$41,MATCH($B171,'قائمة الوحدات'!$A$2:$A$41,0)),"")</f>
        <v>MIL</v>
      </c>
      <c r="D171" s="14" t="str">
        <f>IFERROR(INDEX('قائمة الوحدات'!$C$2:$C$41,MATCH($B171,'قائمة الوحدات'!$A$2:$A$41,0)),"")</f>
        <v>الجهاز العسكري</v>
      </c>
      <c r="E171" s="14" t="str">
        <f>IFERROR(INDEX('قائمة الوحدات'!$D$2:$D$41,MATCH($B171,'قائمة الوحدات'!$A$2:$A$41,0)),"")</f>
        <v>قيادة القوات الاستراتيجية</v>
      </c>
      <c r="F171" s="14" t="str">
        <f>IFERROR(INDEX('قائمة الوحدات'!$F$2:$F$41,MATCH($B171,'قائمة الوحدات'!$A$2:$A$41,0)),"")</f>
        <v>قيادة القوات الاستراتيجية</v>
      </c>
      <c r="G171" s="16" t="s">
        <v>61</v>
      </c>
      <c r="H171" s="14" t="str">
        <f>IFERROR(INDEX(المرجع!$A$2:$A$19,MATCH($G171,المرجع!$B$2:$B$19,0)),"")</f>
        <v>البناء المؤسسي</v>
      </c>
      <c r="I171" s="16" t="s">
        <v>56</v>
      </c>
      <c r="J171" s="14" t="str">
        <f>IFERROR(INDEX(المرجع!$D$2:$D$19,MATCH($I171,المرجع!$E$2:$E$19,0)),"")</f>
        <v>الموارد</v>
      </c>
      <c r="K171" s="16" t="s">
        <v>110</v>
      </c>
      <c r="L171" s="17" t="str">
        <f>IFERROR(INDEX('نقاط التحقق'!$G$2:$G$31,MATCH($K171,'نقاط التحقق'!$A$2:$A$31,0))&amp;"","")</f>
        <v>وجود الاحتياجات التقنية الأساسية</v>
      </c>
      <c r="M171" s="13">
        <v>60</v>
      </c>
      <c r="N171" s="15" t="str">
        <f>IF($M171="","غير مقيّمة",IF($M171&gt;المرجع!$K$3,"مستوفاة بشكل متقدم",IF($M171&lt;=المرجع!$K$2,"مستوفاة بشكل أولي","مستوفاة بشكل جزئي")))</f>
        <v>مستوفاة بشكل جزئي</v>
      </c>
      <c r="O171" s="18"/>
    </row>
    <row r="172" spans="1:15">
      <c r="A172" s="16" t="s">
        <v>976</v>
      </c>
      <c r="B172" s="16" t="s">
        <v>200</v>
      </c>
      <c r="C172" s="15" t="str">
        <f>IFERROR(INDEX('قائمة الوحدات'!$B$2:$B$41,MATCH($B172,'قائمة الوحدات'!$A$2:$A$41,0)),"")</f>
        <v>MIL</v>
      </c>
      <c r="D172" s="14" t="str">
        <f>IFERROR(INDEX('قائمة الوحدات'!$C$2:$C$41,MATCH($B172,'قائمة الوحدات'!$A$2:$A$41,0)),"")</f>
        <v>الجهاز العسكري</v>
      </c>
      <c r="E172" s="14" t="str">
        <f>IFERROR(INDEX('قائمة الوحدات'!$D$2:$D$41,MATCH($B172,'قائمة الوحدات'!$A$2:$A$41,0)),"")</f>
        <v>قيادة القوات الاستراتيجية</v>
      </c>
      <c r="F172" s="14" t="str">
        <f>IFERROR(INDEX('قائمة الوحدات'!$F$2:$F$41,MATCH($B172,'قائمة الوحدات'!$A$2:$A$41,0)),"")</f>
        <v>قيادة القوات الاستراتيجية</v>
      </c>
      <c r="G172" s="16" t="s">
        <v>61</v>
      </c>
      <c r="H172" s="14" t="str">
        <f>IFERROR(INDEX(المرجع!$A$2:$A$19,MATCH($G172,المرجع!$B$2:$B$19,0)),"")</f>
        <v>البناء المؤسسي</v>
      </c>
      <c r="I172" s="16" t="s">
        <v>59</v>
      </c>
      <c r="J172" s="14" t="str">
        <f>IFERROR(INDEX(المرجع!$D$2:$D$19,MATCH($I172,المرجع!$E$2:$E$19,0)),"")</f>
        <v>الإجراءات</v>
      </c>
      <c r="K172" s="16" t="s">
        <v>112</v>
      </c>
      <c r="L172" s="17" t="str">
        <f>IFERROR(INDEX('نقاط التحقق'!$G$2:$G$31,MATCH($K172,'نقاط التحقق'!$A$2:$A$31,0))&amp;"","")</f>
        <v>إجراءات معتمدة للوحدة التنظيمية</v>
      </c>
      <c r="M172" s="13">
        <v>45</v>
      </c>
      <c r="N172" s="15" t="str">
        <f>IF($M172="","غير مقيّمة",IF($M172&gt;المرجع!$K$3,"مستوفاة بشكل متقدم",IF($M172&lt;=المرجع!$K$2,"مستوفاة بشكل أولي","مستوفاة بشكل جزئي")))</f>
        <v>مستوفاة بشكل جزئي</v>
      </c>
      <c r="O172" s="18"/>
    </row>
    <row r="173" spans="1:15">
      <c r="A173" s="16" t="s">
        <v>977</v>
      </c>
      <c r="B173" s="16" t="s">
        <v>200</v>
      </c>
      <c r="C173" s="15" t="str">
        <f>IFERROR(INDEX('قائمة الوحدات'!$B$2:$B$41,MATCH($B173,'قائمة الوحدات'!$A$2:$A$41,0)),"")</f>
        <v>MIL</v>
      </c>
      <c r="D173" s="14" t="str">
        <f>IFERROR(INDEX('قائمة الوحدات'!$C$2:$C$41,MATCH($B173,'قائمة الوحدات'!$A$2:$A$41,0)),"")</f>
        <v>الجهاز العسكري</v>
      </c>
      <c r="E173" s="14" t="str">
        <f>IFERROR(INDEX('قائمة الوحدات'!$D$2:$D$41,MATCH($B173,'قائمة الوحدات'!$A$2:$A$41,0)),"")</f>
        <v>قيادة القوات الاستراتيجية</v>
      </c>
      <c r="F173" s="14" t="str">
        <f>IFERROR(INDEX('قائمة الوحدات'!$F$2:$F$41,MATCH($B173,'قائمة الوحدات'!$A$2:$A$41,0)),"")</f>
        <v>قيادة القوات الاستراتيجية</v>
      </c>
      <c r="G173" s="16" t="s">
        <v>61</v>
      </c>
      <c r="H173" s="14" t="str">
        <f>IFERROR(INDEX(المرجع!$A$2:$A$19,MATCH($G173,المرجع!$B$2:$B$19,0)),"")</f>
        <v>البناء المؤسسي</v>
      </c>
      <c r="I173" s="16" t="s">
        <v>63</v>
      </c>
      <c r="J173" s="14" t="str">
        <f>IFERROR(INDEX(المرجع!$D$2:$D$19,MATCH($I173,المرجع!$E$2:$E$19,0)),"")</f>
        <v>إنتاج المخرج الأول</v>
      </c>
      <c r="K173" s="16" t="s">
        <v>114</v>
      </c>
      <c r="L173" s="17" t="str">
        <f>IFERROR(INDEX('نقاط التحقق'!$G$2:$G$31,MATCH($K173,'نقاط التحقق'!$A$2:$A$31,0))&amp;"","")</f>
        <v>إنتاج المخرج الأول من قبل الوحدة التنظيمية</v>
      </c>
      <c r="M173" s="13">
        <v>82</v>
      </c>
      <c r="N173" s="15" t="str">
        <f>IF($M173="","غير مقيّمة",IF($M173&gt;المرجع!$K$3,"مستوفاة بشكل متقدم",IF($M173&lt;=المرجع!$K$2,"مستوفاة بشكل أولي","مستوفاة بشكل جزئي")))</f>
        <v>مستوفاة بشكل متقدم</v>
      </c>
      <c r="O173" s="18"/>
    </row>
    <row r="174" spans="1:15">
      <c r="A174" s="16" t="s">
        <v>978</v>
      </c>
      <c r="B174" s="16" t="s">
        <v>200</v>
      </c>
      <c r="C174" s="15" t="str">
        <f>IFERROR(INDEX('قائمة الوحدات'!$B$2:$B$41,MATCH($B174,'قائمة الوحدات'!$A$2:$A$41,0)),"")</f>
        <v>MIL</v>
      </c>
      <c r="D174" s="14" t="str">
        <f>IFERROR(INDEX('قائمة الوحدات'!$C$2:$C$41,MATCH($B174,'قائمة الوحدات'!$A$2:$A$41,0)),"")</f>
        <v>الجهاز العسكري</v>
      </c>
      <c r="E174" s="14" t="str">
        <f>IFERROR(INDEX('قائمة الوحدات'!$D$2:$D$41,MATCH($B174,'قائمة الوحدات'!$A$2:$A$41,0)),"")</f>
        <v>قيادة القوات الاستراتيجية</v>
      </c>
      <c r="F174" s="14" t="str">
        <f>IFERROR(INDEX('قائمة الوحدات'!$F$2:$F$41,MATCH($B174,'قائمة الوحدات'!$A$2:$A$41,0)),"")</f>
        <v>قيادة القوات الاستراتيجية</v>
      </c>
      <c r="G174" s="16" t="s">
        <v>65</v>
      </c>
      <c r="H174" s="14" t="str">
        <f>IFERROR(INDEX(المرجع!$A$2:$A$19,MATCH($G174,المرجع!$B$2:$B$19,0)),"")</f>
        <v>التشغيل</v>
      </c>
      <c r="I174" s="16" t="s">
        <v>48</v>
      </c>
      <c r="J174" s="14" t="str">
        <f>IFERROR(INDEX(المرجع!$D$2:$D$19,MATCH($I174,المرجع!$E$2:$E$19,0)),"")</f>
        <v>الأهداف ومؤشرات الأداء</v>
      </c>
      <c r="K174" s="16" t="s">
        <v>116</v>
      </c>
      <c r="L174" s="17" t="str">
        <f>IFERROR(INDEX('نقاط التحقق'!$G$2:$G$31,MATCH($K174,'نقاط التحقق'!$A$2:$A$31,0))&amp;"","")</f>
        <v>تحرك مؤشرات الأداء التشغيلي للوحدة التنظيمية بشكل إيجابي</v>
      </c>
      <c r="M174" s="13">
        <v>35</v>
      </c>
      <c r="N174" s="15" t="str">
        <f>IF($M174="","غير مقيّمة",IF($M174&gt;المرجع!$K$3,"مستوفاة بشكل متقدم",IF($M174&lt;=المرجع!$K$2,"مستوفاة بشكل أولي","مستوفاة بشكل جزئي")))</f>
        <v>مستوفاة بشكل جزئي</v>
      </c>
      <c r="O174" s="18"/>
    </row>
    <row r="175" spans="1:15">
      <c r="A175" s="16" t="s">
        <v>979</v>
      </c>
      <c r="B175" s="16" t="s">
        <v>200</v>
      </c>
      <c r="C175" s="15" t="str">
        <f>IFERROR(INDEX('قائمة الوحدات'!$B$2:$B$41,MATCH($B175,'قائمة الوحدات'!$A$2:$A$41,0)),"")</f>
        <v>MIL</v>
      </c>
      <c r="D175" s="14" t="str">
        <f>IFERROR(INDEX('قائمة الوحدات'!$C$2:$C$41,MATCH($B175,'قائمة الوحدات'!$A$2:$A$41,0)),"")</f>
        <v>الجهاز العسكري</v>
      </c>
      <c r="E175" s="14" t="str">
        <f>IFERROR(INDEX('قائمة الوحدات'!$D$2:$D$41,MATCH($B175,'قائمة الوحدات'!$A$2:$A$41,0)),"")</f>
        <v>قيادة القوات الاستراتيجية</v>
      </c>
      <c r="F175" s="14" t="str">
        <f>IFERROR(INDEX('قائمة الوحدات'!$F$2:$F$41,MATCH($B175,'قائمة الوحدات'!$A$2:$A$41,0)),"")</f>
        <v>قيادة القوات الاستراتيجية</v>
      </c>
      <c r="G175" s="16" t="s">
        <v>65</v>
      </c>
      <c r="H175" s="14" t="str">
        <f>IFERROR(INDEX(المرجع!$A$2:$A$19,MATCH($G175,المرجع!$B$2:$B$19,0)),"")</f>
        <v>التشغيل</v>
      </c>
      <c r="I175" s="16" t="s">
        <v>48</v>
      </c>
      <c r="J175" s="14" t="str">
        <f>IFERROR(INDEX(المرجع!$D$2:$D$19,MATCH($I175,المرجع!$E$2:$E$19,0)),"")</f>
        <v>الأهداف ومؤشرات الأداء</v>
      </c>
      <c r="K175" s="16" t="s">
        <v>118</v>
      </c>
      <c r="L175" s="17" t="str">
        <f>IFERROR(INDEX('نقاط التحقق'!$G$2:$G$31,MATCH($K175,'نقاط التحقق'!$A$2:$A$31,0))&amp;"","")</f>
        <v>خطة سنوية معتمدة للوحدة التنظيمية</v>
      </c>
      <c r="M175" s="13">
        <v>30</v>
      </c>
      <c r="N175" s="15" t="str">
        <f>IF($M175="","غير مقيّمة",IF($M175&gt;المرجع!$K$3,"مستوفاة بشكل متقدم",IF($M175&lt;=المرجع!$K$2,"مستوفاة بشكل أولي","مستوفاة بشكل جزئي")))</f>
        <v>مستوفاة بشكل أولي</v>
      </c>
      <c r="O175" s="18"/>
    </row>
    <row r="176" spans="1:15">
      <c r="A176" s="16" t="s">
        <v>980</v>
      </c>
      <c r="B176" s="16" t="s">
        <v>200</v>
      </c>
      <c r="C176" s="15" t="str">
        <f>IFERROR(INDEX('قائمة الوحدات'!$B$2:$B$41,MATCH($B176,'قائمة الوحدات'!$A$2:$A$41,0)),"")</f>
        <v>MIL</v>
      </c>
      <c r="D176" s="14" t="str">
        <f>IFERROR(INDEX('قائمة الوحدات'!$C$2:$C$41,MATCH($B176,'قائمة الوحدات'!$A$2:$A$41,0)),"")</f>
        <v>الجهاز العسكري</v>
      </c>
      <c r="E176" s="14" t="str">
        <f>IFERROR(INDEX('قائمة الوحدات'!$D$2:$D$41,MATCH($B176,'قائمة الوحدات'!$A$2:$A$41,0)),"")</f>
        <v>قيادة القوات الاستراتيجية</v>
      </c>
      <c r="F176" s="14" t="str">
        <f>IFERROR(INDEX('قائمة الوحدات'!$F$2:$F$41,MATCH($B176,'قائمة الوحدات'!$A$2:$A$41,0)),"")</f>
        <v>قيادة القوات الاستراتيجية</v>
      </c>
      <c r="G176" s="16" t="s">
        <v>65</v>
      </c>
      <c r="H176" s="14" t="str">
        <f>IFERROR(INDEX(المرجع!$A$2:$A$19,MATCH($G176,المرجع!$B$2:$B$19,0)),"")</f>
        <v>التشغيل</v>
      </c>
      <c r="I176" s="16" t="s">
        <v>51</v>
      </c>
      <c r="J176" s="14" t="str">
        <f>IFERROR(INDEX(المرجع!$D$2:$D$19,MATCH($I176,المرجع!$E$2:$E$19,0)),"")</f>
        <v>الحوكمة</v>
      </c>
      <c r="K176" s="16" t="s">
        <v>120</v>
      </c>
      <c r="L176" s="17" t="str">
        <f>IFERROR(INDEX('نقاط التحقق'!$G$2:$G$31,MATCH($K176,'نقاط التحقق'!$A$2:$A$31,0))&amp;"","")</f>
        <v>محاضر لجان موثقة</v>
      </c>
      <c r="M176" s="13">
        <v>30</v>
      </c>
      <c r="N176" s="15" t="str">
        <f>IF($M176="","غير مقيّمة",IF($M176&gt;المرجع!$K$3,"مستوفاة بشكل متقدم",IF($M176&lt;=المرجع!$K$2,"مستوفاة بشكل أولي","مستوفاة بشكل جزئي")))</f>
        <v>مستوفاة بشكل أولي</v>
      </c>
      <c r="O176" s="18"/>
    </row>
    <row r="177" spans="1:15">
      <c r="A177" s="16" t="s">
        <v>981</v>
      </c>
      <c r="B177" s="16" t="s">
        <v>200</v>
      </c>
      <c r="C177" s="15" t="str">
        <f>IFERROR(INDEX('قائمة الوحدات'!$B$2:$B$41,MATCH($B177,'قائمة الوحدات'!$A$2:$A$41,0)),"")</f>
        <v>MIL</v>
      </c>
      <c r="D177" s="14" t="str">
        <f>IFERROR(INDEX('قائمة الوحدات'!$C$2:$C$41,MATCH($B177,'قائمة الوحدات'!$A$2:$A$41,0)),"")</f>
        <v>الجهاز العسكري</v>
      </c>
      <c r="E177" s="14" t="str">
        <f>IFERROR(INDEX('قائمة الوحدات'!$D$2:$D$41,MATCH($B177,'قائمة الوحدات'!$A$2:$A$41,0)),"")</f>
        <v>قيادة القوات الاستراتيجية</v>
      </c>
      <c r="F177" s="14" t="str">
        <f>IFERROR(INDEX('قائمة الوحدات'!$F$2:$F$41,MATCH($B177,'قائمة الوحدات'!$A$2:$A$41,0)),"")</f>
        <v>قيادة القوات الاستراتيجية</v>
      </c>
      <c r="G177" s="16" t="s">
        <v>65</v>
      </c>
      <c r="H177" s="14" t="str">
        <f>IFERROR(INDEX(المرجع!$A$2:$A$19,MATCH($G177,المرجع!$B$2:$B$19,0)),"")</f>
        <v>التشغيل</v>
      </c>
      <c r="I177" s="16" t="s">
        <v>51</v>
      </c>
      <c r="J177" s="14" t="str">
        <f>IFERROR(INDEX(المرجع!$D$2:$D$19,MATCH($I177,المرجع!$E$2:$E$19,0)),"")</f>
        <v>الحوكمة</v>
      </c>
      <c r="K177" s="16" t="s">
        <v>122</v>
      </c>
      <c r="L177" s="17" t="str">
        <f>IFERROR(INDEX('نقاط التحقق'!$G$2:$G$31,MATCH($K177,'نقاط التحقق'!$A$2:$A$31,0))&amp;"","")</f>
        <v>نشر السياسات التي تملكها الوحدة التنظيمية</v>
      </c>
      <c r="M177" s="13">
        <v>30</v>
      </c>
      <c r="N177" s="15" t="str">
        <f>IF($M177="","غير مقيّمة",IF($M177&gt;المرجع!$K$3,"مستوفاة بشكل متقدم",IF($M177&lt;=المرجع!$K$2,"مستوفاة بشكل أولي","مستوفاة بشكل جزئي")))</f>
        <v>مستوفاة بشكل أولي</v>
      </c>
      <c r="O177" s="18"/>
    </row>
    <row r="178" spans="1:15">
      <c r="A178" s="16" t="s">
        <v>982</v>
      </c>
      <c r="B178" s="16" t="s">
        <v>200</v>
      </c>
      <c r="C178" s="15" t="str">
        <f>IFERROR(INDEX('قائمة الوحدات'!$B$2:$B$41,MATCH($B178,'قائمة الوحدات'!$A$2:$A$41,0)),"")</f>
        <v>MIL</v>
      </c>
      <c r="D178" s="14" t="str">
        <f>IFERROR(INDEX('قائمة الوحدات'!$C$2:$C$41,MATCH($B178,'قائمة الوحدات'!$A$2:$A$41,0)),"")</f>
        <v>الجهاز العسكري</v>
      </c>
      <c r="E178" s="14" t="str">
        <f>IFERROR(INDEX('قائمة الوحدات'!$D$2:$D$41,MATCH($B178,'قائمة الوحدات'!$A$2:$A$41,0)),"")</f>
        <v>قيادة القوات الاستراتيجية</v>
      </c>
      <c r="F178" s="14" t="str">
        <f>IFERROR(INDEX('قائمة الوحدات'!$F$2:$F$41,MATCH($B178,'قائمة الوحدات'!$A$2:$A$41,0)),"")</f>
        <v>قيادة القوات الاستراتيجية</v>
      </c>
      <c r="G178" s="16" t="s">
        <v>65</v>
      </c>
      <c r="H178" s="14" t="str">
        <f>IFERROR(INDEX(المرجع!$A$2:$A$19,MATCH($G178,المرجع!$B$2:$B$19,0)),"")</f>
        <v>التشغيل</v>
      </c>
      <c r="I178" s="16" t="s">
        <v>51</v>
      </c>
      <c r="J178" s="14" t="str">
        <f>IFERROR(INDEX(المرجع!$D$2:$D$19,MATCH($I178,المرجع!$E$2:$E$19,0)),"")</f>
        <v>الحوكمة</v>
      </c>
      <c r="K178" s="16" t="s">
        <v>124</v>
      </c>
      <c r="L178" s="17" t="str">
        <f>IFERROR(INDEX('نقاط التحقق'!$G$2:$G$31,MATCH($K178,'نقاط التحقق'!$A$2:$A$31,0))&amp;"","")</f>
        <v>اتخاذ القرارات في نطاق الصلاحيات (وجود شواهد)</v>
      </c>
      <c r="M178" s="13">
        <v>30</v>
      </c>
      <c r="N178" s="15" t="str">
        <f>IF($M178="","غير مقيّمة",IF($M178&gt;المرجع!$K$3,"مستوفاة بشكل متقدم",IF($M178&lt;=المرجع!$K$2,"مستوفاة بشكل أولي","مستوفاة بشكل جزئي")))</f>
        <v>مستوفاة بشكل أولي</v>
      </c>
      <c r="O178" s="18"/>
    </row>
    <row r="179" spans="1:15">
      <c r="A179" s="16" t="s">
        <v>983</v>
      </c>
      <c r="B179" s="16" t="s">
        <v>200</v>
      </c>
      <c r="C179" s="15" t="str">
        <f>IFERROR(INDEX('قائمة الوحدات'!$B$2:$B$41,MATCH($B179,'قائمة الوحدات'!$A$2:$A$41,0)),"")</f>
        <v>MIL</v>
      </c>
      <c r="D179" s="14" t="str">
        <f>IFERROR(INDEX('قائمة الوحدات'!$C$2:$C$41,MATCH($B179,'قائمة الوحدات'!$A$2:$A$41,0)),"")</f>
        <v>الجهاز العسكري</v>
      </c>
      <c r="E179" s="14" t="str">
        <f>IFERROR(INDEX('قائمة الوحدات'!$D$2:$D$41,MATCH($B179,'قائمة الوحدات'!$A$2:$A$41,0)),"")</f>
        <v>قيادة القوات الاستراتيجية</v>
      </c>
      <c r="F179" s="14" t="str">
        <f>IFERROR(INDEX('قائمة الوحدات'!$F$2:$F$41,MATCH($B179,'قائمة الوحدات'!$A$2:$A$41,0)),"")</f>
        <v>قيادة القوات الاستراتيجية</v>
      </c>
      <c r="G179" s="16" t="s">
        <v>65</v>
      </c>
      <c r="H179" s="14" t="str">
        <f>IFERROR(INDEX(المرجع!$A$2:$A$19,MATCH($G179,المرجع!$B$2:$B$19,0)),"")</f>
        <v>التشغيل</v>
      </c>
      <c r="I179" s="16" t="s">
        <v>56</v>
      </c>
      <c r="J179" s="14" t="str">
        <f>IFERROR(INDEX(المرجع!$D$2:$D$19,MATCH($I179,المرجع!$E$2:$E$19,0)),"")</f>
        <v>الموارد</v>
      </c>
      <c r="K179" s="16" t="s">
        <v>126</v>
      </c>
      <c r="L179" s="17" t="str">
        <f>IFERROR(INDEX('نقاط التحقق'!$G$2:$G$31,MATCH($K179,'نقاط التحقق'!$A$2:$A$31,0))&amp;"","")</f>
        <v>موارد مستكملة للحد الأدنى الذي يغطي كافة محاور سلسلة القيمة</v>
      </c>
      <c r="M179" s="13">
        <v>44</v>
      </c>
      <c r="N179" s="15" t="str">
        <f>IF($M179="","غير مقيّمة",IF($M179&gt;المرجع!$K$3,"مستوفاة بشكل متقدم",IF($M179&lt;=المرجع!$K$2,"مستوفاة بشكل أولي","مستوفاة بشكل جزئي")))</f>
        <v>مستوفاة بشكل جزئي</v>
      </c>
      <c r="O179" s="18"/>
    </row>
    <row r="180" spans="1:15">
      <c r="A180" s="16" t="s">
        <v>984</v>
      </c>
      <c r="B180" s="16" t="s">
        <v>200</v>
      </c>
      <c r="C180" s="15" t="str">
        <f>IFERROR(INDEX('قائمة الوحدات'!$B$2:$B$41,MATCH($B180,'قائمة الوحدات'!$A$2:$A$41,0)),"")</f>
        <v>MIL</v>
      </c>
      <c r="D180" s="14" t="str">
        <f>IFERROR(INDEX('قائمة الوحدات'!$C$2:$C$41,MATCH($B180,'قائمة الوحدات'!$A$2:$A$41,0)),"")</f>
        <v>الجهاز العسكري</v>
      </c>
      <c r="E180" s="14" t="str">
        <f>IFERROR(INDEX('قائمة الوحدات'!$D$2:$D$41,MATCH($B180,'قائمة الوحدات'!$A$2:$A$41,0)),"")</f>
        <v>قيادة القوات الاستراتيجية</v>
      </c>
      <c r="F180" s="14" t="str">
        <f>IFERROR(INDEX('قائمة الوحدات'!$F$2:$F$41,MATCH($B180,'قائمة الوحدات'!$A$2:$A$41,0)),"")</f>
        <v>قيادة القوات الاستراتيجية</v>
      </c>
      <c r="G180" s="16" t="s">
        <v>65</v>
      </c>
      <c r="H180" s="14" t="str">
        <f>IFERROR(INDEX(المرجع!$A$2:$A$19,MATCH($G180,المرجع!$B$2:$B$19,0)),"")</f>
        <v>التشغيل</v>
      </c>
      <c r="I180" s="16" t="s">
        <v>59</v>
      </c>
      <c r="J180" s="14" t="str">
        <f>IFERROR(INDEX(المرجع!$D$2:$D$19,MATCH($I180,المرجع!$E$2:$E$19,0)),"")</f>
        <v>الإجراءات</v>
      </c>
      <c r="K180" s="16" t="s">
        <v>128</v>
      </c>
      <c r="L180" s="17" t="str">
        <f>IFERROR(INDEX('نقاط التحقق'!$G$2:$G$31,MATCH($K180,'نقاط التحقق'!$A$2:$A$31,0))&amp;"","")</f>
        <v>تحقيق تقييم "مطبق بشكل كامل" من منهجية تقييم فعالية الإجراءات</v>
      </c>
      <c r="M180" s="13">
        <v>61</v>
      </c>
      <c r="N180" s="15" t="str">
        <f>IF($M180="","غير مقيّمة",IF($M180&gt;المرجع!$K$3,"مستوفاة بشكل متقدم",IF($M180&lt;=المرجع!$K$2,"مستوفاة بشكل أولي","مستوفاة بشكل جزئي")))</f>
        <v>مستوفاة بشكل جزئي</v>
      </c>
      <c r="O180" s="18"/>
    </row>
    <row r="181" spans="1:15">
      <c r="A181" s="16" t="s">
        <v>985</v>
      </c>
      <c r="B181" s="16" t="s">
        <v>200</v>
      </c>
      <c r="C181" s="15" t="str">
        <f>IFERROR(INDEX('قائمة الوحدات'!$B$2:$B$41,MATCH($B181,'قائمة الوحدات'!$A$2:$A$41,0)),"")</f>
        <v>MIL</v>
      </c>
      <c r="D181" s="14" t="str">
        <f>IFERROR(INDEX('قائمة الوحدات'!$C$2:$C$41,MATCH($B181,'قائمة الوحدات'!$A$2:$A$41,0)),"")</f>
        <v>الجهاز العسكري</v>
      </c>
      <c r="E181" s="14" t="str">
        <f>IFERROR(INDEX('قائمة الوحدات'!$D$2:$D$41,MATCH($B181,'قائمة الوحدات'!$A$2:$A$41,0)),"")</f>
        <v>قيادة القوات الاستراتيجية</v>
      </c>
      <c r="F181" s="14" t="str">
        <f>IFERROR(INDEX('قائمة الوحدات'!$F$2:$F$41,MATCH($B181,'قائمة الوحدات'!$A$2:$A$41,0)),"")</f>
        <v>قيادة القوات الاستراتيجية</v>
      </c>
      <c r="G181" s="16" t="s">
        <v>65</v>
      </c>
      <c r="H181" s="14" t="str">
        <f>IFERROR(INDEX(المرجع!$A$2:$A$19,MATCH($G181,المرجع!$B$2:$B$19,0)),"")</f>
        <v>التشغيل</v>
      </c>
      <c r="I181" s="16" t="s">
        <v>67</v>
      </c>
      <c r="J181" s="14" t="str">
        <f>IFERROR(INDEX(المرجع!$D$2:$D$19,MATCH($I181,المرجع!$E$2:$E$19,0)),"")</f>
        <v>اكتمال المخرجات المستهدفة</v>
      </c>
      <c r="K181" s="16" t="s">
        <v>130</v>
      </c>
      <c r="L181" s="17" t="str">
        <f>IFERROR(INDEX('نقاط التحقق'!$G$2:$G$31,MATCH($K181,'نقاط التحقق'!$A$2:$A$31,0))&amp;"","")</f>
        <v>اكتمال مخرجات النموذج التشغيلي المستهدف للوحدة التنظيمية</v>
      </c>
      <c r="M181" s="13">
        <v>27</v>
      </c>
      <c r="N181" s="15" t="str">
        <f>IF($M181="","غير مقيّمة",IF($M181&gt;المرجع!$K$3,"مستوفاة بشكل متقدم",IF($M181&lt;=المرجع!$K$2,"مستوفاة بشكل أولي","مستوفاة بشكل جزئي")))</f>
        <v>مستوفاة بشكل أولي</v>
      </c>
      <c r="O181" s="18"/>
    </row>
    <row r="182" spans="1:15">
      <c r="A182" s="16" t="s">
        <v>986</v>
      </c>
      <c r="B182" s="16" t="s">
        <v>202</v>
      </c>
      <c r="C182" s="15" t="str">
        <f>IFERROR(INDEX('قائمة الوحدات'!$B$2:$B$41,MATCH($B182,'قائمة الوحدات'!$A$2:$A$41,0)),"")</f>
        <v>MIL</v>
      </c>
      <c r="D182" s="14" t="str">
        <f>IFERROR(INDEX('قائمة الوحدات'!$C$2:$C$41,MATCH($B182,'قائمة الوحدات'!$A$2:$A$41,0)),"")</f>
        <v>الجهاز العسكري</v>
      </c>
      <c r="E182" s="14" t="str">
        <f>IFERROR(INDEX('قائمة الوحدات'!$D$2:$D$41,MATCH($B182,'قائمة الوحدات'!$A$2:$A$41,0)),"")</f>
        <v>الإدارة العامة للاستخبارات العسكرية</v>
      </c>
      <c r="F182" s="14" t="str">
        <f>IFERROR(INDEX('قائمة الوحدات'!$F$2:$F$41,MATCH($B182,'قائمة الوحدات'!$A$2:$A$41,0)),"")</f>
        <v>الإدارة العامة للاستخبارات العسكرية</v>
      </c>
      <c r="G182" s="16" t="s">
        <v>43</v>
      </c>
      <c r="H182" s="14" t="str">
        <f>IFERROR(INDEX(المرجع!$A$2:$A$19,MATCH($G182,المرجع!$B$2:$B$19,0)),"")</f>
        <v>التصميم</v>
      </c>
      <c r="I182" s="16" t="s">
        <v>45</v>
      </c>
      <c r="J182" s="14" t="str">
        <f>IFERROR(INDEX(المرجع!$D$2:$D$19,MATCH($I182,المرجع!$E$2:$E$19,0)),"")</f>
        <v>الدور</v>
      </c>
      <c r="K182" s="16" t="s">
        <v>72</v>
      </c>
      <c r="L182" s="17" t="str">
        <f>IFERROR(INDEX('نقاط التحقق'!$G$2:$G$31,MATCH($K182,'نقاط التحقق'!$A$2:$A$31,0))&amp;"","")</f>
        <v>دور مفصل للوحدة التنظيمية</v>
      </c>
      <c r="M182" s="13">
        <v>95</v>
      </c>
      <c r="N182" s="15" t="str">
        <f>IF($M182="","غير مقيّمة",IF($M182&gt;المرجع!$K$3,"مستوفاة بشكل متقدم",IF($M182&lt;=المرجع!$K$2,"مستوفاة بشكل أولي","مستوفاة بشكل جزئي")))</f>
        <v>مستوفاة بشكل متقدم</v>
      </c>
      <c r="O182" s="18"/>
    </row>
    <row r="183" spans="1:15">
      <c r="A183" s="16" t="s">
        <v>987</v>
      </c>
      <c r="B183" s="16" t="s">
        <v>202</v>
      </c>
      <c r="C183" s="15" t="str">
        <f>IFERROR(INDEX('قائمة الوحدات'!$B$2:$B$41,MATCH($B183,'قائمة الوحدات'!$A$2:$A$41,0)),"")</f>
        <v>MIL</v>
      </c>
      <c r="D183" s="14" t="str">
        <f>IFERROR(INDEX('قائمة الوحدات'!$C$2:$C$41,MATCH($B183,'قائمة الوحدات'!$A$2:$A$41,0)),"")</f>
        <v>الجهاز العسكري</v>
      </c>
      <c r="E183" s="14" t="str">
        <f>IFERROR(INDEX('قائمة الوحدات'!$D$2:$D$41,MATCH($B183,'قائمة الوحدات'!$A$2:$A$41,0)),"")</f>
        <v>الإدارة العامة للاستخبارات العسكرية</v>
      </c>
      <c r="F183" s="14" t="str">
        <f>IFERROR(INDEX('قائمة الوحدات'!$F$2:$F$41,MATCH($B183,'قائمة الوحدات'!$A$2:$A$41,0)),"")</f>
        <v>الإدارة العامة للاستخبارات العسكرية</v>
      </c>
      <c r="G183" s="16" t="s">
        <v>43</v>
      </c>
      <c r="H183" s="14" t="str">
        <f>IFERROR(INDEX(المرجع!$A$2:$A$19,MATCH($G183,المرجع!$B$2:$B$19,0)),"")</f>
        <v>التصميم</v>
      </c>
      <c r="I183" s="16" t="s">
        <v>48</v>
      </c>
      <c r="J183" s="14" t="str">
        <f>IFERROR(INDEX(المرجع!$D$2:$D$19,MATCH($I183,المرجع!$E$2:$E$19,0)),"")</f>
        <v>الأهداف ومؤشرات الأداء</v>
      </c>
      <c r="K183" s="16" t="s">
        <v>74</v>
      </c>
      <c r="L183" s="17" t="str">
        <f>IFERROR(INDEX('نقاط التحقق'!$G$2:$G$31,MATCH($K183,'نقاط التحقق'!$A$2:$A$31,0))&amp;"","")</f>
        <v>أهداف محددة للوحدة التنظيمية وربطها بمؤشرات أداء لقياسها</v>
      </c>
      <c r="M183" s="13">
        <v>100</v>
      </c>
      <c r="N183" s="15" t="str">
        <f>IF($M183="","غير مقيّمة",IF($M183&gt;المرجع!$K$3,"مستوفاة بشكل متقدم",IF($M183&lt;=المرجع!$K$2,"مستوفاة بشكل أولي","مستوفاة بشكل جزئي")))</f>
        <v>مستوفاة بشكل متقدم</v>
      </c>
      <c r="O183" s="18"/>
    </row>
    <row r="184" spans="1:15">
      <c r="A184" s="16" t="s">
        <v>988</v>
      </c>
      <c r="B184" s="16" t="s">
        <v>202</v>
      </c>
      <c r="C184" s="15" t="str">
        <f>IFERROR(INDEX('قائمة الوحدات'!$B$2:$B$41,MATCH($B184,'قائمة الوحدات'!$A$2:$A$41,0)),"")</f>
        <v>MIL</v>
      </c>
      <c r="D184" s="14" t="str">
        <f>IFERROR(INDEX('قائمة الوحدات'!$C$2:$C$41,MATCH($B184,'قائمة الوحدات'!$A$2:$A$41,0)),"")</f>
        <v>الجهاز العسكري</v>
      </c>
      <c r="E184" s="14" t="str">
        <f>IFERROR(INDEX('قائمة الوحدات'!$D$2:$D$41,MATCH($B184,'قائمة الوحدات'!$A$2:$A$41,0)),"")</f>
        <v>الإدارة العامة للاستخبارات العسكرية</v>
      </c>
      <c r="F184" s="14" t="str">
        <f>IFERROR(INDEX('قائمة الوحدات'!$F$2:$F$41,MATCH($B184,'قائمة الوحدات'!$A$2:$A$41,0)),"")</f>
        <v>الإدارة العامة للاستخبارات العسكرية</v>
      </c>
      <c r="G184" s="16" t="s">
        <v>43</v>
      </c>
      <c r="H184" s="14" t="str">
        <f>IFERROR(INDEX(المرجع!$A$2:$A$19,MATCH($G184,المرجع!$B$2:$B$19,0)),"")</f>
        <v>التصميم</v>
      </c>
      <c r="I184" s="16" t="s">
        <v>48</v>
      </c>
      <c r="J184" s="14" t="str">
        <f>IFERROR(INDEX(المرجع!$D$2:$D$19,MATCH($I184,المرجع!$E$2:$E$19,0)),"")</f>
        <v>الأهداف ومؤشرات الأداء</v>
      </c>
      <c r="K184" s="16" t="s">
        <v>76</v>
      </c>
      <c r="L184" s="17" t="str">
        <f>IFERROR(INDEX('نقاط التحقق'!$G$2:$G$31,MATCH($K184,'نقاط التحقق'!$A$2:$A$31,0))&amp;"","")</f>
        <v>مؤشرات أداء الوحدة التنظيمية</v>
      </c>
      <c r="M184" s="13">
        <v>85</v>
      </c>
      <c r="N184" s="15" t="str">
        <f>IF($M184="","غير مقيّمة",IF($M184&gt;المرجع!$K$3,"مستوفاة بشكل متقدم",IF($M184&lt;=المرجع!$K$2,"مستوفاة بشكل أولي","مستوفاة بشكل جزئي")))</f>
        <v>مستوفاة بشكل متقدم</v>
      </c>
      <c r="O184" s="18"/>
    </row>
    <row r="185" spans="1:15">
      <c r="A185" s="16" t="s">
        <v>989</v>
      </c>
      <c r="B185" s="16" t="s">
        <v>202</v>
      </c>
      <c r="C185" s="15" t="str">
        <f>IFERROR(INDEX('قائمة الوحدات'!$B$2:$B$41,MATCH($B185,'قائمة الوحدات'!$A$2:$A$41,0)),"")</f>
        <v>MIL</v>
      </c>
      <c r="D185" s="14" t="str">
        <f>IFERROR(INDEX('قائمة الوحدات'!$C$2:$C$41,MATCH($B185,'قائمة الوحدات'!$A$2:$A$41,0)),"")</f>
        <v>الجهاز العسكري</v>
      </c>
      <c r="E185" s="14" t="str">
        <f>IFERROR(INDEX('قائمة الوحدات'!$D$2:$D$41,MATCH($B185,'قائمة الوحدات'!$A$2:$A$41,0)),"")</f>
        <v>الإدارة العامة للاستخبارات العسكرية</v>
      </c>
      <c r="F185" s="14" t="str">
        <f>IFERROR(INDEX('قائمة الوحدات'!$F$2:$F$41,MATCH($B185,'قائمة الوحدات'!$A$2:$A$41,0)),"")</f>
        <v>الإدارة العامة للاستخبارات العسكرية</v>
      </c>
      <c r="G185" s="16" t="s">
        <v>43</v>
      </c>
      <c r="H185" s="14" t="str">
        <f>IFERROR(INDEX(المرجع!$A$2:$A$19,MATCH($G185,المرجع!$B$2:$B$19,0)),"")</f>
        <v>التصميم</v>
      </c>
      <c r="I185" s="16" t="s">
        <v>51</v>
      </c>
      <c r="J185" s="14" t="str">
        <f>IFERROR(INDEX(المرجع!$D$2:$D$19,MATCH($I185,المرجع!$E$2:$E$19,0)),"")</f>
        <v>الحوكمة</v>
      </c>
      <c r="K185" s="16" t="s">
        <v>78</v>
      </c>
      <c r="L185" s="17" t="str">
        <f>IFERROR(INDEX('نقاط التحقق'!$G$2:$G$31,MATCH($K185,'نقاط التحقق'!$A$2:$A$31,0))&amp;"","")</f>
        <v>تفصيل القرارات ومصفوفة الصلاحيات واللجان ذات العلاقة لاعتماد مخرجات الوحدة التنظيمية</v>
      </c>
      <c r="M185" s="13">
        <v>70</v>
      </c>
      <c r="N185" s="15" t="str">
        <f>IF($M185="","غير مقيّمة",IF($M185&gt;المرجع!$K$3,"مستوفاة بشكل متقدم",IF($M185&lt;=المرجع!$K$2,"مستوفاة بشكل أولي","مستوفاة بشكل جزئي")))</f>
        <v>مستوفاة بشكل جزئي</v>
      </c>
      <c r="O185" s="18"/>
    </row>
    <row r="186" spans="1:15">
      <c r="A186" s="16" t="s">
        <v>990</v>
      </c>
      <c r="B186" s="16" t="s">
        <v>202</v>
      </c>
      <c r="C186" s="15" t="str">
        <f>IFERROR(INDEX('قائمة الوحدات'!$B$2:$B$41,MATCH($B186,'قائمة الوحدات'!$A$2:$A$41,0)),"")</f>
        <v>MIL</v>
      </c>
      <c r="D186" s="14" t="str">
        <f>IFERROR(INDEX('قائمة الوحدات'!$C$2:$C$41,MATCH($B186,'قائمة الوحدات'!$A$2:$A$41,0)),"")</f>
        <v>الجهاز العسكري</v>
      </c>
      <c r="E186" s="14" t="str">
        <f>IFERROR(INDEX('قائمة الوحدات'!$D$2:$D$41,MATCH($B186,'قائمة الوحدات'!$A$2:$A$41,0)),"")</f>
        <v>الإدارة العامة للاستخبارات العسكرية</v>
      </c>
      <c r="F186" s="14" t="str">
        <f>IFERROR(INDEX('قائمة الوحدات'!$F$2:$F$41,MATCH($B186,'قائمة الوحدات'!$A$2:$A$41,0)),"")</f>
        <v>الإدارة العامة للاستخبارات العسكرية</v>
      </c>
      <c r="G186" s="16" t="s">
        <v>43</v>
      </c>
      <c r="H186" s="14" t="str">
        <f>IFERROR(INDEX(المرجع!$A$2:$A$19,MATCH($G186,المرجع!$B$2:$B$19,0)),"")</f>
        <v>التصميم</v>
      </c>
      <c r="I186" s="16" t="s">
        <v>54</v>
      </c>
      <c r="J186" s="14" t="str">
        <f>IFERROR(INDEX(المرجع!$D$2:$D$19,MATCH($I186,المرجع!$E$2:$E$19,0)),"")</f>
        <v>التنظيم</v>
      </c>
      <c r="K186" s="16" t="s">
        <v>80</v>
      </c>
      <c r="L186" s="17" t="str">
        <f>IFERROR(INDEX('نقاط التحقق'!$G$2:$G$31,MATCH($K186,'نقاط التحقق'!$A$2:$A$31,0))&amp;"","")</f>
        <v>تطوير الأدوار والمسؤوليات للوحدة التنظيمية وتفصيل الهيكل التنظيمي</v>
      </c>
      <c r="M186" s="13">
        <v>85</v>
      </c>
      <c r="N186" s="15" t="str">
        <f>IF($M186="","غير مقيّمة",IF($M186&gt;المرجع!$K$3,"مستوفاة بشكل متقدم",IF($M186&lt;=المرجع!$K$2,"مستوفاة بشكل أولي","مستوفاة بشكل جزئي")))</f>
        <v>مستوفاة بشكل متقدم</v>
      </c>
      <c r="O186" s="18"/>
    </row>
    <row r="187" spans="1:15">
      <c r="A187" s="16" t="s">
        <v>991</v>
      </c>
      <c r="B187" s="16" t="s">
        <v>202</v>
      </c>
      <c r="C187" s="15" t="str">
        <f>IFERROR(INDEX('قائمة الوحدات'!$B$2:$B$41,MATCH($B187,'قائمة الوحدات'!$A$2:$A$41,0)),"")</f>
        <v>MIL</v>
      </c>
      <c r="D187" s="14" t="str">
        <f>IFERROR(INDEX('قائمة الوحدات'!$C$2:$C$41,MATCH($B187,'قائمة الوحدات'!$A$2:$A$41,0)),"")</f>
        <v>الجهاز العسكري</v>
      </c>
      <c r="E187" s="14" t="str">
        <f>IFERROR(INDEX('قائمة الوحدات'!$D$2:$D$41,MATCH($B187,'قائمة الوحدات'!$A$2:$A$41,0)),"")</f>
        <v>الإدارة العامة للاستخبارات العسكرية</v>
      </c>
      <c r="F187" s="14" t="str">
        <f>IFERROR(INDEX('قائمة الوحدات'!$F$2:$F$41,MATCH($B187,'قائمة الوحدات'!$A$2:$A$41,0)),"")</f>
        <v>الإدارة العامة للاستخبارات العسكرية</v>
      </c>
      <c r="G187" s="16" t="s">
        <v>43</v>
      </c>
      <c r="H187" s="14" t="str">
        <f>IFERROR(INDEX(المرجع!$A$2:$A$19,MATCH($G187,المرجع!$B$2:$B$19,0)),"")</f>
        <v>التصميم</v>
      </c>
      <c r="I187" s="16" t="s">
        <v>56</v>
      </c>
      <c r="J187" s="14" t="str">
        <f>IFERROR(INDEX(المرجع!$D$2:$D$19,MATCH($I187,المرجع!$E$2:$E$19,0)),"")</f>
        <v>الموارد</v>
      </c>
      <c r="K187" s="16" t="s">
        <v>82</v>
      </c>
      <c r="L187" s="17" t="str">
        <f>IFERROR(INDEX('نقاط التحقق'!$G$2:$G$31,MATCH($K187,'نقاط التحقق'!$A$2:$A$31,0))&amp;"","")</f>
        <v>تفصيل احتياج الموارد البشرية للوحدة التنظيمية</v>
      </c>
      <c r="M187" s="13">
        <v>69</v>
      </c>
      <c r="N187" s="15" t="str">
        <f>IF($M187="","غير مقيّمة",IF($M187&gt;المرجع!$K$3,"مستوفاة بشكل متقدم",IF($M187&lt;=المرجع!$K$2,"مستوفاة بشكل أولي","مستوفاة بشكل جزئي")))</f>
        <v>مستوفاة بشكل جزئي</v>
      </c>
      <c r="O187" s="18"/>
    </row>
    <row r="188" spans="1:15">
      <c r="A188" s="16" t="s">
        <v>992</v>
      </c>
      <c r="B188" s="16" t="s">
        <v>202</v>
      </c>
      <c r="C188" s="15" t="str">
        <f>IFERROR(INDEX('قائمة الوحدات'!$B$2:$B$41,MATCH($B188,'قائمة الوحدات'!$A$2:$A$41,0)),"")</f>
        <v>MIL</v>
      </c>
      <c r="D188" s="14" t="str">
        <f>IFERROR(INDEX('قائمة الوحدات'!$C$2:$C$41,MATCH($B188,'قائمة الوحدات'!$A$2:$A$41,0)),"")</f>
        <v>الجهاز العسكري</v>
      </c>
      <c r="E188" s="14" t="str">
        <f>IFERROR(INDEX('قائمة الوحدات'!$D$2:$D$41,MATCH($B188,'قائمة الوحدات'!$A$2:$A$41,0)),"")</f>
        <v>الإدارة العامة للاستخبارات العسكرية</v>
      </c>
      <c r="F188" s="14" t="str">
        <f>IFERROR(INDEX('قائمة الوحدات'!$F$2:$F$41,MATCH($B188,'قائمة الوحدات'!$A$2:$A$41,0)),"")</f>
        <v>الإدارة العامة للاستخبارات العسكرية</v>
      </c>
      <c r="G188" s="16" t="s">
        <v>43</v>
      </c>
      <c r="H188" s="14" t="str">
        <f>IFERROR(INDEX(المرجع!$A$2:$A$19,MATCH($G188,المرجع!$B$2:$B$19,0)),"")</f>
        <v>التصميم</v>
      </c>
      <c r="I188" s="16" t="s">
        <v>59</v>
      </c>
      <c r="J188" s="14" t="str">
        <f>IFERROR(INDEX(المرجع!$D$2:$D$19,MATCH($I188,المرجع!$E$2:$E$19,0)),"")</f>
        <v>الإجراءات</v>
      </c>
      <c r="K188" s="16" t="s">
        <v>84</v>
      </c>
      <c r="L188" s="17" t="str">
        <f>IFERROR(INDEX('نقاط التحقق'!$G$2:$G$31,MATCH($K188,'نقاط التحقق'!$A$2:$A$31,0))&amp;"","")</f>
        <v>تفصيل المخرجات إلى إجراءات عالية المستوى</v>
      </c>
      <c r="M188" s="13">
        <v>79</v>
      </c>
      <c r="N188" s="15" t="str">
        <f>IF($M188="","غير مقيّمة",IF($M188&gt;المرجع!$K$3,"مستوفاة بشكل متقدم",IF($M188&lt;=المرجع!$K$2,"مستوفاة بشكل أولي","مستوفاة بشكل جزئي")))</f>
        <v>مستوفاة بشكل متقدم</v>
      </c>
      <c r="O188" s="18"/>
    </row>
    <row r="189" spans="1:15">
      <c r="A189" s="16" t="s">
        <v>993</v>
      </c>
      <c r="B189" s="16" t="s">
        <v>202</v>
      </c>
      <c r="C189" s="15" t="str">
        <f>IFERROR(INDEX('قائمة الوحدات'!$B$2:$B$41,MATCH($B189,'قائمة الوحدات'!$A$2:$A$41,0)),"")</f>
        <v>MIL</v>
      </c>
      <c r="D189" s="14" t="str">
        <f>IFERROR(INDEX('قائمة الوحدات'!$C$2:$C$41,MATCH($B189,'قائمة الوحدات'!$A$2:$A$41,0)),"")</f>
        <v>الجهاز العسكري</v>
      </c>
      <c r="E189" s="14" t="str">
        <f>IFERROR(INDEX('قائمة الوحدات'!$D$2:$D$41,MATCH($B189,'قائمة الوحدات'!$A$2:$A$41,0)),"")</f>
        <v>الإدارة العامة للاستخبارات العسكرية</v>
      </c>
      <c r="F189" s="14" t="str">
        <f>IFERROR(INDEX('قائمة الوحدات'!$F$2:$F$41,MATCH($B189,'قائمة الوحدات'!$A$2:$A$41,0)),"")</f>
        <v>الإدارة العامة للاستخبارات العسكرية</v>
      </c>
      <c r="G189" s="16" t="s">
        <v>61</v>
      </c>
      <c r="H189" s="14" t="str">
        <f>IFERROR(INDEX(المرجع!$A$2:$A$19,MATCH($G189,المرجع!$B$2:$B$19,0)),"")</f>
        <v>البناء المؤسسي</v>
      </c>
      <c r="I189" s="16" t="s">
        <v>45</v>
      </c>
      <c r="J189" s="14" t="str">
        <f>IFERROR(INDEX(المرجع!$D$2:$D$19,MATCH($I189,المرجع!$E$2:$E$19,0)),"")</f>
        <v>الدور</v>
      </c>
      <c r="K189" s="16" t="s">
        <v>86</v>
      </c>
      <c r="L189" s="17" t="str">
        <f>IFERROR(INDEX('نقاط التحقق'!$G$2:$G$31,MATCH($K189,'نقاط التحقق'!$A$2:$A$31,0))&amp;"","")</f>
        <v>دور معتمد للوحدة التنظيمية</v>
      </c>
      <c r="M189" s="13">
        <v>77</v>
      </c>
      <c r="N189" s="15" t="str">
        <f>IF($M189="","غير مقيّمة",IF($M189&gt;المرجع!$K$3,"مستوفاة بشكل متقدم",IF($M189&lt;=المرجع!$K$2,"مستوفاة بشكل أولي","مستوفاة بشكل جزئي")))</f>
        <v>مستوفاة بشكل متقدم</v>
      </c>
      <c r="O189" s="18"/>
    </row>
    <row r="190" spans="1:15">
      <c r="A190" s="16" t="s">
        <v>994</v>
      </c>
      <c r="B190" s="16" t="s">
        <v>202</v>
      </c>
      <c r="C190" s="15" t="str">
        <f>IFERROR(INDEX('قائمة الوحدات'!$B$2:$B$41,MATCH($B190,'قائمة الوحدات'!$A$2:$A$41,0)),"")</f>
        <v>MIL</v>
      </c>
      <c r="D190" s="14" t="str">
        <f>IFERROR(INDEX('قائمة الوحدات'!$C$2:$C$41,MATCH($B190,'قائمة الوحدات'!$A$2:$A$41,0)),"")</f>
        <v>الجهاز العسكري</v>
      </c>
      <c r="E190" s="14" t="str">
        <f>IFERROR(INDEX('قائمة الوحدات'!$D$2:$D$41,MATCH($B190,'قائمة الوحدات'!$A$2:$A$41,0)),"")</f>
        <v>الإدارة العامة للاستخبارات العسكرية</v>
      </c>
      <c r="F190" s="14" t="str">
        <f>IFERROR(INDEX('قائمة الوحدات'!$F$2:$F$41,MATCH($B190,'قائمة الوحدات'!$A$2:$A$41,0)),"")</f>
        <v>الإدارة العامة للاستخبارات العسكرية</v>
      </c>
      <c r="G190" s="16" t="s">
        <v>61</v>
      </c>
      <c r="H190" s="14" t="str">
        <f>IFERROR(INDEX(المرجع!$A$2:$A$19,MATCH($G190,المرجع!$B$2:$B$19,0)),"")</f>
        <v>البناء المؤسسي</v>
      </c>
      <c r="I190" s="16" t="s">
        <v>48</v>
      </c>
      <c r="J190" s="14" t="str">
        <f>IFERROR(INDEX(المرجع!$D$2:$D$19,MATCH($I190,المرجع!$E$2:$E$19,0)),"")</f>
        <v>الأهداف ومؤشرات الأداء</v>
      </c>
      <c r="K190" s="16" t="s">
        <v>88</v>
      </c>
      <c r="L190" s="17" t="str">
        <f>IFERROR(INDEX('نقاط التحقق'!$G$2:$G$31,MATCH($K190,'نقاط التحقق'!$A$2:$A$31,0))&amp;"","")</f>
        <v>أهداف تشغيلية معتمدة من صاحب الصلاحية</v>
      </c>
      <c r="M190" s="13">
        <v>45</v>
      </c>
      <c r="N190" s="15" t="str">
        <f>IF($M190="","غير مقيّمة",IF($M190&gt;المرجع!$K$3,"مستوفاة بشكل متقدم",IF($M190&lt;=المرجع!$K$2,"مستوفاة بشكل أولي","مستوفاة بشكل جزئي")))</f>
        <v>مستوفاة بشكل جزئي</v>
      </c>
      <c r="O190" s="18"/>
    </row>
    <row r="191" spans="1:15">
      <c r="A191" s="16" t="s">
        <v>995</v>
      </c>
      <c r="B191" s="16" t="s">
        <v>202</v>
      </c>
      <c r="C191" s="15" t="str">
        <f>IFERROR(INDEX('قائمة الوحدات'!$B$2:$B$41,MATCH($B191,'قائمة الوحدات'!$A$2:$A$41,0)),"")</f>
        <v>MIL</v>
      </c>
      <c r="D191" s="14" t="str">
        <f>IFERROR(INDEX('قائمة الوحدات'!$C$2:$C$41,MATCH($B191,'قائمة الوحدات'!$A$2:$A$41,0)),"")</f>
        <v>الجهاز العسكري</v>
      </c>
      <c r="E191" s="14" t="str">
        <f>IFERROR(INDEX('قائمة الوحدات'!$D$2:$D$41,MATCH($B191,'قائمة الوحدات'!$A$2:$A$41,0)),"")</f>
        <v>الإدارة العامة للاستخبارات العسكرية</v>
      </c>
      <c r="F191" s="14" t="str">
        <f>IFERROR(INDEX('قائمة الوحدات'!$F$2:$F$41,MATCH($B191,'قائمة الوحدات'!$A$2:$A$41,0)),"")</f>
        <v>الإدارة العامة للاستخبارات العسكرية</v>
      </c>
      <c r="G191" s="16" t="s">
        <v>61</v>
      </c>
      <c r="H191" s="14" t="str">
        <f>IFERROR(INDEX(المرجع!$A$2:$A$19,MATCH($G191,المرجع!$B$2:$B$19,0)),"")</f>
        <v>البناء المؤسسي</v>
      </c>
      <c r="I191" s="16" t="s">
        <v>48</v>
      </c>
      <c r="J191" s="14" t="str">
        <f>IFERROR(INDEX(المرجع!$D$2:$D$19,MATCH($I191,المرجع!$E$2:$E$19,0)),"")</f>
        <v>الأهداف ومؤشرات الأداء</v>
      </c>
      <c r="K191" s="16" t="s">
        <v>90</v>
      </c>
      <c r="L191" s="17" t="str">
        <f>IFERROR(INDEX('نقاط التحقق'!$G$2:$G$31,MATCH($K191,'نقاط التحقق'!$A$2:$A$31,0))&amp;"","")</f>
        <v>نشر الأهداف التشغيلية على موظفي الوحدة التنظيمية</v>
      </c>
      <c r="M191" s="13">
        <v>65</v>
      </c>
      <c r="N191" s="15" t="str">
        <f>IF($M191="","غير مقيّمة",IF($M191&gt;المرجع!$K$3,"مستوفاة بشكل متقدم",IF($M191&lt;=المرجع!$K$2,"مستوفاة بشكل أولي","مستوفاة بشكل جزئي")))</f>
        <v>مستوفاة بشكل جزئي</v>
      </c>
      <c r="O191" s="18"/>
    </row>
    <row r="192" spans="1:15">
      <c r="A192" s="16" t="s">
        <v>996</v>
      </c>
      <c r="B192" s="16" t="s">
        <v>202</v>
      </c>
      <c r="C192" s="15" t="str">
        <f>IFERROR(INDEX('قائمة الوحدات'!$B$2:$B$41,MATCH($B192,'قائمة الوحدات'!$A$2:$A$41,0)),"")</f>
        <v>MIL</v>
      </c>
      <c r="D192" s="14" t="str">
        <f>IFERROR(INDEX('قائمة الوحدات'!$C$2:$C$41,MATCH($B192,'قائمة الوحدات'!$A$2:$A$41,0)),"")</f>
        <v>الجهاز العسكري</v>
      </c>
      <c r="E192" s="14" t="str">
        <f>IFERROR(INDEX('قائمة الوحدات'!$D$2:$D$41,MATCH($B192,'قائمة الوحدات'!$A$2:$A$41,0)),"")</f>
        <v>الإدارة العامة للاستخبارات العسكرية</v>
      </c>
      <c r="F192" s="14" t="str">
        <f>IFERROR(INDEX('قائمة الوحدات'!$F$2:$F$41,MATCH($B192,'قائمة الوحدات'!$A$2:$A$41,0)),"")</f>
        <v>الإدارة العامة للاستخبارات العسكرية</v>
      </c>
      <c r="G192" s="16" t="s">
        <v>61</v>
      </c>
      <c r="H192" s="14" t="str">
        <f>IFERROR(INDEX(المرجع!$A$2:$A$19,MATCH($G192,المرجع!$B$2:$B$19,0)),"")</f>
        <v>البناء المؤسسي</v>
      </c>
      <c r="I192" s="16" t="s">
        <v>51</v>
      </c>
      <c r="J192" s="14" t="str">
        <f>IFERROR(INDEX(المرجع!$D$2:$D$19,MATCH($I192,المرجع!$E$2:$E$19,0)),"")</f>
        <v>الحوكمة</v>
      </c>
      <c r="K192" s="16" t="s">
        <v>92</v>
      </c>
      <c r="L192" s="17" t="str">
        <f>IFERROR(INDEX('نقاط التحقق'!$G$2:$G$31,MATCH($K192,'نقاط التحقق'!$A$2:$A$31,0))&amp;"","")</f>
        <v>مصفوفة صلاحيات معتمدة ومعممة على أصحاب المصلحة</v>
      </c>
      <c r="M192" s="13">
        <v>65</v>
      </c>
      <c r="N192" s="15" t="str">
        <f>IF($M192="","غير مقيّمة",IF($M192&gt;المرجع!$K$3,"مستوفاة بشكل متقدم",IF($M192&lt;=المرجع!$K$2,"مستوفاة بشكل أولي","مستوفاة بشكل جزئي")))</f>
        <v>مستوفاة بشكل جزئي</v>
      </c>
      <c r="O192" s="18"/>
    </row>
    <row r="193" spans="1:15">
      <c r="A193" s="16" t="s">
        <v>997</v>
      </c>
      <c r="B193" s="16" t="s">
        <v>202</v>
      </c>
      <c r="C193" s="15" t="str">
        <f>IFERROR(INDEX('قائمة الوحدات'!$B$2:$B$41,MATCH($B193,'قائمة الوحدات'!$A$2:$A$41,0)),"")</f>
        <v>MIL</v>
      </c>
      <c r="D193" s="14" t="str">
        <f>IFERROR(INDEX('قائمة الوحدات'!$C$2:$C$41,MATCH($B193,'قائمة الوحدات'!$A$2:$A$41,0)),"")</f>
        <v>الجهاز العسكري</v>
      </c>
      <c r="E193" s="14" t="str">
        <f>IFERROR(INDEX('قائمة الوحدات'!$D$2:$D$41,MATCH($B193,'قائمة الوحدات'!$A$2:$A$41,0)),"")</f>
        <v>الإدارة العامة للاستخبارات العسكرية</v>
      </c>
      <c r="F193" s="14" t="str">
        <f>IFERROR(INDEX('قائمة الوحدات'!$F$2:$F$41,MATCH($B193,'قائمة الوحدات'!$A$2:$A$41,0)),"")</f>
        <v>الإدارة العامة للاستخبارات العسكرية</v>
      </c>
      <c r="G193" s="16" t="s">
        <v>61</v>
      </c>
      <c r="H193" s="14" t="str">
        <f>IFERROR(INDEX(المرجع!$A$2:$A$19,MATCH($G193,المرجع!$B$2:$B$19,0)),"")</f>
        <v>البناء المؤسسي</v>
      </c>
      <c r="I193" s="16" t="s">
        <v>51</v>
      </c>
      <c r="J193" s="14" t="str">
        <f>IFERROR(INDEX(المرجع!$D$2:$D$19,MATCH($I193,المرجع!$E$2:$E$19,0)),"")</f>
        <v>الحوكمة</v>
      </c>
      <c r="K193" s="16" t="s">
        <v>94</v>
      </c>
      <c r="L193" s="17" t="str">
        <f>IFERROR(INDEX('نقاط التحقق'!$G$2:$G$31,MATCH($K193,'نقاط التحقق'!$A$2:$A$31,0))&amp;"","")</f>
        <v>سياسات معتمدة للتي تملكها الوحدة التنظيمية</v>
      </c>
      <c r="M193" s="13">
        <v>45</v>
      </c>
      <c r="N193" s="15" t="str">
        <f>IF($M193="","غير مقيّمة",IF($M193&gt;المرجع!$K$3,"مستوفاة بشكل متقدم",IF($M193&lt;=المرجع!$K$2,"مستوفاة بشكل أولي","مستوفاة بشكل جزئي")))</f>
        <v>مستوفاة بشكل جزئي</v>
      </c>
      <c r="O193" s="18"/>
    </row>
    <row r="194" spans="1:15">
      <c r="A194" s="16" t="s">
        <v>998</v>
      </c>
      <c r="B194" s="16" t="s">
        <v>202</v>
      </c>
      <c r="C194" s="15" t="str">
        <f>IFERROR(INDEX('قائمة الوحدات'!$B$2:$B$41,MATCH($B194,'قائمة الوحدات'!$A$2:$A$41,0)),"")</f>
        <v>MIL</v>
      </c>
      <c r="D194" s="14" t="str">
        <f>IFERROR(INDEX('قائمة الوحدات'!$C$2:$C$41,MATCH($B194,'قائمة الوحدات'!$A$2:$A$41,0)),"")</f>
        <v>الجهاز العسكري</v>
      </c>
      <c r="E194" s="14" t="str">
        <f>IFERROR(INDEX('قائمة الوحدات'!$D$2:$D$41,MATCH($B194,'قائمة الوحدات'!$A$2:$A$41,0)),"")</f>
        <v>الإدارة العامة للاستخبارات العسكرية</v>
      </c>
      <c r="F194" s="14" t="str">
        <f>IFERROR(INDEX('قائمة الوحدات'!$F$2:$F$41,MATCH($B194,'قائمة الوحدات'!$A$2:$A$41,0)),"")</f>
        <v>الإدارة العامة للاستخبارات العسكرية</v>
      </c>
      <c r="G194" s="16" t="s">
        <v>61</v>
      </c>
      <c r="H194" s="14" t="str">
        <f>IFERROR(INDEX(المرجع!$A$2:$A$19,MATCH($G194,المرجع!$B$2:$B$19,0)),"")</f>
        <v>البناء المؤسسي</v>
      </c>
      <c r="I194" s="16" t="s">
        <v>51</v>
      </c>
      <c r="J194" s="14" t="str">
        <f>IFERROR(INDEX(المرجع!$D$2:$D$19,MATCH($I194,المرجع!$E$2:$E$19,0)),"")</f>
        <v>الحوكمة</v>
      </c>
      <c r="K194" s="16" t="s">
        <v>96</v>
      </c>
      <c r="L194" s="17" t="str">
        <f>IFERROR(INDEX('نقاط التحقق'!$G$2:$G$31,MATCH($K194,'نقاط التحقق'!$A$2:$A$31,0))&amp;"","")</f>
        <v>قرار تشكيل معتمد للجان ذات العلاقة</v>
      </c>
      <c r="M194" s="13">
        <v>70</v>
      </c>
      <c r="N194" s="15" t="str">
        <f>IF($M194="","غير مقيّمة",IF($M194&gt;المرجع!$K$3,"مستوفاة بشكل متقدم",IF($M194&lt;=المرجع!$K$2,"مستوفاة بشكل أولي","مستوفاة بشكل جزئي")))</f>
        <v>مستوفاة بشكل جزئي</v>
      </c>
      <c r="O194" s="18"/>
    </row>
    <row r="195" spans="1:15">
      <c r="A195" s="16" t="s">
        <v>999</v>
      </c>
      <c r="B195" s="16" t="s">
        <v>202</v>
      </c>
      <c r="C195" s="15" t="str">
        <f>IFERROR(INDEX('قائمة الوحدات'!$B$2:$B$41,MATCH($B195,'قائمة الوحدات'!$A$2:$A$41,0)),"")</f>
        <v>MIL</v>
      </c>
      <c r="D195" s="14" t="str">
        <f>IFERROR(INDEX('قائمة الوحدات'!$C$2:$C$41,MATCH($B195,'قائمة الوحدات'!$A$2:$A$41,0)),"")</f>
        <v>الجهاز العسكري</v>
      </c>
      <c r="E195" s="14" t="str">
        <f>IFERROR(INDEX('قائمة الوحدات'!$D$2:$D$41,MATCH($B195,'قائمة الوحدات'!$A$2:$A$41,0)),"")</f>
        <v>الإدارة العامة للاستخبارات العسكرية</v>
      </c>
      <c r="F195" s="14" t="str">
        <f>IFERROR(INDEX('قائمة الوحدات'!$F$2:$F$41,MATCH($B195,'قائمة الوحدات'!$A$2:$A$41,0)),"")</f>
        <v>الإدارة العامة للاستخبارات العسكرية</v>
      </c>
      <c r="G195" s="16" t="s">
        <v>61</v>
      </c>
      <c r="H195" s="14" t="str">
        <f>IFERROR(INDEX(المرجع!$A$2:$A$19,MATCH($G195,المرجع!$B$2:$B$19,0)),"")</f>
        <v>البناء المؤسسي</v>
      </c>
      <c r="I195" s="16" t="s">
        <v>54</v>
      </c>
      <c r="J195" s="14" t="str">
        <f>IFERROR(INDEX(المرجع!$D$2:$D$19,MATCH($I195,المرجع!$E$2:$E$19,0)),"")</f>
        <v>التنظيم</v>
      </c>
      <c r="K195" s="16" t="s">
        <v>98</v>
      </c>
      <c r="L195" s="17" t="str">
        <f>IFERROR(INDEX('نقاط التحقق'!$G$2:$G$31,MATCH($K195,'نقاط التحقق'!$A$2:$A$31,0))&amp;"","")</f>
        <v>هيكل تنظيمي معتمد من صاحب الصلاحية</v>
      </c>
      <c r="M195" s="13">
        <v>75</v>
      </c>
      <c r="N195" s="15" t="str">
        <f>IF($M195="","غير مقيّمة",IF($M195&gt;المرجع!$K$3,"مستوفاة بشكل متقدم",IF($M195&lt;=المرجع!$K$2,"مستوفاة بشكل أولي","مستوفاة بشكل جزئي")))</f>
        <v>مستوفاة بشكل متقدم</v>
      </c>
      <c r="O195" s="18"/>
    </row>
    <row r="196" spans="1:15">
      <c r="A196" s="16" t="s">
        <v>1000</v>
      </c>
      <c r="B196" s="16" t="s">
        <v>202</v>
      </c>
      <c r="C196" s="15" t="str">
        <f>IFERROR(INDEX('قائمة الوحدات'!$B$2:$B$41,MATCH($B196,'قائمة الوحدات'!$A$2:$A$41,0)),"")</f>
        <v>MIL</v>
      </c>
      <c r="D196" s="14" t="str">
        <f>IFERROR(INDEX('قائمة الوحدات'!$C$2:$C$41,MATCH($B196,'قائمة الوحدات'!$A$2:$A$41,0)),"")</f>
        <v>الجهاز العسكري</v>
      </c>
      <c r="E196" s="14" t="str">
        <f>IFERROR(INDEX('قائمة الوحدات'!$D$2:$D$41,MATCH($B196,'قائمة الوحدات'!$A$2:$A$41,0)),"")</f>
        <v>الإدارة العامة للاستخبارات العسكرية</v>
      </c>
      <c r="F196" s="14" t="str">
        <f>IFERROR(INDEX('قائمة الوحدات'!$F$2:$F$41,MATCH($B196,'قائمة الوحدات'!$A$2:$A$41,0)),"")</f>
        <v>الإدارة العامة للاستخبارات العسكرية</v>
      </c>
      <c r="G196" s="16" t="s">
        <v>61</v>
      </c>
      <c r="H196" s="14" t="str">
        <f>IFERROR(INDEX(المرجع!$A$2:$A$19,MATCH($G196,المرجع!$B$2:$B$19,0)),"")</f>
        <v>البناء المؤسسي</v>
      </c>
      <c r="I196" s="16" t="s">
        <v>54</v>
      </c>
      <c r="J196" s="14" t="str">
        <f>IFERROR(INDEX(المرجع!$D$2:$D$19,MATCH($I196,المرجع!$E$2:$E$19,0)),"")</f>
        <v>التنظيم</v>
      </c>
      <c r="K196" s="16" t="s">
        <v>100</v>
      </c>
      <c r="L196" s="17" t="str">
        <f>IFERROR(INDEX('نقاط التحقق'!$G$2:$G$31,MATCH($K196,'نقاط التحقق'!$A$2:$A$31,0))&amp;"","")</f>
        <v>هيكل تنظيمي منشأ على نظام القوى العاملة</v>
      </c>
      <c r="M196" s="13">
        <v>100</v>
      </c>
      <c r="N196" s="15" t="str">
        <f>IF($M196="","غير مقيّمة",IF($M196&gt;المرجع!$K$3,"مستوفاة بشكل متقدم",IF($M196&lt;=المرجع!$K$2,"مستوفاة بشكل أولي","مستوفاة بشكل جزئي")))</f>
        <v>مستوفاة بشكل متقدم</v>
      </c>
      <c r="O196" s="18"/>
    </row>
    <row r="197" spans="1:15">
      <c r="A197" s="16" t="s">
        <v>1001</v>
      </c>
      <c r="B197" s="16" t="s">
        <v>202</v>
      </c>
      <c r="C197" s="15" t="str">
        <f>IFERROR(INDEX('قائمة الوحدات'!$B$2:$B$41,MATCH($B197,'قائمة الوحدات'!$A$2:$A$41,0)),"")</f>
        <v>MIL</v>
      </c>
      <c r="D197" s="14" t="str">
        <f>IFERROR(INDEX('قائمة الوحدات'!$C$2:$C$41,MATCH($B197,'قائمة الوحدات'!$A$2:$A$41,0)),"")</f>
        <v>الجهاز العسكري</v>
      </c>
      <c r="E197" s="14" t="str">
        <f>IFERROR(INDEX('قائمة الوحدات'!$D$2:$D$41,MATCH($B197,'قائمة الوحدات'!$A$2:$A$41,0)),"")</f>
        <v>الإدارة العامة للاستخبارات العسكرية</v>
      </c>
      <c r="F197" s="14" t="str">
        <f>IFERROR(INDEX('قائمة الوحدات'!$F$2:$F$41,MATCH($B197,'قائمة الوحدات'!$A$2:$A$41,0)),"")</f>
        <v>الإدارة العامة للاستخبارات العسكرية</v>
      </c>
      <c r="G197" s="16" t="s">
        <v>61</v>
      </c>
      <c r="H197" s="14" t="str">
        <f>IFERROR(INDEX(المرجع!$A$2:$A$19,MATCH($G197,المرجع!$B$2:$B$19,0)),"")</f>
        <v>البناء المؤسسي</v>
      </c>
      <c r="I197" s="16" t="s">
        <v>54</v>
      </c>
      <c r="J197" s="14" t="str">
        <f>IFERROR(INDEX(المرجع!$D$2:$D$19,MATCH($I197,المرجع!$E$2:$E$19,0)),"")</f>
        <v>التنظيم</v>
      </c>
      <c r="K197" s="16" t="s">
        <v>102</v>
      </c>
      <c r="L197" s="17" t="str">
        <f>IFERROR(INDEX('نقاط التحقق'!$G$2:$G$31,MATCH($K197,'نقاط التحقق'!$A$2:$A$31,0))&amp;"","")</f>
        <v>الموظفون المحددون مسكّنون على الهيكل التنظيمي المستهدف</v>
      </c>
      <c r="M197" s="13">
        <v>80</v>
      </c>
      <c r="N197" s="15" t="str">
        <f>IF($M197="","غير مقيّمة",IF($M197&gt;المرجع!$K$3,"مستوفاة بشكل متقدم",IF($M197&lt;=المرجع!$K$2,"مستوفاة بشكل أولي","مستوفاة بشكل جزئي")))</f>
        <v>مستوفاة بشكل متقدم</v>
      </c>
      <c r="O197" s="18"/>
    </row>
    <row r="198" spans="1:15">
      <c r="A198" s="16" t="s">
        <v>1002</v>
      </c>
      <c r="B198" s="16" t="s">
        <v>202</v>
      </c>
      <c r="C198" s="15" t="str">
        <f>IFERROR(INDEX('قائمة الوحدات'!$B$2:$B$41,MATCH($B198,'قائمة الوحدات'!$A$2:$A$41,0)),"")</f>
        <v>MIL</v>
      </c>
      <c r="D198" s="14" t="str">
        <f>IFERROR(INDEX('قائمة الوحدات'!$C$2:$C$41,MATCH($B198,'قائمة الوحدات'!$A$2:$A$41,0)),"")</f>
        <v>الجهاز العسكري</v>
      </c>
      <c r="E198" s="14" t="str">
        <f>IFERROR(INDEX('قائمة الوحدات'!$D$2:$D$41,MATCH($B198,'قائمة الوحدات'!$A$2:$A$41,0)),"")</f>
        <v>الإدارة العامة للاستخبارات العسكرية</v>
      </c>
      <c r="F198" s="14" t="str">
        <f>IFERROR(INDEX('قائمة الوحدات'!$F$2:$F$41,MATCH($B198,'قائمة الوحدات'!$A$2:$A$41,0)),"")</f>
        <v>الإدارة العامة للاستخبارات العسكرية</v>
      </c>
      <c r="G198" s="16" t="s">
        <v>61</v>
      </c>
      <c r="H198" s="14" t="str">
        <f>IFERROR(INDEX(المرجع!$A$2:$A$19,MATCH($G198,المرجع!$B$2:$B$19,0)),"")</f>
        <v>البناء المؤسسي</v>
      </c>
      <c r="I198" s="16" t="s">
        <v>56</v>
      </c>
      <c r="J198" s="14" t="str">
        <f>IFERROR(INDEX(المرجع!$D$2:$D$19,MATCH($I198,المرجع!$E$2:$E$19,0)),"")</f>
        <v>الموارد</v>
      </c>
      <c r="K198" s="16" t="s">
        <v>104</v>
      </c>
      <c r="L198" s="17" t="str">
        <f>IFERROR(INDEX('نقاط التحقق'!$G$2:$G$31,MATCH($K198,'نقاط التحقق'!$A$2:$A$31,0))&amp;"","")</f>
        <v>مدير الوحدة التنظيمية والموظفون الرئيسيون معينون/ملحقون</v>
      </c>
      <c r="M198" s="13">
        <v>80</v>
      </c>
      <c r="N198" s="15" t="str">
        <f>IF($M198="","غير مقيّمة",IF($M198&gt;المرجع!$K$3,"مستوفاة بشكل متقدم",IF($M198&lt;=المرجع!$K$2,"مستوفاة بشكل أولي","مستوفاة بشكل جزئي")))</f>
        <v>مستوفاة بشكل متقدم</v>
      </c>
      <c r="O198" s="18"/>
    </row>
    <row r="199" spans="1:15">
      <c r="A199" s="16" t="s">
        <v>1003</v>
      </c>
      <c r="B199" s="16" t="s">
        <v>202</v>
      </c>
      <c r="C199" s="15" t="str">
        <f>IFERROR(INDEX('قائمة الوحدات'!$B$2:$B$41,MATCH($B199,'قائمة الوحدات'!$A$2:$A$41,0)),"")</f>
        <v>MIL</v>
      </c>
      <c r="D199" s="14" t="str">
        <f>IFERROR(INDEX('قائمة الوحدات'!$C$2:$C$41,MATCH($B199,'قائمة الوحدات'!$A$2:$A$41,0)),"")</f>
        <v>الجهاز العسكري</v>
      </c>
      <c r="E199" s="14" t="str">
        <f>IFERROR(INDEX('قائمة الوحدات'!$D$2:$D$41,MATCH($B199,'قائمة الوحدات'!$A$2:$A$41,0)),"")</f>
        <v>الإدارة العامة للاستخبارات العسكرية</v>
      </c>
      <c r="F199" s="14" t="str">
        <f>IFERROR(INDEX('قائمة الوحدات'!$F$2:$F$41,MATCH($B199,'قائمة الوحدات'!$A$2:$A$41,0)),"")</f>
        <v>الإدارة العامة للاستخبارات العسكرية</v>
      </c>
      <c r="G199" s="16" t="s">
        <v>61</v>
      </c>
      <c r="H199" s="14" t="str">
        <f>IFERROR(INDEX(المرجع!$A$2:$A$19,MATCH($G199,المرجع!$B$2:$B$19,0)),"")</f>
        <v>البناء المؤسسي</v>
      </c>
      <c r="I199" s="16" t="s">
        <v>56</v>
      </c>
      <c r="J199" s="14" t="str">
        <f>IFERROR(INDEX(المرجع!$D$2:$D$19,MATCH($I199,المرجع!$E$2:$E$19,0)),"")</f>
        <v>الموارد</v>
      </c>
      <c r="K199" s="16" t="s">
        <v>106</v>
      </c>
      <c r="L199" s="17" t="str">
        <f>IFERROR(INDEX('نقاط التحقق'!$G$2:$G$31,MATCH($K199,'نقاط التحقق'!$A$2:$A$31,0))&amp;"","")</f>
        <v>خطة توظيف وتدريب مستكملة</v>
      </c>
      <c r="M199" s="13">
        <v>70</v>
      </c>
      <c r="N199" s="15" t="str">
        <f>IF($M199="","غير مقيّمة",IF($M199&gt;المرجع!$K$3,"مستوفاة بشكل متقدم",IF($M199&lt;=المرجع!$K$2,"مستوفاة بشكل أولي","مستوفاة بشكل جزئي")))</f>
        <v>مستوفاة بشكل جزئي</v>
      </c>
      <c r="O199" s="18"/>
    </row>
    <row r="200" spans="1:15">
      <c r="A200" s="16" t="s">
        <v>1004</v>
      </c>
      <c r="B200" s="16" t="s">
        <v>202</v>
      </c>
      <c r="C200" s="15" t="str">
        <f>IFERROR(INDEX('قائمة الوحدات'!$B$2:$B$41,MATCH($B200,'قائمة الوحدات'!$A$2:$A$41,0)),"")</f>
        <v>MIL</v>
      </c>
      <c r="D200" s="14" t="str">
        <f>IFERROR(INDEX('قائمة الوحدات'!$C$2:$C$41,MATCH($B200,'قائمة الوحدات'!$A$2:$A$41,0)),"")</f>
        <v>الجهاز العسكري</v>
      </c>
      <c r="E200" s="14" t="str">
        <f>IFERROR(INDEX('قائمة الوحدات'!$D$2:$D$41,MATCH($B200,'قائمة الوحدات'!$A$2:$A$41,0)),"")</f>
        <v>الإدارة العامة للاستخبارات العسكرية</v>
      </c>
      <c r="F200" s="14" t="str">
        <f>IFERROR(INDEX('قائمة الوحدات'!$F$2:$F$41,MATCH($B200,'قائمة الوحدات'!$A$2:$A$41,0)),"")</f>
        <v>الإدارة العامة للاستخبارات العسكرية</v>
      </c>
      <c r="G200" s="16" t="s">
        <v>61</v>
      </c>
      <c r="H200" s="14" t="str">
        <f>IFERROR(INDEX(المرجع!$A$2:$A$19,MATCH($G200,المرجع!$B$2:$B$19,0)),"")</f>
        <v>البناء المؤسسي</v>
      </c>
      <c r="I200" s="16" t="s">
        <v>56</v>
      </c>
      <c r="J200" s="14" t="str">
        <f>IFERROR(INDEX(المرجع!$D$2:$D$19,MATCH($I200,المرجع!$E$2:$E$19,0)),"")</f>
        <v>الموارد</v>
      </c>
      <c r="K200" s="16" t="s">
        <v>108</v>
      </c>
      <c r="L200" s="17" t="str">
        <f>IFERROR(INDEX('نقاط التحقق'!$G$2:$G$31,MATCH($K200,'نقاط التحقق'!$A$2:$A$31,0))&amp;"","")</f>
        <v>وجود مساحات مكتبية كافية</v>
      </c>
      <c r="M200" s="13">
        <v>80</v>
      </c>
      <c r="N200" s="15" t="str">
        <f>IF($M200="","غير مقيّمة",IF($M200&gt;المرجع!$K$3,"مستوفاة بشكل متقدم",IF($M200&lt;=المرجع!$K$2,"مستوفاة بشكل أولي","مستوفاة بشكل جزئي")))</f>
        <v>مستوفاة بشكل متقدم</v>
      </c>
      <c r="O200" s="18"/>
    </row>
    <row r="201" spans="1:15">
      <c r="A201" s="16" t="s">
        <v>1005</v>
      </c>
      <c r="B201" s="16" t="s">
        <v>202</v>
      </c>
      <c r="C201" s="15" t="str">
        <f>IFERROR(INDEX('قائمة الوحدات'!$B$2:$B$41,MATCH($B201,'قائمة الوحدات'!$A$2:$A$41,0)),"")</f>
        <v>MIL</v>
      </c>
      <c r="D201" s="14" t="str">
        <f>IFERROR(INDEX('قائمة الوحدات'!$C$2:$C$41,MATCH($B201,'قائمة الوحدات'!$A$2:$A$41,0)),"")</f>
        <v>الجهاز العسكري</v>
      </c>
      <c r="E201" s="14" t="str">
        <f>IFERROR(INDEX('قائمة الوحدات'!$D$2:$D$41,MATCH($B201,'قائمة الوحدات'!$A$2:$A$41,0)),"")</f>
        <v>الإدارة العامة للاستخبارات العسكرية</v>
      </c>
      <c r="F201" s="14" t="str">
        <f>IFERROR(INDEX('قائمة الوحدات'!$F$2:$F$41,MATCH($B201,'قائمة الوحدات'!$A$2:$A$41,0)),"")</f>
        <v>الإدارة العامة للاستخبارات العسكرية</v>
      </c>
      <c r="G201" s="16" t="s">
        <v>61</v>
      </c>
      <c r="H201" s="14" t="str">
        <f>IFERROR(INDEX(المرجع!$A$2:$A$19,MATCH($G201,المرجع!$B$2:$B$19,0)),"")</f>
        <v>البناء المؤسسي</v>
      </c>
      <c r="I201" s="16" t="s">
        <v>56</v>
      </c>
      <c r="J201" s="14" t="str">
        <f>IFERROR(INDEX(المرجع!$D$2:$D$19,MATCH($I201,المرجع!$E$2:$E$19,0)),"")</f>
        <v>الموارد</v>
      </c>
      <c r="K201" s="16" t="s">
        <v>110</v>
      </c>
      <c r="L201" s="17" t="str">
        <f>IFERROR(INDEX('نقاط التحقق'!$G$2:$G$31,MATCH($K201,'نقاط التحقق'!$A$2:$A$31,0))&amp;"","")</f>
        <v>وجود الاحتياجات التقنية الأساسية</v>
      </c>
      <c r="M201" s="13">
        <v>85</v>
      </c>
      <c r="N201" s="15" t="str">
        <f>IF($M201="","غير مقيّمة",IF($M201&gt;المرجع!$K$3,"مستوفاة بشكل متقدم",IF($M201&lt;=المرجع!$K$2,"مستوفاة بشكل أولي","مستوفاة بشكل جزئي")))</f>
        <v>مستوفاة بشكل متقدم</v>
      </c>
      <c r="O201" s="18"/>
    </row>
    <row r="202" spans="1:15">
      <c r="A202" s="16" t="s">
        <v>1006</v>
      </c>
      <c r="B202" s="16" t="s">
        <v>202</v>
      </c>
      <c r="C202" s="15" t="str">
        <f>IFERROR(INDEX('قائمة الوحدات'!$B$2:$B$41,MATCH($B202,'قائمة الوحدات'!$A$2:$A$41,0)),"")</f>
        <v>MIL</v>
      </c>
      <c r="D202" s="14" t="str">
        <f>IFERROR(INDEX('قائمة الوحدات'!$C$2:$C$41,MATCH($B202,'قائمة الوحدات'!$A$2:$A$41,0)),"")</f>
        <v>الجهاز العسكري</v>
      </c>
      <c r="E202" s="14" t="str">
        <f>IFERROR(INDEX('قائمة الوحدات'!$D$2:$D$41,MATCH($B202,'قائمة الوحدات'!$A$2:$A$41,0)),"")</f>
        <v>الإدارة العامة للاستخبارات العسكرية</v>
      </c>
      <c r="F202" s="14" t="str">
        <f>IFERROR(INDEX('قائمة الوحدات'!$F$2:$F$41,MATCH($B202,'قائمة الوحدات'!$A$2:$A$41,0)),"")</f>
        <v>الإدارة العامة للاستخبارات العسكرية</v>
      </c>
      <c r="G202" s="16" t="s">
        <v>61</v>
      </c>
      <c r="H202" s="14" t="str">
        <f>IFERROR(INDEX(المرجع!$A$2:$A$19,MATCH($G202,المرجع!$B$2:$B$19,0)),"")</f>
        <v>البناء المؤسسي</v>
      </c>
      <c r="I202" s="16" t="s">
        <v>59</v>
      </c>
      <c r="J202" s="14" t="str">
        <f>IFERROR(INDEX(المرجع!$D$2:$D$19,MATCH($I202,المرجع!$E$2:$E$19,0)),"")</f>
        <v>الإجراءات</v>
      </c>
      <c r="K202" s="16" t="s">
        <v>112</v>
      </c>
      <c r="L202" s="17" t="str">
        <f>IFERROR(INDEX('نقاط التحقق'!$G$2:$G$31,MATCH($K202,'نقاط التحقق'!$A$2:$A$31,0))&amp;"","")</f>
        <v>إجراءات معتمدة للوحدة التنظيمية</v>
      </c>
      <c r="M202" s="13">
        <v>87</v>
      </c>
      <c r="N202" s="15" t="str">
        <f>IF($M202="","غير مقيّمة",IF($M202&gt;المرجع!$K$3,"مستوفاة بشكل متقدم",IF($M202&lt;=المرجع!$K$2,"مستوفاة بشكل أولي","مستوفاة بشكل جزئي")))</f>
        <v>مستوفاة بشكل متقدم</v>
      </c>
      <c r="O202" s="18"/>
    </row>
    <row r="203" spans="1:15">
      <c r="A203" s="16" t="s">
        <v>1007</v>
      </c>
      <c r="B203" s="16" t="s">
        <v>202</v>
      </c>
      <c r="C203" s="15" t="str">
        <f>IFERROR(INDEX('قائمة الوحدات'!$B$2:$B$41,MATCH($B203,'قائمة الوحدات'!$A$2:$A$41,0)),"")</f>
        <v>MIL</v>
      </c>
      <c r="D203" s="14" t="str">
        <f>IFERROR(INDEX('قائمة الوحدات'!$C$2:$C$41,MATCH($B203,'قائمة الوحدات'!$A$2:$A$41,0)),"")</f>
        <v>الجهاز العسكري</v>
      </c>
      <c r="E203" s="14" t="str">
        <f>IFERROR(INDEX('قائمة الوحدات'!$D$2:$D$41,MATCH($B203,'قائمة الوحدات'!$A$2:$A$41,0)),"")</f>
        <v>الإدارة العامة للاستخبارات العسكرية</v>
      </c>
      <c r="F203" s="14" t="str">
        <f>IFERROR(INDEX('قائمة الوحدات'!$F$2:$F$41,MATCH($B203,'قائمة الوحدات'!$A$2:$A$41,0)),"")</f>
        <v>الإدارة العامة للاستخبارات العسكرية</v>
      </c>
      <c r="G203" s="16" t="s">
        <v>61</v>
      </c>
      <c r="H203" s="14" t="str">
        <f>IFERROR(INDEX(المرجع!$A$2:$A$19,MATCH($G203,المرجع!$B$2:$B$19,0)),"")</f>
        <v>البناء المؤسسي</v>
      </c>
      <c r="I203" s="16" t="s">
        <v>63</v>
      </c>
      <c r="J203" s="14" t="str">
        <f>IFERROR(INDEX(المرجع!$D$2:$D$19,MATCH($I203,المرجع!$E$2:$E$19,0)),"")</f>
        <v>إنتاج المخرج الأول</v>
      </c>
      <c r="K203" s="16" t="s">
        <v>114</v>
      </c>
      <c r="L203" s="17" t="str">
        <f>IFERROR(INDEX('نقاط التحقق'!$G$2:$G$31,MATCH($K203,'نقاط التحقق'!$A$2:$A$31,0))&amp;"","")</f>
        <v>إنتاج المخرج الأول من قبل الوحدة التنظيمية</v>
      </c>
      <c r="M203" s="13">
        <v>86</v>
      </c>
      <c r="N203" s="15" t="str">
        <f>IF($M203="","غير مقيّمة",IF($M203&gt;المرجع!$K$3,"مستوفاة بشكل متقدم",IF($M203&lt;=المرجع!$K$2,"مستوفاة بشكل أولي","مستوفاة بشكل جزئي")))</f>
        <v>مستوفاة بشكل متقدم</v>
      </c>
      <c r="O203" s="18"/>
    </row>
    <row r="204" spans="1:15">
      <c r="A204" s="16" t="s">
        <v>1008</v>
      </c>
      <c r="B204" s="16" t="s">
        <v>202</v>
      </c>
      <c r="C204" s="15" t="str">
        <f>IFERROR(INDEX('قائمة الوحدات'!$B$2:$B$41,MATCH($B204,'قائمة الوحدات'!$A$2:$A$41,0)),"")</f>
        <v>MIL</v>
      </c>
      <c r="D204" s="14" t="str">
        <f>IFERROR(INDEX('قائمة الوحدات'!$C$2:$C$41,MATCH($B204,'قائمة الوحدات'!$A$2:$A$41,0)),"")</f>
        <v>الجهاز العسكري</v>
      </c>
      <c r="E204" s="14" t="str">
        <f>IFERROR(INDEX('قائمة الوحدات'!$D$2:$D$41,MATCH($B204,'قائمة الوحدات'!$A$2:$A$41,0)),"")</f>
        <v>الإدارة العامة للاستخبارات العسكرية</v>
      </c>
      <c r="F204" s="14" t="str">
        <f>IFERROR(INDEX('قائمة الوحدات'!$F$2:$F$41,MATCH($B204,'قائمة الوحدات'!$A$2:$A$41,0)),"")</f>
        <v>الإدارة العامة للاستخبارات العسكرية</v>
      </c>
      <c r="G204" s="16" t="s">
        <v>65</v>
      </c>
      <c r="H204" s="14" t="str">
        <f>IFERROR(INDEX(المرجع!$A$2:$A$19,MATCH($G204,المرجع!$B$2:$B$19,0)),"")</f>
        <v>التشغيل</v>
      </c>
      <c r="I204" s="16" t="s">
        <v>48</v>
      </c>
      <c r="J204" s="14" t="str">
        <f>IFERROR(INDEX(المرجع!$D$2:$D$19,MATCH($I204,المرجع!$E$2:$E$19,0)),"")</f>
        <v>الأهداف ومؤشرات الأداء</v>
      </c>
      <c r="K204" s="16" t="s">
        <v>116</v>
      </c>
      <c r="L204" s="17" t="str">
        <f>IFERROR(INDEX('نقاط التحقق'!$G$2:$G$31,MATCH($K204,'نقاط التحقق'!$A$2:$A$31,0))&amp;"","")</f>
        <v>تحرك مؤشرات الأداء التشغيلي للوحدة التنظيمية بشكل إيجابي</v>
      </c>
      <c r="M204" s="13">
        <v>50</v>
      </c>
      <c r="N204" s="15" t="str">
        <f>IF($M204="","غير مقيّمة",IF($M204&gt;المرجع!$K$3,"مستوفاة بشكل متقدم",IF($M204&lt;=المرجع!$K$2,"مستوفاة بشكل أولي","مستوفاة بشكل جزئي")))</f>
        <v>مستوفاة بشكل جزئي</v>
      </c>
      <c r="O204" s="18"/>
    </row>
    <row r="205" spans="1:15">
      <c r="A205" s="16" t="s">
        <v>1009</v>
      </c>
      <c r="B205" s="16" t="s">
        <v>202</v>
      </c>
      <c r="C205" s="15" t="str">
        <f>IFERROR(INDEX('قائمة الوحدات'!$B$2:$B$41,MATCH($B205,'قائمة الوحدات'!$A$2:$A$41,0)),"")</f>
        <v>MIL</v>
      </c>
      <c r="D205" s="14" t="str">
        <f>IFERROR(INDEX('قائمة الوحدات'!$C$2:$C$41,MATCH($B205,'قائمة الوحدات'!$A$2:$A$41,0)),"")</f>
        <v>الجهاز العسكري</v>
      </c>
      <c r="E205" s="14" t="str">
        <f>IFERROR(INDEX('قائمة الوحدات'!$D$2:$D$41,MATCH($B205,'قائمة الوحدات'!$A$2:$A$41,0)),"")</f>
        <v>الإدارة العامة للاستخبارات العسكرية</v>
      </c>
      <c r="F205" s="14" t="str">
        <f>IFERROR(INDEX('قائمة الوحدات'!$F$2:$F$41,MATCH($B205,'قائمة الوحدات'!$A$2:$A$41,0)),"")</f>
        <v>الإدارة العامة للاستخبارات العسكرية</v>
      </c>
      <c r="G205" s="16" t="s">
        <v>65</v>
      </c>
      <c r="H205" s="14" t="str">
        <f>IFERROR(INDEX(المرجع!$A$2:$A$19,MATCH($G205,المرجع!$B$2:$B$19,0)),"")</f>
        <v>التشغيل</v>
      </c>
      <c r="I205" s="16" t="s">
        <v>48</v>
      </c>
      <c r="J205" s="14" t="str">
        <f>IFERROR(INDEX(المرجع!$D$2:$D$19,MATCH($I205,المرجع!$E$2:$E$19,0)),"")</f>
        <v>الأهداف ومؤشرات الأداء</v>
      </c>
      <c r="K205" s="16" t="s">
        <v>118</v>
      </c>
      <c r="L205" s="17" t="str">
        <f>IFERROR(INDEX('نقاط التحقق'!$G$2:$G$31,MATCH($K205,'نقاط التحقق'!$A$2:$A$31,0))&amp;"","")</f>
        <v>خطة سنوية معتمدة للوحدة التنظيمية</v>
      </c>
      <c r="M205" s="13">
        <v>35</v>
      </c>
      <c r="N205" s="15" t="str">
        <f>IF($M205="","غير مقيّمة",IF($M205&gt;المرجع!$K$3,"مستوفاة بشكل متقدم",IF($M205&lt;=المرجع!$K$2,"مستوفاة بشكل أولي","مستوفاة بشكل جزئي")))</f>
        <v>مستوفاة بشكل جزئي</v>
      </c>
      <c r="O205" s="18"/>
    </row>
    <row r="206" spans="1:15">
      <c r="A206" s="16" t="s">
        <v>1010</v>
      </c>
      <c r="B206" s="16" t="s">
        <v>202</v>
      </c>
      <c r="C206" s="15" t="str">
        <f>IFERROR(INDEX('قائمة الوحدات'!$B$2:$B$41,MATCH($B206,'قائمة الوحدات'!$A$2:$A$41,0)),"")</f>
        <v>MIL</v>
      </c>
      <c r="D206" s="14" t="str">
        <f>IFERROR(INDEX('قائمة الوحدات'!$C$2:$C$41,MATCH($B206,'قائمة الوحدات'!$A$2:$A$41,0)),"")</f>
        <v>الجهاز العسكري</v>
      </c>
      <c r="E206" s="14" t="str">
        <f>IFERROR(INDEX('قائمة الوحدات'!$D$2:$D$41,MATCH($B206,'قائمة الوحدات'!$A$2:$A$41,0)),"")</f>
        <v>الإدارة العامة للاستخبارات العسكرية</v>
      </c>
      <c r="F206" s="14" t="str">
        <f>IFERROR(INDEX('قائمة الوحدات'!$F$2:$F$41,MATCH($B206,'قائمة الوحدات'!$A$2:$A$41,0)),"")</f>
        <v>الإدارة العامة للاستخبارات العسكرية</v>
      </c>
      <c r="G206" s="16" t="s">
        <v>65</v>
      </c>
      <c r="H206" s="14" t="str">
        <f>IFERROR(INDEX(المرجع!$A$2:$A$19,MATCH($G206,المرجع!$B$2:$B$19,0)),"")</f>
        <v>التشغيل</v>
      </c>
      <c r="I206" s="16" t="s">
        <v>51</v>
      </c>
      <c r="J206" s="14" t="str">
        <f>IFERROR(INDEX(المرجع!$D$2:$D$19,MATCH($I206,المرجع!$E$2:$E$19,0)),"")</f>
        <v>الحوكمة</v>
      </c>
      <c r="K206" s="16" t="s">
        <v>120</v>
      </c>
      <c r="L206" s="17" t="str">
        <f>IFERROR(INDEX('نقاط التحقق'!$G$2:$G$31,MATCH($K206,'نقاط التحقق'!$A$2:$A$31,0))&amp;"","")</f>
        <v>محاضر لجان موثقة</v>
      </c>
      <c r="M206" s="13">
        <v>45</v>
      </c>
      <c r="N206" s="15" t="str">
        <f>IF($M206="","غير مقيّمة",IF($M206&gt;المرجع!$K$3,"مستوفاة بشكل متقدم",IF($M206&lt;=المرجع!$K$2,"مستوفاة بشكل أولي","مستوفاة بشكل جزئي")))</f>
        <v>مستوفاة بشكل جزئي</v>
      </c>
      <c r="O206" s="18"/>
    </row>
    <row r="207" spans="1:15">
      <c r="A207" s="16" t="s">
        <v>1011</v>
      </c>
      <c r="B207" s="16" t="s">
        <v>202</v>
      </c>
      <c r="C207" s="15" t="str">
        <f>IFERROR(INDEX('قائمة الوحدات'!$B$2:$B$41,MATCH($B207,'قائمة الوحدات'!$A$2:$A$41,0)),"")</f>
        <v>MIL</v>
      </c>
      <c r="D207" s="14" t="str">
        <f>IFERROR(INDEX('قائمة الوحدات'!$C$2:$C$41,MATCH($B207,'قائمة الوحدات'!$A$2:$A$41,0)),"")</f>
        <v>الجهاز العسكري</v>
      </c>
      <c r="E207" s="14" t="str">
        <f>IFERROR(INDEX('قائمة الوحدات'!$D$2:$D$41,MATCH($B207,'قائمة الوحدات'!$A$2:$A$41,0)),"")</f>
        <v>الإدارة العامة للاستخبارات العسكرية</v>
      </c>
      <c r="F207" s="14" t="str">
        <f>IFERROR(INDEX('قائمة الوحدات'!$F$2:$F$41,MATCH($B207,'قائمة الوحدات'!$A$2:$A$41,0)),"")</f>
        <v>الإدارة العامة للاستخبارات العسكرية</v>
      </c>
      <c r="G207" s="16" t="s">
        <v>65</v>
      </c>
      <c r="H207" s="14" t="str">
        <f>IFERROR(INDEX(المرجع!$A$2:$A$19,MATCH($G207,المرجع!$B$2:$B$19,0)),"")</f>
        <v>التشغيل</v>
      </c>
      <c r="I207" s="16" t="s">
        <v>51</v>
      </c>
      <c r="J207" s="14" t="str">
        <f>IFERROR(INDEX(المرجع!$D$2:$D$19,MATCH($I207,المرجع!$E$2:$E$19,0)),"")</f>
        <v>الحوكمة</v>
      </c>
      <c r="K207" s="16" t="s">
        <v>122</v>
      </c>
      <c r="L207" s="17" t="str">
        <f>IFERROR(INDEX('نقاط التحقق'!$G$2:$G$31,MATCH($K207,'نقاط التحقق'!$A$2:$A$31,0))&amp;"","")</f>
        <v>نشر السياسات التي تملكها الوحدة التنظيمية</v>
      </c>
      <c r="M207" s="13">
        <v>40</v>
      </c>
      <c r="N207" s="15" t="str">
        <f>IF($M207="","غير مقيّمة",IF($M207&gt;المرجع!$K$3,"مستوفاة بشكل متقدم",IF($M207&lt;=المرجع!$K$2,"مستوفاة بشكل أولي","مستوفاة بشكل جزئي")))</f>
        <v>مستوفاة بشكل جزئي</v>
      </c>
      <c r="O207" s="18"/>
    </row>
    <row r="208" spans="1:15">
      <c r="A208" s="16" t="s">
        <v>1012</v>
      </c>
      <c r="B208" s="16" t="s">
        <v>202</v>
      </c>
      <c r="C208" s="15" t="str">
        <f>IFERROR(INDEX('قائمة الوحدات'!$B$2:$B$41,MATCH($B208,'قائمة الوحدات'!$A$2:$A$41,0)),"")</f>
        <v>MIL</v>
      </c>
      <c r="D208" s="14" t="str">
        <f>IFERROR(INDEX('قائمة الوحدات'!$C$2:$C$41,MATCH($B208,'قائمة الوحدات'!$A$2:$A$41,0)),"")</f>
        <v>الجهاز العسكري</v>
      </c>
      <c r="E208" s="14" t="str">
        <f>IFERROR(INDEX('قائمة الوحدات'!$D$2:$D$41,MATCH($B208,'قائمة الوحدات'!$A$2:$A$41,0)),"")</f>
        <v>الإدارة العامة للاستخبارات العسكرية</v>
      </c>
      <c r="F208" s="14" t="str">
        <f>IFERROR(INDEX('قائمة الوحدات'!$F$2:$F$41,MATCH($B208,'قائمة الوحدات'!$A$2:$A$41,0)),"")</f>
        <v>الإدارة العامة للاستخبارات العسكرية</v>
      </c>
      <c r="G208" s="16" t="s">
        <v>65</v>
      </c>
      <c r="H208" s="14" t="str">
        <f>IFERROR(INDEX(المرجع!$A$2:$A$19,MATCH($G208,المرجع!$B$2:$B$19,0)),"")</f>
        <v>التشغيل</v>
      </c>
      <c r="I208" s="16" t="s">
        <v>51</v>
      </c>
      <c r="J208" s="14" t="str">
        <f>IFERROR(INDEX(المرجع!$D$2:$D$19,MATCH($I208,المرجع!$E$2:$E$19,0)),"")</f>
        <v>الحوكمة</v>
      </c>
      <c r="K208" s="16" t="s">
        <v>124</v>
      </c>
      <c r="L208" s="17" t="str">
        <f>IFERROR(INDEX('نقاط التحقق'!$G$2:$G$31,MATCH($K208,'نقاط التحقق'!$A$2:$A$31,0))&amp;"","")</f>
        <v>اتخاذ القرارات في نطاق الصلاحيات (وجود شواهد)</v>
      </c>
      <c r="M208" s="13">
        <v>50</v>
      </c>
      <c r="N208" s="15" t="str">
        <f>IF($M208="","غير مقيّمة",IF($M208&gt;المرجع!$K$3,"مستوفاة بشكل متقدم",IF($M208&lt;=المرجع!$K$2,"مستوفاة بشكل أولي","مستوفاة بشكل جزئي")))</f>
        <v>مستوفاة بشكل جزئي</v>
      </c>
      <c r="O208" s="18"/>
    </row>
    <row r="209" spans="1:15">
      <c r="A209" s="16" t="s">
        <v>1013</v>
      </c>
      <c r="B209" s="16" t="s">
        <v>202</v>
      </c>
      <c r="C209" s="15" t="str">
        <f>IFERROR(INDEX('قائمة الوحدات'!$B$2:$B$41,MATCH($B209,'قائمة الوحدات'!$A$2:$A$41,0)),"")</f>
        <v>MIL</v>
      </c>
      <c r="D209" s="14" t="str">
        <f>IFERROR(INDEX('قائمة الوحدات'!$C$2:$C$41,MATCH($B209,'قائمة الوحدات'!$A$2:$A$41,0)),"")</f>
        <v>الجهاز العسكري</v>
      </c>
      <c r="E209" s="14" t="str">
        <f>IFERROR(INDEX('قائمة الوحدات'!$D$2:$D$41,MATCH($B209,'قائمة الوحدات'!$A$2:$A$41,0)),"")</f>
        <v>الإدارة العامة للاستخبارات العسكرية</v>
      </c>
      <c r="F209" s="14" t="str">
        <f>IFERROR(INDEX('قائمة الوحدات'!$F$2:$F$41,MATCH($B209,'قائمة الوحدات'!$A$2:$A$41,0)),"")</f>
        <v>الإدارة العامة للاستخبارات العسكرية</v>
      </c>
      <c r="G209" s="16" t="s">
        <v>65</v>
      </c>
      <c r="H209" s="14" t="str">
        <f>IFERROR(INDEX(المرجع!$A$2:$A$19,MATCH($G209,المرجع!$B$2:$B$19,0)),"")</f>
        <v>التشغيل</v>
      </c>
      <c r="I209" s="16" t="s">
        <v>56</v>
      </c>
      <c r="J209" s="14" t="str">
        <f>IFERROR(INDEX(المرجع!$D$2:$D$19,MATCH($I209,المرجع!$E$2:$E$19,0)),"")</f>
        <v>الموارد</v>
      </c>
      <c r="K209" s="16" t="s">
        <v>126</v>
      </c>
      <c r="L209" s="17" t="str">
        <f>IFERROR(INDEX('نقاط التحقق'!$G$2:$G$31,MATCH($K209,'نقاط التحقق'!$A$2:$A$31,0))&amp;"","")</f>
        <v>موارد مستكملة للحد الأدنى الذي يغطي كافة محاور سلسلة القيمة</v>
      </c>
      <c r="M209" s="13">
        <v>52</v>
      </c>
      <c r="N209" s="15" t="str">
        <f>IF($M209="","غير مقيّمة",IF($M209&gt;المرجع!$K$3,"مستوفاة بشكل متقدم",IF($M209&lt;=المرجع!$K$2,"مستوفاة بشكل أولي","مستوفاة بشكل جزئي")))</f>
        <v>مستوفاة بشكل جزئي</v>
      </c>
      <c r="O209" s="18"/>
    </row>
    <row r="210" spans="1:15">
      <c r="A210" s="16" t="s">
        <v>1014</v>
      </c>
      <c r="B210" s="16" t="s">
        <v>202</v>
      </c>
      <c r="C210" s="15" t="str">
        <f>IFERROR(INDEX('قائمة الوحدات'!$B$2:$B$41,MATCH($B210,'قائمة الوحدات'!$A$2:$A$41,0)),"")</f>
        <v>MIL</v>
      </c>
      <c r="D210" s="14" t="str">
        <f>IFERROR(INDEX('قائمة الوحدات'!$C$2:$C$41,MATCH($B210,'قائمة الوحدات'!$A$2:$A$41,0)),"")</f>
        <v>الجهاز العسكري</v>
      </c>
      <c r="E210" s="14" t="str">
        <f>IFERROR(INDEX('قائمة الوحدات'!$D$2:$D$41,MATCH($B210,'قائمة الوحدات'!$A$2:$A$41,0)),"")</f>
        <v>الإدارة العامة للاستخبارات العسكرية</v>
      </c>
      <c r="F210" s="14" t="str">
        <f>IFERROR(INDEX('قائمة الوحدات'!$F$2:$F$41,MATCH($B210,'قائمة الوحدات'!$A$2:$A$41,0)),"")</f>
        <v>الإدارة العامة للاستخبارات العسكرية</v>
      </c>
      <c r="G210" s="16" t="s">
        <v>65</v>
      </c>
      <c r="H210" s="14" t="str">
        <f>IFERROR(INDEX(المرجع!$A$2:$A$19,MATCH($G210,المرجع!$B$2:$B$19,0)),"")</f>
        <v>التشغيل</v>
      </c>
      <c r="I210" s="16" t="s">
        <v>59</v>
      </c>
      <c r="J210" s="14" t="str">
        <f>IFERROR(INDEX(المرجع!$D$2:$D$19,MATCH($I210,المرجع!$E$2:$E$19,0)),"")</f>
        <v>الإجراءات</v>
      </c>
      <c r="K210" s="16" t="s">
        <v>128</v>
      </c>
      <c r="L210" s="17" t="str">
        <f>IFERROR(INDEX('نقاط التحقق'!$G$2:$G$31,MATCH($K210,'نقاط التحقق'!$A$2:$A$31,0))&amp;"","")</f>
        <v>تحقيق تقييم "مطبق بشكل كامل" من منهجية تقييم فعالية الإجراءات</v>
      </c>
      <c r="M210" s="13">
        <v>27</v>
      </c>
      <c r="N210" s="15" t="str">
        <f>IF($M210="","غير مقيّمة",IF($M210&gt;المرجع!$K$3,"مستوفاة بشكل متقدم",IF($M210&lt;=المرجع!$K$2,"مستوفاة بشكل أولي","مستوفاة بشكل جزئي")))</f>
        <v>مستوفاة بشكل أولي</v>
      </c>
      <c r="O210" s="18"/>
    </row>
    <row r="211" spans="1:15">
      <c r="A211" s="16" t="s">
        <v>1015</v>
      </c>
      <c r="B211" s="16" t="s">
        <v>202</v>
      </c>
      <c r="C211" s="15" t="str">
        <f>IFERROR(INDEX('قائمة الوحدات'!$B$2:$B$41,MATCH($B211,'قائمة الوحدات'!$A$2:$A$41,0)),"")</f>
        <v>MIL</v>
      </c>
      <c r="D211" s="14" t="str">
        <f>IFERROR(INDEX('قائمة الوحدات'!$C$2:$C$41,MATCH($B211,'قائمة الوحدات'!$A$2:$A$41,0)),"")</f>
        <v>الجهاز العسكري</v>
      </c>
      <c r="E211" s="14" t="str">
        <f>IFERROR(INDEX('قائمة الوحدات'!$D$2:$D$41,MATCH($B211,'قائمة الوحدات'!$A$2:$A$41,0)),"")</f>
        <v>الإدارة العامة للاستخبارات العسكرية</v>
      </c>
      <c r="F211" s="14" t="str">
        <f>IFERROR(INDEX('قائمة الوحدات'!$F$2:$F$41,MATCH($B211,'قائمة الوحدات'!$A$2:$A$41,0)),"")</f>
        <v>الإدارة العامة للاستخبارات العسكرية</v>
      </c>
      <c r="G211" s="16" t="s">
        <v>65</v>
      </c>
      <c r="H211" s="14" t="str">
        <f>IFERROR(INDEX(المرجع!$A$2:$A$19,MATCH($G211,المرجع!$B$2:$B$19,0)),"")</f>
        <v>التشغيل</v>
      </c>
      <c r="I211" s="16" t="s">
        <v>67</v>
      </c>
      <c r="J211" s="14" t="str">
        <f>IFERROR(INDEX(المرجع!$D$2:$D$19,MATCH($I211,المرجع!$E$2:$E$19,0)),"")</f>
        <v>اكتمال المخرجات المستهدفة</v>
      </c>
      <c r="K211" s="16" t="s">
        <v>130</v>
      </c>
      <c r="L211" s="17" t="str">
        <f>IFERROR(INDEX('نقاط التحقق'!$G$2:$G$31,MATCH($K211,'نقاط التحقق'!$A$2:$A$31,0))&amp;"","")</f>
        <v>اكتمال مخرجات النموذج التشغيلي المستهدف للوحدة التنظيمية</v>
      </c>
      <c r="M211" s="13">
        <v>27</v>
      </c>
      <c r="N211" s="15" t="str">
        <f>IF($M211="","غير مقيّمة",IF($M211&gt;المرجع!$K$3,"مستوفاة بشكل متقدم",IF($M211&lt;=المرجع!$K$2,"مستوفاة بشكل أولي","مستوفاة بشكل جزئي")))</f>
        <v>مستوفاة بشكل أولي</v>
      </c>
      <c r="O211" s="18"/>
    </row>
    <row r="212" spans="1:15">
      <c r="A212" s="16" t="s">
        <v>1016</v>
      </c>
      <c r="B212" s="16" t="s">
        <v>204</v>
      </c>
      <c r="C212" s="15" t="str">
        <f>IFERROR(INDEX('قائمة الوحدات'!$B$2:$B$41,MATCH($B212,'قائمة الوحدات'!$A$2:$A$41,0)),"")</f>
        <v>MIL</v>
      </c>
      <c r="D212" s="14" t="str">
        <f>IFERROR(INDEX('قائمة الوحدات'!$C$2:$C$41,MATCH($B212,'قائمة الوحدات'!$A$2:$A$41,0)),"")</f>
        <v>الجهاز العسكري</v>
      </c>
      <c r="E212" s="14" t="str">
        <f>IFERROR(INDEX('قائمة الوحدات'!$D$2:$D$41,MATCH($B212,'قائمة الوحدات'!$A$2:$A$41,0)),"")</f>
        <v>الإدارة العامة للعمليات المشتركة</v>
      </c>
      <c r="F212" s="14" t="str">
        <f>IFERROR(INDEX('قائمة الوحدات'!$F$2:$F$41,MATCH($B212,'قائمة الوحدات'!$A$2:$A$41,0)),"")</f>
        <v>الإدارة العامة للعمليات المشتركة</v>
      </c>
      <c r="G212" s="16" t="s">
        <v>43</v>
      </c>
      <c r="H212" s="14" t="str">
        <f>IFERROR(INDEX(المرجع!$A$2:$A$19,MATCH($G212,المرجع!$B$2:$B$19,0)),"")</f>
        <v>التصميم</v>
      </c>
      <c r="I212" s="16" t="s">
        <v>45</v>
      </c>
      <c r="J212" s="14" t="str">
        <f>IFERROR(INDEX(المرجع!$D$2:$D$19,MATCH($I212,المرجع!$E$2:$E$19,0)),"")</f>
        <v>الدور</v>
      </c>
      <c r="K212" s="16" t="s">
        <v>72</v>
      </c>
      <c r="L212" s="17" t="str">
        <f>IFERROR(INDEX('نقاط التحقق'!$G$2:$G$31,MATCH($K212,'نقاط التحقق'!$A$2:$A$31,0))&amp;"","")</f>
        <v>دور مفصل للوحدة التنظيمية</v>
      </c>
      <c r="M212" s="13">
        <v>72</v>
      </c>
      <c r="N212" s="15" t="str">
        <f>IF($M212="","غير مقيّمة",IF($M212&gt;المرجع!$K$3,"مستوفاة بشكل متقدم",IF($M212&lt;=المرجع!$K$2,"مستوفاة بشكل أولي","مستوفاة بشكل جزئي")))</f>
        <v>مستوفاة بشكل متقدم</v>
      </c>
      <c r="O212" s="18"/>
    </row>
    <row r="213" spans="1:15">
      <c r="A213" s="16" t="s">
        <v>1017</v>
      </c>
      <c r="B213" s="16" t="s">
        <v>204</v>
      </c>
      <c r="C213" s="15" t="str">
        <f>IFERROR(INDEX('قائمة الوحدات'!$B$2:$B$41,MATCH($B213,'قائمة الوحدات'!$A$2:$A$41,0)),"")</f>
        <v>MIL</v>
      </c>
      <c r="D213" s="14" t="str">
        <f>IFERROR(INDEX('قائمة الوحدات'!$C$2:$C$41,MATCH($B213,'قائمة الوحدات'!$A$2:$A$41,0)),"")</f>
        <v>الجهاز العسكري</v>
      </c>
      <c r="E213" s="14" t="str">
        <f>IFERROR(INDEX('قائمة الوحدات'!$D$2:$D$41,MATCH($B213,'قائمة الوحدات'!$A$2:$A$41,0)),"")</f>
        <v>الإدارة العامة للعمليات المشتركة</v>
      </c>
      <c r="F213" s="14" t="str">
        <f>IFERROR(INDEX('قائمة الوحدات'!$F$2:$F$41,MATCH($B213,'قائمة الوحدات'!$A$2:$A$41,0)),"")</f>
        <v>الإدارة العامة للعمليات المشتركة</v>
      </c>
      <c r="G213" s="16" t="s">
        <v>43</v>
      </c>
      <c r="H213" s="14" t="str">
        <f>IFERROR(INDEX(المرجع!$A$2:$A$19,MATCH($G213,المرجع!$B$2:$B$19,0)),"")</f>
        <v>التصميم</v>
      </c>
      <c r="I213" s="16" t="s">
        <v>48</v>
      </c>
      <c r="J213" s="14" t="str">
        <f>IFERROR(INDEX(المرجع!$D$2:$D$19,MATCH($I213,المرجع!$E$2:$E$19,0)),"")</f>
        <v>الأهداف ومؤشرات الأداء</v>
      </c>
      <c r="K213" s="16" t="s">
        <v>74</v>
      </c>
      <c r="L213" s="17" t="str">
        <f>IFERROR(INDEX('نقاط التحقق'!$G$2:$G$31,MATCH($K213,'نقاط التحقق'!$A$2:$A$31,0))&amp;"","")</f>
        <v>أهداف محددة للوحدة التنظيمية وربطها بمؤشرات أداء لقياسها</v>
      </c>
      <c r="M213" s="13">
        <v>95</v>
      </c>
      <c r="N213" s="15" t="str">
        <f>IF($M213="","غير مقيّمة",IF($M213&gt;المرجع!$K$3,"مستوفاة بشكل متقدم",IF($M213&lt;=المرجع!$K$2,"مستوفاة بشكل أولي","مستوفاة بشكل جزئي")))</f>
        <v>مستوفاة بشكل متقدم</v>
      </c>
      <c r="O213" s="18"/>
    </row>
    <row r="214" spans="1:15">
      <c r="A214" s="16" t="s">
        <v>1018</v>
      </c>
      <c r="B214" s="16" t="s">
        <v>204</v>
      </c>
      <c r="C214" s="15" t="str">
        <f>IFERROR(INDEX('قائمة الوحدات'!$B$2:$B$41,MATCH($B214,'قائمة الوحدات'!$A$2:$A$41,0)),"")</f>
        <v>MIL</v>
      </c>
      <c r="D214" s="14" t="str">
        <f>IFERROR(INDEX('قائمة الوحدات'!$C$2:$C$41,MATCH($B214,'قائمة الوحدات'!$A$2:$A$41,0)),"")</f>
        <v>الجهاز العسكري</v>
      </c>
      <c r="E214" s="14" t="str">
        <f>IFERROR(INDEX('قائمة الوحدات'!$D$2:$D$41,MATCH($B214,'قائمة الوحدات'!$A$2:$A$41,0)),"")</f>
        <v>الإدارة العامة للعمليات المشتركة</v>
      </c>
      <c r="F214" s="14" t="str">
        <f>IFERROR(INDEX('قائمة الوحدات'!$F$2:$F$41,MATCH($B214,'قائمة الوحدات'!$A$2:$A$41,0)),"")</f>
        <v>الإدارة العامة للعمليات المشتركة</v>
      </c>
      <c r="G214" s="16" t="s">
        <v>43</v>
      </c>
      <c r="H214" s="14" t="str">
        <f>IFERROR(INDEX(المرجع!$A$2:$A$19,MATCH($G214,المرجع!$B$2:$B$19,0)),"")</f>
        <v>التصميم</v>
      </c>
      <c r="I214" s="16" t="s">
        <v>48</v>
      </c>
      <c r="J214" s="14" t="str">
        <f>IFERROR(INDEX(المرجع!$D$2:$D$19,MATCH($I214,المرجع!$E$2:$E$19,0)),"")</f>
        <v>الأهداف ومؤشرات الأداء</v>
      </c>
      <c r="K214" s="16" t="s">
        <v>76</v>
      </c>
      <c r="L214" s="17" t="str">
        <f>IFERROR(INDEX('نقاط التحقق'!$G$2:$G$31,MATCH($K214,'نقاط التحقق'!$A$2:$A$31,0))&amp;"","")</f>
        <v>مؤشرات أداء الوحدة التنظيمية</v>
      </c>
      <c r="M214" s="13">
        <v>80</v>
      </c>
      <c r="N214" s="15" t="str">
        <f>IF($M214="","غير مقيّمة",IF($M214&gt;المرجع!$K$3,"مستوفاة بشكل متقدم",IF($M214&lt;=المرجع!$K$2,"مستوفاة بشكل أولي","مستوفاة بشكل جزئي")))</f>
        <v>مستوفاة بشكل متقدم</v>
      </c>
      <c r="O214" s="18"/>
    </row>
    <row r="215" spans="1:15">
      <c r="A215" s="16" t="s">
        <v>1019</v>
      </c>
      <c r="B215" s="16" t="s">
        <v>204</v>
      </c>
      <c r="C215" s="15" t="str">
        <f>IFERROR(INDEX('قائمة الوحدات'!$B$2:$B$41,MATCH($B215,'قائمة الوحدات'!$A$2:$A$41,0)),"")</f>
        <v>MIL</v>
      </c>
      <c r="D215" s="14" t="str">
        <f>IFERROR(INDEX('قائمة الوحدات'!$C$2:$C$41,MATCH($B215,'قائمة الوحدات'!$A$2:$A$41,0)),"")</f>
        <v>الجهاز العسكري</v>
      </c>
      <c r="E215" s="14" t="str">
        <f>IFERROR(INDEX('قائمة الوحدات'!$D$2:$D$41,MATCH($B215,'قائمة الوحدات'!$A$2:$A$41,0)),"")</f>
        <v>الإدارة العامة للعمليات المشتركة</v>
      </c>
      <c r="F215" s="14" t="str">
        <f>IFERROR(INDEX('قائمة الوحدات'!$F$2:$F$41,MATCH($B215,'قائمة الوحدات'!$A$2:$A$41,0)),"")</f>
        <v>الإدارة العامة للعمليات المشتركة</v>
      </c>
      <c r="G215" s="16" t="s">
        <v>43</v>
      </c>
      <c r="H215" s="14" t="str">
        <f>IFERROR(INDEX(المرجع!$A$2:$A$19,MATCH($G215,المرجع!$B$2:$B$19,0)),"")</f>
        <v>التصميم</v>
      </c>
      <c r="I215" s="16" t="s">
        <v>51</v>
      </c>
      <c r="J215" s="14" t="str">
        <f>IFERROR(INDEX(المرجع!$D$2:$D$19,MATCH($I215,المرجع!$E$2:$E$19,0)),"")</f>
        <v>الحوكمة</v>
      </c>
      <c r="K215" s="16" t="s">
        <v>78</v>
      </c>
      <c r="L215" s="17" t="str">
        <f>IFERROR(INDEX('نقاط التحقق'!$G$2:$G$31,MATCH($K215,'نقاط التحقق'!$A$2:$A$31,0))&amp;"","")</f>
        <v>تفصيل القرارات ومصفوفة الصلاحيات واللجان ذات العلاقة لاعتماد مخرجات الوحدة التنظيمية</v>
      </c>
      <c r="M215" s="13">
        <v>68</v>
      </c>
      <c r="N215" s="15" t="str">
        <f>IF($M215="","غير مقيّمة",IF($M215&gt;المرجع!$K$3,"مستوفاة بشكل متقدم",IF($M215&lt;=المرجع!$K$2,"مستوفاة بشكل أولي","مستوفاة بشكل جزئي")))</f>
        <v>مستوفاة بشكل جزئي</v>
      </c>
      <c r="O215" s="18"/>
    </row>
    <row r="216" spans="1:15">
      <c r="A216" s="16" t="s">
        <v>1020</v>
      </c>
      <c r="B216" s="16" t="s">
        <v>204</v>
      </c>
      <c r="C216" s="15" t="str">
        <f>IFERROR(INDEX('قائمة الوحدات'!$B$2:$B$41,MATCH($B216,'قائمة الوحدات'!$A$2:$A$41,0)),"")</f>
        <v>MIL</v>
      </c>
      <c r="D216" s="14" t="str">
        <f>IFERROR(INDEX('قائمة الوحدات'!$C$2:$C$41,MATCH($B216,'قائمة الوحدات'!$A$2:$A$41,0)),"")</f>
        <v>الجهاز العسكري</v>
      </c>
      <c r="E216" s="14" t="str">
        <f>IFERROR(INDEX('قائمة الوحدات'!$D$2:$D$41,MATCH($B216,'قائمة الوحدات'!$A$2:$A$41,0)),"")</f>
        <v>الإدارة العامة للعمليات المشتركة</v>
      </c>
      <c r="F216" s="14" t="str">
        <f>IFERROR(INDEX('قائمة الوحدات'!$F$2:$F$41,MATCH($B216,'قائمة الوحدات'!$A$2:$A$41,0)),"")</f>
        <v>الإدارة العامة للعمليات المشتركة</v>
      </c>
      <c r="G216" s="16" t="s">
        <v>43</v>
      </c>
      <c r="H216" s="14" t="str">
        <f>IFERROR(INDEX(المرجع!$A$2:$A$19,MATCH($G216,المرجع!$B$2:$B$19,0)),"")</f>
        <v>التصميم</v>
      </c>
      <c r="I216" s="16" t="s">
        <v>54</v>
      </c>
      <c r="J216" s="14" t="str">
        <f>IFERROR(INDEX(المرجع!$D$2:$D$19,MATCH($I216,المرجع!$E$2:$E$19,0)),"")</f>
        <v>التنظيم</v>
      </c>
      <c r="K216" s="16" t="s">
        <v>80</v>
      </c>
      <c r="L216" s="17" t="str">
        <f>IFERROR(INDEX('نقاط التحقق'!$G$2:$G$31,MATCH($K216,'نقاط التحقق'!$A$2:$A$31,0))&amp;"","")</f>
        <v>تطوير الأدوار والمسؤوليات للوحدة التنظيمية وتفصيل الهيكل التنظيمي</v>
      </c>
      <c r="M216" s="13">
        <v>84</v>
      </c>
      <c r="N216" s="15" t="str">
        <f>IF($M216="","غير مقيّمة",IF($M216&gt;المرجع!$K$3,"مستوفاة بشكل متقدم",IF($M216&lt;=المرجع!$K$2,"مستوفاة بشكل أولي","مستوفاة بشكل جزئي")))</f>
        <v>مستوفاة بشكل متقدم</v>
      </c>
      <c r="O216" s="18"/>
    </row>
    <row r="217" spans="1:15">
      <c r="A217" s="16" t="s">
        <v>1021</v>
      </c>
      <c r="B217" s="16" t="s">
        <v>204</v>
      </c>
      <c r="C217" s="15" t="str">
        <f>IFERROR(INDEX('قائمة الوحدات'!$B$2:$B$41,MATCH($B217,'قائمة الوحدات'!$A$2:$A$41,0)),"")</f>
        <v>MIL</v>
      </c>
      <c r="D217" s="14" t="str">
        <f>IFERROR(INDEX('قائمة الوحدات'!$C$2:$C$41,MATCH($B217,'قائمة الوحدات'!$A$2:$A$41,0)),"")</f>
        <v>الجهاز العسكري</v>
      </c>
      <c r="E217" s="14" t="str">
        <f>IFERROR(INDEX('قائمة الوحدات'!$D$2:$D$41,MATCH($B217,'قائمة الوحدات'!$A$2:$A$41,0)),"")</f>
        <v>الإدارة العامة للعمليات المشتركة</v>
      </c>
      <c r="F217" s="14" t="str">
        <f>IFERROR(INDEX('قائمة الوحدات'!$F$2:$F$41,MATCH($B217,'قائمة الوحدات'!$A$2:$A$41,0)),"")</f>
        <v>الإدارة العامة للعمليات المشتركة</v>
      </c>
      <c r="G217" s="16" t="s">
        <v>43</v>
      </c>
      <c r="H217" s="14" t="str">
        <f>IFERROR(INDEX(المرجع!$A$2:$A$19,MATCH($G217,المرجع!$B$2:$B$19,0)),"")</f>
        <v>التصميم</v>
      </c>
      <c r="I217" s="16" t="s">
        <v>56</v>
      </c>
      <c r="J217" s="14" t="str">
        <f>IFERROR(INDEX(المرجع!$D$2:$D$19,MATCH($I217,المرجع!$E$2:$E$19,0)),"")</f>
        <v>الموارد</v>
      </c>
      <c r="K217" s="16" t="s">
        <v>82</v>
      </c>
      <c r="L217" s="17" t="str">
        <f>IFERROR(INDEX('نقاط التحقق'!$G$2:$G$31,MATCH($K217,'نقاط التحقق'!$A$2:$A$31,0))&amp;"","")</f>
        <v>تفصيل احتياج الموارد البشرية للوحدة التنظيمية</v>
      </c>
      <c r="M217" s="13">
        <v>90</v>
      </c>
      <c r="N217" s="15" t="str">
        <f>IF($M217="","غير مقيّمة",IF($M217&gt;المرجع!$K$3,"مستوفاة بشكل متقدم",IF($M217&lt;=المرجع!$K$2,"مستوفاة بشكل أولي","مستوفاة بشكل جزئي")))</f>
        <v>مستوفاة بشكل متقدم</v>
      </c>
      <c r="O217" s="18"/>
    </row>
    <row r="218" spans="1:15">
      <c r="A218" s="16" t="s">
        <v>1022</v>
      </c>
      <c r="B218" s="16" t="s">
        <v>204</v>
      </c>
      <c r="C218" s="15" t="str">
        <f>IFERROR(INDEX('قائمة الوحدات'!$B$2:$B$41,MATCH($B218,'قائمة الوحدات'!$A$2:$A$41,0)),"")</f>
        <v>MIL</v>
      </c>
      <c r="D218" s="14" t="str">
        <f>IFERROR(INDEX('قائمة الوحدات'!$C$2:$C$41,MATCH($B218,'قائمة الوحدات'!$A$2:$A$41,0)),"")</f>
        <v>الجهاز العسكري</v>
      </c>
      <c r="E218" s="14" t="str">
        <f>IFERROR(INDEX('قائمة الوحدات'!$D$2:$D$41,MATCH($B218,'قائمة الوحدات'!$A$2:$A$41,0)),"")</f>
        <v>الإدارة العامة للعمليات المشتركة</v>
      </c>
      <c r="F218" s="14" t="str">
        <f>IFERROR(INDEX('قائمة الوحدات'!$F$2:$F$41,MATCH($B218,'قائمة الوحدات'!$A$2:$A$41,0)),"")</f>
        <v>الإدارة العامة للعمليات المشتركة</v>
      </c>
      <c r="G218" s="16" t="s">
        <v>43</v>
      </c>
      <c r="H218" s="14" t="str">
        <f>IFERROR(INDEX(المرجع!$A$2:$A$19,MATCH($G218,المرجع!$B$2:$B$19,0)),"")</f>
        <v>التصميم</v>
      </c>
      <c r="I218" s="16" t="s">
        <v>59</v>
      </c>
      <c r="J218" s="14" t="str">
        <f>IFERROR(INDEX(المرجع!$D$2:$D$19,MATCH($I218,المرجع!$E$2:$E$19,0)),"")</f>
        <v>الإجراءات</v>
      </c>
      <c r="K218" s="16" t="s">
        <v>84</v>
      </c>
      <c r="L218" s="17" t="str">
        <f>IFERROR(INDEX('نقاط التحقق'!$G$2:$G$31,MATCH($K218,'نقاط التحقق'!$A$2:$A$31,0))&amp;"","")</f>
        <v>تفصيل المخرجات إلى إجراءات عالية المستوى</v>
      </c>
      <c r="M218" s="13">
        <v>89</v>
      </c>
      <c r="N218" s="15" t="str">
        <f>IF($M218="","غير مقيّمة",IF($M218&gt;المرجع!$K$3,"مستوفاة بشكل متقدم",IF($M218&lt;=المرجع!$K$2,"مستوفاة بشكل أولي","مستوفاة بشكل جزئي")))</f>
        <v>مستوفاة بشكل متقدم</v>
      </c>
      <c r="O218" s="18"/>
    </row>
    <row r="219" spans="1:15">
      <c r="A219" s="16" t="s">
        <v>1023</v>
      </c>
      <c r="B219" s="16" t="s">
        <v>204</v>
      </c>
      <c r="C219" s="15" t="str">
        <f>IFERROR(INDEX('قائمة الوحدات'!$B$2:$B$41,MATCH($B219,'قائمة الوحدات'!$A$2:$A$41,0)),"")</f>
        <v>MIL</v>
      </c>
      <c r="D219" s="14" t="str">
        <f>IFERROR(INDEX('قائمة الوحدات'!$C$2:$C$41,MATCH($B219,'قائمة الوحدات'!$A$2:$A$41,0)),"")</f>
        <v>الجهاز العسكري</v>
      </c>
      <c r="E219" s="14" t="str">
        <f>IFERROR(INDEX('قائمة الوحدات'!$D$2:$D$41,MATCH($B219,'قائمة الوحدات'!$A$2:$A$41,0)),"")</f>
        <v>الإدارة العامة للعمليات المشتركة</v>
      </c>
      <c r="F219" s="14" t="str">
        <f>IFERROR(INDEX('قائمة الوحدات'!$F$2:$F$41,MATCH($B219,'قائمة الوحدات'!$A$2:$A$41,0)),"")</f>
        <v>الإدارة العامة للعمليات المشتركة</v>
      </c>
      <c r="G219" s="16" t="s">
        <v>61</v>
      </c>
      <c r="H219" s="14" t="str">
        <f>IFERROR(INDEX(المرجع!$A$2:$A$19,MATCH($G219,المرجع!$B$2:$B$19,0)),"")</f>
        <v>البناء المؤسسي</v>
      </c>
      <c r="I219" s="16" t="s">
        <v>45</v>
      </c>
      <c r="J219" s="14" t="str">
        <f>IFERROR(INDEX(المرجع!$D$2:$D$19,MATCH($I219,المرجع!$E$2:$E$19,0)),"")</f>
        <v>الدور</v>
      </c>
      <c r="K219" s="16" t="s">
        <v>86</v>
      </c>
      <c r="L219" s="17" t="str">
        <f>IFERROR(INDEX('نقاط التحقق'!$G$2:$G$31,MATCH($K219,'نقاط التحقق'!$A$2:$A$31,0))&amp;"","")</f>
        <v>دور معتمد للوحدة التنظيمية</v>
      </c>
      <c r="M219" s="13">
        <v>70</v>
      </c>
      <c r="N219" s="15" t="str">
        <f>IF($M219="","غير مقيّمة",IF($M219&gt;المرجع!$K$3,"مستوفاة بشكل متقدم",IF($M219&lt;=المرجع!$K$2,"مستوفاة بشكل أولي","مستوفاة بشكل جزئي")))</f>
        <v>مستوفاة بشكل جزئي</v>
      </c>
      <c r="O219" s="18"/>
    </row>
    <row r="220" spans="1:15">
      <c r="A220" s="16" t="s">
        <v>1024</v>
      </c>
      <c r="B220" s="16" t="s">
        <v>204</v>
      </c>
      <c r="C220" s="15" t="str">
        <f>IFERROR(INDEX('قائمة الوحدات'!$B$2:$B$41,MATCH($B220,'قائمة الوحدات'!$A$2:$A$41,0)),"")</f>
        <v>MIL</v>
      </c>
      <c r="D220" s="14" t="str">
        <f>IFERROR(INDEX('قائمة الوحدات'!$C$2:$C$41,MATCH($B220,'قائمة الوحدات'!$A$2:$A$41,0)),"")</f>
        <v>الجهاز العسكري</v>
      </c>
      <c r="E220" s="14" t="str">
        <f>IFERROR(INDEX('قائمة الوحدات'!$D$2:$D$41,MATCH($B220,'قائمة الوحدات'!$A$2:$A$41,0)),"")</f>
        <v>الإدارة العامة للعمليات المشتركة</v>
      </c>
      <c r="F220" s="14" t="str">
        <f>IFERROR(INDEX('قائمة الوحدات'!$F$2:$F$41,MATCH($B220,'قائمة الوحدات'!$A$2:$A$41,0)),"")</f>
        <v>الإدارة العامة للعمليات المشتركة</v>
      </c>
      <c r="G220" s="16" t="s">
        <v>61</v>
      </c>
      <c r="H220" s="14" t="str">
        <f>IFERROR(INDEX(المرجع!$A$2:$A$19,MATCH($G220,المرجع!$B$2:$B$19,0)),"")</f>
        <v>البناء المؤسسي</v>
      </c>
      <c r="I220" s="16" t="s">
        <v>48</v>
      </c>
      <c r="J220" s="14" t="str">
        <f>IFERROR(INDEX(المرجع!$D$2:$D$19,MATCH($I220,المرجع!$E$2:$E$19,0)),"")</f>
        <v>الأهداف ومؤشرات الأداء</v>
      </c>
      <c r="K220" s="16" t="s">
        <v>88</v>
      </c>
      <c r="L220" s="17" t="str">
        <f>IFERROR(INDEX('نقاط التحقق'!$G$2:$G$31,MATCH($K220,'نقاط التحقق'!$A$2:$A$31,0))&amp;"","")</f>
        <v>أهداف تشغيلية معتمدة من صاحب الصلاحية</v>
      </c>
      <c r="M220" s="13">
        <v>55</v>
      </c>
      <c r="N220" s="15" t="str">
        <f>IF($M220="","غير مقيّمة",IF($M220&gt;المرجع!$K$3,"مستوفاة بشكل متقدم",IF($M220&lt;=المرجع!$K$2,"مستوفاة بشكل أولي","مستوفاة بشكل جزئي")))</f>
        <v>مستوفاة بشكل جزئي</v>
      </c>
      <c r="O220" s="18"/>
    </row>
    <row r="221" spans="1:15">
      <c r="A221" s="16" t="s">
        <v>1025</v>
      </c>
      <c r="B221" s="16" t="s">
        <v>204</v>
      </c>
      <c r="C221" s="15" t="str">
        <f>IFERROR(INDEX('قائمة الوحدات'!$B$2:$B$41,MATCH($B221,'قائمة الوحدات'!$A$2:$A$41,0)),"")</f>
        <v>MIL</v>
      </c>
      <c r="D221" s="14" t="str">
        <f>IFERROR(INDEX('قائمة الوحدات'!$C$2:$C$41,MATCH($B221,'قائمة الوحدات'!$A$2:$A$41,0)),"")</f>
        <v>الجهاز العسكري</v>
      </c>
      <c r="E221" s="14" t="str">
        <f>IFERROR(INDEX('قائمة الوحدات'!$D$2:$D$41,MATCH($B221,'قائمة الوحدات'!$A$2:$A$41,0)),"")</f>
        <v>الإدارة العامة للعمليات المشتركة</v>
      </c>
      <c r="F221" s="14" t="str">
        <f>IFERROR(INDEX('قائمة الوحدات'!$F$2:$F$41,MATCH($B221,'قائمة الوحدات'!$A$2:$A$41,0)),"")</f>
        <v>الإدارة العامة للعمليات المشتركة</v>
      </c>
      <c r="G221" s="16" t="s">
        <v>61</v>
      </c>
      <c r="H221" s="14" t="str">
        <f>IFERROR(INDEX(المرجع!$A$2:$A$19,MATCH($G221,المرجع!$B$2:$B$19,0)),"")</f>
        <v>البناء المؤسسي</v>
      </c>
      <c r="I221" s="16" t="s">
        <v>48</v>
      </c>
      <c r="J221" s="14" t="str">
        <f>IFERROR(INDEX(المرجع!$D$2:$D$19,MATCH($I221,المرجع!$E$2:$E$19,0)),"")</f>
        <v>الأهداف ومؤشرات الأداء</v>
      </c>
      <c r="K221" s="16" t="s">
        <v>90</v>
      </c>
      <c r="L221" s="17" t="str">
        <f>IFERROR(INDEX('نقاط التحقق'!$G$2:$G$31,MATCH($K221,'نقاط التحقق'!$A$2:$A$31,0))&amp;"","")</f>
        <v>نشر الأهداف التشغيلية على موظفي الوحدة التنظيمية</v>
      </c>
      <c r="M221" s="13">
        <v>85</v>
      </c>
      <c r="N221" s="15" t="str">
        <f>IF($M221="","غير مقيّمة",IF($M221&gt;المرجع!$K$3,"مستوفاة بشكل متقدم",IF($M221&lt;=المرجع!$K$2,"مستوفاة بشكل أولي","مستوفاة بشكل جزئي")))</f>
        <v>مستوفاة بشكل متقدم</v>
      </c>
      <c r="O221" s="18"/>
    </row>
    <row r="222" spans="1:15">
      <c r="A222" s="16" t="s">
        <v>1026</v>
      </c>
      <c r="B222" s="16" t="s">
        <v>204</v>
      </c>
      <c r="C222" s="15" t="str">
        <f>IFERROR(INDEX('قائمة الوحدات'!$B$2:$B$41,MATCH($B222,'قائمة الوحدات'!$A$2:$A$41,0)),"")</f>
        <v>MIL</v>
      </c>
      <c r="D222" s="14" t="str">
        <f>IFERROR(INDEX('قائمة الوحدات'!$C$2:$C$41,MATCH($B222,'قائمة الوحدات'!$A$2:$A$41,0)),"")</f>
        <v>الجهاز العسكري</v>
      </c>
      <c r="E222" s="14" t="str">
        <f>IFERROR(INDEX('قائمة الوحدات'!$D$2:$D$41,MATCH($B222,'قائمة الوحدات'!$A$2:$A$41,0)),"")</f>
        <v>الإدارة العامة للعمليات المشتركة</v>
      </c>
      <c r="F222" s="14" t="str">
        <f>IFERROR(INDEX('قائمة الوحدات'!$F$2:$F$41,MATCH($B222,'قائمة الوحدات'!$A$2:$A$41,0)),"")</f>
        <v>الإدارة العامة للعمليات المشتركة</v>
      </c>
      <c r="G222" s="16" t="s">
        <v>61</v>
      </c>
      <c r="H222" s="14" t="str">
        <f>IFERROR(INDEX(المرجع!$A$2:$A$19,MATCH($G222,المرجع!$B$2:$B$19,0)),"")</f>
        <v>البناء المؤسسي</v>
      </c>
      <c r="I222" s="16" t="s">
        <v>51</v>
      </c>
      <c r="J222" s="14" t="str">
        <f>IFERROR(INDEX(المرجع!$D$2:$D$19,MATCH($I222,المرجع!$E$2:$E$19,0)),"")</f>
        <v>الحوكمة</v>
      </c>
      <c r="K222" s="16" t="s">
        <v>92</v>
      </c>
      <c r="L222" s="17" t="str">
        <f>IFERROR(INDEX('نقاط التحقق'!$G$2:$G$31,MATCH($K222,'نقاط التحقق'!$A$2:$A$31,0))&amp;"","")</f>
        <v>مصفوفة صلاحيات معتمدة ومعممة على أصحاب المصلحة</v>
      </c>
      <c r="M222" s="13">
        <v>75</v>
      </c>
      <c r="N222" s="15" t="str">
        <f>IF($M222="","غير مقيّمة",IF($M222&gt;المرجع!$K$3,"مستوفاة بشكل متقدم",IF($M222&lt;=المرجع!$K$2,"مستوفاة بشكل أولي","مستوفاة بشكل جزئي")))</f>
        <v>مستوفاة بشكل متقدم</v>
      </c>
      <c r="O222" s="18"/>
    </row>
    <row r="223" spans="1:15">
      <c r="A223" s="16" t="s">
        <v>1027</v>
      </c>
      <c r="B223" s="16" t="s">
        <v>204</v>
      </c>
      <c r="C223" s="15" t="str">
        <f>IFERROR(INDEX('قائمة الوحدات'!$B$2:$B$41,MATCH($B223,'قائمة الوحدات'!$A$2:$A$41,0)),"")</f>
        <v>MIL</v>
      </c>
      <c r="D223" s="14" t="str">
        <f>IFERROR(INDEX('قائمة الوحدات'!$C$2:$C$41,MATCH($B223,'قائمة الوحدات'!$A$2:$A$41,0)),"")</f>
        <v>الجهاز العسكري</v>
      </c>
      <c r="E223" s="14" t="str">
        <f>IFERROR(INDEX('قائمة الوحدات'!$D$2:$D$41,MATCH($B223,'قائمة الوحدات'!$A$2:$A$41,0)),"")</f>
        <v>الإدارة العامة للعمليات المشتركة</v>
      </c>
      <c r="F223" s="14" t="str">
        <f>IFERROR(INDEX('قائمة الوحدات'!$F$2:$F$41,MATCH($B223,'قائمة الوحدات'!$A$2:$A$41,0)),"")</f>
        <v>الإدارة العامة للعمليات المشتركة</v>
      </c>
      <c r="G223" s="16" t="s">
        <v>61</v>
      </c>
      <c r="H223" s="14" t="str">
        <f>IFERROR(INDEX(المرجع!$A$2:$A$19,MATCH($G223,المرجع!$B$2:$B$19,0)),"")</f>
        <v>البناء المؤسسي</v>
      </c>
      <c r="I223" s="16" t="s">
        <v>51</v>
      </c>
      <c r="J223" s="14" t="str">
        <f>IFERROR(INDEX(المرجع!$D$2:$D$19,MATCH($I223,المرجع!$E$2:$E$19,0)),"")</f>
        <v>الحوكمة</v>
      </c>
      <c r="K223" s="16" t="s">
        <v>94</v>
      </c>
      <c r="L223" s="17" t="str">
        <f>IFERROR(INDEX('نقاط التحقق'!$G$2:$G$31,MATCH($K223,'نقاط التحقق'!$A$2:$A$31,0))&amp;"","")</f>
        <v>سياسات معتمدة للتي تملكها الوحدة التنظيمية</v>
      </c>
      <c r="M223" s="13">
        <v>75</v>
      </c>
      <c r="N223" s="15" t="str">
        <f>IF($M223="","غير مقيّمة",IF($M223&gt;المرجع!$K$3,"مستوفاة بشكل متقدم",IF($M223&lt;=المرجع!$K$2,"مستوفاة بشكل أولي","مستوفاة بشكل جزئي")))</f>
        <v>مستوفاة بشكل متقدم</v>
      </c>
      <c r="O223" s="18"/>
    </row>
    <row r="224" spans="1:15">
      <c r="A224" s="16" t="s">
        <v>1028</v>
      </c>
      <c r="B224" s="16" t="s">
        <v>204</v>
      </c>
      <c r="C224" s="15" t="str">
        <f>IFERROR(INDEX('قائمة الوحدات'!$B$2:$B$41,MATCH($B224,'قائمة الوحدات'!$A$2:$A$41,0)),"")</f>
        <v>MIL</v>
      </c>
      <c r="D224" s="14" t="str">
        <f>IFERROR(INDEX('قائمة الوحدات'!$C$2:$C$41,MATCH($B224,'قائمة الوحدات'!$A$2:$A$41,0)),"")</f>
        <v>الجهاز العسكري</v>
      </c>
      <c r="E224" s="14" t="str">
        <f>IFERROR(INDEX('قائمة الوحدات'!$D$2:$D$41,MATCH($B224,'قائمة الوحدات'!$A$2:$A$41,0)),"")</f>
        <v>الإدارة العامة للعمليات المشتركة</v>
      </c>
      <c r="F224" s="14" t="str">
        <f>IFERROR(INDEX('قائمة الوحدات'!$F$2:$F$41,MATCH($B224,'قائمة الوحدات'!$A$2:$A$41,0)),"")</f>
        <v>الإدارة العامة للعمليات المشتركة</v>
      </c>
      <c r="G224" s="16" t="s">
        <v>61</v>
      </c>
      <c r="H224" s="14" t="str">
        <f>IFERROR(INDEX(المرجع!$A$2:$A$19,MATCH($G224,المرجع!$B$2:$B$19,0)),"")</f>
        <v>البناء المؤسسي</v>
      </c>
      <c r="I224" s="16" t="s">
        <v>51</v>
      </c>
      <c r="J224" s="14" t="str">
        <f>IFERROR(INDEX(المرجع!$D$2:$D$19,MATCH($I224,المرجع!$E$2:$E$19,0)),"")</f>
        <v>الحوكمة</v>
      </c>
      <c r="K224" s="16" t="s">
        <v>96</v>
      </c>
      <c r="L224" s="17" t="str">
        <f>IFERROR(INDEX('نقاط التحقق'!$G$2:$G$31,MATCH($K224,'نقاط التحقق'!$A$2:$A$31,0))&amp;"","")</f>
        <v>قرار تشكيل معتمد للجان ذات العلاقة</v>
      </c>
      <c r="M224" s="13">
        <v>75</v>
      </c>
      <c r="N224" s="15" t="str">
        <f>IF($M224="","غير مقيّمة",IF($M224&gt;المرجع!$K$3,"مستوفاة بشكل متقدم",IF($M224&lt;=المرجع!$K$2,"مستوفاة بشكل أولي","مستوفاة بشكل جزئي")))</f>
        <v>مستوفاة بشكل متقدم</v>
      </c>
      <c r="O224" s="18"/>
    </row>
    <row r="225" spans="1:15">
      <c r="A225" s="16" t="s">
        <v>1029</v>
      </c>
      <c r="B225" s="16" t="s">
        <v>204</v>
      </c>
      <c r="C225" s="15" t="str">
        <f>IFERROR(INDEX('قائمة الوحدات'!$B$2:$B$41,MATCH($B225,'قائمة الوحدات'!$A$2:$A$41,0)),"")</f>
        <v>MIL</v>
      </c>
      <c r="D225" s="14" t="str">
        <f>IFERROR(INDEX('قائمة الوحدات'!$C$2:$C$41,MATCH($B225,'قائمة الوحدات'!$A$2:$A$41,0)),"")</f>
        <v>الجهاز العسكري</v>
      </c>
      <c r="E225" s="14" t="str">
        <f>IFERROR(INDEX('قائمة الوحدات'!$D$2:$D$41,MATCH($B225,'قائمة الوحدات'!$A$2:$A$41,0)),"")</f>
        <v>الإدارة العامة للعمليات المشتركة</v>
      </c>
      <c r="F225" s="14" t="str">
        <f>IFERROR(INDEX('قائمة الوحدات'!$F$2:$F$41,MATCH($B225,'قائمة الوحدات'!$A$2:$A$41,0)),"")</f>
        <v>الإدارة العامة للعمليات المشتركة</v>
      </c>
      <c r="G225" s="16" t="s">
        <v>61</v>
      </c>
      <c r="H225" s="14" t="str">
        <f>IFERROR(INDEX(المرجع!$A$2:$A$19,MATCH($G225,المرجع!$B$2:$B$19,0)),"")</f>
        <v>البناء المؤسسي</v>
      </c>
      <c r="I225" s="16" t="s">
        <v>54</v>
      </c>
      <c r="J225" s="14" t="str">
        <f>IFERROR(INDEX(المرجع!$D$2:$D$19,MATCH($I225,المرجع!$E$2:$E$19,0)),"")</f>
        <v>التنظيم</v>
      </c>
      <c r="K225" s="16" t="s">
        <v>98</v>
      </c>
      <c r="L225" s="17" t="str">
        <f>IFERROR(INDEX('نقاط التحقق'!$G$2:$G$31,MATCH($K225,'نقاط التحقق'!$A$2:$A$31,0))&amp;"","")</f>
        <v>هيكل تنظيمي معتمد من صاحب الصلاحية</v>
      </c>
      <c r="M225" s="13">
        <v>75</v>
      </c>
      <c r="N225" s="15" t="str">
        <f>IF($M225="","غير مقيّمة",IF($M225&gt;المرجع!$K$3,"مستوفاة بشكل متقدم",IF($M225&lt;=المرجع!$K$2,"مستوفاة بشكل أولي","مستوفاة بشكل جزئي")))</f>
        <v>مستوفاة بشكل متقدم</v>
      </c>
      <c r="O225" s="18"/>
    </row>
    <row r="226" spans="1:15">
      <c r="A226" s="16" t="s">
        <v>1030</v>
      </c>
      <c r="B226" s="16" t="s">
        <v>204</v>
      </c>
      <c r="C226" s="15" t="str">
        <f>IFERROR(INDEX('قائمة الوحدات'!$B$2:$B$41,MATCH($B226,'قائمة الوحدات'!$A$2:$A$41,0)),"")</f>
        <v>MIL</v>
      </c>
      <c r="D226" s="14" t="str">
        <f>IFERROR(INDEX('قائمة الوحدات'!$C$2:$C$41,MATCH($B226,'قائمة الوحدات'!$A$2:$A$41,0)),"")</f>
        <v>الجهاز العسكري</v>
      </c>
      <c r="E226" s="14" t="str">
        <f>IFERROR(INDEX('قائمة الوحدات'!$D$2:$D$41,MATCH($B226,'قائمة الوحدات'!$A$2:$A$41,0)),"")</f>
        <v>الإدارة العامة للعمليات المشتركة</v>
      </c>
      <c r="F226" s="14" t="str">
        <f>IFERROR(INDEX('قائمة الوحدات'!$F$2:$F$41,MATCH($B226,'قائمة الوحدات'!$A$2:$A$41,0)),"")</f>
        <v>الإدارة العامة للعمليات المشتركة</v>
      </c>
      <c r="G226" s="16" t="s">
        <v>61</v>
      </c>
      <c r="H226" s="14" t="str">
        <f>IFERROR(INDEX(المرجع!$A$2:$A$19,MATCH($G226,المرجع!$B$2:$B$19,0)),"")</f>
        <v>البناء المؤسسي</v>
      </c>
      <c r="I226" s="16" t="s">
        <v>54</v>
      </c>
      <c r="J226" s="14" t="str">
        <f>IFERROR(INDEX(المرجع!$D$2:$D$19,MATCH($I226,المرجع!$E$2:$E$19,0)),"")</f>
        <v>التنظيم</v>
      </c>
      <c r="K226" s="16" t="s">
        <v>100</v>
      </c>
      <c r="L226" s="17" t="str">
        <f>IFERROR(INDEX('نقاط التحقق'!$G$2:$G$31,MATCH($K226,'نقاط التحقق'!$A$2:$A$31,0))&amp;"","")</f>
        <v>هيكل تنظيمي منشأ على نظام القوى العاملة</v>
      </c>
      <c r="M226" s="13">
        <v>65</v>
      </c>
      <c r="N226" s="15" t="str">
        <f>IF($M226="","غير مقيّمة",IF($M226&gt;المرجع!$K$3,"مستوفاة بشكل متقدم",IF($M226&lt;=المرجع!$K$2,"مستوفاة بشكل أولي","مستوفاة بشكل جزئي")))</f>
        <v>مستوفاة بشكل جزئي</v>
      </c>
      <c r="O226" s="18"/>
    </row>
    <row r="227" spans="1:15">
      <c r="A227" s="16" t="s">
        <v>1031</v>
      </c>
      <c r="B227" s="16" t="s">
        <v>204</v>
      </c>
      <c r="C227" s="15" t="str">
        <f>IFERROR(INDEX('قائمة الوحدات'!$B$2:$B$41,MATCH($B227,'قائمة الوحدات'!$A$2:$A$41,0)),"")</f>
        <v>MIL</v>
      </c>
      <c r="D227" s="14" t="str">
        <f>IFERROR(INDEX('قائمة الوحدات'!$C$2:$C$41,MATCH($B227,'قائمة الوحدات'!$A$2:$A$41,0)),"")</f>
        <v>الجهاز العسكري</v>
      </c>
      <c r="E227" s="14" t="str">
        <f>IFERROR(INDEX('قائمة الوحدات'!$D$2:$D$41,MATCH($B227,'قائمة الوحدات'!$A$2:$A$41,0)),"")</f>
        <v>الإدارة العامة للعمليات المشتركة</v>
      </c>
      <c r="F227" s="14" t="str">
        <f>IFERROR(INDEX('قائمة الوحدات'!$F$2:$F$41,MATCH($B227,'قائمة الوحدات'!$A$2:$A$41,0)),"")</f>
        <v>الإدارة العامة للعمليات المشتركة</v>
      </c>
      <c r="G227" s="16" t="s">
        <v>61</v>
      </c>
      <c r="H227" s="14" t="str">
        <f>IFERROR(INDEX(المرجع!$A$2:$A$19,MATCH($G227,المرجع!$B$2:$B$19,0)),"")</f>
        <v>البناء المؤسسي</v>
      </c>
      <c r="I227" s="16" t="s">
        <v>54</v>
      </c>
      <c r="J227" s="14" t="str">
        <f>IFERROR(INDEX(المرجع!$D$2:$D$19,MATCH($I227,المرجع!$E$2:$E$19,0)),"")</f>
        <v>التنظيم</v>
      </c>
      <c r="K227" s="16" t="s">
        <v>102</v>
      </c>
      <c r="L227" s="17" t="str">
        <f>IFERROR(INDEX('نقاط التحقق'!$G$2:$G$31,MATCH($K227,'نقاط التحقق'!$A$2:$A$31,0))&amp;"","")</f>
        <v>الموظفون المحددون مسكّنون على الهيكل التنظيمي المستهدف</v>
      </c>
      <c r="M227" s="13">
        <v>80</v>
      </c>
      <c r="N227" s="15" t="str">
        <f>IF($M227="","غير مقيّمة",IF($M227&gt;المرجع!$K$3,"مستوفاة بشكل متقدم",IF($M227&lt;=المرجع!$K$2,"مستوفاة بشكل أولي","مستوفاة بشكل جزئي")))</f>
        <v>مستوفاة بشكل متقدم</v>
      </c>
      <c r="O227" s="18"/>
    </row>
    <row r="228" spans="1:15">
      <c r="A228" s="16" t="s">
        <v>1032</v>
      </c>
      <c r="B228" s="16" t="s">
        <v>204</v>
      </c>
      <c r="C228" s="15" t="str">
        <f>IFERROR(INDEX('قائمة الوحدات'!$B$2:$B$41,MATCH($B228,'قائمة الوحدات'!$A$2:$A$41,0)),"")</f>
        <v>MIL</v>
      </c>
      <c r="D228" s="14" t="str">
        <f>IFERROR(INDEX('قائمة الوحدات'!$C$2:$C$41,MATCH($B228,'قائمة الوحدات'!$A$2:$A$41,0)),"")</f>
        <v>الجهاز العسكري</v>
      </c>
      <c r="E228" s="14" t="str">
        <f>IFERROR(INDEX('قائمة الوحدات'!$D$2:$D$41,MATCH($B228,'قائمة الوحدات'!$A$2:$A$41,0)),"")</f>
        <v>الإدارة العامة للعمليات المشتركة</v>
      </c>
      <c r="F228" s="14" t="str">
        <f>IFERROR(INDEX('قائمة الوحدات'!$F$2:$F$41,MATCH($B228,'قائمة الوحدات'!$A$2:$A$41,0)),"")</f>
        <v>الإدارة العامة للعمليات المشتركة</v>
      </c>
      <c r="G228" s="16" t="s">
        <v>61</v>
      </c>
      <c r="H228" s="14" t="str">
        <f>IFERROR(INDEX(المرجع!$A$2:$A$19,MATCH($G228,المرجع!$B$2:$B$19,0)),"")</f>
        <v>البناء المؤسسي</v>
      </c>
      <c r="I228" s="16" t="s">
        <v>56</v>
      </c>
      <c r="J228" s="14" t="str">
        <f>IFERROR(INDEX(المرجع!$D$2:$D$19,MATCH($I228,المرجع!$E$2:$E$19,0)),"")</f>
        <v>الموارد</v>
      </c>
      <c r="K228" s="16" t="s">
        <v>104</v>
      </c>
      <c r="L228" s="17" t="str">
        <f>IFERROR(INDEX('نقاط التحقق'!$G$2:$G$31,MATCH($K228,'نقاط التحقق'!$A$2:$A$31,0))&amp;"","")</f>
        <v>مدير الوحدة التنظيمية والموظفون الرئيسيون معينون/ملحقون</v>
      </c>
      <c r="M228" s="13">
        <v>100</v>
      </c>
      <c r="N228" s="15" t="str">
        <f>IF($M228="","غير مقيّمة",IF($M228&gt;المرجع!$K$3,"مستوفاة بشكل متقدم",IF($M228&lt;=المرجع!$K$2,"مستوفاة بشكل أولي","مستوفاة بشكل جزئي")))</f>
        <v>مستوفاة بشكل متقدم</v>
      </c>
      <c r="O228" s="18"/>
    </row>
    <row r="229" spans="1:15">
      <c r="A229" s="16" t="s">
        <v>1033</v>
      </c>
      <c r="B229" s="16" t="s">
        <v>204</v>
      </c>
      <c r="C229" s="15" t="str">
        <f>IFERROR(INDEX('قائمة الوحدات'!$B$2:$B$41,MATCH($B229,'قائمة الوحدات'!$A$2:$A$41,0)),"")</f>
        <v>MIL</v>
      </c>
      <c r="D229" s="14" t="str">
        <f>IFERROR(INDEX('قائمة الوحدات'!$C$2:$C$41,MATCH($B229,'قائمة الوحدات'!$A$2:$A$41,0)),"")</f>
        <v>الجهاز العسكري</v>
      </c>
      <c r="E229" s="14" t="str">
        <f>IFERROR(INDEX('قائمة الوحدات'!$D$2:$D$41,MATCH($B229,'قائمة الوحدات'!$A$2:$A$41,0)),"")</f>
        <v>الإدارة العامة للعمليات المشتركة</v>
      </c>
      <c r="F229" s="14" t="str">
        <f>IFERROR(INDEX('قائمة الوحدات'!$F$2:$F$41,MATCH($B229,'قائمة الوحدات'!$A$2:$A$41,0)),"")</f>
        <v>الإدارة العامة للعمليات المشتركة</v>
      </c>
      <c r="G229" s="16" t="s">
        <v>61</v>
      </c>
      <c r="H229" s="14" t="str">
        <f>IFERROR(INDEX(المرجع!$A$2:$A$19,MATCH($G229,المرجع!$B$2:$B$19,0)),"")</f>
        <v>البناء المؤسسي</v>
      </c>
      <c r="I229" s="16" t="s">
        <v>56</v>
      </c>
      <c r="J229" s="14" t="str">
        <f>IFERROR(INDEX(المرجع!$D$2:$D$19,MATCH($I229,المرجع!$E$2:$E$19,0)),"")</f>
        <v>الموارد</v>
      </c>
      <c r="K229" s="16" t="s">
        <v>106</v>
      </c>
      <c r="L229" s="17" t="str">
        <f>IFERROR(INDEX('نقاط التحقق'!$G$2:$G$31,MATCH($K229,'نقاط التحقق'!$A$2:$A$31,0))&amp;"","")</f>
        <v>خطة توظيف وتدريب مستكملة</v>
      </c>
      <c r="M229" s="13">
        <v>85</v>
      </c>
      <c r="N229" s="15" t="str">
        <f>IF($M229="","غير مقيّمة",IF($M229&gt;المرجع!$K$3,"مستوفاة بشكل متقدم",IF($M229&lt;=المرجع!$K$2,"مستوفاة بشكل أولي","مستوفاة بشكل جزئي")))</f>
        <v>مستوفاة بشكل متقدم</v>
      </c>
      <c r="O229" s="18"/>
    </row>
    <row r="230" spans="1:15">
      <c r="A230" s="16" t="s">
        <v>1034</v>
      </c>
      <c r="B230" s="16" t="s">
        <v>204</v>
      </c>
      <c r="C230" s="15" t="str">
        <f>IFERROR(INDEX('قائمة الوحدات'!$B$2:$B$41,MATCH($B230,'قائمة الوحدات'!$A$2:$A$41,0)),"")</f>
        <v>MIL</v>
      </c>
      <c r="D230" s="14" t="str">
        <f>IFERROR(INDEX('قائمة الوحدات'!$C$2:$C$41,MATCH($B230,'قائمة الوحدات'!$A$2:$A$41,0)),"")</f>
        <v>الجهاز العسكري</v>
      </c>
      <c r="E230" s="14" t="str">
        <f>IFERROR(INDEX('قائمة الوحدات'!$D$2:$D$41,MATCH($B230,'قائمة الوحدات'!$A$2:$A$41,0)),"")</f>
        <v>الإدارة العامة للعمليات المشتركة</v>
      </c>
      <c r="F230" s="14" t="str">
        <f>IFERROR(INDEX('قائمة الوحدات'!$F$2:$F$41,MATCH($B230,'قائمة الوحدات'!$A$2:$A$41,0)),"")</f>
        <v>الإدارة العامة للعمليات المشتركة</v>
      </c>
      <c r="G230" s="16" t="s">
        <v>61</v>
      </c>
      <c r="H230" s="14" t="str">
        <f>IFERROR(INDEX(المرجع!$A$2:$A$19,MATCH($G230,المرجع!$B$2:$B$19,0)),"")</f>
        <v>البناء المؤسسي</v>
      </c>
      <c r="I230" s="16" t="s">
        <v>56</v>
      </c>
      <c r="J230" s="14" t="str">
        <f>IFERROR(INDEX(المرجع!$D$2:$D$19,MATCH($I230,المرجع!$E$2:$E$19,0)),"")</f>
        <v>الموارد</v>
      </c>
      <c r="K230" s="16" t="s">
        <v>108</v>
      </c>
      <c r="L230" s="17" t="str">
        <f>IFERROR(INDEX('نقاط التحقق'!$G$2:$G$31,MATCH($K230,'نقاط التحقق'!$A$2:$A$31,0))&amp;"","")</f>
        <v>وجود مساحات مكتبية كافية</v>
      </c>
      <c r="M230" s="13">
        <v>100</v>
      </c>
      <c r="N230" s="15" t="str">
        <f>IF($M230="","غير مقيّمة",IF($M230&gt;المرجع!$K$3,"مستوفاة بشكل متقدم",IF($M230&lt;=المرجع!$K$2,"مستوفاة بشكل أولي","مستوفاة بشكل جزئي")))</f>
        <v>مستوفاة بشكل متقدم</v>
      </c>
      <c r="O230" s="18"/>
    </row>
    <row r="231" spans="1:15">
      <c r="A231" s="16" t="s">
        <v>1035</v>
      </c>
      <c r="B231" s="16" t="s">
        <v>204</v>
      </c>
      <c r="C231" s="15" t="str">
        <f>IFERROR(INDEX('قائمة الوحدات'!$B$2:$B$41,MATCH($B231,'قائمة الوحدات'!$A$2:$A$41,0)),"")</f>
        <v>MIL</v>
      </c>
      <c r="D231" s="14" t="str">
        <f>IFERROR(INDEX('قائمة الوحدات'!$C$2:$C$41,MATCH($B231,'قائمة الوحدات'!$A$2:$A$41,0)),"")</f>
        <v>الجهاز العسكري</v>
      </c>
      <c r="E231" s="14" t="str">
        <f>IFERROR(INDEX('قائمة الوحدات'!$D$2:$D$41,MATCH($B231,'قائمة الوحدات'!$A$2:$A$41,0)),"")</f>
        <v>الإدارة العامة للعمليات المشتركة</v>
      </c>
      <c r="F231" s="14" t="str">
        <f>IFERROR(INDEX('قائمة الوحدات'!$F$2:$F$41,MATCH($B231,'قائمة الوحدات'!$A$2:$A$41,0)),"")</f>
        <v>الإدارة العامة للعمليات المشتركة</v>
      </c>
      <c r="G231" s="16" t="s">
        <v>61</v>
      </c>
      <c r="H231" s="14" t="str">
        <f>IFERROR(INDEX(المرجع!$A$2:$A$19,MATCH($G231,المرجع!$B$2:$B$19,0)),"")</f>
        <v>البناء المؤسسي</v>
      </c>
      <c r="I231" s="16" t="s">
        <v>56</v>
      </c>
      <c r="J231" s="14" t="str">
        <f>IFERROR(INDEX(المرجع!$D$2:$D$19,MATCH($I231,المرجع!$E$2:$E$19,0)),"")</f>
        <v>الموارد</v>
      </c>
      <c r="K231" s="16" t="s">
        <v>110</v>
      </c>
      <c r="L231" s="17" t="str">
        <f>IFERROR(INDEX('نقاط التحقق'!$G$2:$G$31,MATCH($K231,'نقاط التحقق'!$A$2:$A$31,0))&amp;"","")</f>
        <v>وجود الاحتياجات التقنية الأساسية</v>
      </c>
      <c r="M231" s="13">
        <v>70</v>
      </c>
      <c r="N231" s="15" t="str">
        <f>IF($M231="","غير مقيّمة",IF($M231&gt;المرجع!$K$3,"مستوفاة بشكل متقدم",IF($M231&lt;=المرجع!$K$2,"مستوفاة بشكل أولي","مستوفاة بشكل جزئي")))</f>
        <v>مستوفاة بشكل جزئي</v>
      </c>
      <c r="O231" s="18"/>
    </row>
    <row r="232" spans="1:15">
      <c r="A232" s="16" t="s">
        <v>1036</v>
      </c>
      <c r="B232" s="16" t="s">
        <v>204</v>
      </c>
      <c r="C232" s="15" t="str">
        <f>IFERROR(INDEX('قائمة الوحدات'!$B$2:$B$41,MATCH($B232,'قائمة الوحدات'!$A$2:$A$41,0)),"")</f>
        <v>MIL</v>
      </c>
      <c r="D232" s="14" t="str">
        <f>IFERROR(INDEX('قائمة الوحدات'!$C$2:$C$41,MATCH($B232,'قائمة الوحدات'!$A$2:$A$41,0)),"")</f>
        <v>الجهاز العسكري</v>
      </c>
      <c r="E232" s="14" t="str">
        <f>IFERROR(INDEX('قائمة الوحدات'!$D$2:$D$41,MATCH($B232,'قائمة الوحدات'!$A$2:$A$41,0)),"")</f>
        <v>الإدارة العامة للعمليات المشتركة</v>
      </c>
      <c r="F232" s="14" t="str">
        <f>IFERROR(INDEX('قائمة الوحدات'!$F$2:$F$41,MATCH($B232,'قائمة الوحدات'!$A$2:$A$41,0)),"")</f>
        <v>الإدارة العامة للعمليات المشتركة</v>
      </c>
      <c r="G232" s="16" t="s">
        <v>61</v>
      </c>
      <c r="H232" s="14" t="str">
        <f>IFERROR(INDEX(المرجع!$A$2:$A$19,MATCH($G232,المرجع!$B$2:$B$19,0)),"")</f>
        <v>البناء المؤسسي</v>
      </c>
      <c r="I232" s="16" t="s">
        <v>59</v>
      </c>
      <c r="J232" s="14" t="str">
        <f>IFERROR(INDEX(المرجع!$D$2:$D$19,MATCH($I232,المرجع!$E$2:$E$19,0)),"")</f>
        <v>الإجراءات</v>
      </c>
      <c r="K232" s="16" t="s">
        <v>112</v>
      </c>
      <c r="L232" s="17" t="str">
        <f>IFERROR(INDEX('نقاط التحقق'!$G$2:$G$31,MATCH($K232,'نقاط التحقق'!$A$2:$A$31,0))&amp;"","")</f>
        <v>إجراءات معتمدة للوحدة التنظيمية</v>
      </c>
      <c r="M232" s="13">
        <v>62</v>
      </c>
      <c r="N232" s="15" t="str">
        <f>IF($M232="","غير مقيّمة",IF($M232&gt;المرجع!$K$3,"مستوفاة بشكل متقدم",IF($M232&lt;=المرجع!$K$2,"مستوفاة بشكل أولي","مستوفاة بشكل جزئي")))</f>
        <v>مستوفاة بشكل جزئي</v>
      </c>
      <c r="O232" s="18"/>
    </row>
    <row r="233" spans="1:15">
      <c r="A233" s="16" t="s">
        <v>1037</v>
      </c>
      <c r="B233" s="16" t="s">
        <v>204</v>
      </c>
      <c r="C233" s="15" t="str">
        <f>IFERROR(INDEX('قائمة الوحدات'!$B$2:$B$41,MATCH($B233,'قائمة الوحدات'!$A$2:$A$41,0)),"")</f>
        <v>MIL</v>
      </c>
      <c r="D233" s="14" t="str">
        <f>IFERROR(INDEX('قائمة الوحدات'!$C$2:$C$41,MATCH($B233,'قائمة الوحدات'!$A$2:$A$41,0)),"")</f>
        <v>الجهاز العسكري</v>
      </c>
      <c r="E233" s="14" t="str">
        <f>IFERROR(INDEX('قائمة الوحدات'!$D$2:$D$41,MATCH($B233,'قائمة الوحدات'!$A$2:$A$41,0)),"")</f>
        <v>الإدارة العامة للعمليات المشتركة</v>
      </c>
      <c r="F233" s="14" t="str">
        <f>IFERROR(INDEX('قائمة الوحدات'!$F$2:$F$41,MATCH($B233,'قائمة الوحدات'!$A$2:$A$41,0)),"")</f>
        <v>الإدارة العامة للعمليات المشتركة</v>
      </c>
      <c r="G233" s="16" t="s">
        <v>61</v>
      </c>
      <c r="H233" s="14" t="str">
        <f>IFERROR(INDEX(المرجع!$A$2:$A$19,MATCH($G233,المرجع!$B$2:$B$19,0)),"")</f>
        <v>البناء المؤسسي</v>
      </c>
      <c r="I233" s="16" t="s">
        <v>63</v>
      </c>
      <c r="J233" s="14" t="str">
        <f>IFERROR(INDEX(المرجع!$D$2:$D$19,MATCH($I233,المرجع!$E$2:$E$19,0)),"")</f>
        <v>إنتاج المخرج الأول</v>
      </c>
      <c r="K233" s="16" t="s">
        <v>114</v>
      </c>
      <c r="L233" s="17" t="str">
        <f>IFERROR(INDEX('نقاط التحقق'!$G$2:$G$31,MATCH($K233,'نقاط التحقق'!$A$2:$A$31,0))&amp;"","")</f>
        <v>إنتاج المخرج الأول من قبل الوحدة التنظيمية</v>
      </c>
      <c r="M233" s="13">
        <v>55</v>
      </c>
      <c r="N233" s="15" t="str">
        <f>IF($M233="","غير مقيّمة",IF($M233&gt;المرجع!$K$3,"مستوفاة بشكل متقدم",IF($M233&lt;=المرجع!$K$2,"مستوفاة بشكل أولي","مستوفاة بشكل جزئي")))</f>
        <v>مستوفاة بشكل جزئي</v>
      </c>
      <c r="O233" s="18"/>
    </row>
    <row r="234" spans="1:15">
      <c r="A234" s="16" t="s">
        <v>1038</v>
      </c>
      <c r="B234" s="16" t="s">
        <v>204</v>
      </c>
      <c r="C234" s="15" t="str">
        <f>IFERROR(INDEX('قائمة الوحدات'!$B$2:$B$41,MATCH($B234,'قائمة الوحدات'!$A$2:$A$41,0)),"")</f>
        <v>MIL</v>
      </c>
      <c r="D234" s="14" t="str">
        <f>IFERROR(INDEX('قائمة الوحدات'!$C$2:$C$41,MATCH($B234,'قائمة الوحدات'!$A$2:$A$41,0)),"")</f>
        <v>الجهاز العسكري</v>
      </c>
      <c r="E234" s="14" t="str">
        <f>IFERROR(INDEX('قائمة الوحدات'!$D$2:$D$41,MATCH($B234,'قائمة الوحدات'!$A$2:$A$41,0)),"")</f>
        <v>الإدارة العامة للعمليات المشتركة</v>
      </c>
      <c r="F234" s="14" t="str">
        <f>IFERROR(INDEX('قائمة الوحدات'!$F$2:$F$41,MATCH($B234,'قائمة الوحدات'!$A$2:$A$41,0)),"")</f>
        <v>الإدارة العامة للعمليات المشتركة</v>
      </c>
      <c r="G234" s="16" t="s">
        <v>65</v>
      </c>
      <c r="H234" s="14" t="str">
        <f>IFERROR(INDEX(المرجع!$A$2:$A$19,MATCH($G234,المرجع!$B$2:$B$19,0)),"")</f>
        <v>التشغيل</v>
      </c>
      <c r="I234" s="16" t="s">
        <v>48</v>
      </c>
      <c r="J234" s="14" t="str">
        <f>IFERROR(INDEX(المرجع!$D$2:$D$19,MATCH($I234,المرجع!$E$2:$E$19,0)),"")</f>
        <v>الأهداف ومؤشرات الأداء</v>
      </c>
      <c r="K234" s="16" t="s">
        <v>116</v>
      </c>
      <c r="L234" s="17" t="str">
        <f>IFERROR(INDEX('نقاط التحقق'!$G$2:$G$31,MATCH($K234,'نقاط التحقق'!$A$2:$A$31,0))&amp;"","")</f>
        <v>تحرك مؤشرات الأداء التشغيلي للوحدة التنظيمية بشكل إيجابي</v>
      </c>
      <c r="M234" s="13">
        <v>30</v>
      </c>
      <c r="N234" s="15" t="str">
        <f>IF($M234="","غير مقيّمة",IF($M234&gt;المرجع!$K$3,"مستوفاة بشكل متقدم",IF($M234&lt;=المرجع!$K$2,"مستوفاة بشكل أولي","مستوفاة بشكل جزئي")))</f>
        <v>مستوفاة بشكل أولي</v>
      </c>
      <c r="O234" s="18"/>
    </row>
    <row r="235" spans="1:15">
      <c r="A235" s="16" t="s">
        <v>1039</v>
      </c>
      <c r="B235" s="16" t="s">
        <v>204</v>
      </c>
      <c r="C235" s="15" t="str">
        <f>IFERROR(INDEX('قائمة الوحدات'!$B$2:$B$41,MATCH($B235,'قائمة الوحدات'!$A$2:$A$41,0)),"")</f>
        <v>MIL</v>
      </c>
      <c r="D235" s="14" t="str">
        <f>IFERROR(INDEX('قائمة الوحدات'!$C$2:$C$41,MATCH($B235,'قائمة الوحدات'!$A$2:$A$41,0)),"")</f>
        <v>الجهاز العسكري</v>
      </c>
      <c r="E235" s="14" t="str">
        <f>IFERROR(INDEX('قائمة الوحدات'!$D$2:$D$41,MATCH($B235,'قائمة الوحدات'!$A$2:$A$41,0)),"")</f>
        <v>الإدارة العامة للعمليات المشتركة</v>
      </c>
      <c r="F235" s="14" t="str">
        <f>IFERROR(INDEX('قائمة الوحدات'!$F$2:$F$41,MATCH($B235,'قائمة الوحدات'!$A$2:$A$41,0)),"")</f>
        <v>الإدارة العامة للعمليات المشتركة</v>
      </c>
      <c r="G235" s="16" t="s">
        <v>65</v>
      </c>
      <c r="H235" s="14" t="str">
        <f>IFERROR(INDEX(المرجع!$A$2:$A$19,MATCH($G235,المرجع!$B$2:$B$19,0)),"")</f>
        <v>التشغيل</v>
      </c>
      <c r="I235" s="16" t="s">
        <v>48</v>
      </c>
      <c r="J235" s="14" t="str">
        <f>IFERROR(INDEX(المرجع!$D$2:$D$19,MATCH($I235,المرجع!$E$2:$E$19,0)),"")</f>
        <v>الأهداف ومؤشرات الأداء</v>
      </c>
      <c r="K235" s="16" t="s">
        <v>118</v>
      </c>
      <c r="L235" s="17" t="str">
        <f>IFERROR(INDEX('نقاط التحقق'!$G$2:$G$31,MATCH($K235,'نقاط التحقق'!$A$2:$A$31,0))&amp;"","")</f>
        <v>خطة سنوية معتمدة للوحدة التنظيمية</v>
      </c>
      <c r="M235" s="13">
        <v>35</v>
      </c>
      <c r="N235" s="15" t="str">
        <f>IF($M235="","غير مقيّمة",IF($M235&gt;المرجع!$K$3,"مستوفاة بشكل متقدم",IF($M235&lt;=المرجع!$K$2,"مستوفاة بشكل أولي","مستوفاة بشكل جزئي")))</f>
        <v>مستوفاة بشكل جزئي</v>
      </c>
      <c r="O235" s="18"/>
    </row>
    <row r="236" spans="1:15">
      <c r="A236" s="16" t="s">
        <v>1040</v>
      </c>
      <c r="B236" s="16" t="s">
        <v>204</v>
      </c>
      <c r="C236" s="15" t="str">
        <f>IFERROR(INDEX('قائمة الوحدات'!$B$2:$B$41,MATCH($B236,'قائمة الوحدات'!$A$2:$A$41,0)),"")</f>
        <v>MIL</v>
      </c>
      <c r="D236" s="14" t="str">
        <f>IFERROR(INDEX('قائمة الوحدات'!$C$2:$C$41,MATCH($B236,'قائمة الوحدات'!$A$2:$A$41,0)),"")</f>
        <v>الجهاز العسكري</v>
      </c>
      <c r="E236" s="14" t="str">
        <f>IFERROR(INDEX('قائمة الوحدات'!$D$2:$D$41,MATCH($B236,'قائمة الوحدات'!$A$2:$A$41,0)),"")</f>
        <v>الإدارة العامة للعمليات المشتركة</v>
      </c>
      <c r="F236" s="14" t="str">
        <f>IFERROR(INDEX('قائمة الوحدات'!$F$2:$F$41,MATCH($B236,'قائمة الوحدات'!$A$2:$A$41,0)),"")</f>
        <v>الإدارة العامة للعمليات المشتركة</v>
      </c>
      <c r="G236" s="16" t="s">
        <v>65</v>
      </c>
      <c r="H236" s="14" t="str">
        <f>IFERROR(INDEX(المرجع!$A$2:$A$19,MATCH($G236,المرجع!$B$2:$B$19,0)),"")</f>
        <v>التشغيل</v>
      </c>
      <c r="I236" s="16" t="s">
        <v>51</v>
      </c>
      <c r="J236" s="14" t="str">
        <f>IFERROR(INDEX(المرجع!$D$2:$D$19,MATCH($I236,المرجع!$E$2:$E$19,0)),"")</f>
        <v>الحوكمة</v>
      </c>
      <c r="K236" s="16" t="s">
        <v>120</v>
      </c>
      <c r="L236" s="17" t="str">
        <f>IFERROR(INDEX('نقاط التحقق'!$G$2:$G$31,MATCH($K236,'نقاط التحقق'!$A$2:$A$31,0))&amp;"","")</f>
        <v>محاضر لجان موثقة</v>
      </c>
      <c r="M236" s="13">
        <v>55</v>
      </c>
      <c r="N236" s="15" t="str">
        <f>IF($M236="","غير مقيّمة",IF($M236&gt;المرجع!$K$3,"مستوفاة بشكل متقدم",IF($M236&lt;=المرجع!$K$2,"مستوفاة بشكل أولي","مستوفاة بشكل جزئي")))</f>
        <v>مستوفاة بشكل جزئي</v>
      </c>
      <c r="O236" s="18"/>
    </row>
    <row r="237" spans="1:15">
      <c r="A237" s="16" t="s">
        <v>1041</v>
      </c>
      <c r="B237" s="16" t="s">
        <v>204</v>
      </c>
      <c r="C237" s="15" t="str">
        <f>IFERROR(INDEX('قائمة الوحدات'!$B$2:$B$41,MATCH($B237,'قائمة الوحدات'!$A$2:$A$41,0)),"")</f>
        <v>MIL</v>
      </c>
      <c r="D237" s="14" t="str">
        <f>IFERROR(INDEX('قائمة الوحدات'!$C$2:$C$41,MATCH($B237,'قائمة الوحدات'!$A$2:$A$41,0)),"")</f>
        <v>الجهاز العسكري</v>
      </c>
      <c r="E237" s="14" t="str">
        <f>IFERROR(INDEX('قائمة الوحدات'!$D$2:$D$41,MATCH($B237,'قائمة الوحدات'!$A$2:$A$41,0)),"")</f>
        <v>الإدارة العامة للعمليات المشتركة</v>
      </c>
      <c r="F237" s="14" t="str">
        <f>IFERROR(INDEX('قائمة الوحدات'!$F$2:$F$41,MATCH($B237,'قائمة الوحدات'!$A$2:$A$41,0)),"")</f>
        <v>الإدارة العامة للعمليات المشتركة</v>
      </c>
      <c r="G237" s="16" t="s">
        <v>65</v>
      </c>
      <c r="H237" s="14" t="str">
        <f>IFERROR(INDEX(المرجع!$A$2:$A$19,MATCH($G237,المرجع!$B$2:$B$19,0)),"")</f>
        <v>التشغيل</v>
      </c>
      <c r="I237" s="16" t="s">
        <v>51</v>
      </c>
      <c r="J237" s="14" t="str">
        <f>IFERROR(INDEX(المرجع!$D$2:$D$19,MATCH($I237,المرجع!$E$2:$E$19,0)),"")</f>
        <v>الحوكمة</v>
      </c>
      <c r="K237" s="16" t="s">
        <v>122</v>
      </c>
      <c r="L237" s="17" t="str">
        <f>IFERROR(INDEX('نقاط التحقق'!$G$2:$G$31,MATCH($K237,'نقاط التحقق'!$A$2:$A$31,0))&amp;"","")</f>
        <v>نشر السياسات التي تملكها الوحدة التنظيمية</v>
      </c>
      <c r="M237" s="13">
        <v>40</v>
      </c>
      <c r="N237" s="15" t="str">
        <f>IF($M237="","غير مقيّمة",IF($M237&gt;المرجع!$K$3,"مستوفاة بشكل متقدم",IF($M237&lt;=المرجع!$K$2,"مستوفاة بشكل أولي","مستوفاة بشكل جزئي")))</f>
        <v>مستوفاة بشكل جزئي</v>
      </c>
      <c r="O237" s="18"/>
    </row>
    <row r="238" spans="1:15">
      <c r="A238" s="16" t="s">
        <v>1042</v>
      </c>
      <c r="B238" s="16" t="s">
        <v>204</v>
      </c>
      <c r="C238" s="15" t="str">
        <f>IFERROR(INDEX('قائمة الوحدات'!$B$2:$B$41,MATCH($B238,'قائمة الوحدات'!$A$2:$A$41,0)),"")</f>
        <v>MIL</v>
      </c>
      <c r="D238" s="14" t="str">
        <f>IFERROR(INDEX('قائمة الوحدات'!$C$2:$C$41,MATCH($B238,'قائمة الوحدات'!$A$2:$A$41,0)),"")</f>
        <v>الجهاز العسكري</v>
      </c>
      <c r="E238" s="14" t="str">
        <f>IFERROR(INDEX('قائمة الوحدات'!$D$2:$D$41,MATCH($B238,'قائمة الوحدات'!$A$2:$A$41,0)),"")</f>
        <v>الإدارة العامة للعمليات المشتركة</v>
      </c>
      <c r="F238" s="14" t="str">
        <f>IFERROR(INDEX('قائمة الوحدات'!$F$2:$F$41,MATCH($B238,'قائمة الوحدات'!$A$2:$A$41,0)),"")</f>
        <v>الإدارة العامة للعمليات المشتركة</v>
      </c>
      <c r="G238" s="16" t="s">
        <v>65</v>
      </c>
      <c r="H238" s="14" t="str">
        <f>IFERROR(INDEX(المرجع!$A$2:$A$19,MATCH($G238,المرجع!$B$2:$B$19,0)),"")</f>
        <v>التشغيل</v>
      </c>
      <c r="I238" s="16" t="s">
        <v>51</v>
      </c>
      <c r="J238" s="14" t="str">
        <f>IFERROR(INDEX(المرجع!$D$2:$D$19,MATCH($I238,المرجع!$E$2:$E$19,0)),"")</f>
        <v>الحوكمة</v>
      </c>
      <c r="K238" s="16" t="s">
        <v>124</v>
      </c>
      <c r="L238" s="17" t="str">
        <f>IFERROR(INDEX('نقاط التحقق'!$G$2:$G$31,MATCH($K238,'نقاط التحقق'!$A$2:$A$31,0))&amp;"","")</f>
        <v>اتخاذ القرارات في نطاق الصلاحيات (وجود شواهد)</v>
      </c>
      <c r="M238" s="13">
        <v>35</v>
      </c>
      <c r="N238" s="15" t="str">
        <f>IF($M238="","غير مقيّمة",IF($M238&gt;المرجع!$K$3,"مستوفاة بشكل متقدم",IF($M238&lt;=المرجع!$K$2,"مستوفاة بشكل أولي","مستوفاة بشكل جزئي")))</f>
        <v>مستوفاة بشكل جزئي</v>
      </c>
      <c r="O238" s="18"/>
    </row>
    <row r="239" spans="1:15">
      <c r="A239" s="16" t="s">
        <v>1043</v>
      </c>
      <c r="B239" s="16" t="s">
        <v>204</v>
      </c>
      <c r="C239" s="15" t="str">
        <f>IFERROR(INDEX('قائمة الوحدات'!$B$2:$B$41,MATCH($B239,'قائمة الوحدات'!$A$2:$A$41,0)),"")</f>
        <v>MIL</v>
      </c>
      <c r="D239" s="14" t="str">
        <f>IFERROR(INDEX('قائمة الوحدات'!$C$2:$C$41,MATCH($B239,'قائمة الوحدات'!$A$2:$A$41,0)),"")</f>
        <v>الجهاز العسكري</v>
      </c>
      <c r="E239" s="14" t="str">
        <f>IFERROR(INDEX('قائمة الوحدات'!$D$2:$D$41,MATCH($B239,'قائمة الوحدات'!$A$2:$A$41,0)),"")</f>
        <v>الإدارة العامة للعمليات المشتركة</v>
      </c>
      <c r="F239" s="14" t="str">
        <f>IFERROR(INDEX('قائمة الوحدات'!$F$2:$F$41,MATCH($B239,'قائمة الوحدات'!$A$2:$A$41,0)),"")</f>
        <v>الإدارة العامة للعمليات المشتركة</v>
      </c>
      <c r="G239" s="16" t="s">
        <v>65</v>
      </c>
      <c r="H239" s="14" t="str">
        <f>IFERROR(INDEX(المرجع!$A$2:$A$19,MATCH($G239,المرجع!$B$2:$B$19,0)),"")</f>
        <v>التشغيل</v>
      </c>
      <c r="I239" s="16" t="s">
        <v>56</v>
      </c>
      <c r="J239" s="14" t="str">
        <f>IFERROR(INDEX(المرجع!$D$2:$D$19,MATCH($I239,المرجع!$E$2:$E$19,0)),"")</f>
        <v>الموارد</v>
      </c>
      <c r="K239" s="16" t="s">
        <v>126</v>
      </c>
      <c r="L239" s="17" t="str">
        <f>IFERROR(INDEX('نقاط التحقق'!$G$2:$G$31,MATCH($K239,'نقاط التحقق'!$A$2:$A$31,0))&amp;"","")</f>
        <v>موارد مستكملة للحد الأدنى الذي يغطي كافة محاور سلسلة القيمة</v>
      </c>
      <c r="M239" s="13">
        <v>29</v>
      </c>
      <c r="N239" s="15" t="str">
        <f>IF($M239="","غير مقيّمة",IF($M239&gt;المرجع!$K$3,"مستوفاة بشكل متقدم",IF($M239&lt;=المرجع!$K$2,"مستوفاة بشكل أولي","مستوفاة بشكل جزئي")))</f>
        <v>مستوفاة بشكل أولي</v>
      </c>
      <c r="O239" s="18"/>
    </row>
    <row r="240" spans="1:15">
      <c r="A240" s="16" t="s">
        <v>1044</v>
      </c>
      <c r="B240" s="16" t="s">
        <v>204</v>
      </c>
      <c r="C240" s="15" t="str">
        <f>IFERROR(INDEX('قائمة الوحدات'!$B$2:$B$41,MATCH($B240,'قائمة الوحدات'!$A$2:$A$41,0)),"")</f>
        <v>MIL</v>
      </c>
      <c r="D240" s="14" t="str">
        <f>IFERROR(INDEX('قائمة الوحدات'!$C$2:$C$41,MATCH($B240,'قائمة الوحدات'!$A$2:$A$41,0)),"")</f>
        <v>الجهاز العسكري</v>
      </c>
      <c r="E240" s="14" t="str">
        <f>IFERROR(INDEX('قائمة الوحدات'!$D$2:$D$41,MATCH($B240,'قائمة الوحدات'!$A$2:$A$41,0)),"")</f>
        <v>الإدارة العامة للعمليات المشتركة</v>
      </c>
      <c r="F240" s="14" t="str">
        <f>IFERROR(INDEX('قائمة الوحدات'!$F$2:$F$41,MATCH($B240,'قائمة الوحدات'!$A$2:$A$41,0)),"")</f>
        <v>الإدارة العامة للعمليات المشتركة</v>
      </c>
      <c r="G240" s="16" t="s">
        <v>65</v>
      </c>
      <c r="H240" s="14" t="str">
        <f>IFERROR(INDEX(المرجع!$A$2:$A$19,MATCH($G240,المرجع!$B$2:$B$19,0)),"")</f>
        <v>التشغيل</v>
      </c>
      <c r="I240" s="16" t="s">
        <v>59</v>
      </c>
      <c r="J240" s="14" t="str">
        <f>IFERROR(INDEX(المرجع!$D$2:$D$19,MATCH($I240,المرجع!$E$2:$E$19,0)),"")</f>
        <v>الإجراءات</v>
      </c>
      <c r="K240" s="16" t="s">
        <v>128</v>
      </c>
      <c r="L240" s="17" t="str">
        <f>IFERROR(INDEX('نقاط التحقق'!$G$2:$G$31,MATCH($K240,'نقاط التحقق'!$A$2:$A$31,0))&amp;"","")</f>
        <v>تحقيق تقييم "مطبق بشكل كامل" من منهجية تقييم فعالية الإجراءات</v>
      </c>
      <c r="M240" s="13">
        <v>44</v>
      </c>
      <c r="N240" s="15" t="str">
        <f>IF($M240="","غير مقيّمة",IF($M240&gt;المرجع!$K$3,"مستوفاة بشكل متقدم",IF($M240&lt;=المرجع!$K$2,"مستوفاة بشكل أولي","مستوفاة بشكل جزئي")))</f>
        <v>مستوفاة بشكل جزئي</v>
      </c>
      <c r="O240" s="18"/>
    </row>
    <row r="241" spans="1:15">
      <c r="A241" s="16" t="s">
        <v>1045</v>
      </c>
      <c r="B241" s="16" t="s">
        <v>204</v>
      </c>
      <c r="C241" s="15" t="str">
        <f>IFERROR(INDEX('قائمة الوحدات'!$B$2:$B$41,MATCH($B241,'قائمة الوحدات'!$A$2:$A$41,0)),"")</f>
        <v>MIL</v>
      </c>
      <c r="D241" s="14" t="str">
        <f>IFERROR(INDEX('قائمة الوحدات'!$C$2:$C$41,MATCH($B241,'قائمة الوحدات'!$A$2:$A$41,0)),"")</f>
        <v>الجهاز العسكري</v>
      </c>
      <c r="E241" s="14" t="str">
        <f>IFERROR(INDEX('قائمة الوحدات'!$D$2:$D$41,MATCH($B241,'قائمة الوحدات'!$A$2:$A$41,0)),"")</f>
        <v>الإدارة العامة للعمليات المشتركة</v>
      </c>
      <c r="F241" s="14" t="str">
        <f>IFERROR(INDEX('قائمة الوحدات'!$F$2:$F$41,MATCH($B241,'قائمة الوحدات'!$A$2:$A$41,0)),"")</f>
        <v>الإدارة العامة للعمليات المشتركة</v>
      </c>
      <c r="G241" s="16" t="s">
        <v>65</v>
      </c>
      <c r="H241" s="14" t="str">
        <f>IFERROR(INDEX(المرجع!$A$2:$A$19,MATCH($G241,المرجع!$B$2:$B$19,0)),"")</f>
        <v>التشغيل</v>
      </c>
      <c r="I241" s="16" t="s">
        <v>67</v>
      </c>
      <c r="J241" s="14" t="str">
        <f>IFERROR(INDEX(المرجع!$D$2:$D$19,MATCH($I241,المرجع!$E$2:$E$19,0)),"")</f>
        <v>اكتمال المخرجات المستهدفة</v>
      </c>
      <c r="K241" s="16" t="s">
        <v>130</v>
      </c>
      <c r="L241" s="17" t="str">
        <f>IFERROR(INDEX('نقاط التحقق'!$G$2:$G$31,MATCH($K241,'نقاط التحقق'!$A$2:$A$31,0))&amp;"","")</f>
        <v>اكتمال مخرجات النموذج التشغيلي المستهدف للوحدة التنظيمية</v>
      </c>
      <c r="M241" s="13">
        <v>56</v>
      </c>
      <c r="N241" s="15" t="str">
        <f>IF($M241="","غير مقيّمة",IF($M241&gt;المرجع!$K$3,"مستوفاة بشكل متقدم",IF($M241&lt;=المرجع!$K$2,"مستوفاة بشكل أولي","مستوفاة بشكل جزئي")))</f>
        <v>مستوفاة بشكل جزئي</v>
      </c>
      <c r="O241" s="18"/>
    </row>
    <row r="242" spans="1:15">
      <c r="A242" s="16" t="s">
        <v>1046</v>
      </c>
      <c r="B242" s="16" t="s">
        <v>206</v>
      </c>
      <c r="C242" s="15" t="str">
        <f>IFERROR(INDEX('قائمة الوحدات'!$B$2:$B$41,MATCH($B242,'قائمة الوحدات'!$A$2:$A$41,0)),"")</f>
        <v>MIL</v>
      </c>
      <c r="D242" s="14" t="str">
        <f>IFERROR(INDEX('قائمة الوحدات'!$C$2:$C$41,MATCH($B242,'قائمة الوحدات'!$A$2:$A$41,0)),"")</f>
        <v>الجهاز العسكري</v>
      </c>
      <c r="E242" s="14" t="str">
        <f>IFERROR(INDEX('قائمة الوحدات'!$D$2:$D$41,MATCH($B242,'قائمة الوحدات'!$A$2:$A$41,0)),"")</f>
        <v>الإدارة العامة للتخطيط والتنظيم العسكري</v>
      </c>
      <c r="F242" s="14" t="str">
        <f>IFERROR(INDEX('قائمة الوحدات'!$F$2:$F$41,MATCH($B242,'قائمة الوحدات'!$A$2:$A$41,0)),"")</f>
        <v>الإدارة العامة للتخطيط والتنظيم العسكري</v>
      </c>
      <c r="G242" s="16" t="s">
        <v>43</v>
      </c>
      <c r="H242" s="14" t="str">
        <f>IFERROR(INDEX(المرجع!$A$2:$A$19,MATCH($G242,المرجع!$B$2:$B$19,0)),"")</f>
        <v>التصميم</v>
      </c>
      <c r="I242" s="16" t="s">
        <v>45</v>
      </c>
      <c r="J242" s="14" t="str">
        <f>IFERROR(INDEX(المرجع!$D$2:$D$19,MATCH($I242,المرجع!$E$2:$E$19,0)),"")</f>
        <v>الدور</v>
      </c>
      <c r="K242" s="16" t="s">
        <v>72</v>
      </c>
      <c r="L242" s="17" t="str">
        <f>IFERROR(INDEX('نقاط التحقق'!$G$2:$G$31,MATCH($K242,'نقاط التحقق'!$A$2:$A$31,0))&amp;"","")</f>
        <v>دور مفصل للوحدة التنظيمية</v>
      </c>
      <c r="M242" s="13">
        <v>80</v>
      </c>
      <c r="N242" s="15" t="str">
        <f>IF($M242="","غير مقيّمة",IF($M242&gt;المرجع!$K$3,"مستوفاة بشكل متقدم",IF($M242&lt;=المرجع!$K$2,"مستوفاة بشكل أولي","مستوفاة بشكل جزئي")))</f>
        <v>مستوفاة بشكل متقدم</v>
      </c>
      <c r="O242" s="18"/>
    </row>
    <row r="243" spans="1:15">
      <c r="A243" s="16" t="s">
        <v>1047</v>
      </c>
      <c r="B243" s="16" t="s">
        <v>206</v>
      </c>
      <c r="C243" s="15" t="str">
        <f>IFERROR(INDEX('قائمة الوحدات'!$B$2:$B$41,MATCH($B243,'قائمة الوحدات'!$A$2:$A$41,0)),"")</f>
        <v>MIL</v>
      </c>
      <c r="D243" s="14" t="str">
        <f>IFERROR(INDEX('قائمة الوحدات'!$C$2:$C$41,MATCH($B243,'قائمة الوحدات'!$A$2:$A$41,0)),"")</f>
        <v>الجهاز العسكري</v>
      </c>
      <c r="E243" s="14" t="str">
        <f>IFERROR(INDEX('قائمة الوحدات'!$D$2:$D$41,MATCH($B243,'قائمة الوحدات'!$A$2:$A$41,0)),"")</f>
        <v>الإدارة العامة للتخطيط والتنظيم العسكري</v>
      </c>
      <c r="F243" s="14" t="str">
        <f>IFERROR(INDEX('قائمة الوحدات'!$F$2:$F$41,MATCH($B243,'قائمة الوحدات'!$A$2:$A$41,0)),"")</f>
        <v>الإدارة العامة للتخطيط والتنظيم العسكري</v>
      </c>
      <c r="G243" s="16" t="s">
        <v>43</v>
      </c>
      <c r="H243" s="14" t="str">
        <f>IFERROR(INDEX(المرجع!$A$2:$A$19,MATCH($G243,المرجع!$B$2:$B$19,0)),"")</f>
        <v>التصميم</v>
      </c>
      <c r="I243" s="16" t="s">
        <v>48</v>
      </c>
      <c r="J243" s="14" t="str">
        <f>IFERROR(INDEX(المرجع!$D$2:$D$19,MATCH($I243,المرجع!$E$2:$E$19,0)),"")</f>
        <v>الأهداف ومؤشرات الأداء</v>
      </c>
      <c r="K243" s="16" t="s">
        <v>74</v>
      </c>
      <c r="L243" s="17" t="str">
        <f>IFERROR(INDEX('نقاط التحقق'!$G$2:$G$31,MATCH($K243,'نقاط التحقق'!$A$2:$A$31,0))&amp;"","")</f>
        <v>أهداف محددة للوحدة التنظيمية وربطها بمؤشرات أداء لقياسها</v>
      </c>
      <c r="M243" s="13">
        <v>60</v>
      </c>
      <c r="N243" s="15" t="str">
        <f>IF($M243="","غير مقيّمة",IF($M243&gt;المرجع!$K$3,"مستوفاة بشكل متقدم",IF($M243&lt;=المرجع!$K$2,"مستوفاة بشكل أولي","مستوفاة بشكل جزئي")))</f>
        <v>مستوفاة بشكل جزئي</v>
      </c>
      <c r="O243" s="18"/>
    </row>
    <row r="244" spans="1:15">
      <c r="A244" s="16" t="s">
        <v>1048</v>
      </c>
      <c r="B244" s="16" t="s">
        <v>206</v>
      </c>
      <c r="C244" s="15" t="str">
        <f>IFERROR(INDEX('قائمة الوحدات'!$B$2:$B$41,MATCH($B244,'قائمة الوحدات'!$A$2:$A$41,0)),"")</f>
        <v>MIL</v>
      </c>
      <c r="D244" s="14" t="str">
        <f>IFERROR(INDEX('قائمة الوحدات'!$C$2:$C$41,MATCH($B244,'قائمة الوحدات'!$A$2:$A$41,0)),"")</f>
        <v>الجهاز العسكري</v>
      </c>
      <c r="E244" s="14" t="str">
        <f>IFERROR(INDEX('قائمة الوحدات'!$D$2:$D$41,MATCH($B244,'قائمة الوحدات'!$A$2:$A$41,0)),"")</f>
        <v>الإدارة العامة للتخطيط والتنظيم العسكري</v>
      </c>
      <c r="F244" s="14" t="str">
        <f>IFERROR(INDEX('قائمة الوحدات'!$F$2:$F$41,MATCH($B244,'قائمة الوحدات'!$A$2:$A$41,0)),"")</f>
        <v>الإدارة العامة للتخطيط والتنظيم العسكري</v>
      </c>
      <c r="G244" s="16" t="s">
        <v>43</v>
      </c>
      <c r="H244" s="14" t="str">
        <f>IFERROR(INDEX(المرجع!$A$2:$A$19,MATCH($G244,المرجع!$B$2:$B$19,0)),"")</f>
        <v>التصميم</v>
      </c>
      <c r="I244" s="16" t="s">
        <v>48</v>
      </c>
      <c r="J244" s="14" t="str">
        <f>IFERROR(INDEX(المرجع!$D$2:$D$19,MATCH($I244,المرجع!$E$2:$E$19,0)),"")</f>
        <v>الأهداف ومؤشرات الأداء</v>
      </c>
      <c r="K244" s="16" t="s">
        <v>76</v>
      </c>
      <c r="L244" s="17" t="str">
        <f>IFERROR(INDEX('نقاط التحقق'!$G$2:$G$31,MATCH($K244,'نقاط التحقق'!$A$2:$A$31,0))&amp;"","")</f>
        <v>مؤشرات أداء الوحدة التنظيمية</v>
      </c>
      <c r="M244" s="13">
        <v>90</v>
      </c>
      <c r="N244" s="15" t="str">
        <f>IF($M244="","غير مقيّمة",IF($M244&gt;المرجع!$K$3,"مستوفاة بشكل متقدم",IF($M244&lt;=المرجع!$K$2,"مستوفاة بشكل أولي","مستوفاة بشكل جزئي")))</f>
        <v>مستوفاة بشكل متقدم</v>
      </c>
      <c r="O244" s="18"/>
    </row>
    <row r="245" spans="1:15">
      <c r="A245" s="16" t="s">
        <v>1049</v>
      </c>
      <c r="B245" s="16" t="s">
        <v>206</v>
      </c>
      <c r="C245" s="15" t="str">
        <f>IFERROR(INDEX('قائمة الوحدات'!$B$2:$B$41,MATCH($B245,'قائمة الوحدات'!$A$2:$A$41,0)),"")</f>
        <v>MIL</v>
      </c>
      <c r="D245" s="14" t="str">
        <f>IFERROR(INDEX('قائمة الوحدات'!$C$2:$C$41,MATCH($B245,'قائمة الوحدات'!$A$2:$A$41,0)),"")</f>
        <v>الجهاز العسكري</v>
      </c>
      <c r="E245" s="14" t="str">
        <f>IFERROR(INDEX('قائمة الوحدات'!$D$2:$D$41,MATCH($B245,'قائمة الوحدات'!$A$2:$A$41,0)),"")</f>
        <v>الإدارة العامة للتخطيط والتنظيم العسكري</v>
      </c>
      <c r="F245" s="14" t="str">
        <f>IFERROR(INDEX('قائمة الوحدات'!$F$2:$F$41,MATCH($B245,'قائمة الوحدات'!$A$2:$A$41,0)),"")</f>
        <v>الإدارة العامة للتخطيط والتنظيم العسكري</v>
      </c>
      <c r="G245" s="16" t="s">
        <v>43</v>
      </c>
      <c r="H245" s="14" t="str">
        <f>IFERROR(INDEX(المرجع!$A$2:$A$19,MATCH($G245,المرجع!$B$2:$B$19,0)),"")</f>
        <v>التصميم</v>
      </c>
      <c r="I245" s="16" t="s">
        <v>51</v>
      </c>
      <c r="J245" s="14" t="str">
        <f>IFERROR(INDEX(المرجع!$D$2:$D$19,MATCH($I245,المرجع!$E$2:$E$19,0)),"")</f>
        <v>الحوكمة</v>
      </c>
      <c r="K245" s="16" t="s">
        <v>78</v>
      </c>
      <c r="L245" s="17" t="str">
        <f>IFERROR(INDEX('نقاط التحقق'!$G$2:$G$31,MATCH($K245,'نقاط التحقق'!$A$2:$A$31,0))&amp;"","")</f>
        <v>تفصيل القرارات ومصفوفة الصلاحيات واللجان ذات العلاقة لاعتماد مخرجات الوحدة التنظيمية</v>
      </c>
      <c r="M245" s="13">
        <v>80</v>
      </c>
      <c r="N245" s="15" t="str">
        <f>IF($M245="","غير مقيّمة",IF($M245&gt;المرجع!$K$3,"مستوفاة بشكل متقدم",IF($M245&lt;=المرجع!$K$2,"مستوفاة بشكل أولي","مستوفاة بشكل جزئي")))</f>
        <v>مستوفاة بشكل متقدم</v>
      </c>
      <c r="O245" s="18"/>
    </row>
    <row r="246" spans="1:15">
      <c r="A246" s="16" t="s">
        <v>1050</v>
      </c>
      <c r="B246" s="16" t="s">
        <v>206</v>
      </c>
      <c r="C246" s="15" t="str">
        <f>IFERROR(INDEX('قائمة الوحدات'!$B$2:$B$41,MATCH($B246,'قائمة الوحدات'!$A$2:$A$41,0)),"")</f>
        <v>MIL</v>
      </c>
      <c r="D246" s="14" t="str">
        <f>IFERROR(INDEX('قائمة الوحدات'!$C$2:$C$41,MATCH($B246,'قائمة الوحدات'!$A$2:$A$41,0)),"")</f>
        <v>الجهاز العسكري</v>
      </c>
      <c r="E246" s="14" t="str">
        <f>IFERROR(INDEX('قائمة الوحدات'!$D$2:$D$41,MATCH($B246,'قائمة الوحدات'!$A$2:$A$41,0)),"")</f>
        <v>الإدارة العامة للتخطيط والتنظيم العسكري</v>
      </c>
      <c r="F246" s="14" t="str">
        <f>IFERROR(INDEX('قائمة الوحدات'!$F$2:$F$41,MATCH($B246,'قائمة الوحدات'!$A$2:$A$41,0)),"")</f>
        <v>الإدارة العامة للتخطيط والتنظيم العسكري</v>
      </c>
      <c r="G246" s="16" t="s">
        <v>43</v>
      </c>
      <c r="H246" s="14" t="str">
        <f>IFERROR(INDEX(المرجع!$A$2:$A$19,MATCH($G246,المرجع!$B$2:$B$19,0)),"")</f>
        <v>التصميم</v>
      </c>
      <c r="I246" s="16" t="s">
        <v>54</v>
      </c>
      <c r="J246" s="14" t="str">
        <f>IFERROR(INDEX(المرجع!$D$2:$D$19,MATCH($I246,المرجع!$E$2:$E$19,0)),"")</f>
        <v>التنظيم</v>
      </c>
      <c r="K246" s="16" t="s">
        <v>80</v>
      </c>
      <c r="L246" s="17" t="str">
        <f>IFERROR(INDEX('نقاط التحقق'!$G$2:$G$31,MATCH($K246,'نقاط التحقق'!$A$2:$A$31,0))&amp;"","")</f>
        <v>تطوير الأدوار والمسؤوليات للوحدة التنظيمية وتفصيل الهيكل التنظيمي</v>
      </c>
      <c r="M246" s="13">
        <v>68</v>
      </c>
      <c r="N246" s="15" t="str">
        <f>IF($M246="","غير مقيّمة",IF($M246&gt;المرجع!$K$3,"مستوفاة بشكل متقدم",IF($M246&lt;=المرجع!$K$2,"مستوفاة بشكل أولي","مستوفاة بشكل جزئي")))</f>
        <v>مستوفاة بشكل جزئي</v>
      </c>
      <c r="O246" s="18"/>
    </row>
    <row r="247" spans="1:15">
      <c r="A247" s="16" t="s">
        <v>1051</v>
      </c>
      <c r="B247" s="16" t="s">
        <v>206</v>
      </c>
      <c r="C247" s="15" t="str">
        <f>IFERROR(INDEX('قائمة الوحدات'!$B$2:$B$41,MATCH($B247,'قائمة الوحدات'!$A$2:$A$41,0)),"")</f>
        <v>MIL</v>
      </c>
      <c r="D247" s="14" t="str">
        <f>IFERROR(INDEX('قائمة الوحدات'!$C$2:$C$41,MATCH($B247,'قائمة الوحدات'!$A$2:$A$41,0)),"")</f>
        <v>الجهاز العسكري</v>
      </c>
      <c r="E247" s="14" t="str">
        <f>IFERROR(INDEX('قائمة الوحدات'!$D$2:$D$41,MATCH($B247,'قائمة الوحدات'!$A$2:$A$41,0)),"")</f>
        <v>الإدارة العامة للتخطيط والتنظيم العسكري</v>
      </c>
      <c r="F247" s="14" t="str">
        <f>IFERROR(INDEX('قائمة الوحدات'!$F$2:$F$41,MATCH($B247,'قائمة الوحدات'!$A$2:$A$41,0)),"")</f>
        <v>الإدارة العامة للتخطيط والتنظيم العسكري</v>
      </c>
      <c r="G247" s="16" t="s">
        <v>43</v>
      </c>
      <c r="H247" s="14" t="str">
        <f>IFERROR(INDEX(المرجع!$A$2:$A$19,MATCH($G247,المرجع!$B$2:$B$19,0)),"")</f>
        <v>التصميم</v>
      </c>
      <c r="I247" s="16" t="s">
        <v>56</v>
      </c>
      <c r="J247" s="14" t="str">
        <f>IFERROR(INDEX(المرجع!$D$2:$D$19,MATCH($I247,المرجع!$E$2:$E$19,0)),"")</f>
        <v>الموارد</v>
      </c>
      <c r="K247" s="16" t="s">
        <v>82</v>
      </c>
      <c r="L247" s="17" t="str">
        <f>IFERROR(INDEX('نقاط التحقق'!$G$2:$G$31,MATCH($K247,'نقاط التحقق'!$A$2:$A$31,0))&amp;"","")</f>
        <v>تفصيل احتياج الموارد البشرية للوحدة التنظيمية</v>
      </c>
      <c r="M247" s="13">
        <v>95</v>
      </c>
      <c r="N247" s="15" t="str">
        <f>IF($M247="","غير مقيّمة",IF($M247&gt;المرجع!$K$3,"مستوفاة بشكل متقدم",IF($M247&lt;=المرجع!$K$2,"مستوفاة بشكل أولي","مستوفاة بشكل جزئي")))</f>
        <v>مستوفاة بشكل متقدم</v>
      </c>
      <c r="O247" s="18"/>
    </row>
    <row r="248" spans="1:15">
      <c r="A248" s="16" t="s">
        <v>1052</v>
      </c>
      <c r="B248" s="16" t="s">
        <v>206</v>
      </c>
      <c r="C248" s="15" t="str">
        <f>IFERROR(INDEX('قائمة الوحدات'!$B$2:$B$41,MATCH($B248,'قائمة الوحدات'!$A$2:$A$41,0)),"")</f>
        <v>MIL</v>
      </c>
      <c r="D248" s="14" t="str">
        <f>IFERROR(INDEX('قائمة الوحدات'!$C$2:$C$41,MATCH($B248,'قائمة الوحدات'!$A$2:$A$41,0)),"")</f>
        <v>الجهاز العسكري</v>
      </c>
      <c r="E248" s="14" t="str">
        <f>IFERROR(INDEX('قائمة الوحدات'!$D$2:$D$41,MATCH($B248,'قائمة الوحدات'!$A$2:$A$41,0)),"")</f>
        <v>الإدارة العامة للتخطيط والتنظيم العسكري</v>
      </c>
      <c r="F248" s="14" t="str">
        <f>IFERROR(INDEX('قائمة الوحدات'!$F$2:$F$41,MATCH($B248,'قائمة الوحدات'!$A$2:$A$41,0)),"")</f>
        <v>الإدارة العامة للتخطيط والتنظيم العسكري</v>
      </c>
      <c r="G248" s="16" t="s">
        <v>43</v>
      </c>
      <c r="H248" s="14" t="str">
        <f>IFERROR(INDEX(المرجع!$A$2:$A$19,MATCH($G248,المرجع!$B$2:$B$19,0)),"")</f>
        <v>التصميم</v>
      </c>
      <c r="I248" s="16" t="s">
        <v>59</v>
      </c>
      <c r="J248" s="14" t="str">
        <f>IFERROR(INDEX(المرجع!$D$2:$D$19,MATCH($I248,المرجع!$E$2:$E$19,0)),"")</f>
        <v>الإجراءات</v>
      </c>
      <c r="K248" s="16" t="s">
        <v>84</v>
      </c>
      <c r="L248" s="17" t="str">
        <f>IFERROR(INDEX('نقاط التحقق'!$G$2:$G$31,MATCH($K248,'نقاط التحقق'!$A$2:$A$31,0))&amp;"","")</f>
        <v>تفصيل المخرجات إلى إجراءات عالية المستوى</v>
      </c>
      <c r="M248" s="13">
        <v>88</v>
      </c>
      <c r="N248" s="15" t="str">
        <f>IF($M248="","غير مقيّمة",IF($M248&gt;المرجع!$K$3,"مستوفاة بشكل متقدم",IF($M248&lt;=المرجع!$K$2,"مستوفاة بشكل أولي","مستوفاة بشكل جزئي")))</f>
        <v>مستوفاة بشكل متقدم</v>
      </c>
      <c r="O248" s="18"/>
    </row>
    <row r="249" spans="1:15">
      <c r="A249" s="16" t="s">
        <v>1053</v>
      </c>
      <c r="B249" s="16" t="s">
        <v>206</v>
      </c>
      <c r="C249" s="15" t="str">
        <f>IFERROR(INDEX('قائمة الوحدات'!$B$2:$B$41,MATCH($B249,'قائمة الوحدات'!$A$2:$A$41,0)),"")</f>
        <v>MIL</v>
      </c>
      <c r="D249" s="14" t="str">
        <f>IFERROR(INDEX('قائمة الوحدات'!$C$2:$C$41,MATCH($B249,'قائمة الوحدات'!$A$2:$A$41,0)),"")</f>
        <v>الجهاز العسكري</v>
      </c>
      <c r="E249" s="14" t="str">
        <f>IFERROR(INDEX('قائمة الوحدات'!$D$2:$D$41,MATCH($B249,'قائمة الوحدات'!$A$2:$A$41,0)),"")</f>
        <v>الإدارة العامة للتخطيط والتنظيم العسكري</v>
      </c>
      <c r="F249" s="14" t="str">
        <f>IFERROR(INDEX('قائمة الوحدات'!$F$2:$F$41,MATCH($B249,'قائمة الوحدات'!$A$2:$A$41,0)),"")</f>
        <v>الإدارة العامة للتخطيط والتنظيم العسكري</v>
      </c>
      <c r="G249" s="16" t="s">
        <v>61</v>
      </c>
      <c r="H249" s="14" t="str">
        <f>IFERROR(INDEX(المرجع!$A$2:$A$19,MATCH($G249,المرجع!$B$2:$B$19,0)),"")</f>
        <v>البناء المؤسسي</v>
      </c>
      <c r="I249" s="16" t="s">
        <v>45</v>
      </c>
      <c r="J249" s="14" t="str">
        <f>IFERROR(INDEX(المرجع!$D$2:$D$19,MATCH($I249,المرجع!$E$2:$E$19,0)),"")</f>
        <v>الدور</v>
      </c>
      <c r="K249" s="16" t="s">
        <v>86</v>
      </c>
      <c r="L249" s="17" t="str">
        <f>IFERROR(INDEX('نقاط التحقق'!$G$2:$G$31,MATCH($K249,'نقاط التحقق'!$A$2:$A$31,0))&amp;"","")</f>
        <v>دور معتمد للوحدة التنظيمية</v>
      </c>
      <c r="M249" s="13">
        <v>48</v>
      </c>
      <c r="N249" s="15" t="str">
        <f>IF($M249="","غير مقيّمة",IF($M249&gt;المرجع!$K$3,"مستوفاة بشكل متقدم",IF($M249&lt;=المرجع!$K$2,"مستوفاة بشكل أولي","مستوفاة بشكل جزئي")))</f>
        <v>مستوفاة بشكل جزئي</v>
      </c>
      <c r="O249" s="18"/>
    </row>
    <row r="250" spans="1:15">
      <c r="A250" s="16" t="s">
        <v>1054</v>
      </c>
      <c r="B250" s="16" t="s">
        <v>206</v>
      </c>
      <c r="C250" s="15" t="str">
        <f>IFERROR(INDEX('قائمة الوحدات'!$B$2:$B$41,MATCH($B250,'قائمة الوحدات'!$A$2:$A$41,0)),"")</f>
        <v>MIL</v>
      </c>
      <c r="D250" s="14" t="str">
        <f>IFERROR(INDEX('قائمة الوحدات'!$C$2:$C$41,MATCH($B250,'قائمة الوحدات'!$A$2:$A$41,0)),"")</f>
        <v>الجهاز العسكري</v>
      </c>
      <c r="E250" s="14" t="str">
        <f>IFERROR(INDEX('قائمة الوحدات'!$D$2:$D$41,MATCH($B250,'قائمة الوحدات'!$A$2:$A$41,0)),"")</f>
        <v>الإدارة العامة للتخطيط والتنظيم العسكري</v>
      </c>
      <c r="F250" s="14" t="str">
        <f>IFERROR(INDEX('قائمة الوحدات'!$F$2:$F$41,MATCH($B250,'قائمة الوحدات'!$A$2:$A$41,0)),"")</f>
        <v>الإدارة العامة للتخطيط والتنظيم العسكري</v>
      </c>
      <c r="G250" s="16" t="s">
        <v>61</v>
      </c>
      <c r="H250" s="14" t="str">
        <f>IFERROR(INDEX(المرجع!$A$2:$A$19,MATCH($G250,المرجع!$B$2:$B$19,0)),"")</f>
        <v>البناء المؤسسي</v>
      </c>
      <c r="I250" s="16" t="s">
        <v>48</v>
      </c>
      <c r="J250" s="14" t="str">
        <f>IFERROR(INDEX(المرجع!$D$2:$D$19,MATCH($I250,المرجع!$E$2:$E$19,0)),"")</f>
        <v>الأهداف ومؤشرات الأداء</v>
      </c>
      <c r="K250" s="16" t="s">
        <v>88</v>
      </c>
      <c r="L250" s="17" t="str">
        <f>IFERROR(INDEX('نقاط التحقق'!$G$2:$G$31,MATCH($K250,'نقاط التحقق'!$A$2:$A$31,0))&amp;"","")</f>
        <v>أهداف تشغيلية معتمدة من صاحب الصلاحية</v>
      </c>
      <c r="M250" s="13">
        <v>90</v>
      </c>
      <c r="N250" s="15" t="str">
        <f>IF($M250="","غير مقيّمة",IF($M250&gt;المرجع!$K$3,"مستوفاة بشكل متقدم",IF($M250&lt;=المرجع!$K$2,"مستوفاة بشكل أولي","مستوفاة بشكل جزئي")))</f>
        <v>مستوفاة بشكل متقدم</v>
      </c>
      <c r="O250" s="18"/>
    </row>
    <row r="251" spans="1:15">
      <c r="A251" s="16" t="s">
        <v>1055</v>
      </c>
      <c r="B251" s="16" t="s">
        <v>206</v>
      </c>
      <c r="C251" s="15" t="str">
        <f>IFERROR(INDEX('قائمة الوحدات'!$B$2:$B$41,MATCH($B251,'قائمة الوحدات'!$A$2:$A$41,0)),"")</f>
        <v>MIL</v>
      </c>
      <c r="D251" s="14" t="str">
        <f>IFERROR(INDEX('قائمة الوحدات'!$C$2:$C$41,MATCH($B251,'قائمة الوحدات'!$A$2:$A$41,0)),"")</f>
        <v>الجهاز العسكري</v>
      </c>
      <c r="E251" s="14" t="str">
        <f>IFERROR(INDEX('قائمة الوحدات'!$D$2:$D$41,MATCH($B251,'قائمة الوحدات'!$A$2:$A$41,0)),"")</f>
        <v>الإدارة العامة للتخطيط والتنظيم العسكري</v>
      </c>
      <c r="F251" s="14" t="str">
        <f>IFERROR(INDEX('قائمة الوحدات'!$F$2:$F$41,MATCH($B251,'قائمة الوحدات'!$A$2:$A$41,0)),"")</f>
        <v>الإدارة العامة للتخطيط والتنظيم العسكري</v>
      </c>
      <c r="G251" s="16" t="s">
        <v>61</v>
      </c>
      <c r="H251" s="14" t="str">
        <f>IFERROR(INDEX(المرجع!$A$2:$A$19,MATCH($G251,المرجع!$B$2:$B$19,0)),"")</f>
        <v>البناء المؤسسي</v>
      </c>
      <c r="I251" s="16" t="s">
        <v>48</v>
      </c>
      <c r="J251" s="14" t="str">
        <f>IFERROR(INDEX(المرجع!$D$2:$D$19,MATCH($I251,المرجع!$E$2:$E$19,0)),"")</f>
        <v>الأهداف ومؤشرات الأداء</v>
      </c>
      <c r="K251" s="16" t="s">
        <v>90</v>
      </c>
      <c r="L251" s="17" t="str">
        <f>IFERROR(INDEX('نقاط التحقق'!$G$2:$G$31,MATCH($K251,'نقاط التحقق'!$A$2:$A$31,0))&amp;"","")</f>
        <v>نشر الأهداف التشغيلية على موظفي الوحدة التنظيمية</v>
      </c>
      <c r="M251" s="13">
        <v>85</v>
      </c>
      <c r="N251" s="15" t="str">
        <f>IF($M251="","غير مقيّمة",IF($M251&gt;المرجع!$K$3,"مستوفاة بشكل متقدم",IF($M251&lt;=المرجع!$K$2,"مستوفاة بشكل أولي","مستوفاة بشكل جزئي")))</f>
        <v>مستوفاة بشكل متقدم</v>
      </c>
      <c r="O251" s="18"/>
    </row>
    <row r="252" spans="1:15">
      <c r="A252" s="16" t="s">
        <v>1056</v>
      </c>
      <c r="B252" s="16" t="s">
        <v>206</v>
      </c>
      <c r="C252" s="15" t="str">
        <f>IFERROR(INDEX('قائمة الوحدات'!$B$2:$B$41,MATCH($B252,'قائمة الوحدات'!$A$2:$A$41,0)),"")</f>
        <v>MIL</v>
      </c>
      <c r="D252" s="14" t="str">
        <f>IFERROR(INDEX('قائمة الوحدات'!$C$2:$C$41,MATCH($B252,'قائمة الوحدات'!$A$2:$A$41,0)),"")</f>
        <v>الجهاز العسكري</v>
      </c>
      <c r="E252" s="14" t="str">
        <f>IFERROR(INDEX('قائمة الوحدات'!$D$2:$D$41,MATCH($B252,'قائمة الوحدات'!$A$2:$A$41,0)),"")</f>
        <v>الإدارة العامة للتخطيط والتنظيم العسكري</v>
      </c>
      <c r="F252" s="14" t="str">
        <f>IFERROR(INDEX('قائمة الوحدات'!$F$2:$F$41,MATCH($B252,'قائمة الوحدات'!$A$2:$A$41,0)),"")</f>
        <v>الإدارة العامة للتخطيط والتنظيم العسكري</v>
      </c>
      <c r="G252" s="16" t="s">
        <v>61</v>
      </c>
      <c r="H252" s="14" t="str">
        <f>IFERROR(INDEX(المرجع!$A$2:$A$19,MATCH($G252,المرجع!$B$2:$B$19,0)),"")</f>
        <v>البناء المؤسسي</v>
      </c>
      <c r="I252" s="16" t="s">
        <v>51</v>
      </c>
      <c r="J252" s="14" t="str">
        <f>IFERROR(INDEX(المرجع!$D$2:$D$19,MATCH($I252,المرجع!$E$2:$E$19,0)),"")</f>
        <v>الحوكمة</v>
      </c>
      <c r="K252" s="16" t="s">
        <v>92</v>
      </c>
      <c r="L252" s="17" t="str">
        <f>IFERROR(INDEX('نقاط التحقق'!$G$2:$G$31,MATCH($K252,'نقاط التحقق'!$A$2:$A$31,0))&amp;"","")</f>
        <v>مصفوفة صلاحيات معتمدة ومعممة على أصحاب المصلحة</v>
      </c>
      <c r="M252" s="13">
        <v>50</v>
      </c>
      <c r="N252" s="15" t="str">
        <f>IF($M252="","غير مقيّمة",IF($M252&gt;المرجع!$K$3,"مستوفاة بشكل متقدم",IF($M252&lt;=المرجع!$K$2,"مستوفاة بشكل أولي","مستوفاة بشكل جزئي")))</f>
        <v>مستوفاة بشكل جزئي</v>
      </c>
      <c r="O252" s="18"/>
    </row>
    <row r="253" spans="1:15">
      <c r="A253" s="16" t="s">
        <v>1057</v>
      </c>
      <c r="B253" s="16" t="s">
        <v>206</v>
      </c>
      <c r="C253" s="15" t="str">
        <f>IFERROR(INDEX('قائمة الوحدات'!$B$2:$B$41,MATCH($B253,'قائمة الوحدات'!$A$2:$A$41,0)),"")</f>
        <v>MIL</v>
      </c>
      <c r="D253" s="14" t="str">
        <f>IFERROR(INDEX('قائمة الوحدات'!$C$2:$C$41,MATCH($B253,'قائمة الوحدات'!$A$2:$A$41,0)),"")</f>
        <v>الجهاز العسكري</v>
      </c>
      <c r="E253" s="14" t="str">
        <f>IFERROR(INDEX('قائمة الوحدات'!$D$2:$D$41,MATCH($B253,'قائمة الوحدات'!$A$2:$A$41,0)),"")</f>
        <v>الإدارة العامة للتخطيط والتنظيم العسكري</v>
      </c>
      <c r="F253" s="14" t="str">
        <f>IFERROR(INDEX('قائمة الوحدات'!$F$2:$F$41,MATCH($B253,'قائمة الوحدات'!$A$2:$A$41,0)),"")</f>
        <v>الإدارة العامة للتخطيط والتنظيم العسكري</v>
      </c>
      <c r="G253" s="16" t="s">
        <v>61</v>
      </c>
      <c r="H253" s="14" t="str">
        <f>IFERROR(INDEX(المرجع!$A$2:$A$19,MATCH($G253,المرجع!$B$2:$B$19,0)),"")</f>
        <v>البناء المؤسسي</v>
      </c>
      <c r="I253" s="16" t="s">
        <v>51</v>
      </c>
      <c r="J253" s="14" t="str">
        <f>IFERROR(INDEX(المرجع!$D$2:$D$19,MATCH($I253,المرجع!$E$2:$E$19,0)),"")</f>
        <v>الحوكمة</v>
      </c>
      <c r="K253" s="16" t="s">
        <v>94</v>
      </c>
      <c r="L253" s="17" t="str">
        <f>IFERROR(INDEX('نقاط التحقق'!$G$2:$G$31,MATCH($K253,'نقاط التحقق'!$A$2:$A$31,0))&amp;"","")</f>
        <v>سياسات معتمدة للتي تملكها الوحدة التنظيمية</v>
      </c>
      <c r="M253" s="13">
        <v>50</v>
      </c>
      <c r="N253" s="15" t="str">
        <f>IF($M253="","غير مقيّمة",IF($M253&gt;المرجع!$K$3,"مستوفاة بشكل متقدم",IF($M253&lt;=المرجع!$K$2,"مستوفاة بشكل أولي","مستوفاة بشكل جزئي")))</f>
        <v>مستوفاة بشكل جزئي</v>
      </c>
      <c r="O253" s="18"/>
    </row>
    <row r="254" spans="1:15">
      <c r="A254" s="16" t="s">
        <v>1058</v>
      </c>
      <c r="B254" s="16" t="s">
        <v>206</v>
      </c>
      <c r="C254" s="15" t="str">
        <f>IFERROR(INDEX('قائمة الوحدات'!$B$2:$B$41,MATCH($B254,'قائمة الوحدات'!$A$2:$A$41,0)),"")</f>
        <v>MIL</v>
      </c>
      <c r="D254" s="14" t="str">
        <f>IFERROR(INDEX('قائمة الوحدات'!$C$2:$C$41,MATCH($B254,'قائمة الوحدات'!$A$2:$A$41,0)),"")</f>
        <v>الجهاز العسكري</v>
      </c>
      <c r="E254" s="14" t="str">
        <f>IFERROR(INDEX('قائمة الوحدات'!$D$2:$D$41,MATCH($B254,'قائمة الوحدات'!$A$2:$A$41,0)),"")</f>
        <v>الإدارة العامة للتخطيط والتنظيم العسكري</v>
      </c>
      <c r="F254" s="14" t="str">
        <f>IFERROR(INDEX('قائمة الوحدات'!$F$2:$F$41,MATCH($B254,'قائمة الوحدات'!$A$2:$A$41,0)),"")</f>
        <v>الإدارة العامة للتخطيط والتنظيم العسكري</v>
      </c>
      <c r="G254" s="16" t="s">
        <v>61</v>
      </c>
      <c r="H254" s="14" t="str">
        <f>IFERROR(INDEX(المرجع!$A$2:$A$19,MATCH($G254,المرجع!$B$2:$B$19,0)),"")</f>
        <v>البناء المؤسسي</v>
      </c>
      <c r="I254" s="16" t="s">
        <v>51</v>
      </c>
      <c r="J254" s="14" t="str">
        <f>IFERROR(INDEX(المرجع!$D$2:$D$19,MATCH($I254,المرجع!$E$2:$E$19,0)),"")</f>
        <v>الحوكمة</v>
      </c>
      <c r="K254" s="16" t="s">
        <v>96</v>
      </c>
      <c r="L254" s="17" t="str">
        <f>IFERROR(INDEX('نقاط التحقق'!$G$2:$G$31,MATCH($K254,'نقاط التحقق'!$A$2:$A$31,0))&amp;"","")</f>
        <v>قرار تشكيل معتمد للجان ذات العلاقة</v>
      </c>
      <c r="M254" s="13">
        <v>50</v>
      </c>
      <c r="N254" s="15" t="str">
        <f>IF($M254="","غير مقيّمة",IF($M254&gt;المرجع!$K$3,"مستوفاة بشكل متقدم",IF($M254&lt;=المرجع!$K$2,"مستوفاة بشكل أولي","مستوفاة بشكل جزئي")))</f>
        <v>مستوفاة بشكل جزئي</v>
      </c>
      <c r="O254" s="18"/>
    </row>
    <row r="255" spans="1:15">
      <c r="A255" s="16" t="s">
        <v>1059</v>
      </c>
      <c r="B255" s="16" t="s">
        <v>206</v>
      </c>
      <c r="C255" s="15" t="str">
        <f>IFERROR(INDEX('قائمة الوحدات'!$B$2:$B$41,MATCH($B255,'قائمة الوحدات'!$A$2:$A$41,0)),"")</f>
        <v>MIL</v>
      </c>
      <c r="D255" s="14" t="str">
        <f>IFERROR(INDEX('قائمة الوحدات'!$C$2:$C$41,MATCH($B255,'قائمة الوحدات'!$A$2:$A$41,0)),"")</f>
        <v>الجهاز العسكري</v>
      </c>
      <c r="E255" s="14" t="str">
        <f>IFERROR(INDEX('قائمة الوحدات'!$D$2:$D$41,MATCH($B255,'قائمة الوحدات'!$A$2:$A$41,0)),"")</f>
        <v>الإدارة العامة للتخطيط والتنظيم العسكري</v>
      </c>
      <c r="F255" s="14" t="str">
        <f>IFERROR(INDEX('قائمة الوحدات'!$F$2:$F$41,MATCH($B255,'قائمة الوحدات'!$A$2:$A$41,0)),"")</f>
        <v>الإدارة العامة للتخطيط والتنظيم العسكري</v>
      </c>
      <c r="G255" s="16" t="s">
        <v>61</v>
      </c>
      <c r="H255" s="14" t="str">
        <f>IFERROR(INDEX(المرجع!$A$2:$A$19,MATCH($G255,المرجع!$B$2:$B$19,0)),"")</f>
        <v>البناء المؤسسي</v>
      </c>
      <c r="I255" s="16" t="s">
        <v>54</v>
      </c>
      <c r="J255" s="14" t="str">
        <f>IFERROR(INDEX(المرجع!$D$2:$D$19,MATCH($I255,المرجع!$E$2:$E$19,0)),"")</f>
        <v>التنظيم</v>
      </c>
      <c r="K255" s="16" t="s">
        <v>98</v>
      </c>
      <c r="L255" s="17" t="str">
        <f>IFERROR(INDEX('نقاط التحقق'!$G$2:$G$31,MATCH($K255,'نقاط التحقق'!$A$2:$A$31,0))&amp;"","")</f>
        <v>هيكل تنظيمي معتمد من صاحب الصلاحية</v>
      </c>
      <c r="M255" s="13">
        <v>40</v>
      </c>
      <c r="N255" s="15" t="str">
        <f>IF($M255="","غير مقيّمة",IF($M255&gt;المرجع!$K$3,"مستوفاة بشكل متقدم",IF($M255&lt;=المرجع!$K$2,"مستوفاة بشكل أولي","مستوفاة بشكل جزئي")))</f>
        <v>مستوفاة بشكل جزئي</v>
      </c>
      <c r="O255" s="18"/>
    </row>
    <row r="256" spans="1:15">
      <c r="A256" s="16" t="s">
        <v>1060</v>
      </c>
      <c r="B256" s="16" t="s">
        <v>206</v>
      </c>
      <c r="C256" s="15" t="str">
        <f>IFERROR(INDEX('قائمة الوحدات'!$B$2:$B$41,MATCH($B256,'قائمة الوحدات'!$A$2:$A$41,0)),"")</f>
        <v>MIL</v>
      </c>
      <c r="D256" s="14" t="str">
        <f>IFERROR(INDEX('قائمة الوحدات'!$C$2:$C$41,MATCH($B256,'قائمة الوحدات'!$A$2:$A$41,0)),"")</f>
        <v>الجهاز العسكري</v>
      </c>
      <c r="E256" s="14" t="str">
        <f>IFERROR(INDEX('قائمة الوحدات'!$D$2:$D$41,MATCH($B256,'قائمة الوحدات'!$A$2:$A$41,0)),"")</f>
        <v>الإدارة العامة للتخطيط والتنظيم العسكري</v>
      </c>
      <c r="F256" s="14" t="str">
        <f>IFERROR(INDEX('قائمة الوحدات'!$F$2:$F$41,MATCH($B256,'قائمة الوحدات'!$A$2:$A$41,0)),"")</f>
        <v>الإدارة العامة للتخطيط والتنظيم العسكري</v>
      </c>
      <c r="G256" s="16" t="s">
        <v>61</v>
      </c>
      <c r="H256" s="14" t="str">
        <f>IFERROR(INDEX(المرجع!$A$2:$A$19,MATCH($G256,المرجع!$B$2:$B$19,0)),"")</f>
        <v>البناء المؤسسي</v>
      </c>
      <c r="I256" s="16" t="s">
        <v>54</v>
      </c>
      <c r="J256" s="14" t="str">
        <f>IFERROR(INDEX(المرجع!$D$2:$D$19,MATCH($I256,المرجع!$E$2:$E$19,0)),"")</f>
        <v>التنظيم</v>
      </c>
      <c r="K256" s="16" t="s">
        <v>100</v>
      </c>
      <c r="L256" s="17" t="str">
        <f>IFERROR(INDEX('نقاط التحقق'!$G$2:$G$31,MATCH($K256,'نقاط التحقق'!$A$2:$A$31,0))&amp;"","")</f>
        <v>هيكل تنظيمي منشأ على نظام القوى العاملة</v>
      </c>
      <c r="M256" s="13">
        <v>35</v>
      </c>
      <c r="N256" s="15" t="str">
        <f>IF($M256="","غير مقيّمة",IF($M256&gt;المرجع!$K$3,"مستوفاة بشكل متقدم",IF($M256&lt;=المرجع!$K$2,"مستوفاة بشكل أولي","مستوفاة بشكل جزئي")))</f>
        <v>مستوفاة بشكل جزئي</v>
      </c>
      <c r="O256" s="18"/>
    </row>
    <row r="257" spans="1:15">
      <c r="A257" s="16" t="s">
        <v>1061</v>
      </c>
      <c r="B257" s="16" t="s">
        <v>206</v>
      </c>
      <c r="C257" s="15" t="str">
        <f>IFERROR(INDEX('قائمة الوحدات'!$B$2:$B$41,MATCH($B257,'قائمة الوحدات'!$A$2:$A$41,0)),"")</f>
        <v>MIL</v>
      </c>
      <c r="D257" s="14" t="str">
        <f>IFERROR(INDEX('قائمة الوحدات'!$C$2:$C$41,MATCH($B257,'قائمة الوحدات'!$A$2:$A$41,0)),"")</f>
        <v>الجهاز العسكري</v>
      </c>
      <c r="E257" s="14" t="str">
        <f>IFERROR(INDEX('قائمة الوحدات'!$D$2:$D$41,MATCH($B257,'قائمة الوحدات'!$A$2:$A$41,0)),"")</f>
        <v>الإدارة العامة للتخطيط والتنظيم العسكري</v>
      </c>
      <c r="F257" s="14" t="str">
        <f>IFERROR(INDEX('قائمة الوحدات'!$F$2:$F$41,MATCH($B257,'قائمة الوحدات'!$A$2:$A$41,0)),"")</f>
        <v>الإدارة العامة للتخطيط والتنظيم العسكري</v>
      </c>
      <c r="G257" s="16" t="s">
        <v>61</v>
      </c>
      <c r="H257" s="14" t="str">
        <f>IFERROR(INDEX(المرجع!$A$2:$A$19,MATCH($G257,المرجع!$B$2:$B$19,0)),"")</f>
        <v>البناء المؤسسي</v>
      </c>
      <c r="I257" s="16" t="s">
        <v>54</v>
      </c>
      <c r="J257" s="14" t="str">
        <f>IFERROR(INDEX(المرجع!$D$2:$D$19,MATCH($I257,المرجع!$E$2:$E$19,0)),"")</f>
        <v>التنظيم</v>
      </c>
      <c r="K257" s="16" t="s">
        <v>102</v>
      </c>
      <c r="L257" s="17" t="str">
        <f>IFERROR(INDEX('نقاط التحقق'!$G$2:$G$31,MATCH($K257,'نقاط التحقق'!$A$2:$A$31,0))&amp;"","")</f>
        <v>الموظفون المحددون مسكّنون على الهيكل التنظيمي المستهدف</v>
      </c>
      <c r="M257" s="13">
        <v>55</v>
      </c>
      <c r="N257" s="15" t="str">
        <f>IF($M257="","غير مقيّمة",IF($M257&gt;المرجع!$K$3,"مستوفاة بشكل متقدم",IF($M257&lt;=المرجع!$K$2,"مستوفاة بشكل أولي","مستوفاة بشكل جزئي")))</f>
        <v>مستوفاة بشكل جزئي</v>
      </c>
      <c r="O257" s="18"/>
    </row>
    <row r="258" spans="1:15">
      <c r="A258" s="16" t="s">
        <v>1062</v>
      </c>
      <c r="B258" s="16" t="s">
        <v>206</v>
      </c>
      <c r="C258" s="15" t="str">
        <f>IFERROR(INDEX('قائمة الوحدات'!$B$2:$B$41,MATCH($B258,'قائمة الوحدات'!$A$2:$A$41,0)),"")</f>
        <v>MIL</v>
      </c>
      <c r="D258" s="14" t="str">
        <f>IFERROR(INDEX('قائمة الوحدات'!$C$2:$C$41,MATCH($B258,'قائمة الوحدات'!$A$2:$A$41,0)),"")</f>
        <v>الجهاز العسكري</v>
      </c>
      <c r="E258" s="14" t="str">
        <f>IFERROR(INDEX('قائمة الوحدات'!$D$2:$D$41,MATCH($B258,'قائمة الوحدات'!$A$2:$A$41,0)),"")</f>
        <v>الإدارة العامة للتخطيط والتنظيم العسكري</v>
      </c>
      <c r="F258" s="14" t="str">
        <f>IFERROR(INDEX('قائمة الوحدات'!$F$2:$F$41,MATCH($B258,'قائمة الوحدات'!$A$2:$A$41,0)),"")</f>
        <v>الإدارة العامة للتخطيط والتنظيم العسكري</v>
      </c>
      <c r="G258" s="16" t="s">
        <v>61</v>
      </c>
      <c r="H258" s="14" t="str">
        <f>IFERROR(INDEX(المرجع!$A$2:$A$19,MATCH($G258,المرجع!$B$2:$B$19,0)),"")</f>
        <v>البناء المؤسسي</v>
      </c>
      <c r="I258" s="16" t="s">
        <v>56</v>
      </c>
      <c r="J258" s="14" t="str">
        <f>IFERROR(INDEX(المرجع!$D$2:$D$19,MATCH($I258,المرجع!$E$2:$E$19,0)),"")</f>
        <v>الموارد</v>
      </c>
      <c r="K258" s="16" t="s">
        <v>104</v>
      </c>
      <c r="L258" s="17" t="str">
        <f>IFERROR(INDEX('نقاط التحقق'!$G$2:$G$31,MATCH($K258,'نقاط التحقق'!$A$2:$A$31,0))&amp;"","")</f>
        <v>مدير الوحدة التنظيمية والموظفون الرئيسيون معينون/ملحقون</v>
      </c>
      <c r="M258" s="13">
        <v>70</v>
      </c>
      <c r="N258" s="15" t="str">
        <f>IF($M258="","غير مقيّمة",IF($M258&gt;المرجع!$K$3,"مستوفاة بشكل متقدم",IF($M258&lt;=المرجع!$K$2,"مستوفاة بشكل أولي","مستوفاة بشكل جزئي")))</f>
        <v>مستوفاة بشكل جزئي</v>
      </c>
      <c r="O258" s="18"/>
    </row>
    <row r="259" spans="1:15">
      <c r="A259" s="16" t="s">
        <v>1063</v>
      </c>
      <c r="B259" s="16" t="s">
        <v>206</v>
      </c>
      <c r="C259" s="15" t="str">
        <f>IFERROR(INDEX('قائمة الوحدات'!$B$2:$B$41,MATCH($B259,'قائمة الوحدات'!$A$2:$A$41,0)),"")</f>
        <v>MIL</v>
      </c>
      <c r="D259" s="14" t="str">
        <f>IFERROR(INDEX('قائمة الوحدات'!$C$2:$C$41,MATCH($B259,'قائمة الوحدات'!$A$2:$A$41,0)),"")</f>
        <v>الجهاز العسكري</v>
      </c>
      <c r="E259" s="14" t="str">
        <f>IFERROR(INDEX('قائمة الوحدات'!$D$2:$D$41,MATCH($B259,'قائمة الوحدات'!$A$2:$A$41,0)),"")</f>
        <v>الإدارة العامة للتخطيط والتنظيم العسكري</v>
      </c>
      <c r="F259" s="14" t="str">
        <f>IFERROR(INDEX('قائمة الوحدات'!$F$2:$F$41,MATCH($B259,'قائمة الوحدات'!$A$2:$A$41,0)),"")</f>
        <v>الإدارة العامة للتخطيط والتنظيم العسكري</v>
      </c>
      <c r="G259" s="16" t="s">
        <v>61</v>
      </c>
      <c r="H259" s="14" t="str">
        <f>IFERROR(INDEX(المرجع!$A$2:$A$19,MATCH($G259,المرجع!$B$2:$B$19,0)),"")</f>
        <v>البناء المؤسسي</v>
      </c>
      <c r="I259" s="16" t="s">
        <v>56</v>
      </c>
      <c r="J259" s="14" t="str">
        <f>IFERROR(INDEX(المرجع!$D$2:$D$19,MATCH($I259,المرجع!$E$2:$E$19,0)),"")</f>
        <v>الموارد</v>
      </c>
      <c r="K259" s="16" t="s">
        <v>106</v>
      </c>
      <c r="L259" s="17" t="str">
        <f>IFERROR(INDEX('نقاط التحقق'!$G$2:$G$31,MATCH($K259,'نقاط التحقق'!$A$2:$A$31,0))&amp;"","")</f>
        <v>خطة توظيف وتدريب مستكملة</v>
      </c>
      <c r="M259" s="13">
        <v>90</v>
      </c>
      <c r="N259" s="15" t="str">
        <f>IF($M259="","غير مقيّمة",IF($M259&gt;المرجع!$K$3,"مستوفاة بشكل متقدم",IF($M259&lt;=المرجع!$K$2,"مستوفاة بشكل أولي","مستوفاة بشكل جزئي")))</f>
        <v>مستوفاة بشكل متقدم</v>
      </c>
      <c r="O259" s="18"/>
    </row>
    <row r="260" spans="1:15">
      <c r="A260" s="16" t="s">
        <v>1064</v>
      </c>
      <c r="B260" s="16" t="s">
        <v>206</v>
      </c>
      <c r="C260" s="15" t="str">
        <f>IFERROR(INDEX('قائمة الوحدات'!$B$2:$B$41,MATCH($B260,'قائمة الوحدات'!$A$2:$A$41,0)),"")</f>
        <v>MIL</v>
      </c>
      <c r="D260" s="14" t="str">
        <f>IFERROR(INDEX('قائمة الوحدات'!$C$2:$C$41,MATCH($B260,'قائمة الوحدات'!$A$2:$A$41,0)),"")</f>
        <v>الجهاز العسكري</v>
      </c>
      <c r="E260" s="14" t="str">
        <f>IFERROR(INDEX('قائمة الوحدات'!$D$2:$D$41,MATCH($B260,'قائمة الوحدات'!$A$2:$A$41,0)),"")</f>
        <v>الإدارة العامة للتخطيط والتنظيم العسكري</v>
      </c>
      <c r="F260" s="14" t="str">
        <f>IFERROR(INDEX('قائمة الوحدات'!$F$2:$F$41,MATCH($B260,'قائمة الوحدات'!$A$2:$A$41,0)),"")</f>
        <v>الإدارة العامة للتخطيط والتنظيم العسكري</v>
      </c>
      <c r="G260" s="16" t="s">
        <v>61</v>
      </c>
      <c r="H260" s="14" t="str">
        <f>IFERROR(INDEX(المرجع!$A$2:$A$19,MATCH($G260,المرجع!$B$2:$B$19,0)),"")</f>
        <v>البناء المؤسسي</v>
      </c>
      <c r="I260" s="16" t="s">
        <v>56</v>
      </c>
      <c r="J260" s="14" t="str">
        <f>IFERROR(INDEX(المرجع!$D$2:$D$19,MATCH($I260,المرجع!$E$2:$E$19,0)),"")</f>
        <v>الموارد</v>
      </c>
      <c r="K260" s="16" t="s">
        <v>108</v>
      </c>
      <c r="L260" s="17" t="str">
        <f>IFERROR(INDEX('نقاط التحقق'!$G$2:$G$31,MATCH($K260,'نقاط التحقق'!$A$2:$A$31,0))&amp;"","")</f>
        <v>وجود مساحات مكتبية كافية</v>
      </c>
      <c r="M260" s="13">
        <v>65</v>
      </c>
      <c r="N260" s="15" t="str">
        <f>IF($M260="","غير مقيّمة",IF($M260&gt;المرجع!$K$3,"مستوفاة بشكل متقدم",IF($M260&lt;=المرجع!$K$2,"مستوفاة بشكل أولي","مستوفاة بشكل جزئي")))</f>
        <v>مستوفاة بشكل جزئي</v>
      </c>
      <c r="O260" s="18"/>
    </row>
    <row r="261" spans="1:15">
      <c r="A261" s="16" t="s">
        <v>1065</v>
      </c>
      <c r="B261" s="16" t="s">
        <v>206</v>
      </c>
      <c r="C261" s="15" t="str">
        <f>IFERROR(INDEX('قائمة الوحدات'!$B$2:$B$41,MATCH($B261,'قائمة الوحدات'!$A$2:$A$41,0)),"")</f>
        <v>MIL</v>
      </c>
      <c r="D261" s="14" t="str">
        <f>IFERROR(INDEX('قائمة الوحدات'!$C$2:$C$41,MATCH($B261,'قائمة الوحدات'!$A$2:$A$41,0)),"")</f>
        <v>الجهاز العسكري</v>
      </c>
      <c r="E261" s="14" t="str">
        <f>IFERROR(INDEX('قائمة الوحدات'!$D$2:$D$41,MATCH($B261,'قائمة الوحدات'!$A$2:$A$41,0)),"")</f>
        <v>الإدارة العامة للتخطيط والتنظيم العسكري</v>
      </c>
      <c r="F261" s="14" t="str">
        <f>IFERROR(INDEX('قائمة الوحدات'!$F$2:$F$41,MATCH($B261,'قائمة الوحدات'!$A$2:$A$41,0)),"")</f>
        <v>الإدارة العامة للتخطيط والتنظيم العسكري</v>
      </c>
      <c r="G261" s="16" t="s">
        <v>61</v>
      </c>
      <c r="H261" s="14" t="str">
        <f>IFERROR(INDEX(المرجع!$A$2:$A$19,MATCH($G261,المرجع!$B$2:$B$19,0)),"")</f>
        <v>البناء المؤسسي</v>
      </c>
      <c r="I261" s="16" t="s">
        <v>56</v>
      </c>
      <c r="J261" s="14" t="str">
        <f>IFERROR(INDEX(المرجع!$D$2:$D$19,MATCH($I261,المرجع!$E$2:$E$19,0)),"")</f>
        <v>الموارد</v>
      </c>
      <c r="K261" s="16" t="s">
        <v>110</v>
      </c>
      <c r="L261" s="17" t="str">
        <f>IFERROR(INDEX('نقاط التحقق'!$G$2:$G$31,MATCH($K261,'نقاط التحقق'!$A$2:$A$31,0))&amp;"","")</f>
        <v>وجود الاحتياجات التقنية الأساسية</v>
      </c>
      <c r="M261" s="13">
        <v>75</v>
      </c>
      <c r="N261" s="15" t="str">
        <f>IF($M261="","غير مقيّمة",IF($M261&gt;المرجع!$K$3,"مستوفاة بشكل متقدم",IF($M261&lt;=المرجع!$K$2,"مستوفاة بشكل أولي","مستوفاة بشكل جزئي")))</f>
        <v>مستوفاة بشكل متقدم</v>
      </c>
      <c r="O261" s="18"/>
    </row>
    <row r="262" spans="1:15">
      <c r="A262" s="16" t="s">
        <v>1066</v>
      </c>
      <c r="B262" s="16" t="s">
        <v>206</v>
      </c>
      <c r="C262" s="15" t="str">
        <f>IFERROR(INDEX('قائمة الوحدات'!$B$2:$B$41,MATCH($B262,'قائمة الوحدات'!$A$2:$A$41,0)),"")</f>
        <v>MIL</v>
      </c>
      <c r="D262" s="14" t="str">
        <f>IFERROR(INDEX('قائمة الوحدات'!$C$2:$C$41,MATCH($B262,'قائمة الوحدات'!$A$2:$A$41,0)),"")</f>
        <v>الجهاز العسكري</v>
      </c>
      <c r="E262" s="14" t="str">
        <f>IFERROR(INDEX('قائمة الوحدات'!$D$2:$D$41,MATCH($B262,'قائمة الوحدات'!$A$2:$A$41,0)),"")</f>
        <v>الإدارة العامة للتخطيط والتنظيم العسكري</v>
      </c>
      <c r="F262" s="14" t="str">
        <f>IFERROR(INDEX('قائمة الوحدات'!$F$2:$F$41,MATCH($B262,'قائمة الوحدات'!$A$2:$A$41,0)),"")</f>
        <v>الإدارة العامة للتخطيط والتنظيم العسكري</v>
      </c>
      <c r="G262" s="16" t="s">
        <v>61</v>
      </c>
      <c r="H262" s="14" t="str">
        <f>IFERROR(INDEX(المرجع!$A$2:$A$19,MATCH($G262,المرجع!$B$2:$B$19,0)),"")</f>
        <v>البناء المؤسسي</v>
      </c>
      <c r="I262" s="16" t="s">
        <v>59</v>
      </c>
      <c r="J262" s="14" t="str">
        <f>IFERROR(INDEX(المرجع!$D$2:$D$19,MATCH($I262,المرجع!$E$2:$E$19,0)),"")</f>
        <v>الإجراءات</v>
      </c>
      <c r="K262" s="16" t="s">
        <v>112</v>
      </c>
      <c r="L262" s="17" t="str">
        <f>IFERROR(INDEX('نقاط التحقق'!$G$2:$G$31,MATCH($K262,'نقاط التحقق'!$A$2:$A$31,0))&amp;"","")</f>
        <v>إجراءات معتمدة للوحدة التنظيمية</v>
      </c>
      <c r="M262" s="13">
        <v>49</v>
      </c>
      <c r="N262" s="15" t="str">
        <f>IF($M262="","غير مقيّمة",IF($M262&gt;المرجع!$K$3,"مستوفاة بشكل متقدم",IF($M262&lt;=المرجع!$K$2,"مستوفاة بشكل أولي","مستوفاة بشكل جزئي")))</f>
        <v>مستوفاة بشكل جزئي</v>
      </c>
      <c r="O262" s="18"/>
    </row>
    <row r="263" spans="1:15">
      <c r="A263" s="16" t="s">
        <v>1067</v>
      </c>
      <c r="B263" s="16" t="s">
        <v>206</v>
      </c>
      <c r="C263" s="15" t="str">
        <f>IFERROR(INDEX('قائمة الوحدات'!$B$2:$B$41,MATCH($B263,'قائمة الوحدات'!$A$2:$A$41,0)),"")</f>
        <v>MIL</v>
      </c>
      <c r="D263" s="14" t="str">
        <f>IFERROR(INDEX('قائمة الوحدات'!$C$2:$C$41,MATCH($B263,'قائمة الوحدات'!$A$2:$A$41,0)),"")</f>
        <v>الجهاز العسكري</v>
      </c>
      <c r="E263" s="14" t="str">
        <f>IFERROR(INDEX('قائمة الوحدات'!$D$2:$D$41,MATCH($B263,'قائمة الوحدات'!$A$2:$A$41,0)),"")</f>
        <v>الإدارة العامة للتخطيط والتنظيم العسكري</v>
      </c>
      <c r="F263" s="14" t="str">
        <f>IFERROR(INDEX('قائمة الوحدات'!$F$2:$F$41,MATCH($B263,'قائمة الوحدات'!$A$2:$A$41,0)),"")</f>
        <v>الإدارة العامة للتخطيط والتنظيم العسكري</v>
      </c>
      <c r="G263" s="16" t="s">
        <v>61</v>
      </c>
      <c r="H263" s="14" t="str">
        <f>IFERROR(INDEX(المرجع!$A$2:$A$19,MATCH($G263,المرجع!$B$2:$B$19,0)),"")</f>
        <v>البناء المؤسسي</v>
      </c>
      <c r="I263" s="16" t="s">
        <v>63</v>
      </c>
      <c r="J263" s="14" t="str">
        <f>IFERROR(INDEX(المرجع!$D$2:$D$19,MATCH($I263,المرجع!$E$2:$E$19,0)),"")</f>
        <v>إنتاج المخرج الأول</v>
      </c>
      <c r="K263" s="16" t="s">
        <v>114</v>
      </c>
      <c r="L263" s="17" t="str">
        <f>IFERROR(INDEX('نقاط التحقق'!$G$2:$G$31,MATCH($K263,'نقاط التحقق'!$A$2:$A$31,0))&amp;"","")</f>
        <v>إنتاج المخرج الأول من قبل الوحدة التنظيمية</v>
      </c>
      <c r="M263" s="13">
        <v>49</v>
      </c>
      <c r="N263" s="15" t="str">
        <f>IF($M263="","غير مقيّمة",IF($M263&gt;المرجع!$K$3,"مستوفاة بشكل متقدم",IF($M263&lt;=المرجع!$K$2,"مستوفاة بشكل أولي","مستوفاة بشكل جزئي")))</f>
        <v>مستوفاة بشكل جزئي</v>
      </c>
      <c r="O263" s="18"/>
    </row>
    <row r="264" spans="1:15">
      <c r="A264" s="16" t="s">
        <v>1068</v>
      </c>
      <c r="B264" s="16" t="s">
        <v>206</v>
      </c>
      <c r="C264" s="15" t="str">
        <f>IFERROR(INDEX('قائمة الوحدات'!$B$2:$B$41,MATCH($B264,'قائمة الوحدات'!$A$2:$A$41,0)),"")</f>
        <v>MIL</v>
      </c>
      <c r="D264" s="14" t="str">
        <f>IFERROR(INDEX('قائمة الوحدات'!$C$2:$C$41,MATCH($B264,'قائمة الوحدات'!$A$2:$A$41,0)),"")</f>
        <v>الجهاز العسكري</v>
      </c>
      <c r="E264" s="14" t="str">
        <f>IFERROR(INDEX('قائمة الوحدات'!$D$2:$D$41,MATCH($B264,'قائمة الوحدات'!$A$2:$A$41,0)),"")</f>
        <v>الإدارة العامة للتخطيط والتنظيم العسكري</v>
      </c>
      <c r="F264" s="14" t="str">
        <f>IFERROR(INDEX('قائمة الوحدات'!$F$2:$F$41,MATCH($B264,'قائمة الوحدات'!$A$2:$A$41,0)),"")</f>
        <v>الإدارة العامة للتخطيط والتنظيم العسكري</v>
      </c>
      <c r="G264" s="16" t="s">
        <v>65</v>
      </c>
      <c r="H264" s="14" t="str">
        <f>IFERROR(INDEX(المرجع!$A$2:$A$19,MATCH($G264,المرجع!$B$2:$B$19,0)),"")</f>
        <v>التشغيل</v>
      </c>
      <c r="I264" s="16" t="s">
        <v>48</v>
      </c>
      <c r="J264" s="14" t="str">
        <f>IFERROR(INDEX(المرجع!$D$2:$D$19,MATCH($I264,المرجع!$E$2:$E$19,0)),"")</f>
        <v>الأهداف ومؤشرات الأداء</v>
      </c>
      <c r="K264" s="16" t="s">
        <v>116</v>
      </c>
      <c r="L264" s="17" t="str">
        <f>IFERROR(INDEX('نقاط التحقق'!$G$2:$G$31,MATCH($K264,'نقاط التحقق'!$A$2:$A$31,0))&amp;"","")</f>
        <v>تحرك مؤشرات الأداء التشغيلي للوحدة التنظيمية بشكل إيجابي</v>
      </c>
      <c r="M264" s="13">
        <v>35</v>
      </c>
      <c r="N264" s="15" t="str">
        <f>IF($M264="","غير مقيّمة",IF($M264&gt;المرجع!$K$3,"مستوفاة بشكل متقدم",IF($M264&lt;=المرجع!$K$2,"مستوفاة بشكل أولي","مستوفاة بشكل جزئي")))</f>
        <v>مستوفاة بشكل جزئي</v>
      </c>
      <c r="O264" s="18"/>
    </row>
    <row r="265" spans="1:15">
      <c r="A265" s="16" t="s">
        <v>1069</v>
      </c>
      <c r="B265" s="16" t="s">
        <v>206</v>
      </c>
      <c r="C265" s="15" t="str">
        <f>IFERROR(INDEX('قائمة الوحدات'!$B$2:$B$41,MATCH($B265,'قائمة الوحدات'!$A$2:$A$41,0)),"")</f>
        <v>MIL</v>
      </c>
      <c r="D265" s="14" t="str">
        <f>IFERROR(INDEX('قائمة الوحدات'!$C$2:$C$41,MATCH($B265,'قائمة الوحدات'!$A$2:$A$41,0)),"")</f>
        <v>الجهاز العسكري</v>
      </c>
      <c r="E265" s="14" t="str">
        <f>IFERROR(INDEX('قائمة الوحدات'!$D$2:$D$41,MATCH($B265,'قائمة الوحدات'!$A$2:$A$41,0)),"")</f>
        <v>الإدارة العامة للتخطيط والتنظيم العسكري</v>
      </c>
      <c r="F265" s="14" t="str">
        <f>IFERROR(INDEX('قائمة الوحدات'!$F$2:$F$41,MATCH($B265,'قائمة الوحدات'!$A$2:$A$41,0)),"")</f>
        <v>الإدارة العامة للتخطيط والتنظيم العسكري</v>
      </c>
      <c r="G265" s="16" t="s">
        <v>65</v>
      </c>
      <c r="H265" s="14" t="str">
        <f>IFERROR(INDEX(المرجع!$A$2:$A$19,MATCH($G265,المرجع!$B$2:$B$19,0)),"")</f>
        <v>التشغيل</v>
      </c>
      <c r="I265" s="16" t="s">
        <v>48</v>
      </c>
      <c r="J265" s="14" t="str">
        <f>IFERROR(INDEX(المرجع!$D$2:$D$19,MATCH($I265,المرجع!$E$2:$E$19,0)),"")</f>
        <v>الأهداف ومؤشرات الأداء</v>
      </c>
      <c r="K265" s="16" t="s">
        <v>118</v>
      </c>
      <c r="L265" s="17" t="str">
        <f>IFERROR(INDEX('نقاط التحقق'!$G$2:$G$31,MATCH($K265,'نقاط التحقق'!$A$2:$A$31,0))&amp;"","")</f>
        <v>خطة سنوية معتمدة للوحدة التنظيمية</v>
      </c>
      <c r="M265" s="13">
        <v>20</v>
      </c>
      <c r="N265" s="15" t="str">
        <f>IF($M265="","غير مقيّمة",IF($M265&gt;المرجع!$K$3,"مستوفاة بشكل متقدم",IF($M265&lt;=المرجع!$K$2,"مستوفاة بشكل أولي","مستوفاة بشكل جزئي")))</f>
        <v>مستوفاة بشكل أولي</v>
      </c>
      <c r="O265" s="18"/>
    </row>
    <row r="266" spans="1:15">
      <c r="A266" s="16" t="s">
        <v>1070</v>
      </c>
      <c r="B266" s="16" t="s">
        <v>206</v>
      </c>
      <c r="C266" s="15" t="str">
        <f>IFERROR(INDEX('قائمة الوحدات'!$B$2:$B$41,MATCH($B266,'قائمة الوحدات'!$A$2:$A$41,0)),"")</f>
        <v>MIL</v>
      </c>
      <c r="D266" s="14" t="str">
        <f>IFERROR(INDEX('قائمة الوحدات'!$C$2:$C$41,MATCH($B266,'قائمة الوحدات'!$A$2:$A$41,0)),"")</f>
        <v>الجهاز العسكري</v>
      </c>
      <c r="E266" s="14" t="str">
        <f>IFERROR(INDEX('قائمة الوحدات'!$D$2:$D$41,MATCH($B266,'قائمة الوحدات'!$A$2:$A$41,0)),"")</f>
        <v>الإدارة العامة للتخطيط والتنظيم العسكري</v>
      </c>
      <c r="F266" s="14" t="str">
        <f>IFERROR(INDEX('قائمة الوحدات'!$F$2:$F$41,MATCH($B266,'قائمة الوحدات'!$A$2:$A$41,0)),"")</f>
        <v>الإدارة العامة للتخطيط والتنظيم العسكري</v>
      </c>
      <c r="G266" s="16" t="s">
        <v>65</v>
      </c>
      <c r="H266" s="14" t="str">
        <f>IFERROR(INDEX(المرجع!$A$2:$A$19,MATCH($G266,المرجع!$B$2:$B$19,0)),"")</f>
        <v>التشغيل</v>
      </c>
      <c r="I266" s="16" t="s">
        <v>51</v>
      </c>
      <c r="J266" s="14" t="str">
        <f>IFERROR(INDEX(المرجع!$D$2:$D$19,MATCH($I266,المرجع!$E$2:$E$19,0)),"")</f>
        <v>الحوكمة</v>
      </c>
      <c r="K266" s="16" t="s">
        <v>120</v>
      </c>
      <c r="L266" s="17" t="str">
        <f>IFERROR(INDEX('نقاط التحقق'!$G$2:$G$31,MATCH($K266,'نقاط التحقق'!$A$2:$A$31,0))&amp;"","")</f>
        <v>محاضر لجان موثقة</v>
      </c>
      <c r="M266" s="13">
        <v>45</v>
      </c>
      <c r="N266" s="15" t="str">
        <f>IF($M266="","غير مقيّمة",IF($M266&gt;المرجع!$K$3,"مستوفاة بشكل متقدم",IF($M266&lt;=المرجع!$K$2,"مستوفاة بشكل أولي","مستوفاة بشكل جزئي")))</f>
        <v>مستوفاة بشكل جزئي</v>
      </c>
      <c r="O266" s="18"/>
    </row>
    <row r="267" spans="1:15">
      <c r="A267" s="16" t="s">
        <v>1071</v>
      </c>
      <c r="B267" s="16" t="s">
        <v>206</v>
      </c>
      <c r="C267" s="15" t="str">
        <f>IFERROR(INDEX('قائمة الوحدات'!$B$2:$B$41,MATCH($B267,'قائمة الوحدات'!$A$2:$A$41,0)),"")</f>
        <v>MIL</v>
      </c>
      <c r="D267" s="14" t="str">
        <f>IFERROR(INDEX('قائمة الوحدات'!$C$2:$C$41,MATCH($B267,'قائمة الوحدات'!$A$2:$A$41,0)),"")</f>
        <v>الجهاز العسكري</v>
      </c>
      <c r="E267" s="14" t="str">
        <f>IFERROR(INDEX('قائمة الوحدات'!$D$2:$D$41,MATCH($B267,'قائمة الوحدات'!$A$2:$A$41,0)),"")</f>
        <v>الإدارة العامة للتخطيط والتنظيم العسكري</v>
      </c>
      <c r="F267" s="14" t="str">
        <f>IFERROR(INDEX('قائمة الوحدات'!$F$2:$F$41,MATCH($B267,'قائمة الوحدات'!$A$2:$A$41,0)),"")</f>
        <v>الإدارة العامة للتخطيط والتنظيم العسكري</v>
      </c>
      <c r="G267" s="16" t="s">
        <v>65</v>
      </c>
      <c r="H267" s="14" t="str">
        <f>IFERROR(INDEX(المرجع!$A$2:$A$19,MATCH($G267,المرجع!$B$2:$B$19,0)),"")</f>
        <v>التشغيل</v>
      </c>
      <c r="I267" s="16" t="s">
        <v>51</v>
      </c>
      <c r="J267" s="14" t="str">
        <f>IFERROR(INDEX(المرجع!$D$2:$D$19,MATCH($I267,المرجع!$E$2:$E$19,0)),"")</f>
        <v>الحوكمة</v>
      </c>
      <c r="K267" s="16" t="s">
        <v>122</v>
      </c>
      <c r="L267" s="17" t="str">
        <f>IFERROR(INDEX('نقاط التحقق'!$G$2:$G$31,MATCH($K267,'نقاط التحقق'!$A$2:$A$31,0))&amp;"","")</f>
        <v>نشر السياسات التي تملكها الوحدة التنظيمية</v>
      </c>
      <c r="M267" s="13">
        <v>70</v>
      </c>
      <c r="N267" s="15" t="str">
        <f>IF($M267="","غير مقيّمة",IF($M267&gt;المرجع!$K$3,"مستوفاة بشكل متقدم",IF($M267&lt;=المرجع!$K$2,"مستوفاة بشكل أولي","مستوفاة بشكل جزئي")))</f>
        <v>مستوفاة بشكل جزئي</v>
      </c>
      <c r="O267" s="18"/>
    </row>
    <row r="268" spans="1:15">
      <c r="A268" s="16" t="s">
        <v>1072</v>
      </c>
      <c r="B268" s="16" t="s">
        <v>206</v>
      </c>
      <c r="C268" s="15" t="str">
        <f>IFERROR(INDEX('قائمة الوحدات'!$B$2:$B$41,MATCH($B268,'قائمة الوحدات'!$A$2:$A$41,0)),"")</f>
        <v>MIL</v>
      </c>
      <c r="D268" s="14" t="str">
        <f>IFERROR(INDEX('قائمة الوحدات'!$C$2:$C$41,MATCH($B268,'قائمة الوحدات'!$A$2:$A$41,0)),"")</f>
        <v>الجهاز العسكري</v>
      </c>
      <c r="E268" s="14" t="str">
        <f>IFERROR(INDEX('قائمة الوحدات'!$D$2:$D$41,MATCH($B268,'قائمة الوحدات'!$A$2:$A$41,0)),"")</f>
        <v>الإدارة العامة للتخطيط والتنظيم العسكري</v>
      </c>
      <c r="F268" s="14" t="str">
        <f>IFERROR(INDEX('قائمة الوحدات'!$F$2:$F$41,MATCH($B268,'قائمة الوحدات'!$A$2:$A$41,0)),"")</f>
        <v>الإدارة العامة للتخطيط والتنظيم العسكري</v>
      </c>
      <c r="G268" s="16" t="s">
        <v>65</v>
      </c>
      <c r="H268" s="14" t="str">
        <f>IFERROR(INDEX(المرجع!$A$2:$A$19,MATCH($G268,المرجع!$B$2:$B$19,0)),"")</f>
        <v>التشغيل</v>
      </c>
      <c r="I268" s="16" t="s">
        <v>51</v>
      </c>
      <c r="J268" s="14" t="str">
        <f>IFERROR(INDEX(المرجع!$D$2:$D$19,MATCH($I268,المرجع!$E$2:$E$19,0)),"")</f>
        <v>الحوكمة</v>
      </c>
      <c r="K268" s="16" t="s">
        <v>124</v>
      </c>
      <c r="L268" s="17" t="str">
        <f>IFERROR(INDEX('نقاط التحقق'!$G$2:$G$31,MATCH($K268,'نقاط التحقق'!$A$2:$A$31,0))&amp;"","")</f>
        <v>اتخاذ القرارات في نطاق الصلاحيات (وجود شواهد)</v>
      </c>
      <c r="M268" s="13">
        <v>70</v>
      </c>
      <c r="N268" s="15" t="str">
        <f>IF($M268="","غير مقيّمة",IF($M268&gt;المرجع!$K$3,"مستوفاة بشكل متقدم",IF($M268&lt;=المرجع!$K$2,"مستوفاة بشكل أولي","مستوفاة بشكل جزئي")))</f>
        <v>مستوفاة بشكل جزئي</v>
      </c>
      <c r="O268" s="18"/>
    </row>
    <row r="269" spans="1:15">
      <c r="A269" s="16" t="s">
        <v>1073</v>
      </c>
      <c r="B269" s="16" t="s">
        <v>206</v>
      </c>
      <c r="C269" s="15" t="str">
        <f>IFERROR(INDEX('قائمة الوحدات'!$B$2:$B$41,MATCH($B269,'قائمة الوحدات'!$A$2:$A$41,0)),"")</f>
        <v>MIL</v>
      </c>
      <c r="D269" s="14" t="str">
        <f>IFERROR(INDEX('قائمة الوحدات'!$C$2:$C$41,MATCH($B269,'قائمة الوحدات'!$A$2:$A$41,0)),"")</f>
        <v>الجهاز العسكري</v>
      </c>
      <c r="E269" s="14" t="str">
        <f>IFERROR(INDEX('قائمة الوحدات'!$D$2:$D$41,MATCH($B269,'قائمة الوحدات'!$A$2:$A$41,0)),"")</f>
        <v>الإدارة العامة للتخطيط والتنظيم العسكري</v>
      </c>
      <c r="F269" s="14" t="str">
        <f>IFERROR(INDEX('قائمة الوحدات'!$F$2:$F$41,MATCH($B269,'قائمة الوحدات'!$A$2:$A$41,0)),"")</f>
        <v>الإدارة العامة للتخطيط والتنظيم العسكري</v>
      </c>
      <c r="G269" s="16" t="s">
        <v>65</v>
      </c>
      <c r="H269" s="14" t="str">
        <f>IFERROR(INDEX(المرجع!$A$2:$A$19,MATCH($G269,المرجع!$B$2:$B$19,0)),"")</f>
        <v>التشغيل</v>
      </c>
      <c r="I269" s="16" t="s">
        <v>56</v>
      </c>
      <c r="J269" s="14" t="str">
        <f>IFERROR(INDEX(المرجع!$D$2:$D$19,MATCH($I269,المرجع!$E$2:$E$19,0)),"")</f>
        <v>الموارد</v>
      </c>
      <c r="K269" s="16" t="s">
        <v>126</v>
      </c>
      <c r="L269" s="17" t="str">
        <f>IFERROR(INDEX('نقاط التحقق'!$G$2:$G$31,MATCH($K269,'نقاط التحقق'!$A$2:$A$31,0))&amp;"","")</f>
        <v>موارد مستكملة للحد الأدنى الذي يغطي كافة محاور سلسلة القيمة</v>
      </c>
      <c r="M269" s="13">
        <v>37</v>
      </c>
      <c r="N269" s="15" t="str">
        <f>IF($M269="","غير مقيّمة",IF($M269&gt;المرجع!$K$3,"مستوفاة بشكل متقدم",IF($M269&lt;=المرجع!$K$2,"مستوفاة بشكل أولي","مستوفاة بشكل جزئي")))</f>
        <v>مستوفاة بشكل جزئي</v>
      </c>
      <c r="O269" s="18"/>
    </row>
    <row r="270" spans="1:15">
      <c r="A270" s="16" t="s">
        <v>1074</v>
      </c>
      <c r="B270" s="16" t="s">
        <v>206</v>
      </c>
      <c r="C270" s="15" t="str">
        <f>IFERROR(INDEX('قائمة الوحدات'!$B$2:$B$41,MATCH($B270,'قائمة الوحدات'!$A$2:$A$41,0)),"")</f>
        <v>MIL</v>
      </c>
      <c r="D270" s="14" t="str">
        <f>IFERROR(INDEX('قائمة الوحدات'!$C$2:$C$41,MATCH($B270,'قائمة الوحدات'!$A$2:$A$41,0)),"")</f>
        <v>الجهاز العسكري</v>
      </c>
      <c r="E270" s="14" t="str">
        <f>IFERROR(INDEX('قائمة الوحدات'!$D$2:$D$41,MATCH($B270,'قائمة الوحدات'!$A$2:$A$41,0)),"")</f>
        <v>الإدارة العامة للتخطيط والتنظيم العسكري</v>
      </c>
      <c r="F270" s="14" t="str">
        <f>IFERROR(INDEX('قائمة الوحدات'!$F$2:$F$41,MATCH($B270,'قائمة الوحدات'!$A$2:$A$41,0)),"")</f>
        <v>الإدارة العامة للتخطيط والتنظيم العسكري</v>
      </c>
      <c r="G270" s="16" t="s">
        <v>65</v>
      </c>
      <c r="H270" s="14" t="str">
        <f>IFERROR(INDEX(المرجع!$A$2:$A$19,MATCH($G270,المرجع!$B$2:$B$19,0)),"")</f>
        <v>التشغيل</v>
      </c>
      <c r="I270" s="16" t="s">
        <v>59</v>
      </c>
      <c r="J270" s="14" t="str">
        <f>IFERROR(INDEX(المرجع!$D$2:$D$19,MATCH($I270,المرجع!$E$2:$E$19,0)),"")</f>
        <v>الإجراءات</v>
      </c>
      <c r="K270" s="16" t="s">
        <v>128</v>
      </c>
      <c r="L270" s="17" t="str">
        <f>IFERROR(INDEX('نقاط التحقق'!$G$2:$G$31,MATCH($K270,'نقاط التحقق'!$A$2:$A$31,0))&amp;"","")</f>
        <v>تحقيق تقييم "مطبق بشكل كامل" من منهجية تقييم فعالية الإجراءات</v>
      </c>
      <c r="M270" s="13">
        <v>23</v>
      </c>
      <c r="N270" s="15" t="str">
        <f>IF($M270="","غير مقيّمة",IF($M270&gt;المرجع!$K$3,"مستوفاة بشكل متقدم",IF($M270&lt;=المرجع!$K$2,"مستوفاة بشكل أولي","مستوفاة بشكل جزئي")))</f>
        <v>مستوفاة بشكل أولي</v>
      </c>
      <c r="O270" s="18"/>
    </row>
    <row r="271" spans="1:15">
      <c r="A271" s="16" t="s">
        <v>1075</v>
      </c>
      <c r="B271" s="16" t="s">
        <v>206</v>
      </c>
      <c r="C271" s="15" t="str">
        <f>IFERROR(INDEX('قائمة الوحدات'!$B$2:$B$41,MATCH($B271,'قائمة الوحدات'!$A$2:$A$41,0)),"")</f>
        <v>MIL</v>
      </c>
      <c r="D271" s="14" t="str">
        <f>IFERROR(INDEX('قائمة الوحدات'!$C$2:$C$41,MATCH($B271,'قائمة الوحدات'!$A$2:$A$41,0)),"")</f>
        <v>الجهاز العسكري</v>
      </c>
      <c r="E271" s="14" t="str">
        <f>IFERROR(INDEX('قائمة الوحدات'!$D$2:$D$41,MATCH($B271,'قائمة الوحدات'!$A$2:$A$41,0)),"")</f>
        <v>الإدارة العامة للتخطيط والتنظيم العسكري</v>
      </c>
      <c r="F271" s="14" t="str">
        <f>IFERROR(INDEX('قائمة الوحدات'!$F$2:$F$41,MATCH($B271,'قائمة الوحدات'!$A$2:$A$41,0)),"")</f>
        <v>الإدارة العامة للتخطيط والتنظيم العسكري</v>
      </c>
      <c r="G271" s="16" t="s">
        <v>65</v>
      </c>
      <c r="H271" s="14" t="str">
        <f>IFERROR(INDEX(المرجع!$A$2:$A$19,MATCH($G271,المرجع!$B$2:$B$19,0)),"")</f>
        <v>التشغيل</v>
      </c>
      <c r="I271" s="16" t="s">
        <v>67</v>
      </c>
      <c r="J271" s="14" t="str">
        <f>IFERROR(INDEX(المرجع!$D$2:$D$19,MATCH($I271,المرجع!$E$2:$E$19,0)),"")</f>
        <v>اكتمال المخرجات المستهدفة</v>
      </c>
      <c r="K271" s="16" t="s">
        <v>130</v>
      </c>
      <c r="L271" s="17" t="str">
        <f>IFERROR(INDEX('نقاط التحقق'!$G$2:$G$31,MATCH($K271,'نقاط التحقق'!$A$2:$A$31,0))&amp;"","")</f>
        <v>اكتمال مخرجات النموذج التشغيلي المستهدف للوحدة التنظيمية</v>
      </c>
      <c r="M271" s="13">
        <v>21</v>
      </c>
      <c r="N271" s="15" t="str">
        <f>IF($M271="","غير مقيّمة",IF($M271&gt;المرجع!$K$3,"مستوفاة بشكل متقدم",IF($M271&lt;=المرجع!$K$2,"مستوفاة بشكل أولي","مستوفاة بشكل جزئي")))</f>
        <v>مستوفاة بشكل أولي</v>
      </c>
      <c r="O271" s="18"/>
    </row>
    <row r="272" spans="1:15">
      <c r="A272" s="16" t="s">
        <v>1076</v>
      </c>
      <c r="B272" s="16" t="s">
        <v>208</v>
      </c>
      <c r="C272" s="15" t="str">
        <f>IFERROR(INDEX('قائمة الوحدات'!$B$2:$B$41,MATCH($B272,'قائمة الوحدات'!$A$2:$A$41,0)),"")</f>
        <v>MIL</v>
      </c>
      <c r="D272" s="14" t="str">
        <f>IFERROR(INDEX('قائمة الوحدات'!$C$2:$C$41,MATCH($B272,'قائمة الوحدات'!$A$2:$A$41,0)),"")</f>
        <v>الجهاز العسكري</v>
      </c>
      <c r="E272" s="14" t="str">
        <f>IFERROR(INDEX('قائمة الوحدات'!$D$2:$D$41,MATCH($B272,'قائمة الوحدات'!$A$2:$A$41,0)),"")</f>
        <v>الإدارة العامة للإمداد والتموين</v>
      </c>
      <c r="F272" s="14" t="str">
        <f>IFERROR(INDEX('قائمة الوحدات'!$F$2:$F$41,MATCH($B272,'قائمة الوحدات'!$A$2:$A$41,0)),"")</f>
        <v>الإدارة العامة للإمداد والتموين</v>
      </c>
      <c r="G272" s="16" t="s">
        <v>43</v>
      </c>
      <c r="H272" s="14" t="str">
        <f>IFERROR(INDEX(المرجع!$A$2:$A$19,MATCH($G272,المرجع!$B$2:$B$19,0)),"")</f>
        <v>التصميم</v>
      </c>
      <c r="I272" s="16" t="s">
        <v>45</v>
      </c>
      <c r="J272" s="14" t="str">
        <f>IFERROR(INDEX(المرجع!$D$2:$D$19,MATCH($I272,المرجع!$E$2:$E$19,0)),"")</f>
        <v>الدور</v>
      </c>
      <c r="K272" s="16" t="s">
        <v>72</v>
      </c>
      <c r="L272" s="17" t="str">
        <f>IFERROR(INDEX('نقاط التحقق'!$G$2:$G$31,MATCH($K272,'نقاط التحقق'!$A$2:$A$31,0))&amp;"","")</f>
        <v>دور مفصل للوحدة التنظيمية</v>
      </c>
      <c r="M272" s="13">
        <v>71</v>
      </c>
      <c r="N272" s="15" t="str">
        <f>IF($M272="","غير مقيّمة",IF($M272&gt;المرجع!$K$3,"مستوفاة بشكل متقدم",IF($M272&lt;=المرجع!$K$2,"مستوفاة بشكل أولي","مستوفاة بشكل جزئي")))</f>
        <v>مستوفاة بشكل متقدم</v>
      </c>
      <c r="O272" s="18"/>
    </row>
    <row r="273" spans="1:15">
      <c r="A273" s="16" t="s">
        <v>1077</v>
      </c>
      <c r="B273" s="16" t="s">
        <v>208</v>
      </c>
      <c r="C273" s="15" t="str">
        <f>IFERROR(INDEX('قائمة الوحدات'!$B$2:$B$41,MATCH($B273,'قائمة الوحدات'!$A$2:$A$41,0)),"")</f>
        <v>MIL</v>
      </c>
      <c r="D273" s="14" t="str">
        <f>IFERROR(INDEX('قائمة الوحدات'!$C$2:$C$41,MATCH($B273,'قائمة الوحدات'!$A$2:$A$41,0)),"")</f>
        <v>الجهاز العسكري</v>
      </c>
      <c r="E273" s="14" t="str">
        <f>IFERROR(INDEX('قائمة الوحدات'!$D$2:$D$41,MATCH($B273,'قائمة الوحدات'!$A$2:$A$41,0)),"")</f>
        <v>الإدارة العامة للإمداد والتموين</v>
      </c>
      <c r="F273" s="14" t="str">
        <f>IFERROR(INDEX('قائمة الوحدات'!$F$2:$F$41,MATCH($B273,'قائمة الوحدات'!$A$2:$A$41,0)),"")</f>
        <v>الإدارة العامة للإمداد والتموين</v>
      </c>
      <c r="G273" s="16" t="s">
        <v>43</v>
      </c>
      <c r="H273" s="14" t="str">
        <f>IFERROR(INDEX(المرجع!$A$2:$A$19,MATCH($G273,المرجع!$B$2:$B$19,0)),"")</f>
        <v>التصميم</v>
      </c>
      <c r="I273" s="16" t="s">
        <v>48</v>
      </c>
      <c r="J273" s="14" t="str">
        <f>IFERROR(INDEX(المرجع!$D$2:$D$19,MATCH($I273,المرجع!$E$2:$E$19,0)),"")</f>
        <v>الأهداف ومؤشرات الأداء</v>
      </c>
      <c r="K273" s="16" t="s">
        <v>74</v>
      </c>
      <c r="L273" s="17" t="str">
        <f>IFERROR(INDEX('نقاط التحقق'!$G$2:$G$31,MATCH($K273,'نقاط التحقق'!$A$2:$A$31,0))&amp;"","")</f>
        <v>أهداف محددة للوحدة التنظيمية وربطها بمؤشرات أداء لقياسها</v>
      </c>
      <c r="M273" s="13">
        <v>100</v>
      </c>
      <c r="N273" s="15" t="str">
        <f>IF($M273="","غير مقيّمة",IF($M273&gt;المرجع!$K$3,"مستوفاة بشكل متقدم",IF($M273&lt;=المرجع!$K$2,"مستوفاة بشكل أولي","مستوفاة بشكل جزئي")))</f>
        <v>مستوفاة بشكل متقدم</v>
      </c>
      <c r="O273" s="18"/>
    </row>
    <row r="274" spans="1:15">
      <c r="A274" s="16" t="s">
        <v>1078</v>
      </c>
      <c r="B274" s="16" t="s">
        <v>208</v>
      </c>
      <c r="C274" s="15" t="str">
        <f>IFERROR(INDEX('قائمة الوحدات'!$B$2:$B$41,MATCH($B274,'قائمة الوحدات'!$A$2:$A$41,0)),"")</f>
        <v>MIL</v>
      </c>
      <c r="D274" s="14" t="str">
        <f>IFERROR(INDEX('قائمة الوحدات'!$C$2:$C$41,MATCH($B274,'قائمة الوحدات'!$A$2:$A$41,0)),"")</f>
        <v>الجهاز العسكري</v>
      </c>
      <c r="E274" s="14" t="str">
        <f>IFERROR(INDEX('قائمة الوحدات'!$D$2:$D$41,MATCH($B274,'قائمة الوحدات'!$A$2:$A$41,0)),"")</f>
        <v>الإدارة العامة للإمداد والتموين</v>
      </c>
      <c r="F274" s="14" t="str">
        <f>IFERROR(INDEX('قائمة الوحدات'!$F$2:$F$41,MATCH($B274,'قائمة الوحدات'!$A$2:$A$41,0)),"")</f>
        <v>الإدارة العامة للإمداد والتموين</v>
      </c>
      <c r="G274" s="16" t="s">
        <v>43</v>
      </c>
      <c r="H274" s="14" t="str">
        <f>IFERROR(INDEX(المرجع!$A$2:$A$19,MATCH($G274,المرجع!$B$2:$B$19,0)),"")</f>
        <v>التصميم</v>
      </c>
      <c r="I274" s="16" t="s">
        <v>48</v>
      </c>
      <c r="J274" s="14" t="str">
        <f>IFERROR(INDEX(المرجع!$D$2:$D$19,MATCH($I274,المرجع!$E$2:$E$19,0)),"")</f>
        <v>الأهداف ومؤشرات الأداء</v>
      </c>
      <c r="K274" s="16" t="s">
        <v>76</v>
      </c>
      <c r="L274" s="17" t="str">
        <f>IFERROR(INDEX('نقاط التحقق'!$G$2:$G$31,MATCH($K274,'نقاط التحقق'!$A$2:$A$31,0))&amp;"","")</f>
        <v>مؤشرات أداء الوحدة التنظيمية</v>
      </c>
      <c r="M274" s="13">
        <v>100</v>
      </c>
      <c r="N274" s="15" t="str">
        <f>IF($M274="","غير مقيّمة",IF($M274&gt;المرجع!$K$3,"مستوفاة بشكل متقدم",IF($M274&lt;=المرجع!$K$2,"مستوفاة بشكل أولي","مستوفاة بشكل جزئي")))</f>
        <v>مستوفاة بشكل متقدم</v>
      </c>
      <c r="O274" s="18"/>
    </row>
    <row r="275" spans="1:15">
      <c r="A275" s="16" t="s">
        <v>1079</v>
      </c>
      <c r="B275" s="16" t="s">
        <v>208</v>
      </c>
      <c r="C275" s="15" t="str">
        <f>IFERROR(INDEX('قائمة الوحدات'!$B$2:$B$41,MATCH($B275,'قائمة الوحدات'!$A$2:$A$41,0)),"")</f>
        <v>MIL</v>
      </c>
      <c r="D275" s="14" t="str">
        <f>IFERROR(INDEX('قائمة الوحدات'!$C$2:$C$41,MATCH($B275,'قائمة الوحدات'!$A$2:$A$41,0)),"")</f>
        <v>الجهاز العسكري</v>
      </c>
      <c r="E275" s="14" t="str">
        <f>IFERROR(INDEX('قائمة الوحدات'!$D$2:$D$41,MATCH($B275,'قائمة الوحدات'!$A$2:$A$41,0)),"")</f>
        <v>الإدارة العامة للإمداد والتموين</v>
      </c>
      <c r="F275" s="14" t="str">
        <f>IFERROR(INDEX('قائمة الوحدات'!$F$2:$F$41,MATCH($B275,'قائمة الوحدات'!$A$2:$A$41,0)),"")</f>
        <v>الإدارة العامة للإمداد والتموين</v>
      </c>
      <c r="G275" s="16" t="s">
        <v>43</v>
      </c>
      <c r="H275" s="14" t="str">
        <f>IFERROR(INDEX(المرجع!$A$2:$A$19,MATCH($G275,المرجع!$B$2:$B$19,0)),"")</f>
        <v>التصميم</v>
      </c>
      <c r="I275" s="16" t="s">
        <v>51</v>
      </c>
      <c r="J275" s="14" t="str">
        <f>IFERROR(INDEX(المرجع!$D$2:$D$19,MATCH($I275,المرجع!$E$2:$E$19,0)),"")</f>
        <v>الحوكمة</v>
      </c>
      <c r="K275" s="16" t="s">
        <v>78</v>
      </c>
      <c r="L275" s="17" t="str">
        <f>IFERROR(INDEX('نقاط التحقق'!$G$2:$G$31,MATCH($K275,'نقاط التحقق'!$A$2:$A$31,0))&amp;"","")</f>
        <v>تفصيل القرارات ومصفوفة الصلاحيات واللجان ذات العلاقة لاعتماد مخرجات الوحدة التنظيمية</v>
      </c>
      <c r="M275" s="13">
        <v>96</v>
      </c>
      <c r="N275" s="15" t="str">
        <f>IF($M275="","غير مقيّمة",IF($M275&gt;المرجع!$K$3,"مستوفاة بشكل متقدم",IF($M275&lt;=المرجع!$K$2,"مستوفاة بشكل أولي","مستوفاة بشكل جزئي")))</f>
        <v>مستوفاة بشكل متقدم</v>
      </c>
      <c r="O275" s="18"/>
    </row>
    <row r="276" spans="1:15">
      <c r="A276" s="16" t="s">
        <v>1080</v>
      </c>
      <c r="B276" s="16" t="s">
        <v>208</v>
      </c>
      <c r="C276" s="15" t="str">
        <f>IFERROR(INDEX('قائمة الوحدات'!$B$2:$B$41,MATCH($B276,'قائمة الوحدات'!$A$2:$A$41,0)),"")</f>
        <v>MIL</v>
      </c>
      <c r="D276" s="14" t="str">
        <f>IFERROR(INDEX('قائمة الوحدات'!$C$2:$C$41,MATCH($B276,'قائمة الوحدات'!$A$2:$A$41,0)),"")</f>
        <v>الجهاز العسكري</v>
      </c>
      <c r="E276" s="14" t="str">
        <f>IFERROR(INDEX('قائمة الوحدات'!$D$2:$D$41,MATCH($B276,'قائمة الوحدات'!$A$2:$A$41,0)),"")</f>
        <v>الإدارة العامة للإمداد والتموين</v>
      </c>
      <c r="F276" s="14" t="str">
        <f>IFERROR(INDEX('قائمة الوحدات'!$F$2:$F$41,MATCH($B276,'قائمة الوحدات'!$A$2:$A$41,0)),"")</f>
        <v>الإدارة العامة للإمداد والتموين</v>
      </c>
      <c r="G276" s="16" t="s">
        <v>43</v>
      </c>
      <c r="H276" s="14" t="str">
        <f>IFERROR(INDEX(المرجع!$A$2:$A$19,MATCH($G276,المرجع!$B$2:$B$19,0)),"")</f>
        <v>التصميم</v>
      </c>
      <c r="I276" s="16" t="s">
        <v>54</v>
      </c>
      <c r="J276" s="14" t="str">
        <f>IFERROR(INDEX(المرجع!$D$2:$D$19,MATCH($I276,المرجع!$E$2:$E$19,0)),"")</f>
        <v>التنظيم</v>
      </c>
      <c r="K276" s="16" t="s">
        <v>80</v>
      </c>
      <c r="L276" s="17" t="str">
        <f>IFERROR(INDEX('نقاط التحقق'!$G$2:$G$31,MATCH($K276,'نقاط التحقق'!$A$2:$A$31,0))&amp;"","")</f>
        <v>تطوير الأدوار والمسؤوليات للوحدة التنظيمية وتفصيل الهيكل التنظيمي</v>
      </c>
      <c r="M276" s="13">
        <v>94</v>
      </c>
      <c r="N276" s="15" t="str">
        <f>IF($M276="","غير مقيّمة",IF($M276&gt;المرجع!$K$3,"مستوفاة بشكل متقدم",IF($M276&lt;=المرجع!$K$2,"مستوفاة بشكل أولي","مستوفاة بشكل جزئي")))</f>
        <v>مستوفاة بشكل متقدم</v>
      </c>
      <c r="O276" s="18"/>
    </row>
    <row r="277" spans="1:15">
      <c r="A277" s="16" t="s">
        <v>1081</v>
      </c>
      <c r="B277" s="16" t="s">
        <v>208</v>
      </c>
      <c r="C277" s="15" t="str">
        <f>IFERROR(INDEX('قائمة الوحدات'!$B$2:$B$41,MATCH($B277,'قائمة الوحدات'!$A$2:$A$41,0)),"")</f>
        <v>MIL</v>
      </c>
      <c r="D277" s="14" t="str">
        <f>IFERROR(INDEX('قائمة الوحدات'!$C$2:$C$41,MATCH($B277,'قائمة الوحدات'!$A$2:$A$41,0)),"")</f>
        <v>الجهاز العسكري</v>
      </c>
      <c r="E277" s="14" t="str">
        <f>IFERROR(INDEX('قائمة الوحدات'!$D$2:$D$41,MATCH($B277,'قائمة الوحدات'!$A$2:$A$41,0)),"")</f>
        <v>الإدارة العامة للإمداد والتموين</v>
      </c>
      <c r="F277" s="14" t="str">
        <f>IFERROR(INDEX('قائمة الوحدات'!$F$2:$F$41,MATCH($B277,'قائمة الوحدات'!$A$2:$A$41,0)),"")</f>
        <v>الإدارة العامة للإمداد والتموين</v>
      </c>
      <c r="G277" s="16" t="s">
        <v>43</v>
      </c>
      <c r="H277" s="14" t="str">
        <f>IFERROR(INDEX(المرجع!$A$2:$A$19,MATCH($G277,المرجع!$B$2:$B$19,0)),"")</f>
        <v>التصميم</v>
      </c>
      <c r="I277" s="16" t="s">
        <v>56</v>
      </c>
      <c r="J277" s="14" t="str">
        <f>IFERROR(INDEX(المرجع!$D$2:$D$19,MATCH($I277,المرجع!$E$2:$E$19,0)),"")</f>
        <v>الموارد</v>
      </c>
      <c r="K277" s="16" t="s">
        <v>82</v>
      </c>
      <c r="L277" s="17" t="str">
        <f>IFERROR(INDEX('نقاط التحقق'!$G$2:$G$31,MATCH($K277,'نقاط التحقق'!$A$2:$A$31,0))&amp;"","")</f>
        <v>تفصيل احتياج الموارد البشرية للوحدة التنظيمية</v>
      </c>
      <c r="M277" s="13">
        <v>97</v>
      </c>
      <c r="N277" s="15" t="str">
        <f>IF($M277="","غير مقيّمة",IF($M277&gt;المرجع!$K$3,"مستوفاة بشكل متقدم",IF($M277&lt;=المرجع!$K$2,"مستوفاة بشكل أولي","مستوفاة بشكل جزئي")))</f>
        <v>مستوفاة بشكل متقدم</v>
      </c>
      <c r="O277" s="18"/>
    </row>
    <row r="278" spans="1:15">
      <c r="A278" s="16" t="s">
        <v>1082</v>
      </c>
      <c r="B278" s="16" t="s">
        <v>208</v>
      </c>
      <c r="C278" s="15" t="str">
        <f>IFERROR(INDEX('قائمة الوحدات'!$B$2:$B$41,MATCH($B278,'قائمة الوحدات'!$A$2:$A$41,0)),"")</f>
        <v>MIL</v>
      </c>
      <c r="D278" s="14" t="str">
        <f>IFERROR(INDEX('قائمة الوحدات'!$C$2:$C$41,MATCH($B278,'قائمة الوحدات'!$A$2:$A$41,0)),"")</f>
        <v>الجهاز العسكري</v>
      </c>
      <c r="E278" s="14" t="str">
        <f>IFERROR(INDEX('قائمة الوحدات'!$D$2:$D$41,MATCH($B278,'قائمة الوحدات'!$A$2:$A$41,0)),"")</f>
        <v>الإدارة العامة للإمداد والتموين</v>
      </c>
      <c r="F278" s="14" t="str">
        <f>IFERROR(INDEX('قائمة الوحدات'!$F$2:$F$41,MATCH($B278,'قائمة الوحدات'!$A$2:$A$41,0)),"")</f>
        <v>الإدارة العامة للإمداد والتموين</v>
      </c>
      <c r="G278" s="16" t="s">
        <v>43</v>
      </c>
      <c r="H278" s="14" t="str">
        <f>IFERROR(INDEX(المرجع!$A$2:$A$19,MATCH($G278,المرجع!$B$2:$B$19,0)),"")</f>
        <v>التصميم</v>
      </c>
      <c r="I278" s="16" t="s">
        <v>59</v>
      </c>
      <c r="J278" s="14" t="str">
        <f>IFERROR(INDEX(المرجع!$D$2:$D$19,MATCH($I278,المرجع!$E$2:$E$19,0)),"")</f>
        <v>الإجراءات</v>
      </c>
      <c r="K278" s="16" t="s">
        <v>84</v>
      </c>
      <c r="L278" s="17" t="str">
        <f>IFERROR(INDEX('نقاط التحقق'!$G$2:$G$31,MATCH($K278,'نقاط التحقق'!$A$2:$A$31,0))&amp;"","")</f>
        <v>تفصيل المخرجات إلى إجراءات عالية المستوى</v>
      </c>
      <c r="M278" s="13">
        <v>68</v>
      </c>
      <c r="N278" s="15" t="str">
        <f>IF($M278="","غير مقيّمة",IF($M278&gt;المرجع!$K$3,"مستوفاة بشكل متقدم",IF($M278&lt;=المرجع!$K$2,"مستوفاة بشكل أولي","مستوفاة بشكل جزئي")))</f>
        <v>مستوفاة بشكل جزئي</v>
      </c>
      <c r="O278" s="18"/>
    </row>
    <row r="279" spans="1:15">
      <c r="A279" s="16" t="s">
        <v>1083</v>
      </c>
      <c r="B279" s="16" t="s">
        <v>208</v>
      </c>
      <c r="C279" s="15" t="str">
        <f>IFERROR(INDEX('قائمة الوحدات'!$B$2:$B$41,MATCH($B279,'قائمة الوحدات'!$A$2:$A$41,0)),"")</f>
        <v>MIL</v>
      </c>
      <c r="D279" s="14" t="str">
        <f>IFERROR(INDEX('قائمة الوحدات'!$C$2:$C$41,MATCH($B279,'قائمة الوحدات'!$A$2:$A$41,0)),"")</f>
        <v>الجهاز العسكري</v>
      </c>
      <c r="E279" s="14" t="str">
        <f>IFERROR(INDEX('قائمة الوحدات'!$D$2:$D$41,MATCH($B279,'قائمة الوحدات'!$A$2:$A$41,0)),"")</f>
        <v>الإدارة العامة للإمداد والتموين</v>
      </c>
      <c r="F279" s="14" t="str">
        <f>IFERROR(INDEX('قائمة الوحدات'!$F$2:$F$41,MATCH($B279,'قائمة الوحدات'!$A$2:$A$41,0)),"")</f>
        <v>الإدارة العامة للإمداد والتموين</v>
      </c>
      <c r="G279" s="16" t="s">
        <v>61</v>
      </c>
      <c r="H279" s="14" t="str">
        <f>IFERROR(INDEX(المرجع!$A$2:$A$19,MATCH($G279,المرجع!$B$2:$B$19,0)),"")</f>
        <v>البناء المؤسسي</v>
      </c>
      <c r="I279" s="16" t="s">
        <v>45</v>
      </c>
      <c r="J279" s="14" t="str">
        <f>IFERROR(INDEX(المرجع!$D$2:$D$19,MATCH($I279,المرجع!$E$2:$E$19,0)),"")</f>
        <v>الدور</v>
      </c>
      <c r="K279" s="16" t="s">
        <v>86</v>
      </c>
      <c r="L279" s="17" t="str">
        <f>IFERROR(INDEX('نقاط التحقق'!$G$2:$G$31,MATCH($K279,'نقاط التحقق'!$A$2:$A$31,0))&amp;"","")</f>
        <v>دور معتمد للوحدة التنظيمية</v>
      </c>
      <c r="M279" s="13">
        <v>70</v>
      </c>
      <c r="N279" s="15" t="str">
        <f>IF($M279="","غير مقيّمة",IF($M279&gt;المرجع!$K$3,"مستوفاة بشكل متقدم",IF($M279&lt;=المرجع!$K$2,"مستوفاة بشكل أولي","مستوفاة بشكل جزئي")))</f>
        <v>مستوفاة بشكل جزئي</v>
      </c>
      <c r="O279" s="18"/>
    </row>
    <row r="280" spans="1:15">
      <c r="A280" s="16" t="s">
        <v>1084</v>
      </c>
      <c r="B280" s="16" t="s">
        <v>208</v>
      </c>
      <c r="C280" s="15" t="str">
        <f>IFERROR(INDEX('قائمة الوحدات'!$B$2:$B$41,MATCH($B280,'قائمة الوحدات'!$A$2:$A$41,0)),"")</f>
        <v>MIL</v>
      </c>
      <c r="D280" s="14" t="str">
        <f>IFERROR(INDEX('قائمة الوحدات'!$C$2:$C$41,MATCH($B280,'قائمة الوحدات'!$A$2:$A$41,0)),"")</f>
        <v>الجهاز العسكري</v>
      </c>
      <c r="E280" s="14" t="str">
        <f>IFERROR(INDEX('قائمة الوحدات'!$D$2:$D$41,MATCH($B280,'قائمة الوحدات'!$A$2:$A$41,0)),"")</f>
        <v>الإدارة العامة للإمداد والتموين</v>
      </c>
      <c r="F280" s="14" t="str">
        <f>IFERROR(INDEX('قائمة الوحدات'!$F$2:$F$41,MATCH($B280,'قائمة الوحدات'!$A$2:$A$41,0)),"")</f>
        <v>الإدارة العامة للإمداد والتموين</v>
      </c>
      <c r="G280" s="16" t="s">
        <v>61</v>
      </c>
      <c r="H280" s="14" t="str">
        <f>IFERROR(INDEX(المرجع!$A$2:$A$19,MATCH($G280,المرجع!$B$2:$B$19,0)),"")</f>
        <v>البناء المؤسسي</v>
      </c>
      <c r="I280" s="16" t="s">
        <v>48</v>
      </c>
      <c r="J280" s="14" t="str">
        <f>IFERROR(INDEX(المرجع!$D$2:$D$19,MATCH($I280,المرجع!$E$2:$E$19,0)),"")</f>
        <v>الأهداف ومؤشرات الأداء</v>
      </c>
      <c r="K280" s="16" t="s">
        <v>88</v>
      </c>
      <c r="L280" s="17" t="str">
        <f>IFERROR(INDEX('نقاط التحقق'!$G$2:$G$31,MATCH($K280,'نقاط التحقق'!$A$2:$A$31,0))&amp;"","")</f>
        <v>أهداف تشغيلية معتمدة من صاحب الصلاحية</v>
      </c>
      <c r="M280" s="13">
        <v>80</v>
      </c>
      <c r="N280" s="15" t="str">
        <f>IF($M280="","غير مقيّمة",IF($M280&gt;المرجع!$K$3,"مستوفاة بشكل متقدم",IF($M280&lt;=المرجع!$K$2,"مستوفاة بشكل أولي","مستوفاة بشكل جزئي")))</f>
        <v>مستوفاة بشكل متقدم</v>
      </c>
      <c r="O280" s="18"/>
    </row>
    <row r="281" spans="1:15">
      <c r="A281" s="16" t="s">
        <v>1085</v>
      </c>
      <c r="B281" s="16" t="s">
        <v>208</v>
      </c>
      <c r="C281" s="15" t="str">
        <f>IFERROR(INDEX('قائمة الوحدات'!$B$2:$B$41,MATCH($B281,'قائمة الوحدات'!$A$2:$A$41,0)),"")</f>
        <v>MIL</v>
      </c>
      <c r="D281" s="14" t="str">
        <f>IFERROR(INDEX('قائمة الوحدات'!$C$2:$C$41,MATCH($B281,'قائمة الوحدات'!$A$2:$A$41,0)),"")</f>
        <v>الجهاز العسكري</v>
      </c>
      <c r="E281" s="14" t="str">
        <f>IFERROR(INDEX('قائمة الوحدات'!$D$2:$D$41,MATCH($B281,'قائمة الوحدات'!$A$2:$A$41,0)),"")</f>
        <v>الإدارة العامة للإمداد والتموين</v>
      </c>
      <c r="F281" s="14" t="str">
        <f>IFERROR(INDEX('قائمة الوحدات'!$F$2:$F$41,MATCH($B281,'قائمة الوحدات'!$A$2:$A$41,0)),"")</f>
        <v>الإدارة العامة للإمداد والتموين</v>
      </c>
      <c r="G281" s="16" t="s">
        <v>61</v>
      </c>
      <c r="H281" s="14" t="str">
        <f>IFERROR(INDEX(المرجع!$A$2:$A$19,MATCH($G281,المرجع!$B$2:$B$19,0)),"")</f>
        <v>البناء المؤسسي</v>
      </c>
      <c r="I281" s="16" t="s">
        <v>48</v>
      </c>
      <c r="J281" s="14" t="str">
        <f>IFERROR(INDEX(المرجع!$D$2:$D$19,MATCH($I281,المرجع!$E$2:$E$19,0)),"")</f>
        <v>الأهداف ومؤشرات الأداء</v>
      </c>
      <c r="K281" s="16" t="s">
        <v>90</v>
      </c>
      <c r="L281" s="17" t="str">
        <f>IFERROR(INDEX('نقاط التحقق'!$G$2:$G$31,MATCH($K281,'نقاط التحقق'!$A$2:$A$31,0))&amp;"","")</f>
        <v>نشر الأهداف التشغيلية على موظفي الوحدة التنظيمية</v>
      </c>
      <c r="M281" s="13">
        <v>70</v>
      </c>
      <c r="N281" s="15" t="str">
        <f>IF($M281="","غير مقيّمة",IF($M281&gt;المرجع!$K$3,"مستوفاة بشكل متقدم",IF($M281&lt;=المرجع!$K$2,"مستوفاة بشكل أولي","مستوفاة بشكل جزئي")))</f>
        <v>مستوفاة بشكل جزئي</v>
      </c>
      <c r="O281" s="18"/>
    </row>
    <row r="282" spans="1:15">
      <c r="A282" s="16" t="s">
        <v>1086</v>
      </c>
      <c r="B282" s="16" t="s">
        <v>208</v>
      </c>
      <c r="C282" s="15" t="str">
        <f>IFERROR(INDEX('قائمة الوحدات'!$B$2:$B$41,MATCH($B282,'قائمة الوحدات'!$A$2:$A$41,0)),"")</f>
        <v>MIL</v>
      </c>
      <c r="D282" s="14" t="str">
        <f>IFERROR(INDEX('قائمة الوحدات'!$C$2:$C$41,MATCH($B282,'قائمة الوحدات'!$A$2:$A$41,0)),"")</f>
        <v>الجهاز العسكري</v>
      </c>
      <c r="E282" s="14" t="str">
        <f>IFERROR(INDEX('قائمة الوحدات'!$D$2:$D$41,MATCH($B282,'قائمة الوحدات'!$A$2:$A$41,0)),"")</f>
        <v>الإدارة العامة للإمداد والتموين</v>
      </c>
      <c r="F282" s="14" t="str">
        <f>IFERROR(INDEX('قائمة الوحدات'!$F$2:$F$41,MATCH($B282,'قائمة الوحدات'!$A$2:$A$41,0)),"")</f>
        <v>الإدارة العامة للإمداد والتموين</v>
      </c>
      <c r="G282" s="16" t="s">
        <v>61</v>
      </c>
      <c r="H282" s="14" t="str">
        <f>IFERROR(INDEX(المرجع!$A$2:$A$19,MATCH($G282,المرجع!$B$2:$B$19,0)),"")</f>
        <v>البناء المؤسسي</v>
      </c>
      <c r="I282" s="16" t="s">
        <v>51</v>
      </c>
      <c r="J282" s="14" t="str">
        <f>IFERROR(INDEX(المرجع!$D$2:$D$19,MATCH($I282,المرجع!$E$2:$E$19,0)),"")</f>
        <v>الحوكمة</v>
      </c>
      <c r="K282" s="16" t="s">
        <v>92</v>
      </c>
      <c r="L282" s="17" t="str">
        <f>IFERROR(INDEX('نقاط التحقق'!$G$2:$G$31,MATCH($K282,'نقاط التحقق'!$A$2:$A$31,0))&amp;"","")</f>
        <v>مصفوفة صلاحيات معتمدة ومعممة على أصحاب المصلحة</v>
      </c>
      <c r="M282" s="13">
        <v>100</v>
      </c>
      <c r="N282" s="15" t="str">
        <f>IF($M282="","غير مقيّمة",IF($M282&gt;المرجع!$K$3,"مستوفاة بشكل متقدم",IF($M282&lt;=المرجع!$K$2,"مستوفاة بشكل أولي","مستوفاة بشكل جزئي")))</f>
        <v>مستوفاة بشكل متقدم</v>
      </c>
      <c r="O282" s="18"/>
    </row>
    <row r="283" spans="1:15">
      <c r="A283" s="16" t="s">
        <v>1087</v>
      </c>
      <c r="B283" s="16" t="s">
        <v>208</v>
      </c>
      <c r="C283" s="15" t="str">
        <f>IFERROR(INDEX('قائمة الوحدات'!$B$2:$B$41,MATCH($B283,'قائمة الوحدات'!$A$2:$A$41,0)),"")</f>
        <v>MIL</v>
      </c>
      <c r="D283" s="14" t="str">
        <f>IFERROR(INDEX('قائمة الوحدات'!$C$2:$C$41,MATCH($B283,'قائمة الوحدات'!$A$2:$A$41,0)),"")</f>
        <v>الجهاز العسكري</v>
      </c>
      <c r="E283" s="14" t="str">
        <f>IFERROR(INDEX('قائمة الوحدات'!$D$2:$D$41,MATCH($B283,'قائمة الوحدات'!$A$2:$A$41,0)),"")</f>
        <v>الإدارة العامة للإمداد والتموين</v>
      </c>
      <c r="F283" s="14" t="str">
        <f>IFERROR(INDEX('قائمة الوحدات'!$F$2:$F$41,MATCH($B283,'قائمة الوحدات'!$A$2:$A$41,0)),"")</f>
        <v>الإدارة العامة للإمداد والتموين</v>
      </c>
      <c r="G283" s="16" t="s">
        <v>61</v>
      </c>
      <c r="H283" s="14" t="str">
        <f>IFERROR(INDEX(المرجع!$A$2:$A$19,MATCH($G283,المرجع!$B$2:$B$19,0)),"")</f>
        <v>البناء المؤسسي</v>
      </c>
      <c r="I283" s="16" t="s">
        <v>51</v>
      </c>
      <c r="J283" s="14" t="str">
        <f>IFERROR(INDEX(المرجع!$D$2:$D$19,MATCH($I283,المرجع!$E$2:$E$19,0)),"")</f>
        <v>الحوكمة</v>
      </c>
      <c r="K283" s="16" t="s">
        <v>94</v>
      </c>
      <c r="L283" s="17" t="str">
        <f>IFERROR(INDEX('نقاط التحقق'!$G$2:$G$31,MATCH($K283,'نقاط التحقق'!$A$2:$A$31,0))&amp;"","")</f>
        <v>سياسات معتمدة للتي تملكها الوحدة التنظيمية</v>
      </c>
      <c r="M283" s="13">
        <v>80</v>
      </c>
      <c r="N283" s="15" t="str">
        <f>IF($M283="","غير مقيّمة",IF($M283&gt;المرجع!$K$3,"مستوفاة بشكل متقدم",IF($M283&lt;=المرجع!$K$2,"مستوفاة بشكل أولي","مستوفاة بشكل جزئي")))</f>
        <v>مستوفاة بشكل متقدم</v>
      </c>
      <c r="O283" s="18"/>
    </row>
    <row r="284" spans="1:15">
      <c r="A284" s="16" t="s">
        <v>1088</v>
      </c>
      <c r="B284" s="16" t="s">
        <v>208</v>
      </c>
      <c r="C284" s="15" t="str">
        <f>IFERROR(INDEX('قائمة الوحدات'!$B$2:$B$41,MATCH($B284,'قائمة الوحدات'!$A$2:$A$41,0)),"")</f>
        <v>MIL</v>
      </c>
      <c r="D284" s="14" t="str">
        <f>IFERROR(INDEX('قائمة الوحدات'!$C$2:$C$41,MATCH($B284,'قائمة الوحدات'!$A$2:$A$41,0)),"")</f>
        <v>الجهاز العسكري</v>
      </c>
      <c r="E284" s="14" t="str">
        <f>IFERROR(INDEX('قائمة الوحدات'!$D$2:$D$41,MATCH($B284,'قائمة الوحدات'!$A$2:$A$41,0)),"")</f>
        <v>الإدارة العامة للإمداد والتموين</v>
      </c>
      <c r="F284" s="14" t="str">
        <f>IFERROR(INDEX('قائمة الوحدات'!$F$2:$F$41,MATCH($B284,'قائمة الوحدات'!$A$2:$A$41,0)),"")</f>
        <v>الإدارة العامة للإمداد والتموين</v>
      </c>
      <c r="G284" s="16" t="s">
        <v>61</v>
      </c>
      <c r="H284" s="14" t="str">
        <f>IFERROR(INDEX(المرجع!$A$2:$A$19,MATCH($G284,المرجع!$B$2:$B$19,0)),"")</f>
        <v>البناء المؤسسي</v>
      </c>
      <c r="I284" s="16" t="s">
        <v>51</v>
      </c>
      <c r="J284" s="14" t="str">
        <f>IFERROR(INDEX(المرجع!$D$2:$D$19,MATCH($I284,المرجع!$E$2:$E$19,0)),"")</f>
        <v>الحوكمة</v>
      </c>
      <c r="K284" s="16" t="s">
        <v>96</v>
      </c>
      <c r="L284" s="17" t="str">
        <f>IFERROR(INDEX('نقاط التحقق'!$G$2:$G$31,MATCH($K284,'نقاط التحقق'!$A$2:$A$31,0))&amp;"","")</f>
        <v>قرار تشكيل معتمد للجان ذات العلاقة</v>
      </c>
      <c r="M284" s="13">
        <v>80</v>
      </c>
      <c r="N284" s="15" t="str">
        <f>IF($M284="","غير مقيّمة",IF($M284&gt;المرجع!$K$3,"مستوفاة بشكل متقدم",IF($M284&lt;=المرجع!$K$2,"مستوفاة بشكل أولي","مستوفاة بشكل جزئي")))</f>
        <v>مستوفاة بشكل متقدم</v>
      </c>
      <c r="O284" s="18"/>
    </row>
    <row r="285" spans="1:15">
      <c r="A285" s="16" t="s">
        <v>1089</v>
      </c>
      <c r="B285" s="16" t="s">
        <v>208</v>
      </c>
      <c r="C285" s="15" t="str">
        <f>IFERROR(INDEX('قائمة الوحدات'!$B$2:$B$41,MATCH($B285,'قائمة الوحدات'!$A$2:$A$41,0)),"")</f>
        <v>MIL</v>
      </c>
      <c r="D285" s="14" t="str">
        <f>IFERROR(INDEX('قائمة الوحدات'!$C$2:$C$41,MATCH($B285,'قائمة الوحدات'!$A$2:$A$41,0)),"")</f>
        <v>الجهاز العسكري</v>
      </c>
      <c r="E285" s="14" t="str">
        <f>IFERROR(INDEX('قائمة الوحدات'!$D$2:$D$41,MATCH($B285,'قائمة الوحدات'!$A$2:$A$41,0)),"")</f>
        <v>الإدارة العامة للإمداد والتموين</v>
      </c>
      <c r="F285" s="14" t="str">
        <f>IFERROR(INDEX('قائمة الوحدات'!$F$2:$F$41,MATCH($B285,'قائمة الوحدات'!$A$2:$A$41,0)),"")</f>
        <v>الإدارة العامة للإمداد والتموين</v>
      </c>
      <c r="G285" s="16" t="s">
        <v>61</v>
      </c>
      <c r="H285" s="14" t="str">
        <f>IFERROR(INDEX(المرجع!$A$2:$A$19,MATCH($G285,المرجع!$B$2:$B$19,0)),"")</f>
        <v>البناء المؤسسي</v>
      </c>
      <c r="I285" s="16" t="s">
        <v>54</v>
      </c>
      <c r="J285" s="14" t="str">
        <f>IFERROR(INDEX(المرجع!$D$2:$D$19,MATCH($I285,المرجع!$E$2:$E$19,0)),"")</f>
        <v>التنظيم</v>
      </c>
      <c r="K285" s="16" t="s">
        <v>98</v>
      </c>
      <c r="L285" s="17" t="str">
        <f>IFERROR(INDEX('نقاط التحقق'!$G$2:$G$31,MATCH($K285,'نقاط التحقق'!$A$2:$A$31,0))&amp;"","")</f>
        <v>هيكل تنظيمي معتمد من صاحب الصلاحية</v>
      </c>
      <c r="M285" s="13">
        <v>80</v>
      </c>
      <c r="N285" s="15" t="str">
        <f>IF($M285="","غير مقيّمة",IF($M285&gt;المرجع!$K$3,"مستوفاة بشكل متقدم",IF($M285&lt;=المرجع!$K$2,"مستوفاة بشكل أولي","مستوفاة بشكل جزئي")))</f>
        <v>مستوفاة بشكل متقدم</v>
      </c>
      <c r="O285" s="18"/>
    </row>
    <row r="286" spans="1:15">
      <c r="A286" s="16" t="s">
        <v>1090</v>
      </c>
      <c r="B286" s="16" t="s">
        <v>208</v>
      </c>
      <c r="C286" s="15" t="str">
        <f>IFERROR(INDEX('قائمة الوحدات'!$B$2:$B$41,MATCH($B286,'قائمة الوحدات'!$A$2:$A$41,0)),"")</f>
        <v>MIL</v>
      </c>
      <c r="D286" s="14" t="str">
        <f>IFERROR(INDEX('قائمة الوحدات'!$C$2:$C$41,MATCH($B286,'قائمة الوحدات'!$A$2:$A$41,0)),"")</f>
        <v>الجهاز العسكري</v>
      </c>
      <c r="E286" s="14" t="str">
        <f>IFERROR(INDEX('قائمة الوحدات'!$D$2:$D$41,MATCH($B286,'قائمة الوحدات'!$A$2:$A$41,0)),"")</f>
        <v>الإدارة العامة للإمداد والتموين</v>
      </c>
      <c r="F286" s="14" t="str">
        <f>IFERROR(INDEX('قائمة الوحدات'!$F$2:$F$41,MATCH($B286,'قائمة الوحدات'!$A$2:$A$41,0)),"")</f>
        <v>الإدارة العامة للإمداد والتموين</v>
      </c>
      <c r="G286" s="16" t="s">
        <v>61</v>
      </c>
      <c r="H286" s="14" t="str">
        <f>IFERROR(INDEX(المرجع!$A$2:$A$19,MATCH($G286,المرجع!$B$2:$B$19,0)),"")</f>
        <v>البناء المؤسسي</v>
      </c>
      <c r="I286" s="16" t="s">
        <v>54</v>
      </c>
      <c r="J286" s="14" t="str">
        <f>IFERROR(INDEX(المرجع!$D$2:$D$19,MATCH($I286,المرجع!$E$2:$E$19,0)),"")</f>
        <v>التنظيم</v>
      </c>
      <c r="K286" s="16" t="s">
        <v>100</v>
      </c>
      <c r="L286" s="17" t="str">
        <f>IFERROR(INDEX('نقاط التحقق'!$G$2:$G$31,MATCH($K286,'نقاط التحقق'!$A$2:$A$31,0))&amp;"","")</f>
        <v>هيكل تنظيمي منشأ على نظام القوى العاملة</v>
      </c>
      <c r="M286" s="13">
        <v>75</v>
      </c>
      <c r="N286" s="15" t="str">
        <f>IF($M286="","غير مقيّمة",IF($M286&gt;المرجع!$K$3,"مستوفاة بشكل متقدم",IF($M286&lt;=المرجع!$K$2,"مستوفاة بشكل أولي","مستوفاة بشكل جزئي")))</f>
        <v>مستوفاة بشكل متقدم</v>
      </c>
      <c r="O286" s="18"/>
    </row>
    <row r="287" spans="1:15">
      <c r="A287" s="16" t="s">
        <v>1091</v>
      </c>
      <c r="B287" s="16" t="s">
        <v>208</v>
      </c>
      <c r="C287" s="15" t="str">
        <f>IFERROR(INDEX('قائمة الوحدات'!$B$2:$B$41,MATCH($B287,'قائمة الوحدات'!$A$2:$A$41,0)),"")</f>
        <v>MIL</v>
      </c>
      <c r="D287" s="14" t="str">
        <f>IFERROR(INDEX('قائمة الوحدات'!$C$2:$C$41,MATCH($B287,'قائمة الوحدات'!$A$2:$A$41,0)),"")</f>
        <v>الجهاز العسكري</v>
      </c>
      <c r="E287" s="14" t="str">
        <f>IFERROR(INDEX('قائمة الوحدات'!$D$2:$D$41,MATCH($B287,'قائمة الوحدات'!$A$2:$A$41,0)),"")</f>
        <v>الإدارة العامة للإمداد والتموين</v>
      </c>
      <c r="F287" s="14" t="str">
        <f>IFERROR(INDEX('قائمة الوحدات'!$F$2:$F$41,MATCH($B287,'قائمة الوحدات'!$A$2:$A$41,0)),"")</f>
        <v>الإدارة العامة للإمداد والتموين</v>
      </c>
      <c r="G287" s="16" t="s">
        <v>61</v>
      </c>
      <c r="H287" s="14" t="str">
        <f>IFERROR(INDEX(المرجع!$A$2:$A$19,MATCH($G287,المرجع!$B$2:$B$19,0)),"")</f>
        <v>البناء المؤسسي</v>
      </c>
      <c r="I287" s="16" t="s">
        <v>54</v>
      </c>
      <c r="J287" s="14" t="str">
        <f>IFERROR(INDEX(المرجع!$D$2:$D$19,MATCH($I287,المرجع!$E$2:$E$19,0)),"")</f>
        <v>التنظيم</v>
      </c>
      <c r="K287" s="16" t="s">
        <v>102</v>
      </c>
      <c r="L287" s="17" t="str">
        <f>IFERROR(INDEX('نقاط التحقق'!$G$2:$G$31,MATCH($K287,'نقاط التحقق'!$A$2:$A$31,0))&amp;"","")</f>
        <v>الموظفون المحددون مسكّنون على الهيكل التنظيمي المستهدف</v>
      </c>
      <c r="M287" s="13">
        <v>100</v>
      </c>
      <c r="N287" s="15" t="str">
        <f>IF($M287="","غير مقيّمة",IF($M287&gt;المرجع!$K$3,"مستوفاة بشكل متقدم",IF($M287&lt;=المرجع!$K$2,"مستوفاة بشكل أولي","مستوفاة بشكل جزئي")))</f>
        <v>مستوفاة بشكل متقدم</v>
      </c>
      <c r="O287" s="18"/>
    </row>
    <row r="288" spans="1:15">
      <c r="A288" s="16" t="s">
        <v>1092</v>
      </c>
      <c r="B288" s="16" t="s">
        <v>208</v>
      </c>
      <c r="C288" s="15" t="str">
        <f>IFERROR(INDEX('قائمة الوحدات'!$B$2:$B$41,MATCH($B288,'قائمة الوحدات'!$A$2:$A$41,0)),"")</f>
        <v>MIL</v>
      </c>
      <c r="D288" s="14" t="str">
        <f>IFERROR(INDEX('قائمة الوحدات'!$C$2:$C$41,MATCH($B288,'قائمة الوحدات'!$A$2:$A$41,0)),"")</f>
        <v>الجهاز العسكري</v>
      </c>
      <c r="E288" s="14" t="str">
        <f>IFERROR(INDEX('قائمة الوحدات'!$D$2:$D$41,MATCH($B288,'قائمة الوحدات'!$A$2:$A$41,0)),"")</f>
        <v>الإدارة العامة للإمداد والتموين</v>
      </c>
      <c r="F288" s="14" t="str">
        <f>IFERROR(INDEX('قائمة الوحدات'!$F$2:$F$41,MATCH($B288,'قائمة الوحدات'!$A$2:$A$41,0)),"")</f>
        <v>الإدارة العامة للإمداد والتموين</v>
      </c>
      <c r="G288" s="16" t="s">
        <v>61</v>
      </c>
      <c r="H288" s="14" t="str">
        <f>IFERROR(INDEX(المرجع!$A$2:$A$19,MATCH($G288,المرجع!$B$2:$B$19,0)),"")</f>
        <v>البناء المؤسسي</v>
      </c>
      <c r="I288" s="16" t="s">
        <v>56</v>
      </c>
      <c r="J288" s="14" t="str">
        <f>IFERROR(INDEX(المرجع!$D$2:$D$19,MATCH($I288,المرجع!$E$2:$E$19,0)),"")</f>
        <v>الموارد</v>
      </c>
      <c r="K288" s="16" t="s">
        <v>104</v>
      </c>
      <c r="L288" s="17" t="str">
        <f>IFERROR(INDEX('نقاط التحقق'!$G$2:$G$31,MATCH($K288,'نقاط التحقق'!$A$2:$A$31,0))&amp;"","")</f>
        <v>مدير الوحدة التنظيمية والموظفون الرئيسيون معينون/ملحقون</v>
      </c>
      <c r="M288" s="13">
        <v>35</v>
      </c>
      <c r="N288" s="15" t="str">
        <f>IF($M288="","غير مقيّمة",IF($M288&gt;المرجع!$K$3,"مستوفاة بشكل متقدم",IF($M288&lt;=المرجع!$K$2,"مستوفاة بشكل أولي","مستوفاة بشكل جزئي")))</f>
        <v>مستوفاة بشكل جزئي</v>
      </c>
      <c r="O288" s="18"/>
    </row>
    <row r="289" spans="1:15">
      <c r="A289" s="16" t="s">
        <v>1093</v>
      </c>
      <c r="B289" s="16" t="s">
        <v>208</v>
      </c>
      <c r="C289" s="15" t="str">
        <f>IFERROR(INDEX('قائمة الوحدات'!$B$2:$B$41,MATCH($B289,'قائمة الوحدات'!$A$2:$A$41,0)),"")</f>
        <v>MIL</v>
      </c>
      <c r="D289" s="14" t="str">
        <f>IFERROR(INDEX('قائمة الوحدات'!$C$2:$C$41,MATCH($B289,'قائمة الوحدات'!$A$2:$A$41,0)),"")</f>
        <v>الجهاز العسكري</v>
      </c>
      <c r="E289" s="14" t="str">
        <f>IFERROR(INDEX('قائمة الوحدات'!$D$2:$D$41,MATCH($B289,'قائمة الوحدات'!$A$2:$A$41,0)),"")</f>
        <v>الإدارة العامة للإمداد والتموين</v>
      </c>
      <c r="F289" s="14" t="str">
        <f>IFERROR(INDEX('قائمة الوحدات'!$F$2:$F$41,MATCH($B289,'قائمة الوحدات'!$A$2:$A$41,0)),"")</f>
        <v>الإدارة العامة للإمداد والتموين</v>
      </c>
      <c r="G289" s="16" t="s">
        <v>61</v>
      </c>
      <c r="H289" s="14" t="str">
        <f>IFERROR(INDEX(المرجع!$A$2:$A$19,MATCH($G289,المرجع!$B$2:$B$19,0)),"")</f>
        <v>البناء المؤسسي</v>
      </c>
      <c r="I289" s="16" t="s">
        <v>56</v>
      </c>
      <c r="J289" s="14" t="str">
        <f>IFERROR(INDEX(المرجع!$D$2:$D$19,MATCH($I289,المرجع!$E$2:$E$19,0)),"")</f>
        <v>الموارد</v>
      </c>
      <c r="K289" s="16" t="s">
        <v>106</v>
      </c>
      <c r="L289" s="17" t="str">
        <f>IFERROR(INDEX('نقاط التحقق'!$G$2:$G$31,MATCH($K289,'نقاط التحقق'!$A$2:$A$31,0))&amp;"","")</f>
        <v>خطة توظيف وتدريب مستكملة</v>
      </c>
      <c r="M289" s="13">
        <v>35</v>
      </c>
      <c r="N289" s="15" t="str">
        <f>IF($M289="","غير مقيّمة",IF($M289&gt;المرجع!$K$3,"مستوفاة بشكل متقدم",IF($M289&lt;=المرجع!$K$2,"مستوفاة بشكل أولي","مستوفاة بشكل جزئي")))</f>
        <v>مستوفاة بشكل جزئي</v>
      </c>
      <c r="O289" s="18"/>
    </row>
    <row r="290" spans="1:15">
      <c r="A290" s="16" t="s">
        <v>1094</v>
      </c>
      <c r="B290" s="16" t="s">
        <v>208</v>
      </c>
      <c r="C290" s="15" t="str">
        <f>IFERROR(INDEX('قائمة الوحدات'!$B$2:$B$41,MATCH($B290,'قائمة الوحدات'!$A$2:$A$41,0)),"")</f>
        <v>MIL</v>
      </c>
      <c r="D290" s="14" t="str">
        <f>IFERROR(INDEX('قائمة الوحدات'!$C$2:$C$41,MATCH($B290,'قائمة الوحدات'!$A$2:$A$41,0)),"")</f>
        <v>الجهاز العسكري</v>
      </c>
      <c r="E290" s="14" t="str">
        <f>IFERROR(INDEX('قائمة الوحدات'!$D$2:$D$41,MATCH($B290,'قائمة الوحدات'!$A$2:$A$41,0)),"")</f>
        <v>الإدارة العامة للإمداد والتموين</v>
      </c>
      <c r="F290" s="14" t="str">
        <f>IFERROR(INDEX('قائمة الوحدات'!$F$2:$F$41,MATCH($B290,'قائمة الوحدات'!$A$2:$A$41,0)),"")</f>
        <v>الإدارة العامة للإمداد والتموين</v>
      </c>
      <c r="G290" s="16" t="s">
        <v>61</v>
      </c>
      <c r="H290" s="14" t="str">
        <f>IFERROR(INDEX(المرجع!$A$2:$A$19,MATCH($G290,المرجع!$B$2:$B$19,0)),"")</f>
        <v>البناء المؤسسي</v>
      </c>
      <c r="I290" s="16" t="s">
        <v>56</v>
      </c>
      <c r="J290" s="14" t="str">
        <f>IFERROR(INDEX(المرجع!$D$2:$D$19,MATCH($I290,المرجع!$E$2:$E$19,0)),"")</f>
        <v>الموارد</v>
      </c>
      <c r="K290" s="16" t="s">
        <v>108</v>
      </c>
      <c r="L290" s="17" t="str">
        <f>IFERROR(INDEX('نقاط التحقق'!$G$2:$G$31,MATCH($K290,'نقاط التحقق'!$A$2:$A$31,0))&amp;"","")</f>
        <v>وجود مساحات مكتبية كافية</v>
      </c>
      <c r="M290" s="13">
        <v>60</v>
      </c>
      <c r="N290" s="15" t="str">
        <f>IF($M290="","غير مقيّمة",IF($M290&gt;المرجع!$K$3,"مستوفاة بشكل متقدم",IF($M290&lt;=المرجع!$K$2,"مستوفاة بشكل أولي","مستوفاة بشكل جزئي")))</f>
        <v>مستوفاة بشكل جزئي</v>
      </c>
      <c r="O290" s="18"/>
    </row>
    <row r="291" spans="1:15">
      <c r="A291" s="16" t="s">
        <v>1095</v>
      </c>
      <c r="B291" s="16" t="s">
        <v>208</v>
      </c>
      <c r="C291" s="15" t="str">
        <f>IFERROR(INDEX('قائمة الوحدات'!$B$2:$B$41,MATCH($B291,'قائمة الوحدات'!$A$2:$A$41,0)),"")</f>
        <v>MIL</v>
      </c>
      <c r="D291" s="14" t="str">
        <f>IFERROR(INDEX('قائمة الوحدات'!$C$2:$C$41,MATCH($B291,'قائمة الوحدات'!$A$2:$A$41,0)),"")</f>
        <v>الجهاز العسكري</v>
      </c>
      <c r="E291" s="14" t="str">
        <f>IFERROR(INDEX('قائمة الوحدات'!$D$2:$D$41,MATCH($B291,'قائمة الوحدات'!$A$2:$A$41,0)),"")</f>
        <v>الإدارة العامة للإمداد والتموين</v>
      </c>
      <c r="F291" s="14" t="str">
        <f>IFERROR(INDEX('قائمة الوحدات'!$F$2:$F$41,MATCH($B291,'قائمة الوحدات'!$A$2:$A$41,0)),"")</f>
        <v>الإدارة العامة للإمداد والتموين</v>
      </c>
      <c r="G291" s="16" t="s">
        <v>61</v>
      </c>
      <c r="H291" s="14" t="str">
        <f>IFERROR(INDEX(المرجع!$A$2:$A$19,MATCH($G291,المرجع!$B$2:$B$19,0)),"")</f>
        <v>البناء المؤسسي</v>
      </c>
      <c r="I291" s="16" t="s">
        <v>56</v>
      </c>
      <c r="J291" s="14" t="str">
        <f>IFERROR(INDEX(المرجع!$D$2:$D$19,MATCH($I291,المرجع!$E$2:$E$19,0)),"")</f>
        <v>الموارد</v>
      </c>
      <c r="K291" s="16" t="s">
        <v>110</v>
      </c>
      <c r="L291" s="17" t="str">
        <f>IFERROR(INDEX('نقاط التحقق'!$G$2:$G$31,MATCH($K291,'نقاط التحقق'!$A$2:$A$31,0))&amp;"","")</f>
        <v>وجود الاحتياجات التقنية الأساسية</v>
      </c>
      <c r="M291" s="13">
        <v>30</v>
      </c>
      <c r="N291" s="15" t="str">
        <f>IF($M291="","غير مقيّمة",IF($M291&gt;المرجع!$K$3,"مستوفاة بشكل متقدم",IF($M291&lt;=المرجع!$K$2,"مستوفاة بشكل أولي","مستوفاة بشكل جزئي")))</f>
        <v>مستوفاة بشكل أولي</v>
      </c>
      <c r="O291" s="18"/>
    </row>
    <row r="292" spans="1:15">
      <c r="A292" s="16" t="s">
        <v>1096</v>
      </c>
      <c r="B292" s="16" t="s">
        <v>208</v>
      </c>
      <c r="C292" s="15" t="str">
        <f>IFERROR(INDEX('قائمة الوحدات'!$B$2:$B$41,MATCH($B292,'قائمة الوحدات'!$A$2:$A$41,0)),"")</f>
        <v>MIL</v>
      </c>
      <c r="D292" s="14" t="str">
        <f>IFERROR(INDEX('قائمة الوحدات'!$C$2:$C$41,MATCH($B292,'قائمة الوحدات'!$A$2:$A$41,0)),"")</f>
        <v>الجهاز العسكري</v>
      </c>
      <c r="E292" s="14" t="str">
        <f>IFERROR(INDEX('قائمة الوحدات'!$D$2:$D$41,MATCH($B292,'قائمة الوحدات'!$A$2:$A$41,0)),"")</f>
        <v>الإدارة العامة للإمداد والتموين</v>
      </c>
      <c r="F292" s="14" t="str">
        <f>IFERROR(INDEX('قائمة الوحدات'!$F$2:$F$41,MATCH($B292,'قائمة الوحدات'!$A$2:$A$41,0)),"")</f>
        <v>الإدارة العامة للإمداد والتموين</v>
      </c>
      <c r="G292" s="16" t="s">
        <v>61</v>
      </c>
      <c r="H292" s="14" t="str">
        <f>IFERROR(INDEX(المرجع!$A$2:$A$19,MATCH($G292,المرجع!$B$2:$B$19,0)),"")</f>
        <v>البناء المؤسسي</v>
      </c>
      <c r="I292" s="16" t="s">
        <v>59</v>
      </c>
      <c r="J292" s="14" t="str">
        <f>IFERROR(INDEX(المرجع!$D$2:$D$19,MATCH($I292,المرجع!$E$2:$E$19,0)),"")</f>
        <v>الإجراءات</v>
      </c>
      <c r="K292" s="16" t="s">
        <v>112</v>
      </c>
      <c r="L292" s="17" t="str">
        <f>IFERROR(INDEX('نقاط التحقق'!$G$2:$G$31,MATCH($K292,'نقاط التحقق'!$A$2:$A$31,0))&amp;"","")</f>
        <v>إجراءات معتمدة للوحدة التنظيمية</v>
      </c>
      <c r="M292" s="13">
        <v>44</v>
      </c>
      <c r="N292" s="15" t="str">
        <f>IF($M292="","غير مقيّمة",IF($M292&gt;المرجع!$K$3,"مستوفاة بشكل متقدم",IF($M292&lt;=المرجع!$K$2,"مستوفاة بشكل أولي","مستوفاة بشكل جزئي")))</f>
        <v>مستوفاة بشكل جزئي</v>
      </c>
      <c r="O292" s="18"/>
    </row>
    <row r="293" spans="1:15">
      <c r="A293" s="16" t="s">
        <v>1097</v>
      </c>
      <c r="B293" s="16" t="s">
        <v>208</v>
      </c>
      <c r="C293" s="15" t="str">
        <f>IFERROR(INDEX('قائمة الوحدات'!$B$2:$B$41,MATCH($B293,'قائمة الوحدات'!$A$2:$A$41,0)),"")</f>
        <v>MIL</v>
      </c>
      <c r="D293" s="14" t="str">
        <f>IFERROR(INDEX('قائمة الوحدات'!$C$2:$C$41,MATCH($B293,'قائمة الوحدات'!$A$2:$A$41,0)),"")</f>
        <v>الجهاز العسكري</v>
      </c>
      <c r="E293" s="14" t="str">
        <f>IFERROR(INDEX('قائمة الوحدات'!$D$2:$D$41,MATCH($B293,'قائمة الوحدات'!$A$2:$A$41,0)),"")</f>
        <v>الإدارة العامة للإمداد والتموين</v>
      </c>
      <c r="F293" s="14" t="str">
        <f>IFERROR(INDEX('قائمة الوحدات'!$F$2:$F$41,MATCH($B293,'قائمة الوحدات'!$A$2:$A$41,0)),"")</f>
        <v>الإدارة العامة للإمداد والتموين</v>
      </c>
      <c r="G293" s="16" t="s">
        <v>61</v>
      </c>
      <c r="H293" s="14" t="str">
        <f>IFERROR(INDEX(المرجع!$A$2:$A$19,MATCH($G293,المرجع!$B$2:$B$19,0)),"")</f>
        <v>البناء المؤسسي</v>
      </c>
      <c r="I293" s="16" t="s">
        <v>63</v>
      </c>
      <c r="J293" s="14" t="str">
        <f>IFERROR(INDEX(المرجع!$D$2:$D$19,MATCH($I293,المرجع!$E$2:$E$19,0)),"")</f>
        <v>إنتاج المخرج الأول</v>
      </c>
      <c r="K293" s="16" t="s">
        <v>114</v>
      </c>
      <c r="L293" s="17" t="str">
        <f>IFERROR(INDEX('نقاط التحقق'!$G$2:$G$31,MATCH($K293,'نقاط التحقق'!$A$2:$A$31,0))&amp;"","")</f>
        <v>إنتاج المخرج الأول من قبل الوحدة التنظيمية</v>
      </c>
      <c r="M293" s="13">
        <v>46</v>
      </c>
      <c r="N293" s="15" t="str">
        <f>IF($M293="","غير مقيّمة",IF($M293&gt;المرجع!$K$3,"مستوفاة بشكل متقدم",IF($M293&lt;=المرجع!$K$2,"مستوفاة بشكل أولي","مستوفاة بشكل جزئي")))</f>
        <v>مستوفاة بشكل جزئي</v>
      </c>
      <c r="O293" s="18"/>
    </row>
    <row r="294" spans="1:15">
      <c r="A294" s="16" t="s">
        <v>1098</v>
      </c>
      <c r="B294" s="16" t="s">
        <v>208</v>
      </c>
      <c r="C294" s="15" t="str">
        <f>IFERROR(INDEX('قائمة الوحدات'!$B$2:$B$41,MATCH($B294,'قائمة الوحدات'!$A$2:$A$41,0)),"")</f>
        <v>MIL</v>
      </c>
      <c r="D294" s="14" t="str">
        <f>IFERROR(INDEX('قائمة الوحدات'!$C$2:$C$41,MATCH($B294,'قائمة الوحدات'!$A$2:$A$41,0)),"")</f>
        <v>الجهاز العسكري</v>
      </c>
      <c r="E294" s="14" t="str">
        <f>IFERROR(INDEX('قائمة الوحدات'!$D$2:$D$41,MATCH($B294,'قائمة الوحدات'!$A$2:$A$41,0)),"")</f>
        <v>الإدارة العامة للإمداد والتموين</v>
      </c>
      <c r="F294" s="14" t="str">
        <f>IFERROR(INDEX('قائمة الوحدات'!$F$2:$F$41,MATCH($B294,'قائمة الوحدات'!$A$2:$A$41,0)),"")</f>
        <v>الإدارة العامة للإمداد والتموين</v>
      </c>
      <c r="G294" s="16" t="s">
        <v>65</v>
      </c>
      <c r="H294" s="14" t="str">
        <f>IFERROR(INDEX(المرجع!$A$2:$A$19,MATCH($G294,المرجع!$B$2:$B$19,0)),"")</f>
        <v>التشغيل</v>
      </c>
      <c r="I294" s="16" t="s">
        <v>48</v>
      </c>
      <c r="J294" s="14" t="str">
        <f>IFERROR(INDEX(المرجع!$D$2:$D$19,MATCH($I294,المرجع!$E$2:$E$19,0)),"")</f>
        <v>الأهداف ومؤشرات الأداء</v>
      </c>
      <c r="K294" s="16" t="s">
        <v>116</v>
      </c>
      <c r="L294" s="17" t="str">
        <f>IFERROR(INDEX('نقاط التحقق'!$G$2:$G$31,MATCH($K294,'نقاط التحقق'!$A$2:$A$31,0))&amp;"","")</f>
        <v>تحرك مؤشرات الأداء التشغيلي للوحدة التنظيمية بشكل إيجابي</v>
      </c>
      <c r="M294" s="13">
        <v>55</v>
      </c>
      <c r="N294" s="15" t="str">
        <f>IF($M294="","غير مقيّمة",IF($M294&gt;المرجع!$K$3,"مستوفاة بشكل متقدم",IF($M294&lt;=المرجع!$K$2,"مستوفاة بشكل أولي","مستوفاة بشكل جزئي")))</f>
        <v>مستوفاة بشكل جزئي</v>
      </c>
      <c r="O294" s="18"/>
    </row>
    <row r="295" spans="1:15">
      <c r="A295" s="16" t="s">
        <v>1099</v>
      </c>
      <c r="B295" s="16" t="s">
        <v>208</v>
      </c>
      <c r="C295" s="15" t="str">
        <f>IFERROR(INDEX('قائمة الوحدات'!$B$2:$B$41,MATCH($B295,'قائمة الوحدات'!$A$2:$A$41,0)),"")</f>
        <v>MIL</v>
      </c>
      <c r="D295" s="14" t="str">
        <f>IFERROR(INDEX('قائمة الوحدات'!$C$2:$C$41,MATCH($B295,'قائمة الوحدات'!$A$2:$A$41,0)),"")</f>
        <v>الجهاز العسكري</v>
      </c>
      <c r="E295" s="14" t="str">
        <f>IFERROR(INDEX('قائمة الوحدات'!$D$2:$D$41,MATCH($B295,'قائمة الوحدات'!$A$2:$A$41,0)),"")</f>
        <v>الإدارة العامة للإمداد والتموين</v>
      </c>
      <c r="F295" s="14" t="str">
        <f>IFERROR(INDEX('قائمة الوحدات'!$F$2:$F$41,MATCH($B295,'قائمة الوحدات'!$A$2:$A$41,0)),"")</f>
        <v>الإدارة العامة للإمداد والتموين</v>
      </c>
      <c r="G295" s="16" t="s">
        <v>65</v>
      </c>
      <c r="H295" s="14" t="str">
        <f>IFERROR(INDEX(المرجع!$A$2:$A$19,MATCH($G295,المرجع!$B$2:$B$19,0)),"")</f>
        <v>التشغيل</v>
      </c>
      <c r="I295" s="16" t="s">
        <v>48</v>
      </c>
      <c r="J295" s="14" t="str">
        <f>IFERROR(INDEX(المرجع!$D$2:$D$19,MATCH($I295,المرجع!$E$2:$E$19,0)),"")</f>
        <v>الأهداف ومؤشرات الأداء</v>
      </c>
      <c r="K295" s="16" t="s">
        <v>118</v>
      </c>
      <c r="L295" s="17" t="str">
        <f>IFERROR(INDEX('نقاط التحقق'!$G$2:$G$31,MATCH($K295,'نقاط التحقق'!$A$2:$A$31,0))&amp;"","")</f>
        <v>خطة سنوية معتمدة للوحدة التنظيمية</v>
      </c>
      <c r="M295" s="13">
        <v>65</v>
      </c>
      <c r="N295" s="15" t="str">
        <f>IF($M295="","غير مقيّمة",IF($M295&gt;المرجع!$K$3,"مستوفاة بشكل متقدم",IF($M295&lt;=المرجع!$K$2,"مستوفاة بشكل أولي","مستوفاة بشكل جزئي")))</f>
        <v>مستوفاة بشكل جزئي</v>
      </c>
      <c r="O295" s="18"/>
    </row>
    <row r="296" spans="1:15">
      <c r="A296" s="16" t="s">
        <v>1100</v>
      </c>
      <c r="B296" s="16" t="s">
        <v>208</v>
      </c>
      <c r="C296" s="15" t="str">
        <f>IFERROR(INDEX('قائمة الوحدات'!$B$2:$B$41,MATCH($B296,'قائمة الوحدات'!$A$2:$A$41,0)),"")</f>
        <v>MIL</v>
      </c>
      <c r="D296" s="14" t="str">
        <f>IFERROR(INDEX('قائمة الوحدات'!$C$2:$C$41,MATCH($B296,'قائمة الوحدات'!$A$2:$A$41,0)),"")</f>
        <v>الجهاز العسكري</v>
      </c>
      <c r="E296" s="14" t="str">
        <f>IFERROR(INDEX('قائمة الوحدات'!$D$2:$D$41,MATCH($B296,'قائمة الوحدات'!$A$2:$A$41,0)),"")</f>
        <v>الإدارة العامة للإمداد والتموين</v>
      </c>
      <c r="F296" s="14" t="str">
        <f>IFERROR(INDEX('قائمة الوحدات'!$F$2:$F$41,MATCH($B296,'قائمة الوحدات'!$A$2:$A$41,0)),"")</f>
        <v>الإدارة العامة للإمداد والتموين</v>
      </c>
      <c r="G296" s="16" t="s">
        <v>65</v>
      </c>
      <c r="H296" s="14" t="str">
        <f>IFERROR(INDEX(المرجع!$A$2:$A$19,MATCH($G296,المرجع!$B$2:$B$19,0)),"")</f>
        <v>التشغيل</v>
      </c>
      <c r="I296" s="16" t="s">
        <v>51</v>
      </c>
      <c r="J296" s="14" t="str">
        <f>IFERROR(INDEX(المرجع!$D$2:$D$19,MATCH($I296,المرجع!$E$2:$E$19,0)),"")</f>
        <v>الحوكمة</v>
      </c>
      <c r="K296" s="16" t="s">
        <v>120</v>
      </c>
      <c r="L296" s="17" t="str">
        <f>IFERROR(INDEX('نقاط التحقق'!$G$2:$G$31,MATCH($K296,'نقاط التحقق'!$A$2:$A$31,0))&amp;"","")</f>
        <v>محاضر لجان موثقة</v>
      </c>
      <c r="M296" s="13">
        <v>35</v>
      </c>
      <c r="N296" s="15" t="str">
        <f>IF($M296="","غير مقيّمة",IF($M296&gt;المرجع!$K$3,"مستوفاة بشكل متقدم",IF($M296&lt;=المرجع!$K$2,"مستوفاة بشكل أولي","مستوفاة بشكل جزئي")))</f>
        <v>مستوفاة بشكل جزئي</v>
      </c>
      <c r="O296" s="18"/>
    </row>
    <row r="297" spans="1:15">
      <c r="A297" s="16" t="s">
        <v>1101</v>
      </c>
      <c r="B297" s="16" t="s">
        <v>208</v>
      </c>
      <c r="C297" s="15" t="str">
        <f>IFERROR(INDEX('قائمة الوحدات'!$B$2:$B$41,MATCH($B297,'قائمة الوحدات'!$A$2:$A$41,0)),"")</f>
        <v>MIL</v>
      </c>
      <c r="D297" s="14" t="str">
        <f>IFERROR(INDEX('قائمة الوحدات'!$C$2:$C$41,MATCH($B297,'قائمة الوحدات'!$A$2:$A$41,0)),"")</f>
        <v>الجهاز العسكري</v>
      </c>
      <c r="E297" s="14" t="str">
        <f>IFERROR(INDEX('قائمة الوحدات'!$D$2:$D$41,MATCH($B297,'قائمة الوحدات'!$A$2:$A$41,0)),"")</f>
        <v>الإدارة العامة للإمداد والتموين</v>
      </c>
      <c r="F297" s="14" t="str">
        <f>IFERROR(INDEX('قائمة الوحدات'!$F$2:$F$41,MATCH($B297,'قائمة الوحدات'!$A$2:$A$41,0)),"")</f>
        <v>الإدارة العامة للإمداد والتموين</v>
      </c>
      <c r="G297" s="16" t="s">
        <v>65</v>
      </c>
      <c r="H297" s="14" t="str">
        <f>IFERROR(INDEX(المرجع!$A$2:$A$19,MATCH($G297,المرجع!$B$2:$B$19,0)),"")</f>
        <v>التشغيل</v>
      </c>
      <c r="I297" s="16" t="s">
        <v>51</v>
      </c>
      <c r="J297" s="14" t="str">
        <f>IFERROR(INDEX(المرجع!$D$2:$D$19,MATCH($I297,المرجع!$E$2:$E$19,0)),"")</f>
        <v>الحوكمة</v>
      </c>
      <c r="K297" s="16" t="s">
        <v>122</v>
      </c>
      <c r="L297" s="17" t="str">
        <f>IFERROR(INDEX('نقاط التحقق'!$G$2:$G$31,MATCH($K297,'نقاط التحقق'!$A$2:$A$31,0))&amp;"","")</f>
        <v>نشر السياسات التي تملكها الوحدة التنظيمية</v>
      </c>
      <c r="M297" s="13">
        <v>25</v>
      </c>
      <c r="N297" s="15" t="str">
        <f>IF($M297="","غير مقيّمة",IF($M297&gt;المرجع!$K$3,"مستوفاة بشكل متقدم",IF($M297&lt;=المرجع!$K$2,"مستوفاة بشكل أولي","مستوفاة بشكل جزئي")))</f>
        <v>مستوفاة بشكل أولي</v>
      </c>
      <c r="O297" s="18"/>
    </row>
    <row r="298" spans="1:15">
      <c r="A298" s="16" t="s">
        <v>1102</v>
      </c>
      <c r="B298" s="16" t="s">
        <v>208</v>
      </c>
      <c r="C298" s="15" t="str">
        <f>IFERROR(INDEX('قائمة الوحدات'!$B$2:$B$41,MATCH($B298,'قائمة الوحدات'!$A$2:$A$41,0)),"")</f>
        <v>MIL</v>
      </c>
      <c r="D298" s="14" t="str">
        <f>IFERROR(INDEX('قائمة الوحدات'!$C$2:$C$41,MATCH($B298,'قائمة الوحدات'!$A$2:$A$41,0)),"")</f>
        <v>الجهاز العسكري</v>
      </c>
      <c r="E298" s="14" t="str">
        <f>IFERROR(INDEX('قائمة الوحدات'!$D$2:$D$41,MATCH($B298,'قائمة الوحدات'!$A$2:$A$41,0)),"")</f>
        <v>الإدارة العامة للإمداد والتموين</v>
      </c>
      <c r="F298" s="14" t="str">
        <f>IFERROR(INDEX('قائمة الوحدات'!$F$2:$F$41,MATCH($B298,'قائمة الوحدات'!$A$2:$A$41,0)),"")</f>
        <v>الإدارة العامة للإمداد والتموين</v>
      </c>
      <c r="G298" s="16" t="s">
        <v>65</v>
      </c>
      <c r="H298" s="14" t="str">
        <f>IFERROR(INDEX(المرجع!$A$2:$A$19,MATCH($G298,المرجع!$B$2:$B$19,0)),"")</f>
        <v>التشغيل</v>
      </c>
      <c r="I298" s="16" t="s">
        <v>51</v>
      </c>
      <c r="J298" s="14" t="str">
        <f>IFERROR(INDEX(المرجع!$D$2:$D$19,MATCH($I298,المرجع!$E$2:$E$19,0)),"")</f>
        <v>الحوكمة</v>
      </c>
      <c r="K298" s="16" t="s">
        <v>124</v>
      </c>
      <c r="L298" s="17" t="str">
        <f>IFERROR(INDEX('نقاط التحقق'!$G$2:$G$31,MATCH($K298,'نقاط التحقق'!$A$2:$A$31,0))&amp;"","")</f>
        <v>اتخاذ القرارات في نطاق الصلاحيات (وجود شواهد)</v>
      </c>
      <c r="M298" s="13">
        <v>25</v>
      </c>
      <c r="N298" s="15" t="str">
        <f>IF($M298="","غير مقيّمة",IF($M298&gt;المرجع!$K$3,"مستوفاة بشكل متقدم",IF($M298&lt;=المرجع!$K$2,"مستوفاة بشكل أولي","مستوفاة بشكل جزئي")))</f>
        <v>مستوفاة بشكل أولي</v>
      </c>
      <c r="O298" s="18"/>
    </row>
    <row r="299" spans="1:15">
      <c r="A299" s="16" t="s">
        <v>1103</v>
      </c>
      <c r="B299" s="16" t="s">
        <v>208</v>
      </c>
      <c r="C299" s="15" t="str">
        <f>IFERROR(INDEX('قائمة الوحدات'!$B$2:$B$41,MATCH($B299,'قائمة الوحدات'!$A$2:$A$41,0)),"")</f>
        <v>MIL</v>
      </c>
      <c r="D299" s="14" t="str">
        <f>IFERROR(INDEX('قائمة الوحدات'!$C$2:$C$41,MATCH($B299,'قائمة الوحدات'!$A$2:$A$41,0)),"")</f>
        <v>الجهاز العسكري</v>
      </c>
      <c r="E299" s="14" t="str">
        <f>IFERROR(INDEX('قائمة الوحدات'!$D$2:$D$41,MATCH($B299,'قائمة الوحدات'!$A$2:$A$41,0)),"")</f>
        <v>الإدارة العامة للإمداد والتموين</v>
      </c>
      <c r="F299" s="14" t="str">
        <f>IFERROR(INDEX('قائمة الوحدات'!$F$2:$F$41,MATCH($B299,'قائمة الوحدات'!$A$2:$A$41,0)),"")</f>
        <v>الإدارة العامة للإمداد والتموين</v>
      </c>
      <c r="G299" s="16" t="s">
        <v>65</v>
      </c>
      <c r="H299" s="14" t="str">
        <f>IFERROR(INDEX(المرجع!$A$2:$A$19,MATCH($G299,المرجع!$B$2:$B$19,0)),"")</f>
        <v>التشغيل</v>
      </c>
      <c r="I299" s="16" t="s">
        <v>56</v>
      </c>
      <c r="J299" s="14" t="str">
        <f>IFERROR(INDEX(المرجع!$D$2:$D$19,MATCH($I299,المرجع!$E$2:$E$19,0)),"")</f>
        <v>الموارد</v>
      </c>
      <c r="K299" s="16" t="s">
        <v>126</v>
      </c>
      <c r="L299" s="17" t="str">
        <f>IFERROR(INDEX('نقاط التحقق'!$G$2:$G$31,MATCH($K299,'نقاط التحقق'!$A$2:$A$31,0))&amp;"","")</f>
        <v>موارد مستكملة للحد الأدنى الذي يغطي كافة محاور سلسلة القيمة</v>
      </c>
      <c r="M299" s="13">
        <v>41</v>
      </c>
      <c r="N299" s="15" t="str">
        <f>IF($M299="","غير مقيّمة",IF($M299&gt;المرجع!$K$3,"مستوفاة بشكل متقدم",IF($M299&lt;=المرجع!$K$2,"مستوفاة بشكل أولي","مستوفاة بشكل جزئي")))</f>
        <v>مستوفاة بشكل جزئي</v>
      </c>
      <c r="O299" s="18"/>
    </row>
    <row r="300" spans="1:15">
      <c r="A300" s="16" t="s">
        <v>1104</v>
      </c>
      <c r="B300" s="16" t="s">
        <v>208</v>
      </c>
      <c r="C300" s="15" t="str">
        <f>IFERROR(INDEX('قائمة الوحدات'!$B$2:$B$41,MATCH($B300,'قائمة الوحدات'!$A$2:$A$41,0)),"")</f>
        <v>MIL</v>
      </c>
      <c r="D300" s="14" t="str">
        <f>IFERROR(INDEX('قائمة الوحدات'!$C$2:$C$41,MATCH($B300,'قائمة الوحدات'!$A$2:$A$41,0)),"")</f>
        <v>الجهاز العسكري</v>
      </c>
      <c r="E300" s="14" t="str">
        <f>IFERROR(INDEX('قائمة الوحدات'!$D$2:$D$41,MATCH($B300,'قائمة الوحدات'!$A$2:$A$41,0)),"")</f>
        <v>الإدارة العامة للإمداد والتموين</v>
      </c>
      <c r="F300" s="14" t="str">
        <f>IFERROR(INDEX('قائمة الوحدات'!$F$2:$F$41,MATCH($B300,'قائمة الوحدات'!$A$2:$A$41,0)),"")</f>
        <v>الإدارة العامة للإمداد والتموين</v>
      </c>
      <c r="G300" s="16" t="s">
        <v>65</v>
      </c>
      <c r="H300" s="14" t="str">
        <f>IFERROR(INDEX(المرجع!$A$2:$A$19,MATCH($G300,المرجع!$B$2:$B$19,0)),"")</f>
        <v>التشغيل</v>
      </c>
      <c r="I300" s="16" t="s">
        <v>59</v>
      </c>
      <c r="J300" s="14" t="str">
        <f>IFERROR(INDEX(المرجع!$D$2:$D$19,MATCH($I300,المرجع!$E$2:$E$19,0)),"")</f>
        <v>الإجراءات</v>
      </c>
      <c r="K300" s="16" t="s">
        <v>128</v>
      </c>
      <c r="L300" s="17" t="str">
        <f>IFERROR(INDEX('نقاط التحقق'!$G$2:$G$31,MATCH($K300,'نقاط التحقق'!$A$2:$A$31,0))&amp;"","")</f>
        <v>تحقيق تقييم "مطبق بشكل كامل" من منهجية تقييم فعالية الإجراءات</v>
      </c>
      <c r="M300" s="13">
        <v>55</v>
      </c>
      <c r="N300" s="15" t="str">
        <f>IF($M300="","غير مقيّمة",IF($M300&gt;المرجع!$K$3,"مستوفاة بشكل متقدم",IF($M300&lt;=المرجع!$K$2,"مستوفاة بشكل أولي","مستوفاة بشكل جزئي")))</f>
        <v>مستوفاة بشكل جزئي</v>
      </c>
      <c r="O300" s="18"/>
    </row>
    <row r="301" spans="1:15">
      <c r="A301" s="16" t="s">
        <v>1105</v>
      </c>
      <c r="B301" s="16" t="s">
        <v>208</v>
      </c>
      <c r="C301" s="15" t="str">
        <f>IFERROR(INDEX('قائمة الوحدات'!$B$2:$B$41,MATCH($B301,'قائمة الوحدات'!$A$2:$A$41,0)),"")</f>
        <v>MIL</v>
      </c>
      <c r="D301" s="14" t="str">
        <f>IFERROR(INDEX('قائمة الوحدات'!$C$2:$C$41,MATCH($B301,'قائمة الوحدات'!$A$2:$A$41,0)),"")</f>
        <v>الجهاز العسكري</v>
      </c>
      <c r="E301" s="14" t="str">
        <f>IFERROR(INDEX('قائمة الوحدات'!$D$2:$D$41,MATCH($B301,'قائمة الوحدات'!$A$2:$A$41,0)),"")</f>
        <v>الإدارة العامة للإمداد والتموين</v>
      </c>
      <c r="F301" s="14" t="str">
        <f>IFERROR(INDEX('قائمة الوحدات'!$F$2:$F$41,MATCH($B301,'قائمة الوحدات'!$A$2:$A$41,0)),"")</f>
        <v>الإدارة العامة للإمداد والتموين</v>
      </c>
      <c r="G301" s="16" t="s">
        <v>65</v>
      </c>
      <c r="H301" s="14" t="str">
        <f>IFERROR(INDEX(المرجع!$A$2:$A$19,MATCH($G301,المرجع!$B$2:$B$19,0)),"")</f>
        <v>التشغيل</v>
      </c>
      <c r="I301" s="16" t="s">
        <v>67</v>
      </c>
      <c r="J301" s="14" t="str">
        <f>IFERROR(INDEX(المرجع!$D$2:$D$19,MATCH($I301,المرجع!$E$2:$E$19,0)),"")</f>
        <v>اكتمال المخرجات المستهدفة</v>
      </c>
      <c r="K301" s="16" t="s">
        <v>130</v>
      </c>
      <c r="L301" s="17" t="str">
        <f>IFERROR(INDEX('نقاط التحقق'!$G$2:$G$31,MATCH($K301,'نقاط التحقق'!$A$2:$A$31,0))&amp;"","")</f>
        <v>اكتمال مخرجات النموذج التشغيلي المستهدف للوحدة التنظيمية</v>
      </c>
      <c r="M301" s="13">
        <v>45</v>
      </c>
      <c r="N301" s="15" t="str">
        <f>IF($M301="","غير مقيّمة",IF($M301&gt;المرجع!$K$3,"مستوفاة بشكل متقدم",IF($M301&lt;=المرجع!$K$2,"مستوفاة بشكل أولي","مستوفاة بشكل جزئي")))</f>
        <v>مستوفاة بشكل جزئي</v>
      </c>
      <c r="O301" s="18"/>
    </row>
    <row r="302" spans="1:15">
      <c r="A302" s="16" t="s">
        <v>1106</v>
      </c>
      <c r="B302" s="16" t="s">
        <v>210</v>
      </c>
      <c r="C302" s="15" t="str">
        <f>IFERROR(INDEX('قائمة الوحدات'!$B$2:$B$41,MATCH($B302,'قائمة الوحدات'!$A$2:$A$41,0)),"")</f>
        <v>MIL</v>
      </c>
      <c r="D302" s="14" t="str">
        <f>IFERROR(INDEX('قائمة الوحدات'!$C$2:$C$41,MATCH($B302,'قائمة الوحدات'!$A$2:$A$41,0)),"")</f>
        <v>الجهاز العسكري</v>
      </c>
      <c r="E302" s="14" t="str">
        <f>IFERROR(INDEX('قائمة الوحدات'!$D$2:$D$41,MATCH($B302,'قائمة الوحدات'!$A$2:$A$41,0)),"")</f>
        <v>الإدارة العامة للاتصالات وتقنية المعلومات العسكرية</v>
      </c>
      <c r="F302" s="14" t="str">
        <f>IFERROR(INDEX('قائمة الوحدات'!$F$2:$F$41,MATCH($B302,'قائمة الوحدات'!$A$2:$A$41,0)),"")</f>
        <v>الإدارة العامة للاتصالات وتقنية المعلومات العسكرية</v>
      </c>
      <c r="G302" s="16" t="s">
        <v>43</v>
      </c>
      <c r="H302" s="14" t="str">
        <f>IFERROR(INDEX(المرجع!$A$2:$A$19,MATCH($G302,المرجع!$B$2:$B$19,0)),"")</f>
        <v>التصميم</v>
      </c>
      <c r="I302" s="16" t="s">
        <v>45</v>
      </c>
      <c r="J302" s="14" t="str">
        <f>IFERROR(INDEX(المرجع!$D$2:$D$19,MATCH($I302,المرجع!$E$2:$E$19,0)),"")</f>
        <v>الدور</v>
      </c>
      <c r="K302" s="16" t="s">
        <v>72</v>
      </c>
      <c r="L302" s="17" t="str">
        <f>IFERROR(INDEX('نقاط التحقق'!$G$2:$G$31,MATCH($K302,'نقاط التحقق'!$A$2:$A$31,0))&amp;"","")</f>
        <v>دور مفصل للوحدة التنظيمية</v>
      </c>
      <c r="M302" s="13">
        <v>84</v>
      </c>
      <c r="N302" s="15" t="str">
        <f>IF($M302="","غير مقيّمة",IF($M302&gt;المرجع!$K$3,"مستوفاة بشكل متقدم",IF($M302&lt;=المرجع!$K$2,"مستوفاة بشكل أولي","مستوفاة بشكل جزئي")))</f>
        <v>مستوفاة بشكل متقدم</v>
      </c>
      <c r="O302" s="18"/>
    </row>
    <row r="303" spans="1:15">
      <c r="A303" s="16" t="s">
        <v>1107</v>
      </c>
      <c r="B303" s="16" t="s">
        <v>210</v>
      </c>
      <c r="C303" s="15" t="str">
        <f>IFERROR(INDEX('قائمة الوحدات'!$B$2:$B$41,MATCH($B303,'قائمة الوحدات'!$A$2:$A$41,0)),"")</f>
        <v>MIL</v>
      </c>
      <c r="D303" s="14" t="str">
        <f>IFERROR(INDEX('قائمة الوحدات'!$C$2:$C$41,MATCH($B303,'قائمة الوحدات'!$A$2:$A$41,0)),"")</f>
        <v>الجهاز العسكري</v>
      </c>
      <c r="E303" s="14" t="str">
        <f>IFERROR(INDEX('قائمة الوحدات'!$D$2:$D$41,MATCH($B303,'قائمة الوحدات'!$A$2:$A$41,0)),"")</f>
        <v>الإدارة العامة للاتصالات وتقنية المعلومات العسكرية</v>
      </c>
      <c r="F303" s="14" t="str">
        <f>IFERROR(INDEX('قائمة الوحدات'!$F$2:$F$41,MATCH($B303,'قائمة الوحدات'!$A$2:$A$41,0)),"")</f>
        <v>الإدارة العامة للاتصالات وتقنية المعلومات العسكرية</v>
      </c>
      <c r="G303" s="16" t="s">
        <v>43</v>
      </c>
      <c r="H303" s="14" t="str">
        <f>IFERROR(INDEX(المرجع!$A$2:$A$19,MATCH($G303,المرجع!$B$2:$B$19,0)),"")</f>
        <v>التصميم</v>
      </c>
      <c r="I303" s="16" t="s">
        <v>48</v>
      </c>
      <c r="J303" s="14" t="str">
        <f>IFERROR(INDEX(المرجع!$D$2:$D$19,MATCH($I303,المرجع!$E$2:$E$19,0)),"")</f>
        <v>الأهداف ومؤشرات الأداء</v>
      </c>
      <c r="K303" s="16" t="s">
        <v>74</v>
      </c>
      <c r="L303" s="17" t="str">
        <f>IFERROR(INDEX('نقاط التحقق'!$G$2:$G$31,MATCH($K303,'نقاط التحقق'!$A$2:$A$31,0))&amp;"","")</f>
        <v>أهداف محددة للوحدة التنظيمية وربطها بمؤشرات أداء لقياسها</v>
      </c>
      <c r="M303" s="13">
        <v>70</v>
      </c>
      <c r="N303" s="15" t="str">
        <f>IF($M303="","غير مقيّمة",IF($M303&gt;المرجع!$K$3,"مستوفاة بشكل متقدم",IF($M303&lt;=المرجع!$K$2,"مستوفاة بشكل أولي","مستوفاة بشكل جزئي")))</f>
        <v>مستوفاة بشكل جزئي</v>
      </c>
      <c r="O303" s="18"/>
    </row>
    <row r="304" spans="1:15">
      <c r="A304" s="16" t="s">
        <v>1108</v>
      </c>
      <c r="B304" s="16" t="s">
        <v>210</v>
      </c>
      <c r="C304" s="15" t="str">
        <f>IFERROR(INDEX('قائمة الوحدات'!$B$2:$B$41,MATCH($B304,'قائمة الوحدات'!$A$2:$A$41,0)),"")</f>
        <v>MIL</v>
      </c>
      <c r="D304" s="14" t="str">
        <f>IFERROR(INDEX('قائمة الوحدات'!$C$2:$C$41,MATCH($B304,'قائمة الوحدات'!$A$2:$A$41,0)),"")</f>
        <v>الجهاز العسكري</v>
      </c>
      <c r="E304" s="14" t="str">
        <f>IFERROR(INDEX('قائمة الوحدات'!$D$2:$D$41,MATCH($B304,'قائمة الوحدات'!$A$2:$A$41,0)),"")</f>
        <v>الإدارة العامة للاتصالات وتقنية المعلومات العسكرية</v>
      </c>
      <c r="F304" s="14" t="str">
        <f>IFERROR(INDEX('قائمة الوحدات'!$F$2:$F$41,MATCH($B304,'قائمة الوحدات'!$A$2:$A$41,0)),"")</f>
        <v>الإدارة العامة للاتصالات وتقنية المعلومات العسكرية</v>
      </c>
      <c r="G304" s="16" t="s">
        <v>43</v>
      </c>
      <c r="H304" s="14" t="str">
        <f>IFERROR(INDEX(المرجع!$A$2:$A$19,MATCH($G304,المرجع!$B$2:$B$19,0)),"")</f>
        <v>التصميم</v>
      </c>
      <c r="I304" s="16" t="s">
        <v>48</v>
      </c>
      <c r="J304" s="14" t="str">
        <f>IFERROR(INDEX(المرجع!$D$2:$D$19,MATCH($I304,المرجع!$E$2:$E$19,0)),"")</f>
        <v>الأهداف ومؤشرات الأداء</v>
      </c>
      <c r="K304" s="16" t="s">
        <v>76</v>
      </c>
      <c r="L304" s="17" t="str">
        <f>IFERROR(INDEX('نقاط التحقق'!$G$2:$G$31,MATCH($K304,'نقاط التحقق'!$A$2:$A$31,0))&amp;"","")</f>
        <v>مؤشرات أداء الوحدة التنظيمية</v>
      </c>
      <c r="M304" s="13">
        <v>75</v>
      </c>
      <c r="N304" s="15" t="str">
        <f>IF($M304="","غير مقيّمة",IF($M304&gt;المرجع!$K$3,"مستوفاة بشكل متقدم",IF($M304&lt;=المرجع!$K$2,"مستوفاة بشكل أولي","مستوفاة بشكل جزئي")))</f>
        <v>مستوفاة بشكل متقدم</v>
      </c>
      <c r="O304" s="18"/>
    </row>
    <row r="305" spans="1:15">
      <c r="A305" s="16" t="s">
        <v>1109</v>
      </c>
      <c r="B305" s="16" t="s">
        <v>210</v>
      </c>
      <c r="C305" s="15" t="str">
        <f>IFERROR(INDEX('قائمة الوحدات'!$B$2:$B$41,MATCH($B305,'قائمة الوحدات'!$A$2:$A$41,0)),"")</f>
        <v>MIL</v>
      </c>
      <c r="D305" s="14" t="str">
        <f>IFERROR(INDEX('قائمة الوحدات'!$C$2:$C$41,MATCH($B305,'قائمة الوحدات'!$A$2:$A$41,0)),"")</f>
        <v>الجهاز العسكري</v>
      </c>
      <c r="E305" s="14" t="str">
        <f>IFERROR(INDEX('قائمة الوحدات'!$D$2:$D$41,MATCH($B305,'قائمة الوحدات'!$A$2:$A$41,0)),"")</f>
        <v>الإدارة العامة للاتصالات وتقنية المعلومات العسكرية</v>
      </c>
      <c r="F305" s="14" t="str">
        <f>IFERROR(INDEX('قائمة الوحدات'!$F$2:$F$41,MATCH($B305,'قائمة الوحدات'!$A$2:$A$41,0)),"")</f>
        <v>الإدارة العامة للاتصالات وتقنية المعلومات العسكرية</v>
      </c>
      <c r="G305" s="16" t="s">
        <v>43</v>
      </c>
      <c r="H305" s="14" t="str">
        <f>IFERROR(INDEX(المرجع!$A$2:$A$19,MATCH($G305,المرجع!$B$2:$B$19,0)),"")</f>
        <v>التصميم</v>
      </c>
      <c r="I305" s="16" t="s">
        <v>51</v>
      </c>
      <c r="J305" s="14" t="str">
        <f>IFERROR(INDEX(المرجع!$D$2:$D$19,MATCH($I305,المرجع!$E$2:$E$19,0)),"")</f>
        <v>الحوكمة</v>
      </c>
      <c r="K305" s="16" t="s">
        <v>78</v>
      </c>
      <c r="L305" s="17" t="str">
        <f>IFERROR(INDEX('نقاط التحقق'!$G$2:$G$31,MATCH($K305,'نقاط التحقق'!$A$2:$A$31,0))&amp;"","")</f>
        <v>تفصيل القرارات ومصفوفة الصلاحيات واللجان ذات العلاقة لاعتماد مخرجات الوحدة التنظيمية</v>
      </c>
      <c r="M305" s="13">
        <v>97</v>
      </c>
      <c r="N305" s="15" t="str">
        <f>IF($M305="","غير مقيّمة",IF($M305&gt;المرجع!$K$3,"مستوفاة بشكل متقدم",IF($M305&lt;=المرجع!$K$2,"مستوفاة بشكل أولي","مستوفاة بشكل جزئي")))</f>
        <v>مستوفاة بشكل متقدم</v>
      </c>
      <c r="O305" s="18"/>
    </row>
    <row r="306" spans="1:15">
      <c r="A306" s="16" t="s">
        <v>1110</v>
      </c>
      <c r="B306" s="16" t="s">
        <v>210</v>
      </c>
      <c r="C306" s="15" t="str">
        <f>IFERROR(INDEX('قائمة الوحدات'!$B$2:$B$41,MATCH($B306,'قائمة الوحدات'!$A$2:$A$41,0)),"")</f>
        <v>MIL</v>
      </c>
      <c r="D306" s="14" t="str">
        <f>IFERROR(INDEX('قائمة الوحدات'!$C$2:$C$41,MATCH($B306,'قائمة الوحدات'!$A$2:$A$41,0)),"")</f>
        <v>الجهاز العسكري</v>
      </c>
      <c r="E306" s="14" t="str">
        <f>IFERROR(INDEX('قائمة الوحدات'!$D$2:$D$41,MATCH($B306,'قائمة الوحدات'!$A$2:$A$41,0)),"")</f>
        <v>الإدارة العامة للاتصالات وتقنية المعلومات العسكرية</v>
      </c>
      <c r="F306" s="14" t="str">
        <f>IFERROR(INDEX('قائمة الوحدات'!$F$2:$F$41,MATCH($B306,'قائمة الوحدات'!$A$2:$A$41,0)),"")</f>
        <v>الإدارة العامة للاتصالات وتقنية المعلومات العسكرية</v>
      </c>
      <c r="G306" s="16" t="s">
        <v>43</v>
      </c>
      <c r="H306" s="14" t="str">
        <f>IFERROR(INDEX(المرجع!$A$2:$A$19,MATCH($G306,المرجع!$B$2:$B$19,0)),"")</f>
        <v>التصميم</v>
      </c>
      <c r="I306" s="16" t="s">
        <v>54</v>
      </c>
      <c r="J306" s="14" t="str">
        <f>IFERROR(INDEX(المرجع!$D$2:$D$19,MATCH($I306,المرجع!$E$2:$E$19,0)),"")</f>
        <v>التنظيم</v>
      </c>
      <c r="K306" s="16" t="s">
        <v>80</v>
      </c>
      <c r="L306" s="17" t="str">
        <f>IFERROR(INDEX('نقاط التحقق'!$G$2:$G$31,MATCH($K306,'نقاط التحقق'!$A$2:$A$31,0))&amp;"","")</f>
        <v>تطوير الأدوار والمسؤوليات للوحدة التنظيمية وتفصيل الهيكل التنظيمي</v>
      </c>
      <c r="M306" s="13">
        <v>98</v>
      </c>
      <c r="N306" s="15" t="str">
        <f>IF($M306="","غير مقيّمة",IF($M306&gt;المرجع!$K$3,"مستوفاة بشكل متقدم",IF($M306&lt;=المرجع!$K$2,"مستوفاة بشكل أولي","مستوفاة بشكل جزئي")))</f>
        <v>مستوفاة بشكل متقدم</v>
      </c>
      <c r="O306" s="18"/>
    </row>
    <row r="307" spans="1:15">
      <c r="A307" s="16" t="s">
        <v>1111</v>
      </c>
      <c r="B307" s="16" t="s">
        <v>210</v>
      </c>
      <c r="C307" s="15" t="str">
        <f>IFERROR(INDEX('قائمة الوحدات'!$B$2:$B$41,MATCH($B307,'قائمة الوحدات'!$A$2:$A$41,0)),"")</f>
        <v>MIL</v>
      </c>
      <c r="D307" s="14" t="str">
        <f>IFERROR(INDEX('قائمة الوحدات'!$C$2:$C$41,MATCH($B307,'قائمة الوحدات'!$A$2:$A$41,0)),"")</f>
        <v>الجهاز العسكري</v>
      </c>
      <c r="E307" s="14" t="str">
        <f>IFERROR(INDEX('قائمة الوحدات'!$D$2:$D$41,MATCH($B307,'قائمة الوحدات'!$A$2:$A$41,0)),"")</f>
        <v>الإدارة العامة للاتصالات وتقنية المعلومات العسكرية</v>
      </c>
      <c r="F307" s="14" t="str">
        <f>IFERROR(INDEX('قائمة الوحدات'!$F$2:$F$41,MATCH($B307,'قائمة الوحدات'!$A$2:$A$41,0)),"")</f>
        <v>الإدارة العامة للاتصالات وتقنية المعلومات العسكرية</v>
      </c>
      <c r="G307" s="16" t="s">
        <v>43</v>
      </c>
      <c r="H307" s="14" t="str">
        <f>IFERROR(INDEX(المرجع!$A$2:$A$19,MATCH($G307,المرجع!$B$2:$B$19,0)),"")</f>
        <v>التصميم</v>
      </c>
      <c r="I307" s="16" t="s">
        <v>56</v>
      </c>
      <c r="J307" s="14" t="str">
        <f>IFERROR(INDEX(المرجع!$D$2:$D$19,MATCH($I307,المرجع!$E$2:$E$19,0)),"")</f>
        <v>الموارد</v>
      </c>
      <c r="K307" s="16" t="s">
        <v>82</v>
      </c>
      <c r="L307" s="17" t="str">
        <f>IFERROR(INDEX('نقاط التحقق'!$G$2:$G$31,MATCH($K307,'نقاط التحقق'!$A$2:$A$31,0))&amp;"","")</f>
        <v>تفصيل احتياج الموارد البشرية للوحدة التنظيمية</v>
      </c>
      <c r="M307" s="13">
        <v>80</v>
      </c>
      <c r="N307" s="15" t="str">
        <f>IF($M307="","غير مقيّمة",IF($M307&gt;المرجع!$K$3,"مستوفاة بشكل متقدم",IF($M307&lt;=المرجع!$K$2,"مستوفاة بشكل أولي","مستوفاة بشكل جزئي")))</f>
        <v>مستوفاة بشكل متقدم</v>
      </c>
      <c r="O307" s="18"/>
    </row>
    <row r="308" spans="1:15">
      <c r="A308" s="16" t="s">
        <v>1112</v>
      </c>
      <c r="B308" s="16" t="s">
        <v>210</v>
      </c>
      <c r="C308" s="15" t="str">
        <f>IFERROR(INDEX('قائمة الوحدات'!$B$2:$B$41,MATCH($B308,'قائمة الوحدات'!$A$2:$A$41,0)),"")</f>
        <v>MIL</v>
      </c>
      <c r="D308" s="14" t="str">
        <f>IFERROR(INDEX('قائمة الوحدات'!$C$2:$C$41,MATCH($B308,'قائمة الوحدات'!$A$2:$A$41,0)),"")</f>
        <v>الجهاز العسكري</v>
      </c>
      <c r="E308" s="14" t="str">
        <f>IFERROR(INDEX('قائمة الوحدات'!$D$2:$D$41,MATCH($B308,'قائمة الوحدات'!$A$2:$A$41,0)),"")</f>
        <v>الإدارة العامة للاتصالات وتقنية المعلومات العسكرية</v>
      </c>
      <c r="F308" s="14" t="str">
        <f>IFERROR(INDEX('قائمة الوحدات'!$F$2:$F$41,MATCH($B308,'قائمة الوحدات'!$A$2:$A$41,0)),"")</f>
        <v>الإدارة العامة للاتصالات وتقنية المعلومات العسكرية</v>
      </c>
      <c r="G308" s="16" t="s">
        <v>43</v>
      </c>
      <c r="H308" s="14" t="str">
        <f>IFERROR(INDEX(المرجع!$A$2:$A$19,MATCH($G308,المرجع!$B$2:$B$19,0)),"")</f>
        <v>التصميم</v>
      </c>
      <c r="I308" s="16" t="s">
        <v>59</v>
      </c>
      <c r="J308" s="14" t="str">
        <f>IFERROR(INDEX(المرجع!$D$2:$D$19,MATCH($I308,المرجع!$E$2:$E$19,0)),"")</f>
        <v>الإجراءات</v>
      </c>
      <c r="K308" s="16" t="s">
        <v>84</v>
      </c>
      <c r="L308" s="17" t="str">
        <f>IFERROR(INDEX('نقاط التحقق'!$G$2:$G$31,MATCH($K308,'نقاط التحقق'!$A$2:$A$31,0))&amp;"","")</f>
        <v>تفصيل المخرجات إلى إجراءات عالية المستوى</v>
      </c>
      <c r="M308" s="13">
        <v>68</v>
      </c>
      <c r="N308" s="15" t="str">
        <f>IF($M308="","غير مقيّمة",IF($M308&gt;المرجع!$K$3,"مستوفاة بشكل متقدم",IF($M308&lt;=المرجع!$K$2,"مستوفاة بشكل أولي","مستوفاة بشكل جزئي")))</f>
        <v>مستوفاة بشكل جزئي</v>
      </c>
      <c r="O308" s="18"/>
    </row>
    <row r="309" spans="1:15">
      <c r="A309" s="16" t="s">
        <v>1113</v>
      </c>
      <c r="B309" s="16" t="s">
        <v>210</v>
      </c>
      <c r="C309" s="15" t="str">
        <f>IFERROR(INDEX('قائمة الوحدات'!$B$2:$B$41,MATCH($B309,'قائمة الوحدات'!$A$2:$A$41,0)),"")</f>
        <v>MIL</v>
      </c>
      <c r="D309" s="14" t="str">
        <f>IFERROR(INDEX('قائمة الوحدات'!$C$2:$C$41,MATCH($B309,'قائمة الوحدات'!$A$2:$A$41,0)),"")</f>
        <v>الجهاز العسكري</v>
      </c>
      <c r="E309" s="14" t="str">
        <f>IFERROR(INDEX('قائمة الوحدات'!$D$2:$D$41,MATCH($B309,'قائمة الوحدات'!$A$2:$A$41,0)),"")</f>
        <v>الإدارة العامة للاتصالات وتقنية المعلومات العسكرية</v>
      </c>
      <c r="F309" s="14" t="str">
        <f>IFERROR(INDEX('قائمة الوحدات'!$F$2:$F$41,MATCH($B309,'قائمة الوحدات'!$A$2:$A$41,0)),"")</f>
        <v>الإدارة العامة للاتصالات وتقنية المعلومات العسكرية</v>
      </c>
      <c r="G309" s="16" t="s">
        <v>61</v>
      </c>
      <c r="H309" s="14" t="str">
        <f>IFERROR(INDEX(المرجع!$A$2:$A$19,MATCH($G309,المرجع!$B$2:$B$19,0)),"")</f>
        <v>البناء المؤسسي</v>
      </c>
      <c r="I309" s="16" t="s">
        <v>45</v>
      </c>
      <c r="J309" s="14" t="str">
        <f>IFERROR(INDEX(المرجع!$D$2:$D$19,MATCH($I309,المرجع!$E$2:$E$19,0)),"")</f>
        <v>الدور</v>
      </c>
      <c r="K309" s="16" t="s">
        <v>86</v>
      </c>
      <c r="L309" s="17" t="str">
        <f>IFERROR(INDEX('نقاط التحقق'!$G$2:$G$31,MATCH($K309,'نقاط التحقق'!$A$2:$A$31,0))&amp;"","")</f>
        <v>دور معتمد للوحدة التنظيمية</v>
      </c>
      <c r="M309" s="13">
        <v>53</v>
      </c>
      <c r="N309" s="15" t="str">
        <f>IF($M309="","غير مقيّمة",IF($M309&gt;المرجع!$K$3,"مستوفاة بشكل متقدم",IF($M309&lt;=المرجع!$K$2,"مستوفاة بشكل أولي","مستوفاة بشكل جزئي")))</f>
        <v>مستوفاة بشكل جزئي</v>
      </c>
      <c r="O309" s="18"/>
    </row>
    <row r="310" spans="1:15">
      <c r="A310" s="16" t="s">
        <v>1114</v>
      </c>
      <c r="B310" s="16" t="s">
        <v>210</v>
      </c>
      <c r="C310" s="15" t="str">
        <f>IFERROR(INDEX('قائمة الوحدات'!$B$2:$B$41,MATCH($B310,'قائمة الوحدات'!$A$2:$A$41,0)),"")</f>
        <v>MIL</v>
      </c>
      <c r="D310" s="14" t="str">
        <f>IFERROR(INDEX('قائمة الوحدات'!$C$2:$C$41,MATCH($B310,'قائمة الوحدات'!$A$2:$A$41,0)),"")</f>
        <v>الجهاز العسكري</v>
      </c>
      <c r="E310" s="14" t="str">
        <f>IFERROR(INDEX('قائمة الوحدات'!$D$2:$D$41,MATCH($B310,'قائمة الوحدات'!$A$2:$A$41,0)),"")</f>
        <v>الإدارة العامة للاتصالات وتقنية المعلومات العسكرية</v>
      </c>
      <c r="F310" s="14" t="str">
        <f>IFERROR(INDEX('قائمة الوحدات'!$F$2:$F$41,MATCH($B310,'قائمة الوحدات'!$A$2:$A$41,0)),"")</f>
        <v>الإدارة العامة للاتصالات وتقنية المعلومات العسكرية</v>
      </c>
      <c r="G310" s="16" t="s">
        <v>61</v>
      </c>
      <c r="H310" s="14" t="str">
        <f>IFERROR(INDEX(المرجع!$A$2:$A$19,MATCH($G310,المرجع!$B$2:$B$19,0)),"")</f>
        <v>البناء المؤسسي</v>
      </c>
      <c r="I310" s="16" t="s">
        <v>48</v>
      </c>
      <c r="J310" s="14" t="str">
        <f>IFERROR(INDEX(المرجع!$D$2:$D$19,MATCH($I310,المرجع!$E$2:$E$19,0)),"")</f>
        <v>الأهداف ومؤشرات الأداء</v>
      </c>
      <c r="K310" s="16" t="s">
        <v>88</v>
      </c>
      <c r="L310" s="17" t="str">
        <f>IFERROR(INDEX('نقاط التحقق'!$G$2:$G$31,MATCH($K310,'نقاط التحقق'!$A$2:$A$31,0))&amp;"","")</f>
        <v>أهداف تشغيلية معتمدة من صاحب الصلاحية</v>
      </c>
      <c r="M310" s="13">
        <v>65</v>
      </c>
      <c r="N310" s="15" t="str">
        <f>IF($M310="","غير مقيّمة",IF($M310&gt;المرجع!$K$3,"مستوفاة بشكل متقدم",IF($M310&lt;=المرجع!$K$2,"مستوفاة بشكل أولي","مستوفاة بشكل جزئي")))</f>
        <v>مستوفاة بشكل جزئي</v>
      </c>
      <c r="O310" s="18"/>
    </row>
    <row r="311" spans="1:15">
      <c r="A311" s="16" t="s">
        <v>1115</v>
      </c>
      <c r="B311" s="16" t="s">
        <v>210</v>
      </c>
      <c r="C311" s="15" t="str">
        <f>IFERROR(INDEX('قائمة الوحدات'!$B$2:$B$41,MATCH($B311,'قائمة الوحدات'!$A$2:$A$41,0)),"")</f>
        <v>MIL</v>
      </c>
      <c r="D311" s="14" t="str">
        <f>IFERROR(INDEX('قائمة الوحدات'!$C$2:$C$41,MATCH($B311,'قائمة الوحدات'!$A$2:$A$41,0)),"")</f>
        <v>الجهاز العسكري</v>
      </c>
      <c r="E311" s="14" t="str">
        <f>IFERROR(INDEX('قائمة الوحدات'!$D$2:$D$41,MATCH($B311,'قائمة الوحدات'!$A$2:$A$41,0)),"")</f>
        <v>الإدارة العامة للاتصالات وتقنية المعلومات العسكرية</v>
      </c>
      <c r="F311" s="14" t="str">
        <f>IFERROR(INDEX('قائمة الوحدات'!$F$2:$F$41,MATCH($B311,'قائمة الوحدات'!$A$2:$A$41,0)),"")</f>
        <v>الإدارة العامة للاتصالات وتقنية المعلومات العسكرية</v>
      </c>
      <c r="G311" s="16" t="s">
        <v>61</v>
      </c>
      <c r="H311" s="14" t="str">
        <f>IFERROR(INDEX(المرجع!$A$2:$A$19,MATCH($G311,المرجع!$B$2:$B$19,0)),"")</f>
        <v>البناء المؤسسي</v>
      </c>
      <c r="I311" s="16" t="s">
        <v>48</v>
      </c>
      <c r="J311" s="14" t="str">
        <f>IFERROR(INDEX(المرجع!$D$2:$D$19,MATCH($I311,المرجع!$E$2:$E$19,0)),"")</f>
        <v>الأهداف ومؤشرات الأداء</v>
      </c>
      <c r="K311" s="16" t="s">
        <v>90</v>
      </c>
      <c r="L311" s="17" t="str">
        <f>IFERROR(INDEX('نقاط التحقق'!$G$2:$G$31,MATCH($K311,'نقاط التحقق'!$A$2:$A$31,0))&amp;"","")</f>
        <v>نشر الأهداف التشغيلية على موظفي الوحدة التنظيمية</v>
      </c>
      <c r="M311" s="13">
        <v>75</v>
      </c>
      <c r="N311" s="15" t="str">
        <f>IF($M311="","غير مقيّمة",IF($M311&gt;المرجع!$K$3,"مستوفاة بشكل متقدم",IF($M311&lt;=المرجع!$K$2,"مستوفاة بشكل أولي","مستوفاة بشكل جزئي")))</f>
        <v>مستوفاة بشكل متقدم</v>
      </c>
      <c r="O311" s="18"/>
    </row>
    <row r="312" spans="1:15">
      <c r="A312" s="16" t="s">
        <v>1116</v>
      </c>
      <c r="B312" s="16" t="s">
        <v>210</v>
      </c>
      <c r="C312" s="15" t="str">
        <f>IFERROR(INDEX('قائمة الوحدات'!$B$2:$B$41,MATCH($B312,'قائمة الوحدات'!$A$2:$A$41,0)),"")</f>
        <v>MIL</v>
      </c>
      <c r="D312" s="14" t="str">
        <f>IFERROR(INDEX('قائمة الوحدات'!$C$2:$C$41,MATCH($B312,'قائمة الوحدات'!$A$2:$A$41,0)),"")</f>
        <v>الجهاز العسكري</v>
      </c>
      <c r="E312" s="14" t="str">
        <f>IFERROR(INDEX('قائمة الوحدات'!$D$2:$D$41,MATCH($B312,'قائمة الوحدات'!$A$2:$A$41,0)),"")</f>
        <v>الإدارة العامة للاتصالات وتقنية المعلومات العسكرية</v>
      </c>
      <c r="F312" s="14" t="str">
        <f>IFERROR(INDEX('قائمة الوحدات'!$F$2:$F$41,MATCH($B312,'قائمة الوحدات'!$A$2:$A$41,0)),"")</f>
        <v>الإدارة العامة للاتصالات وتقنية المعلومات العسكرية</v>
      </c>
      <c r="G312" s="16" t="s">
        <v>61</v>
      </c>
      <c r="H312" s="14" t="str">
        <f>IFERROR(INDEX(المرجع!$A$2:$A$19,MATCH($G312,المرجع!$B$2:$B$19,0)),"")</f>
        <v>البناء المؤسسي</v>
      </c>
      <c r="I312" s="16" t="s">
        <v>51</v>
      </c>
      <c r="J312" s="14" t="str">
        <f>IFERROR(INDEX(المرجع!$D$2:$D$19,MATCH($I312,المرجع!$E$2:$E$19,0)),"")</f>
        <v>الحوكمة</v>
      </c>
      <c r="K312" s="16" t="s">
        <v>92</v>
      </c>
      <c r="L312" s="17" t="str">
        <f>IFERROR(INDEX('نقاط التحقق'!$G$2:$G$31,MATCH($K312,'نقاط التحقق'!$A$2:$A$31,0))&amp;"","")</f>
        <v>مصفوفة صلاحيات معتمدة ومعممة على أصحاب المصلحة</v>
      </c>
      <c r="M312" s="13">
        <v>65</v>
      </c>
      <c r="N312" s="15" t="str">
        <f>IF($M312="","غير مقيّمة",IF($M312&gt;المرجع!$K$3,"مستوفاة بشكل متقدم",IF($M312&lt;=المرجع!$K$2,"مستوفاة بشكل أولي","مستوفاة بشكل جزئي")))</f>
        <v>مستوفاة بشكل جزئي</v>
      </c>
      <c r="O312" s="18"/>
    </row>
    <row r="313" spans="1:15">
      <c r="A313" s="16" t="s">
        <v>1117</v>
      </c>
      <c r="B313" s="16" t="s">
        <v>210</v>
      </c>
      <c r="C313" s="15" t="str">
        <f>IFERROR(INDEX('قائمة الوحدات'!$B$2:$B$41,MATCH($B313,'قائمة الوحدات'!$A$2:$A$41,0)),"")</f>
        <v>MIL</v>
      </c>
      <c r="D313" s="14" t="str">
        <f>IFERROR(INDEX('قائمة الوحدات'!$C$2:$C$41,MATCH($B313,'قائمة الوحدات'!$A$2:$A$41,0)),"")</f>
        <v>الجهاز العسكري</v>
      </c>
      <c r="E313" s="14" t="str">
        <f>IFERROR(INDEX('قائمة الوحدات'!$D$2:$D$41,MATCH($B313,'قائمة الوحدات'!$A$2:$A$41,0)),"")</f>
        <v>الإدارة العامة للاتصالات وتقنية المعلومات العسكرية</v>
      </c>
      <c r="F313" s="14" t="str">
        <f>IFERROR(INDEX('قائمة الوحدات'!$F$2:$F$41,MATCH($B313,'قائمة الوحدات'!$A$2:$A$41,0)),"")</f>
        <v>الإدارة العامة للاتصالات وتقنية المعلومات العسكرية</v>
      </c>
      <c r="G313" s="16" t="s">
        <v>61</v>
      </c>
      <c r="H313" s="14" t="str">
        <f>IFERROR(INDEX(المرجع!$A$2:$A$19,MATCH($G313,المرجع!$B$2:$B$19,0)),"")</f>
        <v>البناء المؤسسي</v>
      </c>
      <c r="I313" s="16" t="s">
        <v>51</v>
      </c>
      <c r="J313" s="14" t="str">
        <f>IFERROR(INDEX(المرجع!$D$2:$D$19,MATCH($I313,المرجع!$E$2:$E$19,0)),"")</f>
        <v>الحوكمة</v>
      </c>
      <c r="K313" s="16" t="s">
        <v>94</v>
      </c>
      <c r="L313" s="17" t="str">
        <f>IFERROR(INDEX('نقاط التحقق'!$G$2:$G$31,MATCH($K313,'نقاط التحقق'!$A$2:$A$31,0))&amp;"","")</f>
        <v>سياسات معتمدة للتي تملكها الوحدة التنظيمية</v>
      </c>
      <c r="M313" s="13">
        <v>95</v>
      </c>
      <c r="N313" s="15" t="str">
        <f>IF($M313="","غير مقيّمة",IF($M313&gt;المرجع!$K$3,"مستوفاة بشكل متقدم",IF($M313&lt;=المرجع!$K$2,"مستوفاة بشكل أولي","مستوفاة بشكل جزئي")))</f>
        <v>مستوفاة بشكل متقدم</v>
      </c>
      <c r="O313" s="18"/>
    </row>
    <row r="314" spans="1:15">
      <c r="A314" s="16" t="s">
        <v>1118</v>
      </c>
      <c r="B314" s="16" t="s">
        <v>210</v>
      </c>
      <c r="C314" s="15" t="str">
        <f>IFERROR(INDEX('قائمة الوحدات'!$B$2:$B$41,MATCH($B314,'قائمة الوحدات'!$A$2:$A$41,0)),"")</f>
        <v>MIL</v>
      </c>
      <c r="D314" s="14" t="str">
        <f>IFERROR(INDEX('قائمة الوحدات'!$C$2:$C$41,MATCH($B314,'قائمة الوحدات'!$A$2:$A$41,0)),"")</f>
        <v>الجهاز العسكري</v>
      </c>
      <c r="E314" s="14" t="str">
        <f>IFERROR(INDEX('قائمة الوحدات'!$D$2:$D$41,MATCH($B314,'قائمة الوحدات'!$A$2:$A$41,0)),"")</f>
        <v>الإدارة العامة للاتصالات وتقنية المعلومات العسكرية</v>
      </c>
      <c r="F314" s="14" t="str">
        <f>IFERROR(INDEX('قائمة الوحدات'!$F$2:$F$41,MATCH($B314,'قائمة الوحدات'!$A$2:$A$41,0)),"")</f>
        <v>الإدارة العامة للاتصالات وتقنية المعلومات العسكرية</v>
      </c>
      <c r="G314" s="16" t="s">
        <v>61</v>
      </c>
      <c r="H314" s="14" t="str">
        <f>IFERROR(INDEX(المرجع!$A$2:$A$19,MATCH($G314,المرجع!$B$2:$B$19,0)),"")</f>
        <v>البناء المؤسسي</v>
      </c>
      <c r="I314" s="16" t="s">
        <v>51</v>
      </c>
      <c r="J314" s="14" t="str">
        <f>IFERROR(INDEX(المرجع!$D$2:$D$19,MATCH($I314,المرجع!$E$2:$E$19,0)),"")</f>
        <v>الحوكمة</v>
      </c>
      <c r="K314" s="16" t="s">
        <v>96</v>
      </c>
      <c r="L314" s="17" t="str">
        <f>IFERROR(INDEX('نقاط التحقق'!$G$2:$G$31,MATCH($K314,'نقاط التحقق'!$A$2:$A$31,0))&amp;"","")</f>
        <v>قرار تشكيل معتمد للجان ذات العلاقة</v>
      </c>
      <c r="M314" s="13">
        <v>95</v>
      </c>
      <c r="N314" s="15" t="str">
        <f>IF($M314="","غير مقيّمة",IF($M314&gt;المرجع!$K$3,"مستوفاة بشكل متقدم",IF($M314&lt;=المرجع!$K$2,"مستوفاة بشكل أولي","مستوفاة بشكل جزئي")))</f>
        <v>مستوفاة بشكل متقدم</v>
      </c>
      <c r="O314" s="18"/>
    </row>
    <row r="315" spans="1:15">
      <c r="A315" s="16" t="s">
        <v>1119</v>
      </c>
      <c r="B315" s="16" t="s">
        <v>210</v>
      </c>
      <c r="C315" s="15" t="str">
        <f>IFERROR(INDEX('قائمة الوحدات'!$B$2:$B$41,MATCH($B315,'قائمة الوحدات'!$A$2:$A$41,0)),"")</f>
        <v>MIL</v>
      </c>
      <c r="D315" s="14" t="str">
        <f>IFERROR(INDEX('قائمة الوحدات'!$C$2:$C$41,MATCH($B315,'قائمة الوحدات'!$A$2:$A$41,0)),"")</f>
        <v>الجهاز العسكري</v>
      </c>
      <c r="E315" s="14" t="str">
        <f>IFERROR(INDEX('قائمة الوحدات'!$D$2:$D$41,MATCH($B315,'قائمة الوحدات'!$A$2:$A$41,0)),"")</f>
        <v>الإدارة العامة للاتصالات وتقنية المعلومات العسكرية</v>
      </c>
      <c r="F315" s="14" t="str">
        <f>IFERROR(INDEX('قائمة الوحدات'!$F$2:$F$41,MATCH($B315,'قائمة الوحدات'!$A$2:$A$41,0)),"")</f>
        <v>الإدارة العامة للاتصالات وتقنية المعلومات العسكرية</v>
      </c>
      <c r="G315" s="16" t="s">
        <v>61</v>
      </c>
      <c r="H315" s="14" t="str">
        <f>IFERROR(INDEX(المرجع!$A$2:$A$19,MATCH($G315,المرجع!$B$2:$B$19,0)),"")</f>
        <v>البناء المؤسسي</v>
      </c>
      <c r="I315" s="16" t="s">
        <v>54</v>
      </c>
      <c r="J315" s="14" t="str">
        <f>IFERROR(INDEX(المرجع!$D$2:$D$19,MATCH($I315,المرجع!$E$2:$E$19,0)),"")</f>
        <v>التنظيم</v>
      </c>
      <c r="K315" s="16" t="s">
        <v>98</v>
      </c>
      <c r="L315" s="17" t="str">
        <f>IFERROR(INDEX('نقاط التحقق'!$G$2:$G$31,MATCH($K315,'نقاط التحقق'!$A$2:$A$31,0))&amp;"","")</f>
        <v>هيكل تنظيمي معتمد من صاحب الصلاحية</v>
      </c>
      <c r="M315" s="13">
        <v>60</v>
      </c>
      <c r="N315" s="15" t="str">
        <f>IF($M315="","غير مقيّمة",IF($M315&gt;المرجع!$K$3,"مستوفاة بشكل متقدم",IF($M315&lt;=المرجع!$K$2,"مستوفاة بشكل أولي","مستوفاة بشكل جزئي")))</f>
        <v>مستوفاة بشكل جزئي</v>
      </c>
      <c r="O315" s="18"/>
    </row>
    <row r="316" spans="1:15">
      <c r="A316" s="16" t="s">
        <v>1120</v>
      </c>
      <c r="B316" s="16" t="s">
        <v>210</v>
      </c>
      <c r="C316" s="15" t="str">
        <f>IFERROR(INDEX('قائمة الوحدات'!$B$2:$B$41,MATCH($B316,'قائمة الوحدات'!$A$2:$A$41,0)),"")</f>
        <v>MIL</v>
      </c>
      <c r="D316" s="14" t="str">
        <f>IFERROR(INDEX('قائمة الوحدات'!$C$2:$C$41,MATCH($B316,'قائمة الوحدات'!$A$2:$A$41,0)),"")</f>
        <v>الجهاز العسكري</v>
      </c>
      <c r="E316" s="14" t="str">
        <f>IFERROR(INDEX('قائمة الوحدات'!$D$2:$D$41,MATCH($B316,'قائمة الوحدات'!$A$2:$A$41,0)),"")</f>
        <v>الإدارة العامة للاتصالات وتقنية المعلومات العسكرية</v>
      </c>
      <c r="F316" s="14" t="str">
        <f>IFERROR(INDEX('قائمة الوحدات'!$F$2:$F$41,MATCH($B316,'قائمة الوحدات'!$A$2:$A$41,0)),"")</f>
        <v>الإدارة العامة للاتصالات وتقنية المعلومات العسكرية</v>
      </c>
      <c r="G316" s="16" t="s">
        <v>61</v>
      </c>
      <c r="H316" s="14" t="str">
        <f>IFERROR(INDEX(المرجع!$A$2:$A$19,MATCH($G316,المرجع!$B$2:$B$19,0)),"")</f>
        <v>البناء المؤسسي</v>
      </c>
      <c r="I316" s="16" t="s">
        <v>54</v>
      </c>
      <c r="J316" s="14" t="str">
        <f>IFERROR(INDEX(المرجع!$D$2:$D$19,MATCH($I316,المرجع!$E$2:$E$19,0)),"")</f>
        <v>التنظيم</v>
      </c>
      <c r="K316" s="16" t="s">
        <v>100</v>
      </c>
      <c r="L316" s="17" t="str">
        <f>IFERROR(INDEX('نقاط التحقق'!$G$2:$G$31,MATCH($K316,'نقاط التحقق'!$A$2:$A$31,0))&amp;"","")</f>
        <v>هيكل تنظيمي منشأ على نظام القوى العاملة</v>
      </c>
      <c r="M316" s="13">
        <v>65</v>
      </c>
      <c r="N316" s="15" t="str">
        <f>IF($M316="","غير مقيّمة",IF($M316&gt;المرجع!$K$3,"مستوفاة بشكل متقدم",IF($M316&lt;=المرجع!$K$2,"مستوفاة بشكل أولي","مستوفاة بشكل جزئي")))</f>
        <v>مستوفاة بشكل جزئي</v>
      </c>
      <c r="O316" s="18"/>
    </row>
    <row r="317" spans="1:15">
      <c r="A317" s="16" t="s">
        <v>1121</v>
      </c>
      <c r="B317" s="16" t="s">
        <v>210</v>
      </c>
      <c r="C317" s="15" t="str">
        <f>IFERROR(INDEX('قائمة الوحدات'!$B$2:$B$41,MATCH($B317,'قائمة الوحدات'!$A$2:$A$41,0)),"")</f>
        <v>MIL</v>
      </c>
      <c r="D317" s="14" t="str">
        <f>IFERROR(INDEX('قائمة الوحدات'!$C$2:$C$41,MATCH($B317,'قائمة الوحدات'!$A$2:$A$41,0)),"")</f>
        <v>الجهاز العسكري</v>
      </c>
      <c r="E317" s="14" t="str">
        <f>IFERROR(INDEX('قائمة الوحدات'!$D$2:$D$41,MATCH($B317,'قائمة الوحدات'!$A$2:$A$41,0)),"")</f>
        <v>الإدارة العامة للاتصالات وتقنية المعلومات العسكرية</v>
      </c>
      <c r="F317" s="14" t="str">
        <f>IFERROR(INDEX('قائمة الوحدات'!$F$2:$F$41,MATCH($B317,'قائمة الوحدات'!$A$2:$A$41,0)),"")</f>
        <v>الإدارة العامة للاتصالات وتقنية المعلومات العسكرية</v>
      </c>
      <c r="G317" s="16" t="s">
        <v>61</v>
      </c>
      <c r="H317" s="14" t="str">
        <f>IFERROR(INDEX(المرجع!$A$2:$A$19,MATCH($G317,المرجع!$B$2:$B$19,0)),"")</f>
        <v>البناء المؤسسي</v>
      </c>
      <c r="I317" s="16" t="s">
        <v>54</v>
      </c>
      <c r="J317" s="14" t="str">
        <f>IFERROR(INDEX(المرجع!$D$2:$D$19,MATCH($I317,المرجع!$E$2:$E$19,0)),"")</f>
        <v>التنظيم</v>
      </c>
      <c r="K317" s="16" t="s">
        <v>102</v>
      </c>
      <c r="L317" s="17" t="str">
        <f>IFERROR(INDEX('نقاط التحقق'!$G$2:$G$31,MATCH($K317,'نقاط التحقق'!$A$2:$A$31,0))&amp;"","")</f>
        <v>الموظفون المحددون مسكّنون على الهيكل التنظيمي المستهدف</v>
      </c>
      <c r="M317" s="13">
        <v>40</v>
      </c>
      <c r="N317" s="15" t="str">
        <f>IF($M317="","غير مقيّمة",IF($M317&gt;المرجع!$K$3,"مستوفاة بشكل متقدم",IF($M317&lt;=المرجع!$K$2,"مستوفاة بشكل أولي","مستوفاة بشكل جزئي")))</f>
        <v>مستوفاة بشكل جزئي</v>
      </c>
      <c r="O317" s="18"/>
    </row>
    <row r="318" spans="1:15">
      <c r="A318" s="16" t="s">
        <v>1122</v>
      </c>
      <c r="B318" s="16" t="s">
        <v>210</v>
      </c>
      <c r="C318" s="15" t="str">
        <f>IFERROR(INDEX('قائمة الوحدات'!$B$2:$B$41,MATCH($B318,'قائمة الوحدات'!$A$2:$A$41,0)),"")</f>
        <v>MIL</v>
      </c>
      <c r="D318" s="14" t="str">
        <f>IFERROR(INDEX('قائمة الوحدات'!$C$2:$C$41,MATCH($B318,'قائمة الوحدات'!$A$2:$A$41,0)),"")</f>
        <v>الجهاز العسكري</v>
      </c>
      <c r="E318" s="14" t="str">
        <f>IFERROR(INDEX('قائمة الوحدات'!$D$2:$D$41,MATCH($B318,'قائمة الوحدات'!$A$2:$A$41,0)),"")</f>
        <v>الإدارة العامة للاتصالات وتقنية المعلومات العسكرية</v>
      </c>
      <c r="F318" s="14" t="str">
        <f>IFERROR(INDEX('قائمة الوحدات'!$F$2:$F$41,MATCH($B318,'قائمة الوحدات'!$A$2:$A$41,0)),"")</f>
        <v>الإدارة العامة للاتصالات وتقنية المعلومات العسكرية</v>
      </c>
      <c r="G318" s="16" t="s">
        <v>61</v>
      </c>
      <c r="H318" s="14" t="str">
        <f>IFERROR(INDEX(المرجع!$A$2:$A$19,MATCH($G318,المرجع!$B$2:$B$19,0)),"")</f>
        <v>البناء المؤسسي</v>
      </c>
      <c r="I318" s="16" t="s">
        <v>56</v>
      </c>
      <c r="J318" s="14" t="str">
        <f>IFERROR(INDEX(المرجع!$D$2:$D$19,MATCH($I318,المرجع!$E$2:$E$19,0)),"")</f>
        <v>الموارد</v>
      </c>
      <c r="K318" s="16" t="s">
        <v>104</v>
      </c>
      <c r="L318" s="17" t="str">
        <f>IFERROR(INDEX('نقاط التحقق'!$G$2:$G$31,MATCH($K318,'نقاط التحقق'!$A$2:$A$31,0))&amp;"","")</f>
        <v>مدير الوحدة التنظيمية والموظفون الرئيسيون معينون/ملحقون</v>
      </c>
      <c r="M318" s="13">
        <v>75</v>
      </c>
      <c r="N318" s="15" t="str">
        <f>IF($M318="","غير مقيّمة",IF($M318&gt;المرجع!$K$3,"مستوفاة بشكل متقدم",IF($M318&lt;=المرجع!$K$2,"مستوفاة بشكل أولي","مستوفاة بشكل جزئي")))</f>
        <v>مستوفاة بشكل متقدم</v>
      </c>
      <c r="O318" s="18"/>
    </row>
    <row r="319" spans="1:15">
      <c r="A319" s="16" t="s">
        <v>1123</v>
      </c>
      <c r="B319" s="16" t="s">
        <v>210</v>
      </c>
      <c r="C319" s="15" t="str">
        <f>IFERROR(INDEX('قائمة الوحدات'!$B$2:$B$41,MATCH($B319,'قائمة الوحدات'!$A$2:$A$41,0)),"")</f>
        <v>MIL</v>
      </c>
      <c r="D319" s="14" t="str">
        <f>IFERROR(INDEX('قائمة الوحدات'!$C$2:$C$41,MATCH($B319,'قائمة الوحدات'!$A$2:$A$41,0)),"")</f>
        <v>الجهاز العسكري</v>
      </c>
      <c r="E319" s="14" t="str">
        <f>IFERROR(INDEX('قائمة الوحدات'!$D$2:$D$41,MATCH($B319,'قائمة الوحدات'!$A$2:$A$41,0)),"")</f>
        <v>الإدارة العامة للاتصالات وتقنية المعلومات العسكرية</v>
      </c>
      <c r="F319" s="14" t="str">
        <f>IFERROR(INDEX('قائمة الوحدات'!$F$2:$F$41,MATCH($B319,'قائمة الوحدات'!$A$2:$A$41,0)),"")</f>
        <v>الإدارة العامة للاتصالات وتقنية المعلومات العسكرية</v>
      </c>
      <c r="G319" s="16" t="s">
        <v>61</v>
      </c>
      <c r="H319" s="14" t="str">
        <f>IFERROR(INDEX(المرجع!$A$2:$A$19,MATCH($G319,المرجع!$B$2:$B$19,0)),"")</f>
        <v>البناء المؤسسي</v>
      </c>
      <c r="I319" s="16" t="s">
        <v>56</v>
      </c>
      <c r="J319" s="14" t="str">
        <f>IFERROR(INDEX(المرجع!$D$2:$D$19,MATCH($I319,المرجع!$E$2:$E$19,0)),"")</f>
        <v>الموارد</v>
      </c>
      <c r="K319" s="16" t="s">
        <v>106</v>
      </c>
      <c r="L319" s="17" t="str">
        <f>IFERROR(INDEX('نقاط التحقق'!$G$2:$G$31,MATCH($K319,'نقاط التحقق'!$A$2:$A$31,0))&amp;"","")</f>
        <v>خطة توظيف وتدريب مستكملة</v>
      </c>
      <c r="M319" s="13">
        <v>80</v>
      </c>
      <c r="N319" s="15" t="str">
        <f>IF($M319="","غير مقيّمة",IF($M319&gt;المرجع!$K$3,"مستوفاة بشكل متقدم",IF($M319&lt;=المرجع!$K$2,"مستوفاة بشكل أولي","مستوفاة بشكل جزئي")))</f>
        <v>مستوفاة بشكل متقدم</v>
      </c>
      <c r="O319" s="18"/>
    </row>
    <row r="320" spans="1:15">
      <c r="A320" s="16" t="s">
        <v>1124</v>
      </c>
      <c r="B320" s="16" t="s">
        <v>210</v>
      </c>
      <c r="C320" s="15" t="str">
        <f>IFERROR(INDEX('قائمة الوحدات'!$B$2:$B$41,MATCH($B320,'قائمة الوحدات'!$A$2:$A$41,0)),"")</f>
        <v>MIL</v>
      </c>
      <c r="D320" s="14" t="str">
        <f>IFERROR(INDEX('قائمة الوحدات'!$C$2:$C$41,MATCH($B320,'قائمة الوحدات'!$A$2:$A$41,0)),"")</f>
        <v>الجهاز العسكري</v>
      </c>
      <c r="E320" s="14" t="str">
        <f>IFERROR(INDEX('قائمة الوحدات'!$D$2:$D$41,MATCH($B320,'قائمة الوحدات'!$A$2:$A$41,0)),"")</f>
        <v>الإدارة العامة للاتصالات وتقنية المعلومات العسكرية</v>
      </c>
      <c r="F320" s="14" t="str">
        <f>IFERROR(INDEX('قائمة الوحدات'!$F$2:$F$41,MATCH($B320,'قائمة الوحدات'!$A$2:$A$41,0)),"")</f>
        <v>الإدارة العامة للاتصالات وتقنية المعلومات العسكرية</v>
      </c>
      <c r="G320" s="16" t="s">
        <v>61</v>
      </c>
      <c r="H320" s="14" t="str">
        <f>IFERROR(INDEX(المرجع!$A$2:$A$19,MATCH($G320,المرجع!$B$2:$B$19,0)),"")</f>
        <v>البناء المؤسسي</v>
      </c>
      <c r="I320" s="16" t="s">
        <v>56</v>
      </c>
      <c r="J320" s="14" t="str">
        <f>IFERROR(INDEX(المرجع!$D$2:$D$19,MATCH($I320,المرجع!$E$2:$E$19,0)),"")</f>
        <v>الموارد</v>
      </c>
      <c r="K320" s="16" t="s">
        <v>108</v>
      </c>
      <c r="L320" s="17" t="str">
        <f>IFERROR(INDEX('نقاط التحقق'!$G$2:$G$31,MATCH($K320,'نقاط التحقق'!$A$2:$A$31,0))&amp;"","")</f>
        <v>وجود مساحات مكتبية كافية</v>
      </c>
      <c r="M320" s="13">
        <v>80</v>
      </c>
      <c r="N320" s="15" t="str">
        <f>IF($M320="","غير مقيّمة",IF($M320&gt;المرجع!$K$3,"مستوفاة بشكل متقدم",IF($M320&lt;=المرجع!$K$2,"مستوفاة بشكل أولي","مستوفاة بشكل جزئي")))</f>
        <v>مستوفاة بشكل متقدم</v>
      </c>
      <c r="O320" s="18"/>
    </row>
    <row r="321" spans="1:15">
      <c r="A321" s="16" t="s">
        <v>1125</v>
      </c>
      <c r="B321" s="16" t="s">
        <v>210</v>
      </c>
      <c r="C321" s="15" t="str">
        <f>IFERROR(INDEX('قائمة الوحدات'!$B$2:$B$41,MATCH($B321,'قائمة الوحدات'!$A$2:$A$41,0)),"")</f>
        <v>MIL</v>
      </c>
      <c r="D321" s="14" t="str">
        <f>IFERROR(INDEX('قائمة الوحدات'!$C$2:$C$41,MATCH($B321,'قائمة الوحدات'!$A$2:$A$41,0)),"")</f>
        <v>الجهاز العسكري</v>
      </c>
      <c r="E321" s="14" t="str">
        <f>IFERROR(INDEX('قائمة الوحدات'!$D$2:$D$41,MATCH($B321,'قائمة الوحدات'!$A$2:$A$41,0)),"")</f>
        <v>الإدارة العامة للاتصالات وتقنية المعلومات العسكرية</v>
      </c>
      <c r="F321" s="14" t="str">
        <f>IFERROR(INDEX('قائمة الوحدات'!$F$2:$F$41,MATCH($B321,'قائمة الوحدات'!$A$2:$A$41,0)),"")</f>
        <v>الإدارة العامة للاتصالات وتقنية المعلومات العسكرية</v>
      </c>
      <c r="G321" s="16" t="s">
        <v>61</v>
      </c>
      <c r="H321" s="14" t="str">
        <f>IFERROR(INDEX(المرجع!$A$2:$A$19,MATCH($G321,المرجع!$B$2:$B$19,0)),"")</f>
        <v>البناء المؤسسي</v>
      </c>
      <c r="I321" s="16" t="s">
        <v>56</v>
      </c>
      <c r="J321" s="14" t="str">
        <f>IFERROR(INDEX(المرجع!$D$2:$D$19,MATCH($I321,المرجع!$E$2:$E$19,0)),"")</f>
        <v>الموارد</v>
      </c>
      <c r="K321" s="16" t="s">
        <v>110</v>
      </c>
      <c r="L321" s="17" t="str">
        <f>IFERROR(INDEX('نقاط التحقق'!$G$2:$G$31,MATCH($K321,'نقاط التحقق'!$A$2:$A$31,0))&amp;"","")</f>
        <v>وجود الاحتياجات التقنية الأساسية</v>
      </c>
      <c r="M321" s="13">
        <v>70</v>
      </c>
      <c r="N321" s="15" t="str">
        <f>IF($M321="","غير مقيّمة",IF($M321&gt;المرجع!$K$3,"مستوفاة بشكل متقدم",IF($M321&lt;=المرجع!$K$2,"مستوفاة بشكل أولي","مستوفاة بشكل جزئي")))</f>
        <v>مستوفاة بشكل جزئي</v>
      </c>
      <c r="O321" s="18"/>
    </row>
    <row r="322" spans="1:15">
      <c r="A322" s="16" t="s">
        <v>1126</v>
      </c>
      <c r="B322" s="16" t="s">
        <v>210</v>
      </c>
      <c r="C322" s="15" t="str">
        <f>IFERROR(INDEX('قائمة الوحدات'!$B$2:$B$41,MATCH($B322,'قائمة الوحدات'!$A$2:$A$41,0)),"")</f>
        <v>MIL</v>
      </c>
      <c r="D322" s="14" t="str">
        <f>IFERROR(INDEX('قائمة الوحدات'!$C$2:$C$41,MATCH($B322,'قائمة الوحدات'!$A$2:$A$41,0)),"")</f>
        <v>الجهاز العسكري</v>
      </c>
      <c r="E322" s="14" t="str">
        <f>IFERROR(INDEX('قائمة الوحدات'!$D$2:$D$41,MATCH($B322,'قائمة الوحدات'!$A$2:$A$41,0)),"")</f>
        <v>الإدارة العامة للاتصالات وتقنية المعلومات العسكرية</v>
      </c>
      <c r="F322" s="14" t="str">
        <f>IFERROR(INDEX('قائمة الوحدات'!$F$2:$F$41,MATCH($B322,'قائمة الوحدات'!$A$2:$A$41,0)),"")</f>
        <v>الإدارة العامة للاتصالات وتقنية المعلومات العسكرية</v>
      </c>
      <c r="G322" s="16" t="s">
        <v>61</v>
      </c>
      <c r="H322" s="14" t="str">
        <f>IFERROR(INDEX(المرجع!$A$2:$A$19,MATCH($G322,المرجع!$B$2:$B$19,0)),"")</f>
        <v>البناء المؤسسي</v>
      </c>
      <c r="I322" s="16" t="s">
        <v>59</v>
      </c>
      <c r="J322" s="14" t="str">
        <f>IFERROR(INDEX(المرجع!$D$2:$D$19,MATCH($I322,المرجع!$E$2:$E$19,0)),"")</f>
        <v>الإجراءات</v>
      </c>
      <c r="K322" s="16" t="s">
        <v>112</v>
      </c>
      <c r="L322" s="17" t="str">
        <f>IFERROR(INDEX('نقاط التحقق'!$G$2:$G$31,MATCH($K322,'نقاط التحقق'!$A$2:$A$31,0))&amp;"","")</f>
        <v>إجراءات معتمدة للوحدة التنظيمية</v>
      </c>
      <c r="M322" s="13">
        <v>77</v>
      </c>
      <c r="N322" s="15" t="str">
        <f>IF($M322="","غير مقيّمة",IF($M322&gt;المرجع!$K$3,"مستوفاة بشكل متقدم",IF($M322&lt;=المرجع!$K$2,"مستوفاة بشكل أولي","مستوفاة بشكل جزئي")))</f>
        <v>مستوفاة بشكل متقدم</v>
      </c>
      <c r="O322" s="18"/>
    </row>
    <row r="323" spans="1:15">
      <c r="A323" s="16" t="s">
        <v>1127</v>
      </c>
      <c r="B323" s="16" t="s">
        <v>210</v>
      </c>
      <c r="C323" s="15" t="str">
        <f>IFERROR(INDEX('قائمة الوحدات'!$B$2:$B$41,MATCH($B323,'قائمة الوحدات'!$A$2:$A$41,0)),"")</f>
        <v>MIL</v>
      </c>
      <c r="D323" s="14" t="str">
        <f>IFERROR(INDEX('قائمة الوحدات'!$C$2:$C$41,MATCH($B323,'قائمة الوحدات'!$A$2:$A$41,0)),"")</f>
        <v>الجهاز العسكري</v>
      </c>
      <c r="E323" s="14" t="str">
        <f>IFERROR(INDEX('قائمة الوحدات'!$D$2:$D$41,MATCH($B323,'قائمة الوحدات'!$A$2:$A$41,0)),"")</f>
        <v>الإدارة العامة للاتصالات وتقنية المعلومات العسكرية</v>
      </c>
      <c r="F323" s="14" t="str">
        <f>IFERROR(INDEX('قائمة الوحدات'!$F$2:$F$41,MATCH($B323,'قائمة الوحدات'!$A$2:$A$41,0)),"")</f>
        <v>الإدارة العامة للاتصالات وتقنية المعلومات العسكرية</v>
      </c>
      <c r="G323" s="16" t="s">
        <v>61</v>
      </c>
      <c r="H323" s="14" t="str">
        <f>IFERROR(INDEX(المرجع!$A$2:$A$19,MATCH($G323,المرجع!$B$2:$B$19,0)),"")</f>
        <v>البناء المؤسسي</v>
      </c>
      <c r="I323" s="16" t="s">
        <v>63</v>
      </c>
      <c r="J323" s="14" t="str">
        <f>IFERROR(INDEX(المرجع!$D$2:$D$19,MATCH($I323,المرجع!$E$2:$E$19,0)),"")</f>
        <v>إنتاج المخرج الأول</v>
      </c>
      <c r="K323" s="16" t="s">
        <v>114</v>
      </c>
      <c r="L323" s="17" t="str">
        <f>IFERROR(INDEX('نقاط التحقق'!$G$2:$G$31,MATCH($K323,'نقاط التحقق'!$A$2:$A$31,0))&amp;"","")</f>
        <v>إنتاج المخرج الأول من قبل الوحدة التنظيمية</v>
      </c>
      <c r="M323" s="13">
        <v>83</v>
      </c>
      <c r="N323" s="15" t="str">
        <f>IF($M323="","غير مقيّمة",IF($M323&gt;المرجع!$K$3,"مستوفاة بشكل متقدم",IF($M323&lt;=المرجع!$K$2,"مستوفاة بشكل أولي","مستوفاة بشكل جزئي")))</f>
        <v>مستوفاة بشكل متقدم</v>
      </c>
      <c r="O323" s="18"/>
    </row>
    <row r="324" spans="1:15">
      <c r="A324" s="16" t="s">
        <v>1128</v>
      </c>
      <c r="B324" s="16" t="s">
        <v>210</v>
      </c>
      <c r="C324" s="15" t="str">
        <f>IFERROR(INDEX('قائمة الوحدات'!$B$2:$B$41,MATCH($B324,'قائمة الوحدات'!$A$2:$A$41,0)),"")</f>
        <v>MIL</v>
      </c>
      <c r="D324" s="14" t="str">
        <f>IFERROR(INDEX('قائمة الوحدات'!$C$2:$C$41,MATCH($B324,'قائمة الوحدات'!$A$2:$A$41,0)),"")</f>
        <v>الجهاز العسكري</v>
      </c>
      <c r="E324" s="14" t="str">
        <f>IFERROR(INDEX('قائمة الوحدات'!$D$2:$D$41,MATCH($B324,'قائمة الوحدات'!$A$2:$A$41,0)),"")</f>
        <v>الإدارة العامة للاتصالات وتقنية المعلومات العسكرية</v>
      </c>
      <c r="F324" s="14" t="str">
        <f>IFERROR(INDEX('قائمة الوحدات'!$F$2:$F$41,MATCH($B324,'قائمة الوحدات'!$A$2:$A$41,0)),"")</f>
        <v>الإدارة العامة للاتصالات وتقنية المعلومات العسكرية</v>
      </c>
      <c r="G324" s="16" t="s">
        <v>65</v>
      </c>
      <c r="H324" s="14" t="str">
        <f>IFERROR(INDEX(المرجع!$A$2:$A$19,MATCH($G324,المرجع!$B$2:$B$19,0)),"")</f>
        <v>التشغيل</v>
      </c>
      <c r="I324" s="16" t="s">
        <v>48</v>
      </c>
      <c r="J324" s="14" t="str">
        <f>IFERROR(INDEX(المرجع!$D$2:$D$19,MATCH($I324,المرجع!$E$2:$E$19,0)),"")</f>
        <v>الأهداف ومؤشرات الأداء</v>
      </c>
      <c r="K324" s="16" t="s">
        <v>116</v>
      </c>
      <c r="L324" s="17" t="str">
        <f>IFERROR(INDEX('نقاط التحقق'!$G$2:$G$31,MATCH($K324,'نقاط التحقق'!$A$2:$A$31,0))&amp;"","")</f>
        <v>تحرك مؤشرات الأداء التشغيلي للوحدة التنظيمية بشكل إيجابي</v>
      </c>
      <c r="M324" s="13">
        <v>35</v>
      </c>
      <c r="N324" s="15" t="str">
        <f>IF($M324="","غير مقيّمة",IF($M324&gt;المرجع!$K$3,"مستوفاة بشكل متقدم",IF($M324&lt;=المرجع!$K$2,"مستوفاة بشكل أولي","مستوفاة بشكل جزئي")))</f>
        <v>مستوفاة بشكل جزئي</v>
      </c>
      <c r="O324" s="18"/>
    </row>
    <row r="325" spans="1:15">
      <c r="A325" s="16" t="s">
        <v>1129</v>
      </c>
      <c r="B325" s="16" t="s">
        <v>210</v>
      </c>
      <c r="C325" s="15" t="str">
        <f>IFERROR(INDEX('قائمة الوحدات'!$B$2:$B$41,MATCH($B325,'قائمة الوحدات'!$A$2:$A$41,0)),"")</f>
        <v>MIL</v>
      </c>
      <c r="D325" s="14" t="str">
        <f>IFERROR(INDEX('قائمة الوحدات'!$C$2:$C$41,MATCH($B325,'قائمة الوحدات'!$A$2:$A$41,0)),"")</f>
        <v>الجهاز العسكري</v>
      </c>
      <c r="E325" s="14" t="str">
        <f>IFERROR(INDEX('قائمة الوحدات'!$D$2:$D$41,MATCH($B325,'قائمة الوحدات'!$A$2:$A$41,0)),"")</f>
        <v>الإدارة العامة للاتصالات وتقنية المعلومات العسكرية</v>
      </c>
      <c r="F325" s="14" t="str">
        <f>IFERROR(INDEX('قائمة الوحدات'!$F$2:$F$41,MATCH($B325,'قائمة الوحدات'!$A$2:$A$41,0)),"")</f>
        <v>الإدارة العامة للاتصالات وتقنية المعلومات العسكرية</v>
      </c>
      <c r="G325" s="16" t="s">
        <v>65</v>
      </c>
      <c r="H325" s="14" t="str">
        <f>IFERROR(INDEX(المرجع!$A$2:$A$19,MATCH($G325,المرجع!$B$2:$B$19,0)),"")</f>
        <v>التشغيل</v>
      </c>
      <c r="I325" s="16" t="s">
        <v>48</v>
      </c>
      <c r="J325" s="14" t="str">
        <f>IFERROR(INDEX(المرجع!$D$2:$D$19,MATCH($I325,المرجع!$E$2:$E$19,0)),"")</f>
        <v>الأهداف ومؤشرات الأداء</v>
      </c>
      <c r="K325" s="16" t="s">
        <v>118</v>
      </c>
      <c r="L325" s="17" t="str">
        <f>IFERROR(INDEX('نقاط التحقق'!$G$2:$G$31,MATCH($K325,'نقاط التحقق'!$A$2:$A$31,0))&amp;"","")</f>
        <v>خطة سنوية معتمدة للوحدة التنظيمية</v>
      </c>
      <c r="M325" s="13">
        <v>40</v>
      </c>
      <c r="N325" s="15" t="str">
        <f>IF($M325="","غير مقيّمة",IF($M325&gt;المرجع!$K$3,"مستوفاة بشكل متقدم",IF($M325&lt;=المرجع!$K$2,"مستوفاة بشكل أولي","مستوفاة بشكل جزئي")))</f>
        <v>مستوفاة بشكل جزئي</v>
      </c>
      <c r="O325" s="18"/>
    </row>
    <row r="326" spans="1:15">
      <c r="A326" s="16" t="s">
        <v>1130</v>
      </c>
      <c r="B326" s="16" t="s">
        <v>210</v>
      </c>
      <c r="C326" s="15" t="str">
        <f>IFERROR(INDEX('قائمة الوحدات'!$B$2:$B$41,MATCH($B326,'قائمة الوحدات'!$A$2:$A$41,0)),"")</f>
        <v>MIL</v>
      </c>
      <c r="D326" s="14" t="str">
        <f>IFERROR(INDEX('قائمة الوحدات'!$C$2:$C$41,MATCH($B326,'قائمة الوحدات'!$A$2:$A$41,0)),"")</f>
        <v>الجهاز العسكري</v>
      </c>
      <c r="E326" s="14" t="str">
        <f>IFERROR(INDEX('قائمة الوحدات'!$D$2:$D$41,MATCH($B326,'قائمة الوحدات'!$A$2:$A$41,0)),"")</f>
        <v>الإدارة العامة للاتصالات وتقنية المعلومات العسكرية</v>
      </c>
      <c r="F326" s="14" t="str">
        <f>IFERROR(INDEX('قائمة الوحدات'!$F$2:$F$41,MATCH($B326,'قائمة الوحدات'!$A$2:$A$41,0)),"")</f>
        <v>الإدارة العامة للاتصالات وتقنية المعلومات العسكرية</v>
      </c>
      <c r="G326" s="16" t="s">
        <v>65</v>
      </c>
      <c r="H326" s="14" t="str">
        <f>IFERROR(INDEX(المرجع!$A$2:$A$19,MATCH($G326,المرجع!$B$2:$B$19,0)),"")</f>
        <v>التشغيل</v>
      </c>
      <c r="I326" s="16" t="s">
        <v>51</v>
      </c>
      <c r="J326" s="14" t="str">
        <f>IFERROR(INDEX(المرجع!$D$2:$D$19,MATCH($I326,المرجع!$E$2:$E$19,0)),"")</f>
        <v>الحوكمة</v>
      </c>
      <c r="K326" s="16" t="s">
        <v>120</v>
      </c>
      <c r="L326" s="17" t="str">
        <f>IFERROR(INDEX('نقاط التحقق'!$G$2:$G$31,MATCH($K326,'نقاط التحقق'!$A$2:$A$31,0))&amp;"","")</f>
        <v>محاضر لجان موثقة</v>
      </c>
      <c r="M326" s="13">
        <v>55</v>
      </c>
      <c r="N326" s="15" t="str">
        <f>IF($M326="","غير مقيّمة",IF($M326&gt;المرجع!$K$3,"مستوفاة بشكل متقدم",IF($M326&lt;=المرجع!$K$2,"مستوفاة بشكل أولي","مستوفاة بشكل جزئي")))</f>
        <v>مستوفاة بشكل جزئي</v>
      </c>
      <c r="O326" s="18"/>
    </row>
    <row r="327" spans="1:15">
      <c r="A327" s="16" t="s">
        <v>1131</v>
      </c>
      <c r="B327" s="16" t="s">
        <v>210</v>
      </c>
      <c r="C327" s="15" t="str">
        <f>IFERROR(INDEX('قائمة الوحدات'!$B$2:$B$41,MATCH($B327,'قائمة الوحدات'!$A$2:$A$41,0)),"")</f>
        <v>MIL</v>
      </c>
      <c r="D327" s="14" t="str">
        <f>IFERROR(INDEX('قائمة الوحدات'!$C$2:$C$41,MATCH($B327,'قائمة الوحدات'!$A$2:$A$41,0)),"")</f>
        <v>الجهاز العسكري</v>
      </c>
      <c r="E327" s="14" t="str">
        <f>IFERROR(INDEX('قائمة الوحدات'!$D$2:$D$41,MATCH($B327,'قائمة الوحدات'!$A$2:$A$41,0)),"")</f>
        <v>الإدارة العامة للاتصالات وتقنية المعلومات العسكرية</v>
      </c>
      <c r="F327" s="14" t="str">
        <f>IFERROR(INDEX('قائمة الوحدات'!$F$2:$F$41,MATCH($B327,'قائمة الوحدات'!$A$2:$A$41,0)),"")</f>
        <v>الإدارة العامة للاتصالات وتقنية المعلومات العسكرية</v>
      </c>
      <c r="G327" s="16" t="s">
        <v>65</v>
      </c>
      <c r="H327" s="14" t="str">
        <f>IFERROR(INDEX(المرجع!$A$2:$A$19,MATCH($G327,المرجع!$B$2:$B$19,0)),"")</f>
        <v>التشغيل</v>
      </c>
      <c r="I327" s="16" t="s">
        <v>51</v>
      </c>
      <c r="J327" s="14" t="str">
        <f>IFERROR(INDEX(المرجع!$D$2:$D$19,MATCH($I327,المرجع!$E$2:$E$19,0)),"")</f>
        <v>الحوكمة</v>
      </c>
      <c r="K327" s="16" t="s">
        <v>122</v>
      </c>
      <c r="L327" s="17" t="str">
        <f>IFERROR(INDEX('نقاط التحقق'!$G$2:$G$31,MATCH($K327,'نقاط التحقق'!$A$2:$A$31,0))&amp;"","")</f>
        <v>نشر السياسات التي تملكها الوحدة التنظيمية</v>
      </c>
      <c r="M327" s="13">
        <v>70</v>
      </c>
      <c r="N327" s="15" t="str">
        <f>IF($M327="","غير مقيّمة",IF($M327&gt;المرجع!$K$3,"مستوفاة بشكل متقدم",IF($M327&lt;=المرجع!$K$2,"مستوفاة بشكل أولي","مستوفاة بشكل جزئي")))</f>
        <v>مستوفاة بشكل جزئي</v>
      </c>
      <c r="O327" s="18"/>
    </row>
    <row r="328" spans="1:15">
      <c r="A328" s="16" t="s">
        <v>1132</v>
      </c>
      <c r="B328" s="16" t="s">
        <v>210</v>
      </c>
      <c r="C328" s="15" t="str">
        <f>IFERROR(INDEX('قائمة الوحدات'!$B$2:$B$41,MATCH($B328,'قائمة الوحدات'!$A$2:$A$41,0)),"")</f>
        <v>MIL</v>
      </c>
      <c r="D328" s="14" t="str">
        <f>IFERROR(INDEX('قائمة الوحدات'!$C$2:$C$41,MATCH($B328,'قائمة الوحدات'!$A$2:$A$41,0)),"")</f>
        <v>الجهاز العسكري</v>
      </c>
      <c r="E328" s="14" t="str">
        <f>IFERROR(INDEX('قائمة الوحدات'!$D$2:$D$41,MATCH($B328,'قائمة الوحدات'!$A$2:$A$41,0)),"")</f>
        <v>الإدارة العامة للاتصالات وتقنية المعلومات العسكرية</v>
      </c>
      <c r="F328" s="14" t="str">
        <f>IFERROR(INDEX('قائمة الوحدات'!$F$2:$F$41,MATCH($B328,'قائمة الوحدات'!$A$2:$A$41,0)),"")</f>
        <v>الإدارة العامة للاتصالات وتقنية المعلومات العسكرية</v>
      </c>
      <c r="G328" s="16" t="s">
        <v>65</v>
      </c>
      <c r="H328" s="14" t="str">
        <f>IFERROR(INDEX(المرجع!$A$2:$A$19,MATCH($G328,المرجع!$B$2:$B$19,0)),"")</f>
        <v>التشغيل</v>
      </c>
      <c r="I328" s="16" t="s">
        <v>51</v>
      </c>
      <c r="J328" s="14" t="str">
        <f>IFERROR(INDEX(المرجع!$D$2:$D$19,MATCH($I328,المرجع!$E$2:$E$19,0)),"")</f>
        <v>الحوكمة</v>
      </c>
      <c r="K328" s="16" t="s">
        <v>124</v>
      </c>
      <c r="L328" s="17" t="str">
        <f>IFERROR(INDEX('نقاط التحقق'!$G$2:$G$31,MATCH($K328,'نقاط التحقق'!$A$2:$A$31,0))&amp;"","")</f>
        <v>اتخاذ القرارات في نطاق الصلاحيات (وجود شواهد)</v>
      </c>
      <c r="M328" s="13">
        <v>55</v>
      </c>
      <c r="N328" s="15" t="str">
        <f>IF($M328="","غير مقيّمة",IF($M328&gt;المرجع!$K$3,"مستوفاة بشكل متقدم",IF($M328&lt;=المرجع!$K$2,"مستوفاة بشكل أولي","مستوفاة بشكل جزئي")))</f>
        <v>مستوفاة بشكل جزئي</v>
      </c>
      <c r="O328" s="18"/>
    </row>
    <row r="329" spans="1:15">
      <c r="A329" s="16" t="s">
        <v>1133</v>
      </c>
      <c r="B329" s="16" t="s">
        <v>210</v>
      </c>
      <c r="C329" s="15" t="str">
        <f>IFERROR(INDEX('قائمة الوحدات'!$B$2:$B$41,MATCH($B329,'قائمة الوحدات'!$A$2:$A$41,0)),"")</f>
        <v>MIL</v>
      </c>
      <c r="D329" s="14" t="str">
        <f>IFERROR(INDEX('قائمة الوحدات'!$C$2:$C$41,MATCH($B329,'قائمة الوحدات'!$A$2:$A$41,0)),"")</f>
        <v>الجهاز العسكري</v>
      </c>
      <c r="E329" s="14" t="str">
        <f>IFERROR(INDEX('قائمة الوحدات'!$D$2:$D$41,MATCH($B329,'قائمة الوحدات'!$A$2:$A$41,0)),"")</f>
        <v>الإدارة العامة للاتصالات وتقنية المعلومات العسكرية</v>
      </c>
      <c r="F329" s="14" t="str">
        <f>IFERROR(INDEX('قائمة الوحدات'!$F$2:$F$41,MATCH($B329,'قائمة الوحدات'!$A$2:$A$41,0)),"")</f>
        <v>الإدارة العامة للاتصالات وتقنية المعلومات العسكرية</v>
      </c>
      <c r="G329" s="16" t="s">
        <v>65</v>
      </c>
      <c r="H329" s="14" t="str">
        <f>IFERROR(INDEX(المرجع!$A$2:$A$19,MATCH($G329,المرجع!$B$2:$B$19,0)),"")</f>
        <v>التشغيل</v>
      </c>
      <c r="I329" s="16" t="s">
        <v>56</v>
      </c>
      <c r="J329" s="14" t="str">
        <f>IFERROR(INDEX(المرجع!$D$2:$D$19,MATCH($I329,المرجع!$E$2:$E$19,0)),"")</f>
        <v>الموارد</v>
      </c>
      <c r="K329" s="16" t="s">
        <v>126</v>
      </c>
      <c r="L329" s="17" t="str">
        <f>IFERROR(INDEX('نقاط التحقق'!$G$2:$G$31,MATCH($K329,'نقاط التحقق'!$A$2:$A$31,0))&amp;"","")</f>
        <v>موارد مستكملة للحد الأدنى الذي يغطي كافة محاور سلسلة القيمة</v>
      </c>
      <c r="M329" s="13">
        <v>37</v>
      </c>
      <c r="N329" s="15" t="str">
        <f>IF($M329="","غير مقيّمة",IF($M329&gt;المرجع!$K$3,"مستوفاة بشكل متقدم",IF($M329&lt;=المرجع!$K$2,"مستوفاة بشكل أولي","مستوفاة بشكل جزئي")))</f>
        <v>مستوفاة بشكل جزئي</v>
      </c>
      <c r="O329" s="18"/>
    </row>
    <row r="330" spans="1:15">
      <c r="A330" s="16" t="s">
        <v>1134</v>
      </c>
      <c r="B330" s="16" t="s">
        <v>210</v>
      </c>
      <c r="C330" s="15" t="str">
        <f>IFERROR(INDEX('قائمة الوحدات'!$B$2:$B$41,MATCH($B330,'قائمة الوحدات'!$A$2:$A$41,0)),"")</f>
        <v>MIL</v>
      </c>
      <c r="D330" s="14" t="str">
        <f>IFERROR(INDEX('قائمة الوحدات'!$C$2:$C$41,MATCH($B330,'قائمة الوحدات'!$A$2:$A$41,0)),"")</f>
        <v>الجهاز العسكري</v>
      </c>
      <c r="E330" s="14" t="str">
        <f>IFERROR(INDEX('قائمة الوحدات'!$D$2:$D$41,MATCH($B330,'قائمة الوحدات'!$A$2:$A$41,0)),"")</f>
        <v>الإدارة العامة للاتصالات وتقنية المعلومات العسكرية</v>
      </c>
      <c r="F330" s="14" t="str">
        <f>IFERROR(INDEX('قائمة الوحدات'!$F$2:$F$41,MATCH($B330,'قائمة الوحدات'!$A$2:$A$41,0)),"")</f>
        <v>الإدارة العامة للاتصالات وتقنية المعلومات العسكرية</v>
      </c>
      <c r="G330" s="16" t="s">
        <v>65</v>
      </c>
      <c r="H330" s="14" t="str">
        <f>IFERROR(INDEX(المرجع!$A$2:$A$19,MATCH($G330,المرجع!$B$2:$B$19,0)),"")</f>
        <v>التشغيل</v>
      </c>
      <c r="I330" s="16" t="s">
        <v>59</v>
      </c>
      <c r="J330" s="14" t="str">
        <f>IFERROR(INDEX(المرجع!$D$2:$D$19,MATCH($I330,المرجع!$E$2:$E$19,0)),"")</f>
        <v>الإجراءات</v>
      </c>
      <c r="K330" s="16" t="s">
        <v>128</v>
      </c>
      <c r="L330" s="17" t="str">
        <f>IFERROR(INDEX('نقاط التحقق'!$G$2:$G$31,MATCH($K330,'نقاط التحقق'!$A$2:$A$31,0))&amp;"","")</f>
        <v>تحقيق تقييم "مطبق بشكل كامل" من منهجية تقييم فعالية الإجراءات</v>
      </c>
      <c r="M330" s="13">
        <v>28</v>
      </c>
      <c r="N330" s="15" t="str">
        <f>IF($M330="","غير مقيّمة",IF($M330&gt;المرجع!$K$3,"مستوفاة بشكل متقدم",IF($M330&lt;=المرجع!$K$2,"مستوفاة بشكل أولي","مستوفاة بشكل جزئي")))</f>
        <v>مستوفاة بشكل أولي</v>
      </c>
      <c r="O330" s="18"/>
    </row>
    <row r="331" spans="1:15">
      <c r="A331" s="16" t="s">
        <v>1135</v>
      </c>
      <c r="B331" s="16" t="s">
        <v>210</v>
      </c>
      <c r="C331" s="15" t="str">
        <f>IFERROR(INDEX('قائمة الوحدات'!$B$2:$B$41,MATCH($B331,'قائمة الوحدات'!$A$2:$A$41,0)),"")</f>
        <v>MIL</v>
      </c>
      <c r="D331" s="14" t="str">
        <f>IFERROR(INDEX('قائمة الوحدات'!$C$2:$C$41,MATCH($B331,'قائمة الوحدات'!$A$2:$A$41,0)),"")</f>
        <v>الجهاز العسكري</v>
      </c>
      <c r="E331" s="14" t="str">
        <f>IFERROR(INDEX('قائمة الوحدات'!$D$2:$D$41,MATCH($B331,'قائمة الوحدات'!$A$2:$A$41,0)),"")</f>
        <v>الإدارة العامة للاتصالات وتقنية المعلومات العسكرية</v>
      </c>
      <c r="F331" s="14" t="str">
        <f>IFERROR(INDEX('قائمة الوحدات'!$F$2:$F$41,MATCH($B331,'قائمة الوحدات'!$A$2:$A$41,0)),"")</f>
        <v>الإدارة العامة للاتصالات وتقنية المعلومات العسكرية</v>
      </c>
      <c r="G331" s="16" t="s">
        <v>65</v>
      </c>
      <c r="H331" s="14" t="str">
        <f>IFERROR(INDEX(المرجع!$A$2:$A$19,MATCH($G331,المرجع!$B$2:$B$19,0)),"")</f>
        <v>التشغيل</v>
      </c>
      <c r="I331" s="16" t="s">
        <v>67</v>
      </c>
      <c r="J331" s="14" t="str">
        <f>IFERROR(INDEX(المرجع!$D$2:$D$19,MATCH($I331,المرجع!$E$2:$E$19,0)),"")</f>
        <v>اكتمال المخرجات المستهدفة</v>
      </c>
      <c r="K331" s="16" t="s">
        <v>130</v>
      </c>
      <c r="L331" s="17" t="str">
        <f>IFERROR(INDEX('نقاط التحقق'!$G$2:$G$31,MATCH($K331,'نقاط التحقق'!$A$2:$A$31,0))&amp;"","")</f>
        <v>اكتمال مخرجات النموذج التشغيلي المستهدف للوحدة التنظيمية</v>
      </c>
      <c r="M331" s="13">
        <v>44</v>
      </c>
      <c r="N331" s="15" t="str">
        <f>IF($M331="","غير مقيّمة",IF($M331&gt;المرجع!$K$3,"مستوفاة بشكل متقدم",IF($M331&lt;=المرجع!$K$2,"مستوفاة بشكل أولي","مستوفاة بشكل جزئي")))</f>
        <v>مستوفاة بشكل جزئي</v>
      </c>
      <c r="O331" s="18"/>
    </row>
    <row r="332" spans="1:15">
      <c r="A332" s="16" t="s">
        <v>1136</v>
      </c>
      <c r="B332" s="16" t="s">
        <v>212</v>
      </c>
      <c r="C332" s="15" t="str">
        <f>IFERROR(INDEX('قائمة الوحدات'!$B$2:$B$41,MATCH($B332,'قائمة الوحدات'!$A$2:$A$41,0)),"")</f>
        <v>MIL</v>
      </c>
      <c r="D332" s="14" t="str">
        <f>IFERROR(INDEX('قائمة الوحدات'!$C$2:$C$41,MATCH($B332,'قائمة الوحدات'!$A$2:$A$41,0)),"")</f>
        <v>الجهاز العسكري</v>
      </c>
      <c r="E332" s="14" t="str">
        <f>IFERROR(INDEX('قائمة الوحدات'!$D$2:$D$41,MATCH($B332,'قائمة الوحدات'!$A$2:$A$41,0)),"")</f>
        <v>الإدارة العامة للشؤون الهندسية العسكرية</v>
      </c>
      <c r="F332" s="14" t="str">
        <f>IFERROR(INDEX('قائمة الوحدات'!$F$2:$F$41,MATCH($B332,'قائمة الوحدات'!$A$2:$A$41,0)),"")</f>
        <v>الإدارة العامة للشؤون الهندسية العسكرية</v>
      </c>
      <c r="G332" s="16" t="s">
        <v>43</v>
      </c>
      <c r="H332" s="14" t="str">
        <f>IFERROR(INDEX(المرجع!$A$2:$A$19,MATCH($G332,المرجع!$B$2:$B$19,0)),"")</f>
        <v>التصميم</v>
      </c>
      <c r="I332" s="16" t="s">
        <v>45</v>
      </c>
      <c r="J332" s="14" t="str">
        <f>IFERROR(INDEX(المرجع!$D$2:$D$19,MATCH($I332,المرجع!$E$2:$E$19,0)),"")</f>
        <v>الدور</v>
      </c>
      <c r="K332" s="16" t="s">
        <v>72</v>
      </c>
      <c r="L332" s="17" t="str">
        <f>IFERROR(INDEX('نقاط التحقق'!$G$2:$G$31,MATCH($K332,'نقاط التحقق'!$A$2:$A$31,0))&amp;"","")</f>
        <v>دور مفصل للوحدة التنظيمية</v>
      </c>
      <c r="M332" s="13">
        <v>86</v>
      </c>
      <c r="N332" s="15" t="str">
        <f>IF($M332="","غير مقيّمة",IF($M332&gt;المرجع!$K$3,"مستوفاة بشكل متقدم",IF($M332&lt;=المرجع!$K$2,"مستوفاة بشكل أولي","مستوفاة بشكل جزئي")))</f>
        <v>مستوفاة بشكل متقدم</v>
      </c>
      <c r="O332" s="18"/>
    </row>
    <row r="333" spans="1:15">
      <c r="A333" s="16" t="s">
        <v>1137</v>
      </c>
      <c r="B333" s="16" t="s">
        <v>212</v>
      </c>
      <c r="C333" s="15" t="str">
        <f>IFERROR(INDEX('قائمة الوحدات'!$B$2:$B$41,MATCH($B333,'قائمة الوحدات'!$A$2:$A$41,0)),"")</f>
        <v>MIL</v>
      </c>
      <c r="D333" s="14" t="str">
        <f>IFERROR(INDEX('قائمة الوحدات'!$C$2:$C$41,MATCH($B333,'قائمة الوحدات'!$A$2:$A$41,0)),"")</f>
        <v>الجهاز العسكري</v>
      </c>
      <c r="E333" s="14" t="str">
        <f>IFERROR(INDEX('قائمة الوحدات'!$D$2:$D$41,MATCH($B333,'قائمة الوحدات'!$A$2:$A$41,0)),"")</f>
        <v>الإدارة العامة للشؤون الهندسية العسكرية</v>
      </c>
      <c r="F333" s="14" t="str">
        <f>IFERROR(INDEX('قائمة الوحدات'!$F$2:$F$41,MATCH($B333,'قائمة الوحدات'!$A$2:$A$41,0)),"")</f>
        <v>الإدارة العامة للشؤون الهندسية العسكرية</v>
      </c>
      <c r="G333" s="16" t="s">
        <v>43</v>
      </c>
      <c r="H333" s="14" t="str">
        <f>IFERROR(INDEX(المرجع!$A$2:$A$19,MATCH($G333,المرجع!$B$2:$B$19,0)),"")</f>
        <v>التصميم</v>
      </c>
      <c r="I333" s="16" t="s">
        <v>48</v>
      </c>
      <c r="J333" s="14" t="str">
        <f>IFERROR(INDEX(المرجع!$D$2:$D$19,MATCH($I333,المرجع!$E$2:$E$19,0)),"")</f>
        <v>الأهداف ومؤشرات الأداء</v>
      </c>
      <c r="K333" s="16" t="s">
        <v>74</v>
      </c>
      <c r="L333" s="17" t="str">
        <f>IFERROR(INDEX('نقاط التحقق'!$G$2:$G$31,MATCH($K333,'نقاط التحقق'!$A$2:$A$31,0))&amp;"","")</f>
        <v>أهداف محددة للوحدة التنظيمية وربطها بمؤشرات أداء لقياسها</v>
      </c>
      <c r="M333" s="13">
        <v>75</v>
      </c>
      <c r="N333" s="15" t="str">
        <f>IF($M333="","غير مقيّمة",IF($M333&gt;المرجع!$K$3,"مستوفاة بشكل متقدم",IF($M333&lt;=المرجع!$K$2,"مستوفاة بشكل أولي","مستوفاة بشكل جزئي")))</f>
        <v>مستوفاة بشكل متقدم</v>
      </c>
      <c r="O333" s="18"/>
    </row>
    <row r="334" spans="1:15">
      <c r="A334" s="16" t="s">
        <v>1138</v>
      </c>
      <c r="B334" s="16" t="s">
        <v>212</v>
      </c>
      <c r="C334" s="15" t="str">
        <f>IFERROR(INDEX('قائمة الوحدات'!$B$2:$B$41,MATCH($B334,'قائمة الوحدات'!$A$2:$A$41,0)),"")</f>
        <v>MIL</v>
      </c>
      <c r="D334" s="14" t="str">
        <f>IFERROR(INDEX('قائمة الوحدات'!$C$2:$C$41,MATCH($B334,'قائمة الوحدات'!$A$2:$A$41,0)),"")</f>
        <v>الجهاز العسكري</v>
      </c>
      <c r="E334" s="14" t="str">
        <f>IFERROR(INDEX('قائمة الوحدات'!$D$2:$D$41,MATCH($B334,'قائمة الوحدات'!$A$2:$A$41,0)),"")</f>
        <v>الإدارة العامة للشؤون الهندسية العسكرية</v>
      </c>
      <c r="F334" s="14" t="str">
        <f>IFERROR(INDEX('قائمة الوحدات'!$F$2:$F$41,MATCH($B334,'قائمة الوحدات'!$A$2:$A$41,0)),"")</f>
        <v>الإدارة العامة للشؤون الهندسية العسكرية</v>
      </c>
      <c r="G334" s="16" t="s">
        <v>43</v>
      </c>
      <c r="H334" s="14" t="str">
        <f>IFERROR(INDEX(المرجع!$A$2:$A$19,MATCH($G334,المرجع!$B$2:$B$19,0)),"")</f>
        <v>التصميم</v>
      </c>
      <c r="I334" s="16" t="s">
        <v>48</v>
      </c>
      <c r="J334" s="14" t="str">
        <f>IFERROR(INDEX(المرجع!$D$2:$D$19,MATCH($I334,المرجع!$E$2:$E$19,0)),"")</f>
        <v>الأهداف ومؤشرات الأداء</v>
      </c>
      <c r="K334" s="16" t="s">
        <v>76</v>
      </c>
      <c r="L334" s="17" t="str">
        <f>IFERROR(INDEX('نقاط التحقق'!$G$2:$G$31,MATCH($K334,'نقاط التحقق'!$A$2:$A$31,0))&amp;"","")</f>
        <v>مؤشرات أداء الوحدة التنظيمية</v>
      </c>
      <c r="M334" s="13">
        <v>80</v>
      </c>
      <c r="N334" s="15" t="str">
        <f>IF($M334="","غير مقيّمة",IF($M334&gt;المرجع!$K$3,"مستوفاة بشكل متقدم",IF($M334&lt;=المرجع!$K$2,"مستوفاة بشكل أولي","مستوفاة بشكل جزئي")))</f>
        <v>مستوفاة بشكل متقدم</v>
      </c>
      <c r="O334" s="18"/>
    </row>
    <row r="335" spans="1:15">
      <c r="A335" s="16" t="s">
        <v>1139</v>
      </c>
      <c r="B335" s="16" t="s">
        <v>212</v>
      </c>
      <c r="C335" s="15" t="str">
        <f>IFERROR(INDEX('قائمة الوحدات'!$B$2:$B$41,MATCH($B335,'قائمة الوحدات'!$A$2:$A$41,0)),"")</f>
        <v>MIL</v>
      </c>
      <c r="D335" s="14" t="str">
        <f>IFERROR(INDEX('قائمة الوحدات'!$C$2:$C$41,MATCH($B335,'قائمة الوحدات'!$A$2:$A$41,0)),"")</f>
        <v>الجهاز العسكري</v>
      </c>
      <c r="E335" s="14" t="str">
        <f>IFERROR(INDEX('قائمة الوحدات'!$D$2:$D$41,MATCH($B335,'قائمة الوحدات'!$A$2:$A$41,0)),"")</f>
        <v>الإدارة العامة للشؤون الهندسية العسكرية</v>
      </c>
      <c r="F335" s="14" t="str">
        <f>IFERROR(INDEX('قائمة الوحدات'!$F$2:$F$41,MATCH($B335,'قائمة الوحدات'!$A$2:$A$41,0)),"")</f>
        <v>الإدارة العامة للشؤون الهندسية العسكرية</v>
      </c>
      <c r="G335" s="16" t="s">
        <v>43</v>
      </c>
      <c r="H335" s="14" t="str">
        <f>IFERROR(INDEX(المرجع!$A$2:$A$19,MATCH($G335,المرجع!$B$2:$B$19,0)),"")</f>
        <v>التصميم</v>
      </c>
      <c r="I335" s="16" t="s">
        <v>51</v>
      </c>
      <c r="J335" s="14" t="str">
        <f>IFERROR(INDEX(المرجع!$D$2:$D$19,MATCH($I335,المرجع!$E$2:$E$19,0)),"")</f>
        <v>الحوكمة</v>
      </c>
      <c r="K335" s="16" t="s">
        <v>78</v>
      </c>
      <c r="L335" s="17" t="str">
        <f>IFERROR(INDEX('نقاط التحقق'!$G$2:$G$31,MATCH($K335,'نقاط التحقق'!$A$2:$A$31,0))&amp;"","")</f>
        <v>تفصيل القرارات ومصفوفة الصلاحيات واللجان ذات العلاقة لاعتماد مخرجات الوحدة التنظيمية</v>
      </c>
      <c r="M335" s="13">
        <v>74</v>
      </c>
      <c r="N335" s="15" t="str">
        <f>IF($M335="","غير مقيّمة",IF($M335&gt;المرجع!$K$3,"مستوفاة بشكل متقدم",IF($M335&lt;=المرجع!$K$2,"مستوفاة بشكل أولي","مستوفاة بشكل جزئي")))</f>
        <v>مستوفاة بشكل متقدم</v>
      </c>
      <c r="O335" s="18"/>
    </row>
    <row r="336" spans="1:15">
      <c r="A336" s="16" t="s">
        <v>1140</v>
      </c>
      <c r="B336" s="16" t="s">
        <v>212</v>
      </c>
      <c r="C336" s="15" t="str">
        <f>IFERROR(INDEX('قائمة الوحدات'!$B$2:$B$41,MATCH($B336,'قائمة الوحدات'!$A$2:$A$41,0)),"")</f>
        <v>MIL</v>
      </c>
      <c r="D336" s="14" t="str">
        <f>IFERROR(INDEX('قائمة الوحدات'!$C$2:$C$41,MATCH($B336,'قائمة الوحدات'!$A$2:$A$41,0)),"")</f>
        <v>الجهاز العسكري</v>
      </c>
      <c r="E336" s="14" t="str">
        <f>IFERROR(INDEX('قائمة الوحدات'!$D$2:$D$41,MATCH($B336,'قائمة الوحدات'!$A$2:$A$41,0)),"")</f>
        <v>الإدارة العامة للشؤون الهندسية العسكرية</v>
      </c>
      <c r="F336" s="14" t="str">
        <f>IFERROR(INDEX('قائمة الوحدات'!$F$2:$F$41,MATCH($B336,'قائمة الوحدات'!$A$2:$A$41,0)),"")</f>
        <v>الإدارة العامة للشؤون الهندسية العسكرية</v>
      </c>
      <c r="G336" s="16" t="s">
        <v>43</v>
      </c>
      <c r="H336" s="14" t="str">
        <f>IFERROR(INDEX(المرجع!$A$2:$A$19,MATCH($G336,المرجع!$B$2:$B$19,0)),"")</f>
        <v>التصميم</v>
      </c>
      <c r="I336" s="16" t="s">
        <v>54</v>
      </c>
      <c r="J336" s="14" t="str">
        <f>IFERROR(INDEX(المرجع!$D$2:$D$19,MATCH($I336,المرجع!$E$2:$E$19,0)),"")</f>
        <v>التنظيم</v>
      </c>
      <c r="K336" s="16" t="s">
        <v>80</v>
      </c>
      <c r="L336" s="17" t="str">
        <f>IFERROR(INDEX('نقاط التحقق'!$G$2:$G$31,MATCH($K336,'نقاط التحقق'!$A$2:$A$31,0))&amp;"","")</f>
        <v>تطوير الأدوار والمسؤوليات للوحدة التنظيمية وتفصيل الهيكل التنظيمي</v>
      </c>
      <c r="M336" s="13">
        <v>83</v>
      </c>
      <c r="N336" s="15" t="str">
        <f>IF($M336="","غير مقيّمة",IF($M336&gt;المرجع!$K$3,"مستوفاة بشكل متقدم",IF($M336&lt;=المرجع!$K$2,"مستوفاة بشكل أولي","مستوفاة بشكل جزئي")))</f>
        <v>مستوفاة بشكل متقدم</v>
      </c>
      <c r="O336" s="18"/>
    </row>
    <row r="337" spans="1:15">
      <c r="A337" s="16" t="s">
        <v>1141</v>
      </c>
      <c r="B337" s="16" t="s">
        <v>212</v>
      </c>
      <c r="C337" s="15" t="str">
        <f>IFERROR(INDEX('قائمة الوحدات'!$B$2:$B$41,MATCH($B337,'قائمة الوحدات'!$A$2:$A$41,0)),"")</f>
        <v>MIL</v>
      </c>
      <c r="D337" s="14" t="str">
        <f>IFERROR(INDEX('قائمة الوحدات'!$C$2:$C$41,MATCH($B337,'قائمة الوحدات'!$A$2:$A$41,0)),"")</f>
        <v>الجهاز العسكري</v>
      </c>
      <c r="E337" s="14" t="str">
        <f>IFERROR(INDEX('قائمة الوحدات'!$D$2:$D$41,MATCH($B337,'قائمة الوحدات'!$A$2:$A$41,0)),"")</f>
        <v>الإدارة العامة للشؤون الهندسية العسكرية</v>
      </c>
      <c r="F337" s="14" t="str">
        <f>IFERROR(INDEX('قائمة الوحدات'!$F$2:$F$41,MATCH($B337,'قائمة الوحدات'!$A$2:$A$41,0)),"")</f>
        <v>الإدارة العامة للشؤون الهندسية العسكرية</v>
      </c>
      <c r="G337" s="16" t="s">
        <v>43</v>
      </c>
      <c r="H337" s="14" t="str">
        <f>IFERROR(INDEX(المرجع!$A$2:$A$19,MATCH($G337,المرجع!$B$2:$B$19,0)),"")</f>
        <v>التصميم</v>
      </c>
      <c r="I337" s="16" t="s">
        <v>56</v>
      </c>
      <c r="J337" s="14" t="str">
        <f>IFERROR(INDEX(المرجع!$D$2:$D$19,MATCH($I337,المرجع!$E$2:$E$19,0)),"")</f>
        <v>الموارد</v>
      </c>
      <c r="K337" s="16" t="s">
        <v>82</v>
      </c>
      <c r="L337" s="17" t="str">
        <f>IFERROR(INDEX('نقاط التحقق'!$G$2:$G$31,MATCH($K337,'نقاط التحقق'!$A$2:$A$31,0))&amp;"","")</f>
        <v>تفصيل احتياج الموارد البشرية للوحدة التنظيمية</v>
      </c>
      <c r="M337" s="13">
        <v>80</v>
      </c>
      <c r="N337" s="15" t="str">
        <f>IF($M337="","غير مقيّمة",IF($M337&gt;المرجع!$K$3,"مستوفاة بشكل متقدم",IF($M337&lt;=المرجع!$K$2,"مستوفاة بشكل أولي","مستوفاة بشكل جزئي")))</f>
        <v>مستوفاة بشكل متقدم</v>
      </c>
      <c r="O337" s="18"/>
    </row>
    <row r="338" spans="1:15">
      <c r="A338" s="16" t="s">
        <v>1142</v>
      </c>
      <c r="B338" s="16" t="s">
        <v>212</v>
      </c>
      <c r="C338" s="15" t="str">
        <f>IFERROR(INDEX('قائمة الوحدات'!$B$2:$B$41,MATCH($B338,'قائمة الوحدات'!$A$2:$A$41,0)),"")</f>
        <v>MIL</v>
      </c>
      <c r="D338" s="14" t="str">
        <f>IFERROR(INDEX('قائمة الوحدات'!$C$2:$C$41,MATCH($B338,'قائمة الوحدات'!$A$2:$A$41,0)),"")</f>
        <v>الجهاز العسكري</v>
      </c>
      <c r="E338" s="14" t="str">
        <f>IFERROR(INDEX('قائمة الوحدات'!$D$2:$D$41,MATCH($B338,'قائمة الوحدات'!$A$2:$A$41,0)),"")</f>
        <v>الإدارة العامة للشؤون الهندسية العسكرية</v>
      </c>
      <c r="F338" s="14" t="str">
        <f>IFERROR(INDEX('قائمة الوحدات'!$F$2:$F$41,MATCH($B338,'قائمة الوحدات'!$A$2:$A$41,0)),"")</f>
        <v>الإدارة العامة للشؤون الهندسية العسكرية</v>
      </c>
      <c r="G338" s="16" t="s">
        <v>43</v>
      </c>
      <c r="H338" s="14" t="str">
        <f>IFERROR(INDEX(المرجع!$A$2:$A$19,MATCH($G338,المرجع!$B$2:$B$19,0)),"")</f>
        <v>التصميم</v>
      </c>
      <c r="I338" s="16" t="s">
        <v>59</v>
      </c>
      <c r="J338" s="14" t="str">
        <f>IFERROR(INDEX(المرجع!$D$2:$D$19,MATCH($I338,المرجع!$E$2:$E$19,0)),"")</f>
        <v>الإجراءات</v>
      </c>
      <c r="K338" s="16" t="s">
        <v>84</v>
      </c>
      <c r="L338" s="17" t="str">
        <f>IFERROR(INDEX('نقاط التحقق'!$G$2:$G$31,MATCH($K338,'نقاط التحقق'!$A$2:$A$31,0))&amp;"","")</f>
        <v>تفصيل المخرجات إلى إجراءات عالية المستوى</v>
      </c>
      <c r="M338" s="13">
        <v>89</v>
      </c>
      <c r="N338" s="15" t="str">
        <f>IF($M338="","غير مقيّمة",IF($M338&gt;المرجع!$K$3,"مستوفاة بشكل متقدم",IF($M338&lt;=المرجع!$K$2,"مستوفاة بشكل أولي","مستوفاة بشكل جزئي")))</f>
        <v>مستوفاة بشكل متقدم</v>
      </c>
      <c r="O338" s="18"/>
    </row>
    <row r="339" spans="1:15">
      <c r="A339" s="16" t="s">
        <v>1143</v>
      </c>
      <c r="B339" s="16" t="s">
        <v>212</v>
      </c>
      <c r="C339" s="15" t="str">
        <f>IFERROR(INDEX('قائمة الوحدات'!$B$2:$B$41,MATCH($B339,'قائمة الوحدات'!$A$2:$A$41,0)),"")</f>
        <v>MIL</v>
      </c>
      <c r="D339" s="14" t="str">
        <f>IFERROR(INDEX('قائمة الوحدات'!$C$2:$C$41,MATCH($B339,'قائمة الوحدات'!$A$2:$A$41,0)),"")</f>
        <v>الجهاز العسكري</v>
      </c>
      <c r="E339" s="14" t="str">
        <f>IFERROR(INDEX('قائمة الوحدات'!$D$2:$D$41,MATCH($B339,'قائمة الوحدات'!$A$2:$A$41,0)),"")</f>
        <v>الإدارة العامة للشؤون الهندسية العسكرية</v>
      </c>
      <c r="F339" s="14" t="str">
        <f>IFERROR(INDEX('قائمة الوحدات'!$F$2:$F$41,MATCH($B339,'قائمة الوحدات'!$A$2:$A$41,0)),"")</f>
        <v>الإدارة العامة للشؤون الهندسية العسكرية</v>
      </c>
      <c r="G339" s="16" t="s">
        <v>61</v>
      </c>
      <c r="H339" s="14" t="str">
        <f>IFERROR(INDEX(المرجع!$A$2:$A$19,MATCH($G339,المرجع!$B$2:$B$19,0)),"")</f>
        <v>البناء المؤسسي</v>
      </c>
      <c r="I339" s="16" t="s">
        <v>45</v>
      </c>
      <c r="J339" s="14" t="str">
        <f>IFERROR(INDEX(المرجع!$D$2:$D$19,MATCH($I339,المرجع!$E$2:$E$19,0)),"")</f>
        <v>الدور</v>
      </c>
      <c r="K339" s="16" t="s">
        <v>86</v>
      </c>
      <c r="L339" s="17" t="str">
        <f>IFERROR(INDEX('نقاط التحقق'!$G$2:$G$31,MATCH($K339,'نقاط التحقق'!$A$2:$A$31,0))&amp;"","")</f>
        <v>دور معتمد للوحدة التنظيمية</v>
      </c>
      <c r="M339" s="13">
        <v>52</v>
      </c>
      <c r="N339" s="15" t="str">
        <f>IF($M339="","غير مقيّمة",IF($M339&gt;المرجع!$K$3,"مستوفاة بشكل متقدم",IF($M339&lt;=المرجع!$K$2,"مستوفاة بشكل أولي","مستوفاة بشكل جزئي")))</f>
        <v>مستوفاة بشكل جزئي</v>
      </c>
      <c r="O339" s="18"/>
    </row>
    <row r="340" spans="1:15">
      <c r="A340" s="16" t="s">
        <v>1144</v>
      </c>
      <c r="B340" s="16" t="s">
        <v>212</v>
      </c>
      <c r="C340" s="15" t="str">
        <f>IFERROR(INDEX('قائمة الوحدات'!$B$2:$B$41,MATCH($B340,'قائمة الوحدات'!$A$2:$A$41,0)),"")</f>
        <v>MIL</v>
      </c>
      <c r="D340" s="14" t="str">
        <f>IFERROR(INDEX('قائمة الوحدات'!$C$2:$C$41,MATCH($B340,'قائمة الوحدات'!$A$2:$A$41,0)),"")</f>
        <v>الجهاز العسكري</v>
      </c>
      <c r="E340" s="14" t="str">
        <f>IFERROR(INDEX('قائمة الوحدات'!$D$2:$D$41,MATCH($B340,'قائمة الوحدات'!$A$2:$A$41,0)),"")</f>
        <v>الإدارة العامة للشؤون الهندسية العسكرية</v>
      </c>
      <c r="F340" s="14" t="str">
        <f>IFERROR(INDEX('قائمة الوحدات'!$F$2:$F$41,MATCH($B340,'قائمة الوحدات'!$A$2:$A$41,0)),"")</f>
        <v>الإدارة العامة للشؤون الهندسية العسكرية</v>
      </c>
      <c r="G340" s="16" t="s">
        <v>61</v>
      </c>
      <c r="H340" s="14" t="str">
        <f>IFERROR(INDEX(المرجع!$A$2:$A$19,MATCH($G340,المرجع!$B$2:$B$19,0)),"")</f>
        <v>البناء المؤسسي</v>
      </c>
      <c r="I340" s="16" t="s">
        <v>48</v>
      </c>
      <c r="J340" s="14" t="str">
        <f>IFERROR(INDEX(المرجع!$D$2:$D$19,MATCH($I340,المرجع!$E$2:$E$19,0)),"")</f>
        <v>الأهداف ومؤشرات الأداء</v>
      </c>
      <c r="K340" s="16" t="s">
        <v>88</v>
      </c>
      <c r="L340" s="17" t="str">
        <f>IFERROR(INDEX('نقاط التحقق'!$G$2:$G$31,MATCH($K340,'نقاط التحقق'!$A$2:$A$31,0))&amp;"","")</f>
        <v>أهداف تشغيلية معتمدة من صاحب الصلاحية</v>
      </c>
      <c r="M340" s="13">
        <v>55</v>
      </c>
      <c r="N340" s="15" t="str">
        <f>IF($M340="","غير مقيّمة",IF($M340&gt;المرجع!$K$3,"مستوفاة بشكل متقدم",IF($M340&lt;=المرجع!$K$2,"مستوفاة بشكل أولي","مستوفاة بشكل جزئي")))</f>
        <v>مستوفاة بشكل جزئي</v>
      </c>
      <c r="O340" s="18"/>
    </row>
    <row r="341" spans="1:15">
      <c r="A341" s="16" t="s">
        <v>1145</v>
      </c>
      <c r="B341" s="16" t="s">
        <v>212</v>
      </c>
      <c r="C341" s="15" t="str">
        <f>IFERROR(INDEX('قائمة الوحدات'!$B$2:$B$41,MATCH($B341,'قائمة الوحدات'!$A$2:$A$41,0)),"")</f>
        <v>MIL</v>
      </c>
      <c r="D341" s="14" t="str">
        <f>IFERROR(INDEX('قائمة الوحدات'!$C$2:$C$41,MATCH($B341,'قائمة الوحدات'!$A$2:$A$41,0)),"")</f>
        <v>الجهاز العسكري</v>
      </c>
      <c r="E341" s="14" t="str">
        <f>IFERROR(INDEX('قائمة الوحدات'!$D$2:$D$41,MATCH($B341,'قائمة الوحدات'!$A$2:$A$41,0)),"")</f>
        <v>الإدارة العامة للشؤون الهندسية العسكرية</v>
      </c>
      <c r="F341" s="14" t="str">
        <f>IFERROR(INDEX('قائمة الوحدات'!$F$2:$F$41,MATCH($B341,'قائمة الوحدات'!$A$2:$A$41,0)),"")</f>
        <v>الإدارة العامة للشؤون الهندسية العسكرية</v>
      </c>
      <c r="G341" s="16" t="s">
        <v>61</v>
      </c>
      <c r="H341" s="14" t="str">
        <f>IFERROR(INDEX(المرجع!$A$2:$A$19,MATCH($G341,المرجع!$B$2:$B$19,0)),"")</f>
        <v>البناء المؤسسي</v>
      </c>
      <c r="I341" s="16" t="s">
        <v>48</v>
      </c>
      <c r="J341" s="14" t="str">
        <f>IFERROR(INDEX(المرجع!$D$2:$D$19,MATCH($I341,المرجع!$E$2:$E$19,0)),"")</f>
        <v>الأهداف ومؤشرات الأداء</v>
      </c>
      <c r="K341" s="16" t="s">
        <v>90</v>
      </c>
      <c r="L341" s="17" t="str">
        <f>IFERROR(INDEX('نقاط التحقق'!$G$2:$G$31,MATCH($K341,'نقاط التحقق'!$A$2:$A$31,0))&amp;"","")</f>
        <v>نشر الأهداف التشغيلية على موظفي الوحدة التنظيمية</v>
      </c>
      <c r="M341" s="13">
        <v>75</v>
      </c>
      <c r="N341" s="15" t="str">
        <f>IF($M341="","غير مقيّمة",IF($M341&gt;المرجع!$K$3,"مستوفاة بشكل متقدم",IF($M341&lt;=المرجع!$K$2,"مستوفاة بشكل أولي","مستوفاة بشكل جزئي")))</f>
        <v>مستوفاة بشكل متقدم</v>
      </c>
      <c r="O341" s="18"/>
    </row>
    <row r="342" spans="1:15">
      <c r="A342" s="16" t="s">
        <v>1146</v>
      </c>
      <c r="B342" s="16" t="s">
        <v>212</v>
      </c>
      <c r="C342" s="15" t="str">
        <f>IFERROR(INDEX('قائمة الوحدات'!$B$2:$B$41,MATCH($B342,'قائمة الوحدات'!$A$2:$A$41,0)),"")</f>
        <v>MIL</v>
      </c>
      <c r="D342" s="14" t="str">
        <f>IFERROR(INDEX('قائمة الوحدات'!$C$2:$C$41,MATCH($B342,'قائمة الوحدات'!$A$2:$A$41,0)),"")</f>
        <v>الجهاز العسكري</v>
      </c>
      <c r="E342" s="14" t="str">
        <f>IFERROR(INDEX('قائمة الوحدات'!$D$2:$D$41,MATCH($B342,'قائمة الوحدات'!$A$2:$A$41,0)),"")</f>
        <v>الإدارة العامة للشؤون الهندسية العسكرية</v>
      </c>
      <c r="F342" s="14" t="str">
        <f>IFERROR(INDEX('قائمة الوحدات'!$F$2:$F$41,MATCH($B342,'قائمة الوحدات'!$A$2:$A$41,0)),"")</f>
        <v>الإدارة العامة للشؤون الهندسية العسكرية</v>
      </c>
      <c r="G342" s="16" t="s">
        <v>61</v>
      </c>
      <c r="H342" s="14" t="str">
        <f>IFERROR(INDEX(المرجع!$A$2:$A$19,MATCH($G342,المرجع!$B$2:$B$19,0)),"")</f>
        <v>البناء المؤسسي</v>
      </c>
      <c r="I342" s="16" t="s">
        <v>51</v>
      </c>
      <c r="J342" s="14" t="str">
        <f>IFERROR(INDEX(المرجع!$D$2:$D$19,MATCH($I342,المرجع!$E$2:$E$19,0)),"")</f>
        <v>الحوكمة</v>
      </c>
      <c r="K342" s="16" t="s">
        <v>92</v>
      </c>
      <c r="L342" s="17" t="str">
        <f>IFERROR(INDEX('نقاط التحقق'!$G$2:$G$31,MATCH($K342,'نقاط التحقق'!$A$2:$A$31,0))&amp;"","")</f>
        <v>مصفوفة صلاحيات معتمدة ومعممة على أصحاب المصلحة</v>
      </c>
      <c r="M342" s="13">
        <v>85</v>
      </c>
      <c r="N342" s="15" t="str">
        <f>IF($M342="","غير مقيّمة",IF($M342&gt;المرجع!$K$3,"مستوفاة بشكل متقدم",IF($M342&lt;=المرجع!$K$2,"مستوفاة بشكل أولي","مستوفاة بشكل جزئي")))</f>
        <v>مستوفاة بشكل متقدم</v>
      </c>
      <c r="O342" s="18"/>
    </row>
    <row r="343" spans="1:15">
      <c r="A343" s="16" t="s">
        <v>1147</v>
      </c>
      <c r="B343" s="16" t="s">
        <v>212</v>
      </c>
      <c r="C343" s="15" t="str">
        <f>IFERROR(INDEX('قائمة الوحدات'!$B$2:$B$41,MATCH($B343,'قائمة الوحدات'!$A$2:$A$41,0)),"")</f>
        <v>MIL</v>
      </c>
      <c r="D343" s="14" t="str">
        <f>IFERROR(INDEX('قائمة الوحدات'!$C$2:$C$41,MATCH($B343,'قائمة الوحدات'!$A$2:$A$41,0)),"")</f>
        <v>الجهاز العسكري</v>
      </c>
      <c r="E343" s="14" t="str">
        <f>IFERROR(INDEX('قائمة الوحدات'!$D$2:$D$41,MATCH($B343,'قائمة الوحدات'!$A$2:$A$41,0)),"")</f>
        <v>الإدارة العامة للشؤون الهندسية العسكرية</v>
      </c>
      <c r="F343" s="14" t="str">
        <f>IFERROR(INDEX('قائمة الوحدات'!$F$2:$F$41,MATCH($B343,'قائمة الوحدات'!$A$2:$A$41,0)),"")</f>
        <v>الإدارة العامة للشؤون الهندسية العسكرية</v>
      </c>
      <c r="G343" s="16" t="s">
        <v>61</v>
      </c>
      <c r="H343" s="14" t="str">
        <f>IFERROR(INDEX(المرجع!$A$2:$A$19,MATCH($G343,المرجع!$B$2:$B$19,0)),"")</f>
        <v>البناء المؤسسي</v>
      </c>
      <c r="I343" s="16" t="s">
        <v>51</v>
      </c>
      <c r="J343" s="14" t="str">
        <f>IFERROR(INDEX(المرجع!$D$2:$D$19,MATCH($I343,المرجع!$E$2:$E$19,0)),"")</f>
        <v>الحوكمة</v>
      </c>
      <c r="K343" s="16" t="s">
        <v>94</v>
      </c>
      <c r="L343" s="17" t="str">
        <f>IFERROR(INDEX('نقاط التحقق'!$G$2:$G$31,MATCH($K343,'نقاط التحقق'!$A$2:$A$31,0))&amp;"","")</f>
        <v>سياسات معتمدة للتي تملكها الوحدة التنظيمية</v>
      </c>
      <c r="M343" s="13">
        <v>60</v>
      </c>
      <c r="N343" s="15" t="str">
        <f>IF($M343="","غير مقيّمة",IF($M343&gt;المرجع!$K$3,"مستوفاة بشكل متقدم",IF($M343&lt;=المرجع!$K$2,"مستوفاة بشكل أولي","مستوفاة بشكل جزئي")))</f>
        <v>مستوفاة بشكل جزئي</v>
      </c>
      <c r="O343" s="18"/>
    </row>
    <row r="344" spans="1:15">
      <c r="A344" s="16" t="s">
        <v>1148</v>
      </c>
      <c r="B344" s="16" t="s">
        <v>212</v>
      </c>
      <c r="C344" s="15" t="str">
        <f>IFERROR(INDEX('قائمة الوحدات'!$B$2:$B$41,MATCH($B344,'قائمة الوحدات'!$A$2:$A$41,0)),"")</f>
        <v>MIL</v>
      </c>
      <c r="D344" s="14" t="str">
        <f>IFERROR(INDEX('قائمة الوحدات'!$C$2:$C$41,MATCH($B344,'قائمة الوحدات'!$A$2:$A$41,0)),"")</f>
        <v>الجهاز العسكري</v>
      </c>
      <c r="E344" s="14" t="str">
        <f>IFERROR(INDEX('قائمة الوحدات'!$D$2:$D$41,MATCH($B344,'قائمة الوحدات'!$A$2:$A$41,0)),"")</f>
        <v>الإدارة العامة للشؤون الهندسية العسكرية</v>
      </c>
      <c r="F344" s="14" t="str">
        <f>IFERROR(INDEX('قائمة الوحدات'!$F$2:$F$41,MATCH($B344,'قائمة الوحدات'!$A$2:$A$41,0)),"")</f>
        <v>الإدارة العامة للشؤون الهندسية العسكرية</v>
      </c>
      <c r="G344" s="16" t="s">
        <v>61</v>
      </c>
      <c r="H344" s="14" t="str">
        <f>IFERROR(INDEX(المرجع!$A$2:$A$19,MATCH($G344,المرجع!$B$2:$B$19,0)),"")</f>
        <v>البناء المؤسسي</v>
      </c>
      <c r="I344" s="16" t="s">
        <v>51</v>
      </c>
      <c r="J344" s="14" t="str">
        <f>IFERROR(INDEX(المرجع!$D$2:$D$19,MATCH($I344,المرجع!$E$2:$E$19,0)),"")</f>
        <v>الحوكمة</v>
      </c>
      <c r="K344" s="16" t="s">
        <v>96</v>
      </c>
      <c r="L344" s="17" t="str">
        <f>IFERROR(INDEX('نقاط التحقق'!$G$2:$G$31,MATCH($K344,'نقاط التحقق'!$A$2:$A$31,0))&amp;"","")</f>
        <v>قرار تشكيل معتمد للجان ذات العلاقة</v>
      </c>
      <c r="M344" s="13">
        <v>55</v>
      </c>
      <c r="N344" s="15" t="str">
        <f>IF($M344="","غير مقيّمة",IF($M344&gt;المرجع!$K$3,"مستوفاة بشكل متقدم",IF($M344&lt;=المرجع!$K$2,"مستوفاة بشكل أولي","مستوفاة بشكل جزئي")))</f>
        <v>مستوفاة بشكل جزئي</v>
      </c>
      <c r="O344" s="18"/>
    </row>
    <row r="345" spans="1:15">
      <c r="A345" s="16" t="s">
        <v>1149</v>
      </c>
      <c r="B345" s="16" t="s">
        <v>212</v>
      </c>
      <c r="C345" s="15" t="str">
        <f>IFERROR(INDEX('قائمة الوحدات'!$B$2:$B$41,MATCH($B345,'قائمة الوحدات'!$A$2:$A$41,0)),"")</f>
        <v>MIL</v>
      </c>
      <c r="D345" s="14" t="str">
        <f>IFERROR(INDEX('قائمة الوحدات'!$C$2:$C$41,MATCH($B345,'قائمة الوحدات'!$A$2:$A$41,0)),"")</f>
        <v>الجهاز العسكري</v>
      </c>
      <c r="E345" s="14" t="str">
        <f>IFERROR(INDEX('قائمة الوحدات'!$D$2:$D$41,MATCH($B345,'قائمة الوحدات'!$A$2:$A$41,0)),"")</f>
        <v>الإدارة العامة للشؤون الهندسية العسكرية</v>
      </c>
      <c r="F345" s="14" t="str">
        <f>IFERROR(INDEX('قائمة الوحدات'!$F$2:$F$41,MATCH($B345,'قائمة الوحدات'!$A$2:$A$41,0)),"")</f>
        <v>الإدارة العامة للشؤون الهندسية العسكرية</v>
      </c>
      <c r="G345" s="16" t="s">
        <v>61</v>
      </c>
      <c r="H345" s="14" t="str">
        <f>IFERROR(INDEX(المرجع!$A$2:$A$19,MATCH($G345,المرجع!$B$2:$B$19,0)),"")</f>
        <v>البناء المؤسسي</v>
      </c>
      <c r="I345" s="16" t="s">
        <v>54</v>
      </c>
      <c r="J345" s="14" t="str">
        <f>IFERROR(INDEX(المرجع!$D$2:$D$19,MATCH($I345,المرجع!$E$2:$E$19,0)),"")</f>
        <v>التنظيم</v>
      </c>
      <c r="K345" s="16" t="s">
        <v>98</v>
      </c>
      <c r="L345" s="17" t="str">
        <f>IFERROR(INDEX('نقاط التحقق'!$G$2:$G$31,MATCH($K345,'نقاط التحقق'!$A$2:$A$31,0))&amp;"","")</f>
        <v>هيكل تنظيمي معتمد من صاحب الصلاحية</v>
      </c>
      <c r="M345" s="13">
        <v>35</v>
      </c>
      <c r="N345" s="15" t="str">
        <f>IF($M345="","غير مقيّمة",IF($M345&gt;المرجع!$K$3,"مستوفاة بشكل متقدم",IF($M345&lt;=المرجع!$K$2,"مستوفاة بشكل أولي","مستوفاة بشكل جزئي")))</f>
        <v>مستوفاة بشكل جزئي</v>
      </c>
      <c r="O345" s="18"/>
    </row>
    <row r="346" spans="1:15">
      <c r="A346" s="16" t="s">
        <v>1150</v>
      </c>
      <c r="B346" s="16" t="s">
        <v>212</v>
      </c>
      <c r="C346" s="15" t="str">
        <f>IFERROR(INDEX('قائمة الوحدات'!$B$2:$B$41,MATCH($B346,'قائمة الوحدات'!$A$2:$A$41,0)),"")</f>
        <v>MIL</v>
      </c>
      <c r="D346" s="14" t="str">
        <f>IFERROR(INDEX('قائمة الوحدات'!$C$2:$C$41,MATCH($B346,'قائمة الوحدات'!$A$2:$A$41,0)),"")</f>
        <v>الجهاز العسكري</v>
      </c>
      <c r="E346" s="14" t="str">
        <f>IFERROR(INDEX('قائمة الوحدات'!$D$2:$D$41,MATCH($B346,'قائمة الوحدات'!$A$2:$A$41,0)),"")</f>
        <v>الإدارة العامة للشؤون الهندسية العسكرية</v>
      </c>
      <c r="F346" s="14" t="str">
        <f>IFERROR(INDEX('قائمة الوحدات'!$F$2:$F$41,MATCH($B346,'قائمة الوحدات'!$A$2:$A$41,0)),"")</f>
        <v>الإدارة العامة للشؤون الهندسية العسكرية</v>
      </c>
      <c r="G346" s="16" t="s">
        <v>61</v>
      </c>
      <c r="H346" s="14" t="str">
        <f>IFERROR(INDEX(المرجع!$A$2:$A$19,MATCH($G346,المرجع!$B$2:$B$19,0)),"")</f>
        <v>البناء المؤسسي</v>
      </c>
      <c r="I346" s="16" t="s">
        <v>54</v>
      </c>
      <c r="J346" s="14" t="str">
        <f>IFERROR(INDEX(المرجع!$D$2:$D$19,MATCH($I346,المرجع!$E$2:$E$19,0)),"")</f>
        <v>التنظيم</v>
      </c>
      <c r="K346" s="16" t="s">
        <v>100</v>
      </c>
      <c r="L346" s="17" t="str">
        <f>IFERROR(INDEX('نقاط التحقق'!$G$2:$G$31,MATCH($K346,'نقاط التحقق'!$A$2:$A$31,0))&amp;"","")</f>
        <v>هيكل تنظيمي منشأ على نظام القوى العاملة</v>
      </c>
      <c r="M346" s="13">
        <v>30</v>
      </c>
      <c r="N346" s="15" t="str">
        <f>IF($M346="","غير مقيّمة",IF($M346&gt;المرجع!$K$3,"مستوفاة بشكل متقدم",IF($M346&lt;=المرجع!$K$2,"مستوفاة بشكل أولي","مستوفاة بشكل جزئي")))</f>
        <v>مستوفاة بشكل أولي</v>
      </c>
      <c r="O346" s="18"/>
    </row>
    <row r="347" spans="1:15">
      <c r="A347" s="16" t="s">
        <v>1151</v>
      </c>
      <c r="B347" s="16" t="s">
        <v>212</v>
      </c>
      <c r="C347" s="15" t="str">
        <f>IFERROR(INDEX('قائمة الوحدات'!$B$2:$B$41,MATCH($B347,'قائمة الوحدات'!$A$2:$A$41,0)),"")</f>
        <v>MIL</v>
      </c>
      <c r="D347" s="14" t="str">
        <f>IFERROR(INDEX('قائمة الوحدات'!$C$2:$C$41,MATCH($B347,'قائمة الوحدات'!$A$2:$A$41,0)),"")</f>
        <v>الجهاز العسكري</v>
      </c>
      <c r="E347" s="14" t="str">
        <f>IFERROR(INDEX('قائمة الوحدات'!$D$2:$D$41,MATCH($B347,'قائمة الوحدات'!$A$2:$A$41,0)),"")</f>
        <v>الإدارة العامة للشؤون الهندسية العسكرية</v>
      </c>
      <c r="F347" s="14" t="str">
        <f>IFERROR(INDEX('قائمة الوحدات'!$F$2:$F$41,MATCH($B347,'قائمة الوحدات'!$A$2:$A$41,0)),"")</f>
        <v>الإدارة العامة للشؤون الهندسية العسكرية</v>
      </c>
      <c r="G347" s="16" t="s">
        <v>61</v>
      </c>
      <c r="H347" s="14" t="str">
        <f>IFERROR(INDEX(المرجع!$A$2:$A$19,MATCH($G347,المرجع!$B$2:$B$19,0)),"")</f>
        <v>البناء المؤسسي</v>
      </c>
      <c r="I347" s="16" t="s">
        <v>54</v>
      </c>
      <c r="J347" s="14" t="str">
        <f>IFERROR(INDEX(المرجع!$D$2:$D$19,MATCH($I347,المرجع!$E$2:$E$19,0)),"")</f>
        <v>التنظيم</v>
      </c>
      <c r="K347" s="16" t="s">
        <v>102</v>
      </c>
      <c r="L347" s="17" t="str">
        <f>IFERROR(INDEX('نقاط التحقق'!$G$2:$G$31,MATCH($K347,'نقاط التحقق'!$A$2:$A$31,0))&amp;"","")</f>
        <v>الموظفون المحددون مسكّنون على الهيكل التنظيمي المستهدف</v>
      </c>
      <c r="M347" s="13">
        <v>40</v>
      </c>
      <c r="N347" s="15" t="str">
        <f>IF($M347="","غير مقيّمة",IF($M347&gt;المرجع!$K$3,"مستوفاة بشكل متقدم",IF($M347&lt;=المرجع!$K$2,"مستوفاة بشكل أولي","مستوفاة بشكل جزئي")))</f>
        <v>مستوفاة بشكل جزئي</v>
      </c>
      <c r="O347" s="18"/>
    </row>
    <row r="348" spans="1:15">
      <c r="A348" s="16" t="s">
        <v>1152</v>
      </c>
      <c r="B348" s="16" t="s">
        <v>212</v>
      </c>
      <c r="C348" s="15" t="str">
        <f>IFERROR(INDEX('قائمة الوحدات'!$B$2:$B$41,MATCH($B348,'قائمة الوحدات'!$A$2:$A$41,0)),"")</f>
        <v>MIL</v>
      </c>
      <c r="D348" s="14" t="str">
        <f>IFERROR(INDEX('قائمة الوحدات'!$C$2:$C$41,MATCH($B348,'قائمة الوحدات'!$A$2:$A$41,0)),"")</f>
        <v>الجهاز العسكري</v>
      </c>
      <c r="E348" s="14" t="str">
        <f>IFERROR(INDEX('قائمة الوحدات'!$D$2:$D$41,MATCH($B348,'قائمة الوحدات'!$A$2:$A$41,0)),"")</f>
        <v>الإدارة العامة للشؤون الهندسية العسكرية</v>
      </c>
      <c r="F348" s="14" t="str">
        <f>IFERROR(INDEX('قائمة الوحدات'!$F$2:$F$41,MATCH($B348,'قائمة الوحدات'!$A$2:$A$41,0)),"")</f>
        <v>الإدارة العامة للشؤون الهندسية العسكرية</v>
      </c>
      <c r="G348" s="16" t="s">
        <v>61</v>
      </c>
      <c r="H348" s="14" t="str">
        <f>IFERROR(INDEX(المرجع!$A$2:$A$19,MATCH($G348,المرجع!$B$2:$B$19,0)),"")</f>
        <v>البناء المؤسسي</v>
      </c>
      <c r="I348" s="16" t="s">
        <v>56</v>
      </c>
      <c r="J348" s="14" t="str">
        <f>IFERROR(INDEX(المرجع!$D$2:$D$19,MATCH($I348,المرجع!$E$2:$E$19,0)),"")</f>
        <v>الموارد</v>
      </c>
      <c r="K348" s="16" t="s">
        <v>104</v>
      </c>
      <c r="L348" s="17" t="str">
        <f>IFERROR(INDEX('نقاط التحقق'!$G$2:$G$31,MATCH($K348,'نقاط التحقق'!$A$2:$A$31,0))&amp;"","")</f>
        <v>مدير الوحدة التنظيمية والموظفون الرئيسيون معينون/ملحقون</v>
      </c>
      <c r="M348" s="13">
        <v>65</v>
      </c>
      <c r="N348" s="15" t="str">
        <f>IF($M348="","غير مقيّمة",IF($M348&gt;المرجع!$K$3,"مستوفاة بشكل متقدم",IF($M348&lt;=المرجع!$K$2,"مستوفاة بشكل أولي","مستوفاة بشكل جزئي")))</f>
        <v>مستوفاة بشكل جزئي</v>
      </c>
      <c r="O348" s="18"/>
    </row>
    <row r="349" spans="1:15">
      <c r="A349" s="16" t="s">
        <v>1153</v>
      </c>
      <c r="B349" s="16" t="s">
        <v>212</v>
      </c>
      <c r="C349" s="15" t="str">
        <f>IFERROR(INDEX('قائمة الوحدات'!$B$2:$B$41,MATCH($B349,'قائمة الوحدات'!$A$2:$A$41,0)),"")</f>
        <v>MIL</v>
      </c>
      <c r="D349" s="14" t="str">
        <f>IFERROR(INDEX('قائمة الوحدات'!$C$2:$C$41,MATCH($B349,'قائمة الوحدات'!$A$2:$A$41,0)),"")</f>
        <v>الجهاز العسكري</v>
      </c>
      <c r="E349" s="14" t="str">
        <f>IFERROR(INDEX('قائمة الوحدات'!$D$2:$D$41,MATCH($B349,'قائمة الوحدات'!$A$2:$A$41,0)),"")</f>
        <v>الإدارة العامة للشؤون الهندسية العسكرية</v>
      </c>
      <c r="F349" s="14" t="str">
        <f>IFERROR(INDEX('قائمة الوحدات'!$F$2:$F$41,MATCH($B349,'قائمة الوحدات'!$A$2:$A$41,0)),"")</f>
        <v>الإدارة العامة للشؤون الهندسية العسكرية</v>
      </c>
      <c r="G349" s="16" t="s">
        <v>61</v>
      </c>
      <c r="H349" s="14" t="str">
        <f>IFERROR(INDEX(المرجع!$A$2:$A$19,MATCH($G349,المرجع!$B$2:$B$19,0)),"")</f>
        <v>البناء المؤسسي</v>
      </c>
      <c r="I349" s="16" t="s">
        <v>56</v>
      </c>
      <c r="J349" s="14" t="str">
        <f>IFERROR(INDEX(المرجع!$D$2:$D$19,MATCH($I349,المرجع!$E$2:$E$19,0)),"")</f>
        <v>الموارد</v>
      </c>
      <c r="K349" s="16" t="s">
        <v>106</v>
      </c>
      <c r="L349" s="17" t="str">
        <f>IFERROR(INDEX('نقاط التحقق'!$G$2:$G$31,MATCH($K349,'نقاط التحقق'!$A$2:$A$31,0))&amp;"","")</f>
        <v>خطة توظيف وتدريب مستكملة</v>
      </c>
      <c r="M349" s="13">
        <v>75</v>
      </c>
      <c r="N349" s="15" t="str">
        <f>IF($M349="","غير مقيّمة",IF($M349&gt;المرجع!$K$3,"مستوفاة بشكل متقدم",IF($M349&lt;=المرجع!$K$2,"مستوفاة بشكل أولي","مستوفاة بشكل جزئي")))</f>
        <v>مستوفاة بشكل متقدم</v>
      </c>
      <c r="O349" s="18"/>
    </row>
    <row r="350" spans="1:15">
      <c r="A350" s="16" t="s">
        <v>1154</v>
      </c>
      <c r="B350" s="16" t="s">
        <v>212</v>
      </c>
      <c r="C350" s="15" t="str">
        <f>IFERROR(INDEX('قائمة الوحدات'!$B$2:$B$41,MATCH($B350,'قائمة الوحدات'!$A$2:$A$41,0)),"")</f>
        <v>MIL</v>
      </c>
      <c r="D350" s="14" t="str">
        <f>IFERROR(INDEX('قائمة الوحدات'!$C$2:$C$41,MATCH($B350,'قائمة الوحدات'!$A$2:$A$41,0)),"")</f>
        <v>الجهاز العسكري</v>
      </c>
      <c r="E350" s="14" t="str">
        <f>IFERROR(INDEX('قائمة الوحدات'!$D$2:$D$41,MATCH($B350,'قائمة الوحدات'!$A$2:$A$41,0)),"")</f>
        <v>الإدارة العامة للشؤون الهندسية العسكرية</v>
      </c>
      <c r="F350" s="14" t="str">
        <f>IFERROR(INDEX('قائمة الوحدات'!$F$2:$F$41,MATCH($B350,'قائمة الوحدات'!$A$2:$A$41,0)),"")</f>
        <v>الإدارة العامة للشؤون الهندسية العسكرية</v>
      </c>
      <c r="G350" s="16" t="s">
        <v>61</v>
      </c>
      <c r="H350" s="14" t="str">
        <f>IFERROR(INDEX(المرجع!$A$2:$A$19,MATCH($G350,المرجع!$B$2:$B$19,0)),"")</f>
        <v>البناء المؤسسي</v>
      </c>
      <c r="I350" s="16" t="s">
        <v>56</v>
      </c>
      <c r="J350" s="14" t="str">
        <f>IFERROR(INDEX(المرجع!$D$2:$D$19,MATCH($I350,المرجع!$E$2:$E$19,0)),"")</f>
        <v>الموارد</v>
      </c>
      <c r="K350" s="16" t="s">
        <v>108</v>
      </c>
      <c r="L350" s="17" t="str">
        <f>IFERROR(INDEX('نقاط التحقق'!$G$2:$G$31,MATCH($K350,'نقاط التحقق'!$A$2:$A$31,0))&amp;"","")</f>
        <v>وجود مساحات مكتبية كافية</v>
      </c>
      <c r="M350" s="13">
        <v>70</v>
      </c>
      <c r="N350" s="15" t="str">
        <f>IF($M350="","غير مقيّمة",IF($M350&gt;المرجع!$K$3,"مستوفاة بشكل متقدم",IF($M350&lt;=المرجع!$K$2,"مستوفاة بشكل أولي","مستوفاة بشكل جزئي")))</f>
        <v>مستوفاة بشكل جزئي</v>
      </c>
      <c r="O350" s="18"/>
    </row>
    <row r="351" spans="1:15">
      <c r="A351" s="16" t="s">
        <v>1155</v>
      </c>
      <c r="B351" s="16" t="s">
        <v>212</v>
      </c>
      <c r="C351" s="15" t="str">
        <f>IFERROR(INDEX('قائمة الوحدات'!$B$2:$B$41,MATCH($B351,'قائمة الوحدات'!$A$2:$A$41,0)),"")</f>
        <v>MIL</v>
      </c>
      <c r="D351" s="14" t="str">
        <f>IFERROR(INDEX('قائمة الوحدات'!$C$2:$C$41,MATCH($B351,'قائمة الوحدات'!$A$2:$A$41,0)),"")</f>
        <v>الجهاز العسكري</v>
      </c>
      <c r="E351" s="14" t="str">
        <f>IFERROR(INDEX('قائمة الوحدات'!$D$2:$D$41,MATCH($B351,'قائمة الوحدات'!$A$2:$A$41,0)),"")</f>
        <v>الإدارة العامة للشؤون الهندسية العسكرية</v>
      </c>
      <c r="F351" s="14" t="str">
        <f>IFERROR(INDEX('قائمة الوحدات'!$F$2:$F$41,MATCH($B351,'قائمة الوحدات'!$A$2:$A$41,0)),"")</f>
        <v>الإدارة العامة للشؤون الهندسية العسكرية</v>
      </c>
      <c r="G351" s="16" t="s">
        <v>61</v>
      </c>
      <c r="H351" s="14" t="str">
        <f>IFERROR(INDEX(المرجع!$A$2:$A$19,MATCH($G351,المرجع!$B$2:$B$19,0)),"")</f>
        <v>البناء المؤسسي</v>
      </c>
      <c r="I351" s="16" t="s">
        <v>56</v>
      </c>
      <c r="J351" s="14" t="str">
        <f>IFERROR(INDEX(المرجع!$D$2:$D$19,MATCH($I351,المرجع!$E$2:$E$19,0)),"")</f>
        <v>الموارد</v>
      </c>
      <c r="K351" s="16" t="s">
        <v>110</v>
      </c>
      <c r="L351" s="17" t="str">
        <f>IFERROR(INDEX('نقاط التحقق'!$G$2:$G$31,MATCH($K351,'نقاط التحقق'!$A$2:$A$31,0))&amp;"","")</f>
        <v>وجود الاحتياجات التقنية الأساسية</v>
      </c>
      <c r="M351" s="13">
        <v>70</v>
      </c>
      <c r="N351" s="15" t="str">
        <f>IF($M351="","غير مقيّمة",IF($M351&gt;المرجع!$K$3,"مستوفاة بشكل متقدم",IF($M351&lt;=المرجع!$K$2,"مستوفاة بشكل أولي","مستوفاة بشكل جزئي")))</f>
        <v>مستوفاة بشكل جزئي</v>
      </c>
      <c r="O351" s="18"/>
    </row>
    <row r="352" spans="1:15">
      <c r="A352" s="16" t="s">
        <v>1156</v>
      </c>
      <c r="B352" s="16" t="s">
        <v>212</v>
      </c>
      <c r="C352" s="15" t="str">
        <f>IFERROR(INDEX('قائمة الوحدات'!$B$2:$B$41,MATCH($B352,'قائمة الوحدات'!$A$2:$A$41,0)),"")</f>
        <v>MIL</v>
      </c>
      <c r="D352" s="14" t="str">
        <f>IFERROR(INDEX('قائمة الوحدات'!$C$2:$C$41,MATCH($B352,'قائمة الوحدات'!$A$2:$A$41,0)),"")</f>
        <v>الجهاز العسكري</v>
      </c>
      <c r="E352" s="14" t="str">
        <f>IFERROR(INDEX('قائمة الوحدات'!$D$2:$D$41,MATCH($B352,'قائمة الوحدات'!$A$2:$A$41,0)),"")</f>
        <v>الإدارة العامة للشؤون الهندسية العسكرية</v>
      </c>
      <c r="F352" s="14" t="str">
        <f>IFERROR(INDEX('قائمة الوحدات'!$F$2:$F$41,MATCH($B352,'قائمة الوحدات'!$A$2:$A$41,0)),"")</f>
        <v>الإدارة العامة للشؤون الهندسية العسكرية</v>
      </c>
      <c r="G352" s="16" t="s">
        <v>61</v>
      </c>
      <c r="H352" s="14" t="str">
        <f>IFERROR(INDEX(المرجع!$A$2:$A$19,MATCH($G352,المرجع!$B$2:$B$19,0)),"")</f>
        <v>البناء المؤسسي</v>
      </c>
      <c r="I352" s="16" t="s">
        <v>59</v>
      </c>
      <c r="J352" s="14" t="str">
        <f>IFERROR(INDEX(المرجع!$D$2:$D$19,MATCH($I352,المرجع!$E$2:$E$19,0)),"")</f>
        <v>الإجراءات</v>
      </c>
      <c r="K352" s="16" t="s">
        <v>112</v>
      </c>
      <c r="L352" s="17" t="str">
        <f>IFERROR(INDEX('نقاط التحقق'!$G$2:$G$31,MATCH($K352,'نقاط التحقق'!$A$2:$A$31,0))&amp;"","")</f>
        <v>إجراءات معتمدة للوحدة التنظيمية</v>
      </c>
      <c r="M352" s="13">
        <v>70</v>
      </c>
      <c r="N352" s="15" t="str">
        <f>IF($M352="","غير مقيّمة",IF($M352&gt;المرجع!$K$3,"مستوفاة بشكل متقدم",IF($M352&lt;=المرجع!$K$2,"مستوفاة بشكل أولي","مستوفاة بشكل جزئي")))</f>
        <v>مستوفاة بشكل جزئي</v>
      </c>
      <c r="O352" s="18"/>
    </row>
    <row r="353" spans="1:15">
      <c r="A353" s="16" t="s">
        <v>1157</v>
      </c>
      <c r="B353" s="16" t="s">
        <v>212</v>
      </c>
      <c r="C353" s="15" t="str">
        <f>IFERROR(INDEX('قائمة الوحدات'!$B$2:$B$41,MATCH($B353,'قائمة الوحدات'!$A$2:$A$41,0)),"")</f>
        <v>MIL</v>
      </c>
      <c r="D353" s="14" t="str">
        <f>IFERROR(INDEX('قائمة الوحدات'!$C$2:$C$41,MATCH($B353,'قائمة الوحدات'!$A$2:$A$41,0)),"")</f>
        <v>الجهاز العسكري</v>
      </c>
      <c r="E353" s="14" t="str">
        <f>IFERROR(INDEX('قائمة الوحدات'!$D$2:$D$41,MATCH($B353,'قائمة الوحدات'!$A$2:$A$41,0)),"")</f>
        <v>الإدارة العامة للشؤون الهندسية العسكرية</v>
      </c>
      <c r="F353" s="14" t="str">
        <f>IFERROR(INDEX('قائمة الوحدات'!$F$2:$F$41,MATCH($B353,'قائمة الوحدات'!$A$2:$A$41,0)),"")</f>
        <v>الإدارة العامة للشؤون الهندسية العسكرية</v>
      </c>
      <c r="G353" s="16" t="s">
        <v>61</v>
      </c>
      <c r="H353" s="14" t="str">
        <f>IFERROR(INDEX(المرجع!$A$2:$A$19,MATCH($G353,المرجع!$B$2:$B$19,0)),"")</f>
        <v>البناء المؤسسي</v>
      </c>
      <c r="I353" s="16" t="s">
        <v>63</v>
      </c>
      <c r="J353" s="14" t="str">
        <f>IFERROR(INDEX(المرجع!$D$2:$D$19,MATCH($I353,المرجع!$E$2:$E$19,0)),"")</f>
        <v>إنتاج المخرج الأول</v>
      </c>
      <c r="K353" s="16" t="s">
        <v>114</v>
      </c>
      <c r="L353" s="17" t="str">
        <f>IFERROR(INDEX('نقاط التحقق'!$G$2:$G$31,MATCH($K353,'نقاط التحقق'!$A$2:$A$31,0))&amp;"","")</f>
        <v>إنتاج المخرج الأول من قبل الوحدة التنظيمية</v>
      </c>
      <c r="M353" s="13">
        <v>79</v>
      </c>
      <c r="N353" s="15" t="str">
        <f>IF($M353="","غير مقيّمة",IF($M353&gt;المرجع!$K$3,"مستوفاة بشكل متقدم",IF($M353&lt;=المرجع!$K$2,"مستوفاة بشكل أولي","مستوفاة بشكل جزئي")))</f>
        <v>مستوفاة بشكل متقدم</v>
      </c>
      <c r="O353" s="18"/>
    </row>
    <row r="354" spans="1:15">
      <c r="A354" s="16" t="s">
        <v>1158</v>
      </c>
      <c r="B354" s="16" t="s">
        <v>212</v>
      </c>
      <c r="C354" s="15" t="str">
        <f>IFERROR(INDEX('قائمة الوحدات'!$B$2:$B$41,MATCH($B354,'قائمة الوحدات'!$A$2:$A$41,0)),"")</f>
        <v>MIL</v>
      </c>
      <c r="D354" s="14" t="str">
        <f>IFERROR(INDEX('قائمة الوحدات'!$C$2:$C$41,MATCH($B354,'قائمة الوحدات'!$A$2:$A$41,0)),"")</f>
        <v>الجهاز العسكري</v>
      </c>
      <c r="E354" s="14" t="str">
        <f>IFERROR(INDEX('قائمة الوحدات'!$D$2:$D$41,MATCH($B354,'قائمة الوحدات'!$A$2:$A$41,0)),"")</f>
        <v>الإدارة العامة للشؤون الهندسية العسكرية</v>
      </c>
      <c r="F354" s="14" t="str">
        <f>IFERROR(INDEX('قائمة الوحدات'!$F$2:$F$41,MATCH($B354,'قائمة الوحدات'!$A$2:$A$41,0)),"")</f>
        <v>الإدارة العامة للشؤون الهندسية العسكرية</v>
      </c>
      <c r="G354" s="16" t="s">
        <v>65</v>
      </c>
      <c r="H354" s="14" t="str">
        <f>IFERROR(INDEX(المرجع!$A$2:$A$19,MATCH($G354,المرجع!$B$2:$B$19,0)),"")</f>
        <v>التشغيل</v>
      </c>
      <c r="I354" s="16" t="s">
        <v>48</v>
      </c>
      <c r="J354" s="14" t="str">
        <f>IFERROR(INDEX(المرجع!$D$2:$D$19,MATCH($I354,المرجع!$E$2:$E$19,0)),"")</f>
        <v>الأهداف ومؤشرات الأداء</v>
      </c>
      <c r="K354" s="16" t="s">
        <v>116</v>
      </c>
      <c r="L354" s="17" t="str">
        <f>IFERROR(INDEX('نقاط التحقق'!$G$2:$G$31,MATCH($K354,'نقاط التحقق'!$A$2:$A$31,0))&amp;"","")</f>
        <v>تحرك مؤشرات الأداء التشغيلي للوحدة التنظيمية بشكل إيجابي</v>
      </c>
      <c r="M354" s="13">
        <v>15</v>
      </c>
      <c r="N354" s="15" t="str">
        <f>IF($M354="","غير مقيّمة",IF($M354&gt;المرجع!$K$3,"مستوفاة بشكل متقدم",IF($M354&lt;=المرجع!$K$2,"مستوفاة بشكل أولي","مستوفاة بشكل جزئي")))</f>
        <v>مستوفاة بشكل أولي</v>
      </c>
      <c r="O354" s="18"/>
    </row>
    <row r="355" spans="1:15">
      <c r="A355" s="16" t="s">
        <v>1159</v>
      </c>
      <c r="B355" s="16" t="s">
        <v>212</v>
      </c>
      <c r="C355" s="15" t="str">
        <f>IFERROR(INDEX('قائمة الوحدات'!$B$2:$B$41,MATCH($B355,'قائمة الوحدات'!$A$2:$A$41,0)),"")</f>
        <v>MIL</v>
      </c>
      <c r="D355" s="14" t="str">
        <f>IFERROR(INDEX('قائمة الوحدات'!$C$2:$C$41,MATCH($B355,'قائمة الوحدات'!$A$2:$A$41,0)),"")</f>
        <v>الجهاز العسكري</v>
      </c>
      <c r="E355" s="14" t="str">
        <f>IFERROR(INDEX('قائمة الوحدات'!$D$2:$D$41,MATCH($B355,'قائمة الوحدات'!$A$2:$A$41,0)),"")</f>
        <v>الإدارة العامة للشؤون الهندسية العسكرية</v>
      </c>
      <c r="F355" s="14" t="str">
        <f>IFERROR(INDEX('قائمة الوحدات'!$F$2:$F$41,MATCH($B355,'قائمة الوحدات'!$A$2:$A$41,0)),"")</f>
        <v>الإدارة العامة للشؤون الهندسية العسكرية</v>
      </c>
      <c r="G355" s="16" t="s">
        <v>65</v>
      </c>
      <c r="H355" s="14" t="str">
        <f>IFERROR(INDEX(المرجع!$A$2:$A$19,MATCH($G355,المرجع!$B$2:$B$19,0)),"")</f>
        <v>التشغيل</v>
      </c>
      <c r="I355" s="16" t="s">
        <v>48</v>
      </c>
      <c r="J355" s="14" t="str">
        <f>IFERROR(INDEX(المرجع!$D$2:$D$19,MATCH($I355,المرجع!$E$2:$E$19,0)),"")</f>
        <v>الأهداف ومؤشرات الأداء</v>
      </c>
      <c r="K355" s="16" t="s">
        <v>118</v>
      </c>
      <c r="L355" s="17" t="str">
        <f>IFERROR(INDEX('نقاط التحقق'!$G$2:$G$31,MATCH($K355,'نقاط التحقق'!$A$2:$A$31,0))&amp;"","")</f>
        <v>خطة سنوية معتمدة للوحدة التنظيمية</v>
      </c>
      <c r="M355" s="13">
        <v>40</v>
      </c>
      <c r="N355" s="15" t="str">
        <f>IF($M355="","غير مقيّمة",IF($M355&gt;المرجع!$K$3,"مستوفاة بشكل متقدم",IF($M355&lt;=المرجع!$K$2,"مستوفاة بشكل أولي","مستوفاة بشكل جزئي")))</f>
        <v>مستوفاة بشكل جزئي</v>
      </c>
      <c r="O355" s="18"/>
    </row>
    <row r="356" spans="1:15">
      <c r="A356" s="16" t="s">
        <v>1160</v>
      </c>
      <c r="B356" s="16" t="s">
        <v>212</v>
      </c>
      <c r="C356" s="15" t="str">
        <f>IFERROR(INDEX('قائمة الوحدات'!$B$2:$B$41,MATCH($B356,'قائمة الوحدات'!$A$2:$A$41,0)),"")</f>
        <v>MIL</v>
      </c>
      <c r="D356" s="14" t="str">
        <f>IFERROR(INDEX('قائمة الوحدات'!$C$2:$C$41,MATCH($B356,'قائمة الوحدات'!$A$2:$A$41,0)),"")</f>
        <v>الجهاز العسكري</v>
      </c>
      <c r="E356" s="14" t="str">
        <f>IFERROR(INDEX('قائمة الوحدات'!$D$2:$D$41,MATCH($B356,'قائمة الوحدات'!$A$2:$A$41,0)),"")</f>
        <v>الإدارة العامة للشؤون الهندسية العسكرية</v>
      </c>
      <c r="F356" s="14" t="str">
        <f>IFERROR(INDEX('قائمة الوحدات'!$F$2:$F$41,MATCH($B356,'قائمة الوحدات'!$A$2:$A$41,0)),"")</f>
        <v>الإدارة العامة للشؤون الهندسية العسكرية</v>
      </c>
      <c r="G356" s="16" t="s">
        <v>65</v>
      </c>
      <c r="H356" s="14" t="str">
        <f>IFERROR(INDEX(المرجع!$A$2:$A$19,MATCH($G356,المرجع!$B$2:$B$19,0)),"")</f>
        <v>التشغيل</v>
      </c>
      <c r="I356" s="16" t="s">
        <v>51</v>
      </c>
      <c r="J356" s="14" t="str">
        <f>IFERROR(INDEX(المرجع!$D$2:$D$19,MATCH($I356,المرجع!$E$2:$E$19,0)),"")</f>
        <v>الحوكمة</v>
      </c>
      <c r="K356" s="16" t="s">
        <v>120</v>
      </c>
      <c r="L356" s="17" t="str">
        <f>IFERROR(INDEX('نقاط التحقق'!$G$2:$G$31,MATCH($K356,'نقاط التحقق'!$A$2:$A$31,0))&amp;"","")</f>
        <v>محاضر لجان موثقة</v>
      </c>
      <c r="M356" s="13">
        <v>45</v>
      </c>
      <c r="N356" s="15" t="str">
        <f>IF($M356="","غير مقيّمة",IF($M356&gt;المرجع!$K$3,"مستوفاة بشكل متقدم",IF($M356&lt;=المرجع!$K$2,"مستوفاة بشكل أولي","مستوفاة بشكل جزئي")))</f>
        <v>مستوفاة بشكل جزئي</v>
      </c>
      <c r="O356" s="18"/>
    </row>
    <row r="357" spans="1:15">
      <c r="A357" s="16" t="s">
        <v>1161</v>
      </c>
      <c r="B357" s="16" t="s">
        <v>212</v>
      </c>
      <c r="C357" s="15" t="str">
        <f>IFERROR(INDEX('قائمة الوحدات'!$B$2:$B$41,MATCH($B357,'قائمة الوحدات'!$A$2:$A$41,0)),"")</f>
        <v>MIL</v>
      </c>
      <c r="D357" s="14" t="str">
        <f>IFERROR(INDEX('قائمة الوحدات'!$C$2:$C$41,MATCH($B357,'قائمة الوحدات'!$A$2:$A$41,0)),"")</f>
        <v>الجهاز العسكري</v>
      </c>
      <c r="E357" s="14" t="str">
        <f>IFERROR(INDEX('قائمة الوحدات'!$D$2:$D$41,MATCH($B357,'قائمة الوحدات'!$A$2:$A$41,0)),"")</f>
        <v>الإدارة العامة للشؤون الهندسية العسكرية</v>
      </c>
      <c r="F357" s="14" t="str">
        <f>IFERROR(INDEX('قائمة الوحدات'!$F$2:$F$41,MATCH($B357,'قائمة الوحدات'!$A$2:$A$41,0)),"")</f>
        <v>الإدارة العامة للشؤون الهندسية العسكرية</v>
      </c>
      <c r="G357" s="16" t="s">
        <v>65</v>
      </c>
      <c r="H357" s="14" t="str">
        <f>IFERROR(INDEX(المرجع!$A$2:$A$19,MATCH($G357,المرجع!$B$2:$B$19,0)),"")</f>
        <v>التشغيل</v>
      </c>
      <c r="I357" s="16" t="s">
        <v>51</v>
      </c>
      <c r="J357" s="14" t="str">
        <f>IFERROR(INDEX(المرجع!$D$2:$D$19,MATCH($I357,المرجع!$E$2:$E$19,0)),"")</f>
        <v>الحوكمة</v>
      </c>
      <c r="K357" s="16" t="s">
        <v>122</v>
      </c>
      <c r="L357" s="17" t="str">
        <f>IFERROR(INDEX('نقاط التحقق'!$G$2:$G$31,MATCH($K357,'نقاط التحقق'!$A$2:$A$31,0))&amp;"","")</f>
        <v>نشر السياسات التي تملكها الوحدة التنظيمية</v>
      </c>
      <c r="M357" s="13">
        <v>60</v>
      </c>
      <c r="N357" s="15" t="str">
        <f>IF($M357="","غير مقيّمة",IF($M357&gt;المرجع!$K$3,"مستوفاة بشكل متقدم",IF($M357&lt;=المرجع!$K$2,"مستوفاة بشكل أولي","مستوفاة بشكل جزئي")))</f>
        <v>مستوفاة بشكل جزئي</v>
      </c>
      <c r="O357" s="18"/>
    </row>
    <row r="358" spans="1:15">
      <c r="A358" s="16" t="s">
        <v>1162</v>
      </c>
      <c r="B358" s="16" t="s">
        <v>212</v>
      </c>
      <c r="C358" s="15" t="str">
        <f>IFERROR(INDEX('قائمة الوحدات'!$B$2:$B$41,MATCH($B358,'قائمة الوحدات'!$A$2:$A$41,0)),"")</f>
        <v>MIL</v>
      </c>
      <c r="D358" s="14" t="str">
        <f>IFERROR(INDEX('قائمة الوحدات'!$C$2:$C$41,MATCH($B358,'قائمة الوحدات'!$A$2:$A$41,0)),"")</f>
        <v>الجهاز العسكري</v>
      </c>
      <c r="E358" s="14" t="str">
        <f>IFERROR(INDEX('قائمة الوحدات'!$D$2:$D$41,MATCH($B358,'قائمة الوحدات'!$A$2:$A$41,0)),"")</f>
        <v>الإدارة العامة للشؤون الهندسية العسكرية</v>
      </c>
      <c r="F358" s="14" t="str">
        <f>IFERROR(INDEX('قائمة الوحدات'!$F$2:$F$41,MATCH($B358,'قائمة الوحدات'!$A$2:$A$41,0)),"")</f>
        <v>الإدارة العامة للشؤون الهندسية العسكرية</v>
      </c>
      <c r="G358" s="16" t="s">
        <v>65</v>
      </c>
      <c r="H358" s="14" t="str">
        <f>IFERROR(INDEX(المرجع!$A$2:$A$19,MATCH($G358,المرجع!$B$2:$B$19,0)),"")</f>
        <v>التشغيل</v>
      </c>
      <c r="I358" s="16" t="s">
        <v>51</v>
      </c>
      <c r="J358" s="14" t="str">
        <f>IFERROR(INDEX(المرجع!$D$2:$D$19,MATCH($I358,المرجع!$E$2:$E$19,0)),"")</f>
        <v>الحوكمة</v>
      </c>
      <c r="K358" s="16" t="s">
        <v>124</v>
      </c>
      <c r="L358" s="17" t="str">
        <f>IFERROR(INDEX('نقاط التحقق'!$G$2:$G$31,MATCH($K358,'نقاط التحقق'!$A$2:$A$31,0))&amp;"","")</f>
        <v>اتخاذ القرارات في نطاق الصلاحيات (وجود شواهد)</v>
      </c>
      <c r="M358" s="13">
        <v>35</v>
      </c>
      <c r="N358" s="15" t="str">
        <f>IF($M358="","غير مقيّمة",IF($M358&gt;المرجع!$K$3,"مستوفاة بشكل متقدم",IF($M358&lt;=المرجع!$K$2,"مستوفاة بشكل أولي","مستوفاة بشكل جزئي")))</f>
        <v>مستوفاة بشكل جزئي</v>
      </c>
      <c r="O358" s="18"/>
    </row>
    <row r="359" spans="1:15">
      <c r="A359" s="16" t="s">
        <v>1163</v>
      </c>
      <c r="B359" s="16" t="s">
        <v>212</v>
      </c>
      <c r="C359" s="15" t="str">
        <f>IFERROR(INDEX('قائمة الوحدات'!$B$2:$B$41,MATCH($B359,'قائمة الوحدات'!$A$2:$A$41,0)),"")</f>
        <v>MIL</v>
      </c>
      <c r="D359" s="14" t="str">
        <f>IFERROR(INDEX('قائمة الوحدات'!$C$2:$C$41,MATCH($B359,'قائمة الوحدات'!$A$2:$A$41,0)),"")</f>
        <v>الجهاز العسكري</v>
      </c>
      <c r="E359" s="14" t="str">
        <f>IFERROR(INDEX('قائمة الوحدات'!$D$2:$D$41,MATCH($B359,'قائمة الوحدات'!$A$2:$A$41,0)),"")</f>
        <v>الإدارة العامة للشؤون الهندسية العسكرية</v>
      </c>
      <c r="F359" s="14" t="str">
        <f>IFERROR(INDEX('قائمة الوحدات'!$F$2:$F$41,MATCH($B359,'قائمة الوحدات'!$A$2:$A$41,0)),"")</f>
        <v>الإدارة العامة للشؤون الهندسية العسكرية</v>
      </c>
      <c r="G359" s="16" t="s">
        <v>65</v>
      </c>
      <c r="H359" s="14" t="str">
        <f>IFERROR(INDEX(المرجع!$A$2:$A$19,MATCH($G359,المرجع!$B$2:$B$19,0)),"")</f>
        <v>التشغيل</v>
      </c>
      <c r="I359" s="16" t="s">
        <v>56</v>
      </c>
      <c r="J359" s="14" t="str">
        <f>IFERROR(INDEX(المرجع!$D$2:$D$19,MATCH($I359,المرجع!$E$2:$E$19,0)),"")</f>
        <v>الموارد</v>
      </c>
      <c r="K359" s="16" t="s">
        <v>126</v>
      </c>
      <c r="L359" s="17" t="str">
        <f>IFERROR(INDEX('نقاط التحقق'!$G$2:$G$31,MATCH($K359,'نقاط التحقق'!$A$2:$A$31,0))&amp;"","")</f>
        <v>موارد مستكملة للحد الأدنى الذي يغطي كافة محاور سلسلة القيمة</v>
      </c>
      <c r="M359" s="13">
        <v>29</v>
      </c>
      <c r="N359" s="15" t="str">
        <f>IF($M359="","غير مقيّمة",IF($M359&gt;المرجع!$K$3,"مستوفاة بشكل متقدم",IF($M359&lt;=المرجع!$K$2,"مستوفاة بشكل أولي","مستوفاة بشكل جزئي")))</f>
        <v>مستوفاة بشكل أولي</v>
      </c>
      <c r="O359" s="18"/>
    </row>
    <row r="360" spans="1:15">
      <c r="A360" s="16" t="s">
        <v>1164</v>
      </c>
      <c r="B360" s="16" t="s">
        <v>212</v>
      </c>
      <c r="C360" s="15" t="str">
        <f>IFERROR(INDEX('قائمة الوحدات'!$B$2:$B$41,MATCH($B360,'قائمة الوحدات'!$A$2:$A$41,0)),"")</f>
        <v>MIL</v>
      </c>
      <c r="D360" s="14" t="str">
        <f>IFERROR(INDEX('قائمة الوحدات'!$C$2:$C$41,MATCH($B360,'قائمة الوحدات'!$A$2:$A$41,0)),"")</f>
        <v>الجهاز العسكري</v>
      </c>
      <c r="E360" s="14" t="str">
        <f>IFERROR(INDEX('قائمة الوحدات'!$D$2:$D$41,MATCH($B360,'قائمة الوحدات'!$A$2:$A$41,0)),"")</f>
        <v>الإدارة العامة للشؤون الهندسية العسكرية</v>
      </c>
      <c r="F360" s="14" t="str">
        <f>IFERROR(INDEX('قائمة الوحدات'!$F$2:$F$41,MATCH($B360,'قائمة الوحدات'!$A$2:$A$41,0)),"")</f>
        <v>الإدارة العامة للشؤون الهندسية العسكرية</v>
      </c>
      <c r="G360" s="16" t="s">
        <v>65</v>
      </c>
      <c r="H360" s="14" t="str">
        <f>IFERROR(INDEX(المرجع!$A$2:$A$19,MATCH($G360,المرجع!$B$2:$B$19,0)),"")</f>
        <v>التشغيل</v>
      </c>
      <c r="I360" s="16" t="s">
        <v>59</v>
      </c>
      <c r="J360" s="14" t="str">
        <f>IFERROR(INDEX(المرجع!$D$2:$D$19,MATCH($I360,المرجع!$E$2:$E$19,0)),"")</f>
        <v>الإجراءات</v>
      </c>
      <c r="K360" s="16" t="s">
        <v>128</v>
      </c>
      <c r="L360" s="17" t="str">
        <f>IFERROR(INDEX('نقاط التحقق'!$G$2:$G$31,MATCH($K360,'نقاط التحقق'!$A$2:$A$31,0))&amp;"","")</f>
        <v>تحقيق تقييم "مطبق بشكل كامل" من منهجية تقييم فعالية الإجراءات</v>
      </c>
      <c r="M360" s="13">
        <v>57</v>
      </c>
      <c r="N360" s="15" t="str">
        <f>IF($M360="","غير مقيّمة",IF($M360&gt;المرجع!$K$3,"مستوفاة بشكل متقدم",IF($M360&lt;=المرجع!$K$2,"مستوفاة بشكل أولي","مستوفاة بشكل جزئي")))</f>
        <v>مستوفاة بشكل جزئي</v>
      </c>
      <c r="O360" s="18"/>
    </row>
    <row r="361" spans="1:15">
      <c r="A361" s="16" t="s">
        <v>1165</v>
      </c>
      <c r="B361" s="16" t="s">
        <v>212</v>
      </c>
      <c r="C361" s="15" t="str">
        <f>IFERROR(INDEX('قائمة الوحدات'!$B$2:$B$41,MATCH($B361,'قائمة الوحدات'!$A$2:$A$41,0)),"")</f>
        <v>MIL</v>
      </c>
      <c r="D361" s="14" t="str">
        <f>IFERROR(INDEX('قائمة الوحدات'!$C$2:$C$41,MATCH($B361,'قائمة الوحدات'!$A$2:$A$41,0)),"")</f>
        <v>الجهاز العسكري</v>
      </c>
      <c r="E361" s="14" t="str">
        <f>IFERROR(INDEX('قائمة الوحدات'!$D$2:$D$41,MATCH($B361,'قائمة الوحدات'!$A$2:$A$41,0)),"")</f>
        <v>الإدارة العامة للشؤون الهندسية العسكرية</v>
      </c>
      <c r="F361" s="14" t="str">
        <f>IFERROR(INDEX('قائمة الوحدات'!$F$2:$F$41,MATCH($B361,'قائمة الوحدات'!$A$2:$A$41,0)),"")</f>
        <v>الإدارة العامة للشؤون الهندسية العسكرية</v>
      </c>
      <c r="G361" s="16" t="s">
        <v>65</v>
      </c>
      <c r="H361" s="14" t="str">
        <f>IFERROR(INDEX(المرجع!$A$2:$A$19,MATCH($G361,المرجع!$B$2:$B$19,0)),"")</f>
        <v>التشغيل</v>
      </c>
      <c r="I361" s="16" t="s">
        <v>67</v>
      </c>
      <c r="J361" s="14" t="str">
        <f>IFERROR(INDEX(المرجع!$D$2:$D$19,MATCH($I361,المرجع!$E$2:$E$19,0)),"")</f>
        <v>اكتمال المخرجات المستهدفة</v>
      </c>
      <c r="K361" s="16" t="s">
        <v>130</v>
      </c>
      <c r="L361" s="17" t="str">
        <f>IFERROR(INDEX('نقاط التحقق'!$G$2:$G$31,MATCH($K361,'نقاط التحقق'!$A$2:$A$31,0))&amp;"","")</f>
        <v>اكتمال مخرجات النموذج التشغيلي المستهدف للوحدة التنظيمية</v>
      </c>
      <c r="M361" s="13">
        <v>36</v>
      </c>
      <c r="N361" s="15" t="str">
        <f>IF($M361="","غير مقيّمة",IF($M361&gt;المرجع!$K$3,"مستوفاة بشكل متقدم",IF($M361&lt;=المرجع!$K$2,"مستوفاة بشكل أولي","مستوفاة بشكل جزئي")))</f>
        <v>مستوفاة بشكل جزئي</v>
      </c>
      <c r="O361" s="18"/>
    </row>
    <row r="362" spans="1:15">
      <c r="A362" s="16" t="s">
        <v>1166</v>
      </c>
      <c r="B362" s="16" t="s">
        <v>214</v>
      </c>
      <c r="C362" s="15" t="str">
        <f>IFERROR(INDEX('قائمة الوحدات'!$B$2:$B$41,MATCH($B362,'قائمة الوحدات'!$A$2:$A$41,0)),"")</f>
        <v>MIL</v>
      </c>
      <c r="D362" s="14" t="str">
        <f>IFERROR(INDEX('قائمة الوحدات'!$C$2:$C$41,MATCH($B362,'قائمة الوحدات'!$A$2:$A$41,0)),"")</f>
        <v>الجهاز العسكري</v>
      </c>
      <c r="E362" s="14" t="str">
        <f>IFERROR(INDEX('قائمة الوحدات'!$D$2:$D$41,MATCH($B362,'قائمة الوحدات'!$A$2:$A$41,0)),"")</f>
        <v>الإدارة العامة للخدمات الطبية العسكرية</v>
      </c>
      <c r="F362" s="14" t="str">
        <f>IFERROR(INDEX('قائمة الوحدات'!$F$2:$F$41,MATCH($B362,'قائمة الوحدات'!$A$2:$A$41,0)),"")</f>
        <v>الإدارة العامة للخدمات الطبية العسكرية</v>
      </c>
      <c r="G362" s="16" t="s">
        <v>43</v>
      </c>
      <c r="H362" s="14" t="str">
        <f>IFERROR(INDEX(المرجع!$A$2:$A$19,MATCH($G362,المرجع!$B$2:$B$19,0)),"")</f>
        <v>التصميم</v>
      </c>
      <c r="I362" s="16" t="s">
        <v>45</v>
      </c>
      <c r="J362" s="14" t="str">
        <f>IFERROR(INDEX(المرجع!$D$2:$D$19,MATCH($I362,المرجع!$E$2:$E$19,0)),"")</f>
        <v>الدور</v>
      </c>
      <c r="K362" s="16" t="s">
        <v>72</v>
      </c>
      <c r="L362" s="17" t="str">
        <f>IFERROR(INDEX('نقاط التحقق'!$G$2:$G$31,MATCH($K362,'نقاط التحقق'!$A$2:$A$31,0))&amp;"","")</f>
        <v>دور مفصل للوحدة التنظيمية</v>
      </c>
      <c r="M362" s="13">
        <v>73</v>
      </c>
      <c r="N362" s="15" t="str">
        <f>IF($M362="","غير مقيّمة",IF($M362&gt;المرجع!$K$3,"مستوفاة بشكل متقدم",IF($M362&lt;=المرجع!$K$2,"مستوفاة بشكل أولي","مستوفاة بشكل جزئي")))</f>
        <v>مستوفاة بشكل متقدم</v>
      </c>
      <c r="O362" s="18"/>
    </row>
    <row r="363" spans="1:15">
      <c r="A363" s="16" t="s">
        <v>1167</v>
      </c>
      <c r="B363" s="16" t="s">
        <v>214</v>
      </c>
      <c r="C363" s="15" t="str">
        <f>IFERROR(INDEX('قائمة الوحدات'!$B$2:$B$41,MATCH($B363,'قائمة الوحدات'!$A$2:$A$41,0)),"")</f>
        <v>MIL</v>
      </c>
      <c r="D363" s="14" t="str">
        <f>IFERROR(INDEX('قائمة الوحدات'!$C$2:$C$41,MATCH($B363,'قائمة الوحدات'!$A$2:$A$41,0)),"")</f>
        <v>الجهاز العسكري</v>
      </c>
      <c r="E363" s="14" t="str">
        <f>IFERROR(INDEX('قائمة الوحدات'!$D$2:$D$41,MATCH($B363,'قائمة الوحدات'!$A$2:$A$41,0)),"")</f>
        <v>الإدارة العامة للخدمات الطبية العسكرية</v>
      </c>
      <c r="F363" s="14" t="str">
        <f>IFERROR(INDEX('قائمة الوحدات'!$F$2:$F$41,MATCH($B363,'قائمة الوحدات'!$A$2:$A$41,0)),"")</f>
        <v>الإدارة العامة للخدمات الطبية العسكرية</v>
      </c>
      <c r="G363" s="16" t="s">
        <v>43</v>
      </c>
      <c r="H363" s="14" t="str">
        <f>IFERROR(INDEX(المرجع!$A$2:$A$19,MATCH($G363,المرجع!$B$2:$B$19,0)),"")</f>
        <v>التصميم</v>
      </c>
      <c r="I363" s="16" t="s">
        <v>48</v>
      </c>
      <c r="J363" s="14" t="str">
        <f>IFERROR(INDEX(المرجع!$D$2:$D$19,MATCH($I363,المرجع!$E$2:$E$19,0)),"")</f>
        <v>الأهداف ومؤشرات الأداء</v>
      </c>
      <c r="K363" s="16" t="s">
        <v>74</v>
      </c>
      <c r="L363" s="17" t="str">
        <f>IFERROR(INDEX('نقاط التحقق'!$G$2:$G$31,MATCH($K363,'نقاط التحقق'!$A$2:$A$31,0))&amp;"","")</f>
        <v>أهداف محددة للوحدة التنظيمية وربطها بمؤشرات أداء لقياسها</v>
      </c>
      <c r="M363" s="13">
        <v>80</v>
      </c>
      <c r="N363" s="15" t="str">
        <f>IF($M363="","غير مقيّمة",IF($M363&gt;المرجع!$K$3,"مستوفاة بشكل متقدم",IF($M363&lt;=المرجع!$K$2,"مستوفاة بشكل أولي","مستوفاة بشكل جزئي")))</f>
        <v>مستوفاة بشكل متقدم</v>
      </c>
      <c r="O363" s="18"/>
    </row>
    <row r="364" spans="1:15">
      <c r="A364" s="16" t="s">
        <v>1168</v>
      </c>
      <c r="B364" s="16" t="s">
        <v>214</v>
      </c>
      <c r="C364" s="15" t="str">
        <f>IFERROR(INDEX('قائمة الوحدات'!$B$2:$B$41,MATCH($B364,'قائمة الوحدات'!$A$2:$A$41,0)),"")</f>
        <v>MIL</v>
      </c>
      <c r="D364" s="14" t="str">
        <f>IFERROR(INDEX('قائمة الوحدات'!$C$2:$C$41,MATCH($B364,'قائمة الوحدات'!$A$2:$A$41,0)),"")</f>
        <v>الجهاز العسكري</v>
      </c>
      <c r="E364" s="14" t="str">
        <f>IFERROR(INDEX('قائمة الوحدات'!$D$2:$D$41,MATCH($B364,'قائمة الوحدات'!$A$2:$A$41,0)),"")</f>
        <v>الإدارة العامة للخدمات الطبية العسكرية</v>
      </c>
      <c r="F364" s="14" t="str">
        <f>IFERROR(INDEX('قائمة الوحدات'!$F$2:$F$41,MATCH($B364,'قائمة الوحدات'!$A$2:$A$41,0)),"")</f>
        <v>الإدارة العامة للخدمات الطبية العسكرية</v>
      </c>
      <c r="G364" s="16" t="s">
        <v>43</v>
      </c>
      <c r="H364" s="14" t="str">
        <f>IFERROR(INDEX(المرجع!$A$2:$A$19,MATCH($G364,المرجع!$B$2:$B$19,0)),"")</f>
        <v>التصميم</v>
      </c>
      <c r="I364" s="16" t="s">
        <v>48</v>
      </c>
      <c r="J364" s="14" t="str">
        <f>IFERROR(INDEX(المرجع!$D$2:$D$19,MATCH($I364,المرجع!$E$2:$E$19,0)),"")</f>
        <v>الأهداف ومؤشرات الأداء</v>
      </c>
      <c r="K364" s="16" t="s">
        <v>76</v>
      </c>
      <c r="L364" s="17" t="str">
        <f>IFERROR(INDEX('نقاط التحقق'!$G$2:$G$31,MATCH($K364,'نقاط التحقق'!$A$2:$A$31,0))&amp;"","")</f>
        <v>مؤشرات أداء الوحدة التنظيمية</v>
      </c>
      <c r="M364" s="13">
        <v>90</v>
      </c>
      <c r="N364" s="15" t="str">
        <f>IF($M364="","غير مقيّمة",IF($M364&gt;المرجع!$K$3,"مستوفاة بشكل متقدم",IF($M364&lt;=المرجع!$K$2,"مستوفاة بشكل أولي","مستوفاة بشكل جزئي")))</f>
        <v>مستوفاة بشكل متقدم</v>
      </c>
      <c r="O364" s="18"/>
    </row>
    <row r="365" spans="1:15">
      <c r="A365" s="16" t="s">
        <v>1169</v>
      </c>
      <c r="B365" s="16" t="s">
        <v>214</v>
      </c>
      <c r="C365" s="15" t="str">
        <f>IFERROR(INDEX('قائمة الوحدات'!$B$2:$B$41,MATCH($B365,'قائمة الوحدات'!$A$2:$A$41,0)),"")</f>
        <v>MIL</v>
      </c>
      <c r="D365" s="14" t="str">
        <f>IFERROR(INDEX('قائمة الوحدات'!$C$2:$C$41,MATCH($B365,'قائمة الوحدات'!$A$2:$A$41,0)),"")</f>
        <v>الجهاز العسكري</v>
      </c>
      <c r="E365" s="14" t="str">
        <f>IFERROR(INDEX('قائمة الوحدات'!$D$2:$D$41,MATCH($B365,'قائمة الوحدات'!$A$2:$A$41,0)),"")</f>
        <v>الإدارة العامة للخدمات الطبية العسكرية</v>
      </c>
      <c r="F365" s="14" t="str">
        <f>IFERROR(INDEX('قائمة الوحدات'!$F$2:$F$41,MATCH($B365,'قائمة الوحدات'!$A$2:$A$41,0)),"")</f>
        <v>الإدارة العامة للخدمات الطبية العسكرية</v>
      </c>
      <c r="G365" s="16" t="s">
        <v>43</v>
      </c>
      <c r="H365" s="14" t="str">
        <f>IFERROR(INDEX(المرجع!$A$2:$A$19,MATCH($G365,المرجع!$B$2:$B$19,0)),"")</f>
        <v>التصميم</v>
      </c>
      <c r="I365" s="16" t="s">
        <v>51</v>
      </c>
      <c r="J365" s="14" t="str">
        <f>IFERROR(INDEX(المرجع!$D$2:$D$19,MATCH($I365,المرجع!$E$2:$E$19,0)),"")</f>
        <v>الحوكمة</v>
      </c>
      <c r="K365" s="16" t="s">
        <v>78</v>
      </c>
      <c r="L365" s="17" t="str">
        <f>IFERROR(INDEX('نقاط التحقق'!$G$2:$G$31,MATCH($K365,'نقاط التحقق'!$A$2:$A$31,0))&amp;"","")</f>
        <v>تفصيل القرارات ومصفوفة الصلاحيات واللجان ذات العلاقة لاعتماد مخرجات الوحدة التنظيمية</v>
      </c>
      <c r="M365" s="13">
        <v>92</v>
      </c>
      <c r="N365" s="15" t="str">
        <f>IF($M365="","غير مقيّمة",IF($M365&gt;المرجع!$K$3,"مستوفاة بشكل متقدم",IF($M365&lt;=المرجع!$K$2,"مستوفاة بشكل أولي","مستوفاة بشكل جزئي")))</f>
        <v>مستوفاة بشكل متقدم</v>
      </c>
      <c r="O365" s="18"/>
    </row>
    <row r="366" spans="1:15">
      <c r="A366" s="16" t="s">
        <v>1170</v>
      </c>
      <c r="B366" s="16" t="s">
        <v>214</v>
      </c>
      <c r="C366" s="15" t="str">
        <f>IFERROR(INDEX('قائمة الوحدات'!$B$2:$B$41,MATCH($B366,'قائمة الوحدات'!$A$2:$A$41,0)),"")</f>
        <v>MIL</v>
      </c>
      <c r="D366" s="14" t="str">
        <f>IFERROR(INDEX('قائمة الوحدات'!$C$2:$C$41,MATCH($B366,'قائمة الوحدات'!$A$2:$A$41,0)),"")</f>
        <v>الجهاز العسكري</v>
      </c>
      <c r="E366" s="14" t="str">
        <f>IFERROR(INDEX('قائمة الوحدات'!$D$2:$D$41,MATCH($B366,'قائمة الوحدات'!$A$2:$A$41,0)),"")</f>
        <v>الإدارة العامة للخدمات الطبية العسكرية</v>
      </c>
      <c r="F366" s="14" t="str">
        <f>IFERROR(INDEX('قائمة الوحدات'!$F$2:$F$41,MATCH($B366,'قائمة الوحدات'!$A$2:$A$41,0)),"")</f>
        <v>الإدارة العامة للخدمات الطبية العسكرية</v>
      </c>
      <c r="G366" s="16" t="s">
        <v>43</v>
      </c>
      <c r="H366" s="14" t="str">
        <f>IFERROR(INDEX(المرجع!$A$2:$A$19,MATCH($G366,المرجع!$B$2:$B$19,0)),"")</f>
        <v>التصميم</v>
      </c>
      <c r="I366" s="16" t="s">
        <v>54</v>
      </c>
      <c r="J366" s="14" t="str">
        <f>IFERROR(INDEX(المرجع!$D$2:$D$19,MATCH($I366,المرجع!$E$2:$E$19,0)),"")</f>
        <v>التنظيم</v>
      </c>
      <c r="K366" s="16" t="s">
        <v>80</v>
      </c>
      <c r="L366" s="17" t="str">
        <f>IFERROR(INDEX('نقاط التحقق'!$G$2:$G$31,MATCH($K366,'نقاط التحقق'!$A$2:$A$31,0))&amp;"","")</f>
        <v>تطوير الأدوار والمسؤوليات للوحدة التنظيمية وتفصيل الهيكل التنظيمي</v>
      </c>
      <c r="M366" s="13">
        <v>80</v>
      </c>
      <c r="N366" s="15" t="str">
        <f>IF($M366="","غير مقيّمة",IF($M366&gt;المرجع!$K$3,"مستوفاة بشكل متقدم",IF($M366&lt;=المرجع!$K$2,"مستوفاة بشكل أولي","مستوفاة بشكل جزئي")))</f>
        <v>مستوفاة بشكل متقدم</v>
      </c>
      <c r="O366" s="18"/>
    </row>
    <row r="367" spans="1:15">
      <c r="A367" s="16" t="s">
        <v>1171</v>
      </c>
      <c r="B367" s="16" t="s">
        <v>214</v>
      </c>
      <c r="C367" s="15" t="str">
        <f>IFERROR(INDEX('قائمة الوحدات'!$B$2:$B$41,MATCH($B367,'قائمة الوحدات'!$A$2:$A$41,0)),"")</f>
        <v>MIL</v>
      </c>
      <c r="D367" s="14" t="str">
        <f>IFERROR(INDEX('قائمة الوحدات'!$C$2:$C$41,MATCH($B367,'قائمة الوحدات'!$A$2:$A$41,0)),"")</f>
        <v>الجهاز العسكري</v>
      </c>
      <c r="E367" s="14" t="str">
        <f>IFERROR(INDEX('قائمة الوحدات'!$D$2:$D$41,MATCH($B367,'قائمة الوحدات'!$A$2:$A$41,0)),"")</f>
        <v>الإدارة العامة للخدمات الطبية العسكرية</v>
      </c>
      <c r="F367" s="14" t="str">
        <f>IFERROR(INDEX('قائمة الوحدات'!$F$2:$F$41,MATCH($B367,'قائمة الوحدات'!$A$2:$A$41,0)),"")</f>
        <v>الإدارة العامة للخدمات الطبية العسكرية</v>
      </c>
      <c r="G367" s="16" t="s">
        <v>43</v>
      </c>
      <c r="H367" s="14" t="str">
        <f>IFERROR(INDEX(المرجع!$A$2:$A$19,MATCH($G367,المرجع!$B$2:$B$19,0)),"")</f>
        <v>التصميم</v>
      </c>
      <c r="I367" s="16" t="s">
        <v>56</v>
      </c>
      <c r="J367" s="14" t="str">
        <f>IFERROR(INDEX(المرجع!$D$2:$D$19,MATCH($I367,المرجع!$E$2:$E$19,0)),"")</f>
        <v>الموارد</v>
      </c>
      <c r="K367" s="16" t="s">
        <v>82</v>
      </c>
      <c r="L367" s="17" t="str">
        <f>IFERROR(INDEX('نقاط التحقق'!$G$2:$G$31,MATCH($K367,'نقاط التحقق'!$A$2:$A$31,0))&amp;"","")</f>
        <v>تفصيل احتياج الموارد البشرية للوحدة التنظيمية</v>
      </c>
      <c r="M367" s="13">
        <v>95</v>
      </c>
      <c r="N367" s="15" t="str">
        <f>IF($M367="","غير مقيّمة",IF($M367&gt;المرجع!$K$3,"مستوفاة بشكل متقدم",IF($M367&lt;=المرجع!$K$2,"مستوفاة بشكل أولي","مستوفاة بشكل جزئي")))</f>
        <v>مستوفاة بشكل متقدم</v>
      </c>
      <c r="O367" s="18"/>
    </row>
    <row r="368" spans="1:15">
      <c r="A368" s="16" t="s">
        <v>1172</v>
      </c>
      <c r="B368" s="16" t="s">
        <v>214</v>
      </c>
      <c r="C368" s="15" t="str">
        <f>IFERROR(INDEX('قائمة الوحدات'!$B$2:$B$41,MATCH($B368,'قائمة الوحدات'!$A$2:$A$41,0)),"")</f>
        <v>MIL</v>
      </c>
      <c r="D368" s="14" t="str">
        <f>IFERROR(INDEX('قائمة الوحدات'!$C$2:$C$41,MATCH($B368,'قائمة الوحدات'!$A$2:$A$41,0)),"")</f>
        <v>الجهاز العسكري</v>
      </c>
      <c r="E368" s="14" t="str">
        <f>IFERROR(INDEX('قائمة الوحدات'!$D$2:$D$41,MATCH($B368,'قائمة الوحدات'!$A$2:$A$41,0)),"")</f>
        <v>الإدارة العامة للخدمات الطبية العسكرية</v>
      </c>
      <c r="F368" s="14" t="str">
        <f>IFERROR(INDEX('قائمة الوحدات'!$F$2:$F$41,MATCH($B368,'قائمة الوحدات'!$A$2:$A$41,0)),"")</f>
        <v>الإدارة العامة للخدمات الطبية العسكرية</v>
      </c>
      <c r="G368" s="16" t="s">
        <v>43</v>
      </c>
      <c r="H368" s="14" t="str">
        <f>IFERROR(INDEX(المرجع!$A$2:$A$19,MATCH($G368,المرجع!$B$2:$B$19,0)),"")</f>
        <v>التصميم</v>
      </c>
      <c r="I368" s="16" t="s">
        <v>59</v>
      </c>
      <c r="J368" s="14" t="str">
        <f>IFERROR(INDEX(المرجع!$D$2:$D$19,MATCH($I368,المرجع!$E$2:$E$19,0)),"")</f>
        <v>الإجراءات</v>
      </c>
      <c r="K368" s="16" t="s">
        <v>84</v>
      </c>
      <c r="L368" s="17" t="str">
        <f>IFERROR(INDEX('نقاط التحقق'!$G$2:$G$31,MATCH($K368,'نقاط التحقق'!$A$2:$A$31,0))&amp;"","")</f>
        <v>تفصيل المخرجات إلى إجراءات عالية المستوى</v>
      </c>
      <c r="M368" s="13">
        <v>76</v>
      </c>
      <c r="N368" s="15" t="str">
        <f>IF($M368="","غير مقيّمة",IF($M368&gt;المرجع!$K$3,"مستوفاة بشكل متقدم",IF($M368&lt;=المرجع!$K$2,"مستوفاة بشكل أولي","مستوفاة بشكل جزئي")))</f>
        <v>مستوفاة بشكل متقدم</v>
      </c>
      <c r="O368" s="18"/>
    </row>
    <row r="369" spans="1:15">
      <c r="A369" s="16" t="s">
        <v>1173</v>
      </c>
      <c r="B369" s="16" t="s">
        <v>214</v>
      </c>
      <c r="C369" s="15" t="str">
        <f>IFERROR(INDEX('قائمة الوحدات'!$B$2:$B$41,MATCH($B369,'قائمة الوحدات'!$A$2:$A$41,0)),"")</f>
        <v>MIL</v>
      </c>
      <c r="D369" s="14" t="str">
        <f>IFERROR(INDEX('قائمة الوحدات'!$C$2:$C$41,MATCH($B369,'قائمة الوحدات'!$A$2:$A$41,0)),"")</f>
        <v>الجهاز العسكري</v>
      </c>
      <c r="E369" s="14" t="str">
        <f>IFERROR(INDEX('قائمة الوحدات'!$D$2:$D$41,MATCH($B369,'قائمة الوحدات'!$A$2:$A$41,0)),"")</f>
        <v>الإدارة العامة للخدمات الطبية العسكرية</v>
      </c>
      <c r="F369" s="14" t="str">
        <f>IFERROR(INDEX('قائمة الوحدات'!$F$2:$F$41,MATCH($B369,'قائمة الوحدات'!$A$2:$A$41,0)),"")</f>
        <v>الإدارة العامة للخدمات الطبية العسكرية</v>
      </c>
      <c r="G369" s="16" t="s">
        <v>61</v>
      </c>
      <c r="H369" s="14" t="str">
        <f>IFERROR(INDEX(المرجع!$A$2:$A$19,MATCH($G369,المرجع!$B$2:$B$19,0)),"")</f>
        <v>البناء المؤسسي</v>
      </c>
      <c r="I369" s="16" t="s">
        <v>45</v>
      </c>
      <c r="J369" s="14" t="str">
        <f>IFERROR(INDEX(المرجع!$D$2:$D$19,MATCH($I369,المرجع!$E$2:$E$19,0)),"")</f>
        <v>الدور</v>
      </c>
      <c r="K369" s="16" t="s">
        <v>86</v>
      </c>
      <c r="L369" s="17" t="str">
        <f>IFERROR(INDEX('نقاط التحقق'!$G$2:$G$31,MATCH($K369,'نقاط التحقق'!$A$2:$A$31,0))&amp;"","")</f>
        <v>دور معتمد للوحدة التنظيمية</v>
      </c>
      <c r="M369" s="13">
        <v>65</v>
      </c>
      <c r="N369" s="15" t="str">
        <f>IF($M369="","غير مقيّمة",IF($M369&gt;المرجع!$K$3,"مستوفاة بشكل متقدم",IF($M369&lt;=المرجع!$K$2,"مستوفاة بشكل أولي","مستوفاة بشكل جزئي")))</f>
        <v>مستوفاة بشكل جزئي</v>
      </c>
      <c r="O369" s="18"/>
    </row>
    <row r="370" spans="1:15">
      <c r="A370" s="16" t="s">
        <v>1174</v>
      </c>
      <c r="B370" s="16" t="s">
        <v>214</v>
      </c>
      <c r="C370" s="15" t="str">
        <f>IFERROR(INDEX('قائمة الوحدات'!$B$2:$B$41,MATCH($B370,'قائمة الوحدات'!$A$2:$A$41,0)),"")</f>
        <v>MIL</v>
      </c>
      <c r="D370" s="14" t="str">
        <f>IFERROR(INDEX('قائمة الوحدات'!$C$2:$C$41,MATCH($B370,'قائمة الوحدات'!$A$2:$A$41,0)),"")</f>
        <v>الجهاز العسكري</v>
      </c>
      <c r="E370" s="14" t="str">
        <f>IFERROR(INDEX('قائمة الوحدات'!$D$2:$D$41,MATCH($B370,'قائمة الوحدات'!$A$2:$A$41,0)),"")</f>
        <v>الإدارة العامة للخدمات الطبية العسكرية</v>
      </c>
      <c r="F370" s="14" t="str">
        <f>IFERROR(INDEX('قائمة الوحدات'!$F$2:$F$41,MATCH($B370,'قائمة الوحدات'!$A$2:$A$41,0)),"")</f>
        <v>الإدارة العامة للخدمات الطبية العسكرية</v>
      </c>
      <c r="G370" s="16" t="s">
        <v>61</v>
      </c>
      <c r="H370" s="14" t="str">
        <f>IFERROR(INDEX(المرجع!$A$2:$A$19,MATCH($G370,المرجع!$B$2:$B$19,0)),"")</f>
        <v>البناء المؤسسي</v>
      </c>
      <c r="I370" s="16" t="s">
        <v>48</v>
      </c>
      <c r="J370" s="14" t="str">
        <f>IFERROR(INDEX(المرجع!$D$2:$D$19,MATCH($I370,المرجع!$E$2:$E$19,0)),"")</f>
        <v>الأهداف ومؤشرات الأداء</v>
      </c>
      <c r="K370" s="16" t="s">
        <v>88</v>
      </c>
      <c r="L370" s="17" t="str">
        <f>IFERROR(INDEX('نقاط التحقق'!$G$2:$G$31,MATCH($K370,'نقاط التحقق'!$A$2:$A$31,0))&amp;"","")</f>
        <v>أهداف تشغيلية معتمدة من صاحب الصلاحية</v>
      </c>
      <c r="M370" s="13">
        <v>55</v>
      </c>
      <c r="N370" s="15" t="str">
        <f>IF($M370="","غير مقيّمة",IF($M370&gt;المرجع!$K$3,"مستوفاة بشكل متقدم",IF($M370&lt;=المرجع!$K$2,"مستوفاة بشكل أولي","مستوفاة بشكل جزئي")))</f>
        <v>مستوفاة بشكل جزئي</v>
      </c>
      <c r="O370" s="18"/>
    </row>
    <row r="371" spans="1:15">
      <c r="A371" s="16" t="s">
        <v>1175</v>
      </c>
      <c r="B371" s="16" t="s">
        <v>214</v>
      </c>
      <c r="C371" s="15" t="str">
        <f>IFERROR(INDEX('قائمة الوحدات'!$B$2:$B$41,MATCH($B371,'قائمة الوحدات'!$A$2:$A$41,0)),"")</f>
        <v>MIL</v>
      </c>
      <c r="D371" s="14" t="str">
        <f>IFERROR(INDEX('قائمة الوحدات'!$C$2:$C$41,MATCH($B371,'قائمة الوحدات'!$A$2:$A$41,0)),"")</f>
        <v>الجهاز العسكري</v>
      </c>
      <c r="E371" s="14" t="str">
        <f>IFERROR(INDEX('قائمة الوحدات'!$D$2:$D$41,MATCH($B371,'قائمة الوحدات'!$A$2:$A$41,0)),"")</f>
        <v>الإدارة العامة للخدمات الطبية العسكرية</v>
      </c>
      <c r="F371" s="14" t="str">
        <f>IFERROR(INDEX('قائمة الوحدات'!$F$2:$F$41,MATCH($B371,'قائمة الوحدات'!$A$2:$A$41,0)),"")</f>
        <v>الإدارة العامة للخدمات الطبية العسكرية</v>
      </c>
      <c r="G371" s="16" t="s">
        <v>61</v>
      </c>
      <c r="H371" s="14" t="str">
        <f>IFERROR(INDEX(المرجع!$A$2:$A$19,MATCH($G371,المرجع!$B$2:$B$19,0)),"")</f>
        <v>البناء المؤسسي</v>
      </c>
      <c r="I371" s="16" t="s">
        <v>48</v>
      </c>
      <c r="J371" s="14" t="str">
        <f>IFERROR(INDEX(المرجع!$D$2:$D$19,MATCH($I371,المرجع!$E$2:$E$19,0)),"")</f>
        <v>الأهداف ومؤشرات الأداء</v>
      </c>
      <c r="K371" s="16" t="s">
        <v>90</v>
      </c>
      <c r="L371" s="17" t="str">
        <f>IFERROR(INDEX('نقاط التحقق'!$G$2:$G$31,MATCH($K371,'نقاط التحقق'!$A$2:$A$31,0))&amp;"","")</f>
        <v>نشر الأهداف التشغيلية على موظفي الوحدة التنظيمية</v>
      </c>
      <c r="M371" s="13">
        <v>50</v>
      </c>
      <c r="N371" s="15" t="str">
        <f>IF($M371="","غير مقيّمة",IF($M371&gt;المرجع!$K$3,"مستوفاة بشكل متقدم",IF($M371&lt;=المرجع!$K$2,"مستوفاة بشكل أولي","مستوفاة بشكل جزئي")))</f>
        <v>مستوفاة بشكل جزئي</v>
      </c>
      <c r="O371" s="18"/>
    </row>
    <row r="372" spans="1:15">
      <c r="A372" s="16" t="s">
        <v>1176</v>
      </c>
      <c r="B372" s="16" t="s">
        <v>214</v>
      </c>
      <c r="C372" s="15" t="str">
        <f>IFERROR(INDEX('قائمة الوحدات'!$B$2:$B$41,MATCH($B372,'قائمة الوحدات'!$A$2:$A$41,0)),"")</f>
        <v>MIL</v>
      </c>
      <c r="D372" s="14" t="str">
        <f>IFERROR(INDEX('قائمة الوحدات'!$C$2:$C$41,MATCH($B372,'قائمة الوحدات'!$A$2:$A$41,0)),"")</f>
        <v>الجهاز العسكري</v>
      </c>
      <c r="E372" s="14" t="str">
        <f>IFERROR(INDEX('قائمة الوحدات'!$D$2:$D$41,MATCH($B372,'قائمة الوحدات'!$A$2:$A$41,0)),"")</f>
        <v>الإدارة العامة للخدمات الطبية العسكرية</v>
      </c>
      <c r="F372" s="14" t="str">
        <f>IFERROR(INDEX('قائمة الوحدات'!$F$2:$F$41,MATCH($B372,'قائمة الوحدات'!$A$2:$A$41,0)),"")</f>
        <v>الإدارة العامة للخدمات الطبية العسكرية</v>
      </c>
      <c r="G372" s="16" t="s">
        <v>61</v>
      </c>
      <c r="H372" s="14" t="str">
        <f>IFERROR(INDEX(المرجع!$A$2:$A$19,MATCH($G372,المرجع!$B$2:$B$19,0)),"")</f>
        <v>البناء المؤسسي</v>
      </c>
      <c r="I372" s="16" t="s">
        <v>51</v>
      </c>
      <c r="J372" s="14" t="str">
        <f>IFERROR(INDEX(المرجع!$D$2:$D$19,MATCH($I372,المرجع!$E$2:$E$19,0)),"")</f>
        <v>الحوكمة</v>
      </c>
      <c r="K372" s="16" t="s">
        <v>92</v>
      </c>
      <c r="L372" s="17" t="str">
        <f>IFERROR(INDEX('نقاط التحقق'!$G$2:$G$31,MATCH($K372,'نقاط التحقق'!$A$2:$A$31,0))&amp;"","")</f>
        <v>مصفوفة صلاحيات معتمدة ومعممة على أصحاب المصلحة</v>
      </c>
      <c r="M372" s="13">
        <v>70</v>
      </c>
      <c r="N372" s="15" t="str">
        <f>IF($M372="","غير مقيّمة",IF($M372&gt;المرجع!$K$3,"مستوفاة بشكل متقدم",IF($M372&lt;=المرجع!$K$2,"مستوفاة بشكل أولي","مستوفاة بشكل جزئي")))</f>
        <v>مستوفاة بشكل جزئي</v>
      </c>
      <c r="O372" s="18"/>
    </row>
    <row r="373" spans="1:15">
      <c r="A373" s="16" t="s">
        <v>1177</v>
      </c>
      <c r="B373" s="16" t="s">
        <v>214</v>
      </c>
      <c r="C373" s="15" t="str">
        <f>IFERROR(INDEX('قائمة الوحدات'!$B$2:$B$41,MATCH($B373,'قائمة الوحدات'!$A$2:$A$41,0)),"")</f>
        <v>MIL</v>
      </c>
      <c r="D373" s="14" t="str">
        <f>IFERROR(INDEX('قائمة الوحدات'!$C$2:$C$41,MATCH($B373,'قائمة الوحدات'!$A$2:$A$41,0)),"")</f>
        <v>الجهاز العسكري</v>
      </c>
      <c r="E373" s="14" t="str">
        <f>IFERROR(INDEX('قائمة الوحدات'!$D$2:$D$41,MATCH($B373,'قائمة الوحدات'!$A$2:$A$41,0)),"")</f>
        <v>الإدارة العامة للخدمات الطبية العسكرية</v>
      </c>
      <c r="F373" s="14" t="str">
        <f>IFERROR(INDEX('قائمة الوحدات'!$F$2:$F$41,MATCH($B373,'قائمة الوحدات'!$A$2:$A$41,0)),"")</f>
        <v>الإدارة العامة للخدمات الطبية العسكرية</v>
      </c>
      <c r="G373" s="16" t="s">
        <v>61</v>
      </c>
      <c r="H373" s="14" t="str">
        <f>IFERROR(INDEX(المرجع!$A$2:$A$19,MATCH($G373,المرجع!$B$2:$B$19,0)),"")</f>
        <v>البناء المؤسسي</v>
      </c>
      <c r="I373" s="16" t="s">
        <v>51</v>
      </c>
      <c r="J373" s="14" t="str">
        <f>IFERROR(INDEX(المرجع!$D$2:$D$19,MATCH($I373,المرجع!$E$2:$E$19,0)),"")</f>
        <v>الحوكمة</v>
      </c>
      <c r="K373" s="16" t="s">
        <v>94</v>
      </c>
      <c r="L373" s="17" t="str">
        <f>IFERROR(INDEX('نقاط التحقق'!$G$2:$G$31,MATCH($K373,'نقاط التحقق'!$A$2:$A$31,0))&amp;"","")</f>
        <v>سياسات معتمدة للتي تملكها الوحدة التنظيمية</v>
      </c>
      <c r="M373" s="13">
        <v>60</v>
      </c>
      <c r="N373" s="15" t="str">
        <f>IF($M373="","غير مقيّمة",IF($M373&gt;المرجع!$K$3,"مستوفاة بشكل متقدم",IF($M373&lt;=المرجع!$K$2,"مستوفاة بشكل أولي","مستوفاة بشكل جزئي")))</f>
        <v>مستوفاة بشكل جزئي</v>
      </c>
      <c r="O373" s="18"/>
    </row>
    <row r="374" spans="1:15">
      <c r="A374" s="16" t="s">
        <v>1178</v>
      </c>
      <c r="B374" s="16" t="s">
        <v>214</v>
      </c>
      <c r="C374" s="15" t="str">
        <f>IFERROR(INDEX('قائمة الوحدات'!$B$2:$B$41,MATCH($B374,'قائمة الوحدات'!$A$2:$A$41,0)),"")</f>
        <v>MIL</v>
      </c>
      <c r="D374" s="14" t="str">
        <f>IFERROR(INDEX('قائمة الوحدات'!$C$2:$C$41,MATCH($B374,'قائمة الوحدات'!$A$2:$A$41,0)),"")</f>
        <v>الجهاز العسكري</v>
      </c>
      <c r="E374" s="14" t="str">
        <f>IFERROR(INDEX('قائمة الوحدات'!$D$2:$D$41,MATCH($B374,'قائمة الوحدات'!$A$2:$A$41,0)),"")</f>
        <v>الإدارة العامة للخدمات الطبية العسكرية</v>
      </c>
      <c r="F374" s="14" t="str">
        <f>IFERROR(INDEX('قائمة الوحدات'!$F$2:$F$41,MATCH($B374,'قائمة الوحدات'!$A$2:$A$41,0)),"")</f>
        <v>الإدارة العامة للخدمات الطبية العسكرية</v>
      </c>
      <c r="G374" s="16" t="s">
        <v>61</v>
      </c>
      <c r="H374" s="14" t="str">
        <f>IFERROR(INDEX(المرجع!$A$2:$A$19,MATCH($G374,المرجع!$B$2:$B$19,0)),"")</f>
        <v>البناء المؤسسي</v>
      </c>
      <c r="I374" s="16" t="s">
        <v>51</v>
      </c>
      <c r="J374" s="14" t="str">
        <f>IFERROR(INDEX(المرجع!$D$2:$D$19,MATCH($I374,المرجع!$E$2:$E$19,0)),"")</f>
        <v>الحوكمة</v>
      </c>
      <c r="K374" s="16" t="s">
        <v>96</v>
      </c>
      <c r="L374" s="17" t="str">
        <f>IFERROR(INDEX('نقاط التحقق'!$G$2:$G$31,MATCH($K374,'نقاط التحقق'!$A$2:$A$31,0))&amp;"","")</f>
        <v>قرار تشكيل معتمد للجان ذات العلاقة</v>
      </c>
      <c r="M374" s="13">
        <v>65</v>
      </c>
      <c r="N374" s="15" t="str">
        <f>IF($M374="","غير مقيّمة",IF($M374&gt;المرجع!$K$3,"مستوفاة بشكل متقدم",IF($M374&lt;=المرجع!$K$2,"مستوفاة بشكل أولي","مستوفاة بشكل جزئي")))</f>
        <v>مستوفاة بشكل جزئي</v>
      </c>
      <c r="O374" s="18"/>
    </row>
    <row r="375" spans="1:15">
      <c r="A375" s="16" t="s">
        <v>1179</v>
      </c>
      <c r="B375" s="16" t="s">
        <v>214</v>
      </c>
      <c r="C375" s="15" t="str">
        <f>IFERROR(INDEX('قائمة الوحدات'!$B$2:$B$41,MATCH($B375,'قائمة الوحدات'!$A$2:$A$41,0)),"")</f>
        <v>MIL</v>
      </c>
      <c r="D375" s="14" t="str">
        <f>IFERROR(INDEX('قائمة الوحدات'!$C$2:$C$41,MATCH($B375,'قائمة الوحدات'!$A$2:$A$41,0)),"")</f>
        <v>الجهاز العسكري</v>
      </c>
      <c r="E375" s="14" t="str">
        <f>IFERROR(INDEX('قائمة الوحدات'!$D$2:$D$41,MATCH($B375,'قائمة الوحدات'!$A$2:$A$41,0)),"")</f>
        <v>الإدارة العامة للخدمات الطبية العسكرية</v>
      </c>
      <c r="F375" s="14" t="str">
        <f>IFERROR(INDEX('قائمة الوحدات'!$F$2:$F$41,MATCH($B375,'قائمة الوحدات'!$A$2:$A$41,0)),"")</f>
        <v>الإدارة العامة للخدمات الطبية العسكرية</v>
      </c>
      <c r="G375" s="16" t="s">
        <v>61</v>
      </c>
      <c r="H375" s="14" t="str">
        <f>IFERROR(INDEX(المرجع!$A$2:$A$19,MATCH($G375,المرجع!$B$2:$B$19,0)),"")</f>
        <v>البناء المؤسسي</v>
      </c>
      <c r="I375" s="16" t="s">
        <v>54</v>
      </c>
      <c r="J375" s="14" t="str">
        <f>IFERROR(INDEX(المرجع!$D$2:$D$19,MATCH($I375,المرجع!$E$2:$E$19,0)),"")</f>
        <v>التنظيم</v>
      </c>
      <c r="K375" s="16" t="s">
        <v>98</v>
      </c>
      <c r="L375" s="17" t="str">
        <f>IFERROR(INDEX('نقاط التحقق'!$G$2:$G$31,MATCH($K375,'نقاط التحقق'!$A$2:$A$31,0))&amp;"","")</f>
        <v>هيكل تنظيمي معتمد من صاحب الصلاحية</v>
      </c>
      <c r="M375" s="13">
        <v>95</v>
      </c>
      <c r="N375" s="15" t="str">
        <f>IF($M375="","غير مقيّمة",IF($M375&gt;المرجع!$K$3,"مستوفاة بشكل متقدم",IF($M375&lt;=المرجع!$K$2,"مستوفاة بشكل أولي","مستوفاة بشكل جزئي")))</f>
        <v>مستوفاة بشكل متقدم</v>
      </c>
      <c r="O375" s="18"/>
    </row>
    <row r="376" spans="1:15">
      <c r="A376" s="16" t="s">
        <v>1180</v>
      </c>
      <c r="B376" s="16" t="s">
        <v>214</v>
      </c>
      <c r="C376" s="15" t="str">
        <f>IFERROR(INDEX('قائمة الوحدات'!$B$2:$B$41,MATCH($B376,'قائمة الوحدات'!$A$2:$A$41,0)),"")</f>
        <v>MIL</v>
      </c>
      <c r="D376" s="14" t="str">
        <f>IFERROR(INDEX('قائمة الوحدات'!$C$2:$C$41,MATCH($B376,'قائمة الوحدات'!$A$2:$A$41,0)),"")</f>
        <v>الجهاز العسكري</v>
      </c>
      <c r="E376" s="14" t="str">
        <f>IFERROR(INDEX('قائمة الوحدات'!$D$2:$D$41,MATCH($B376,'قائمة الوحدات'!$A$2:$A$41,0)),"")</f>
        <v>الإدارة العامة للخدمات الطبية العسكرية</v>
      </c>
      <c r="F376" s="14" t="str">
        <f>IFERROR(INDEX('قائمة الوحدات'!$F$2:$F$41,MATCH($B376,'قائمة الوحدات'!$A$2:$A$41,0)),"")</f>
        <v>الإدارة العامة للخدمات الطبية العسكرية</v>
      </c>
      <c r="G376" s="16" t="s">
        <v>61</v>
      </c>
      <c r="H376" s="14" t="str">
        <f>IFERROR(INDEX(المرجع!$A$2:$A$19,MATCH($G376,المرجع!$B$2:$B$19,0)),"")</f>
        <v>البناء المؤسسي</v>
      </c>
      <c r="I376" s="16" t="s">
        <v>54</v>
      </c>
      <c r="J376" s="14" t="str">
        <f>IFERROR(INDEX(المرجع!$D$2:$D$19,MATCH($I376,المرجع!$E$2:$E$19,0)),"")</f>
        <v>التنظيم</v>
      </c>
      <c r="K376" s="16" t="s">
        <v>100</v>
      </c>
      <c r="L376" s="17" t="str">
        <f>IFERROR(INDEX('نقاط التحقق'!$G$2:$G$31,MATCH($K376,'نقاط التحقق'!$A$2:$A$31,0))&amp;"","")</f>
        <v>هيكل تنظيمي منشأ على نظام القوى العاملة</v>
      </c>
      <c r="M376" s="13">
        <v>95</v>
      </c>
      <c r="N376" s="15" t="str">
        <f>IF($M376="","غير مقيّمة",IF($M376&gt;المرجع!$K$3,"مستوفاة بشكل متقدم",IF($M376&lt;=المرجع!$K$2,"مستوفاة بشكل أولي","مستوفاة بشكل جزئي")))</f>
        <v>مستوفاة بشكل متقدم</v>
      </c>
      <c r="O376" s="18"/>
    </row>
    <row r="377" spans="1:15">
      <c r="A377" s="16" t="s">
        <v>1181</v>
      </c>
      <c r="B377" s="16" t="s">
        <v>214</v>
      </c>
      <c r="C377" s="15" t="str">
        <f>IFERROR(INDEX('قائمة الوحدات'!$B$2:$B$41,MATCH($B377,'قائمة الوحدات'!$A$2:$A$41,0)),"")</f>
        <v>MIL</v>
      </c>
      <c r="D377" s="14" t="str">
        <f>IFERROR(INDEX('قائمة الوحدات'!$C$2:$C$41,MATCH($B377,'قائمة الوحدات'!$A$2:$A$41,0)),"")</f>
        <v>الجهاز العسكري</v>
      </c>
      <c r="E377" s="14" t="str">
        <f>IFERROR(INDEX('قائمة الوحدات'!$D$2:$D$41,MATCH($B377,'قائمة الوحدات'!$A$2:$A$41,0)),"")</f>
        <v>الإدارة العامة للخدمات الطبية العسكرية</v>
      </c>
      <c r="F377" s="14" t="str">
        <f>IFERROR(INDEX('قائمة الوحدات'!$F$2:$F$41,MATCH($B377,'قائمة الوحدات'!$A$2:$A$41,0)),"")</f>
        <v>الإدارة العامة للخدمات الطبية العسكرية</v>
      </c>
      <c r="G377" s="16" t="s">
        <v>61</v>
      </c>
      <c r="H377" s="14" t="str">
        <f>IFERROR(INDEX(المرجع!$A$2:$A$19,MATCH($G377,المرجع!$B$2:$B$19,0)),"")</f>
        <v>البناء المؤسسي</v>
      </c>
      <c r="I377" s="16" t="s">
        <v>54</v>
      </c>
      <c r="J377" s="14" t="str">
        <f>IFERROR(INDEX(المرجع!$D$2:$D$19,MATCH($I377,المرجع!$E$2:$E$19,0)),"")</f>
        <v>التنظيم</v>
      </c>
      <c r="K377" s="16" t="s">
        <v>102</v>
      </c>
      <c r="L377" s="17" t="str">
        <f>IFERROR(INDEX('نقاط التحقق'!$G$2:$G$31,MATCH($K377,'نقاط التحقق'!$A$2:$A$31,0))&amp;"","")</f>
        <v>الموظفون المحددون مسكّنون على الهيكل التنظيمي المستهدف</v>
      </c>
      <c r="M377" s="13">
        <v>90</v>
      </c>
      <c r="N377" s="15" t="str">
        <f>IF($M377="","غير مقيّمة",IF($M377&gt;المرجع!$K$3,"مستوفاة بشكل متقدم",IF($M377&lt;=المرجع!$K$2,"مستوفاة بشكل أولي","مستوفاة بشكل جزئي")))</f>
        <v>مستوفاة بشكل متقدم</v>
      </c>
      <c r="O377" s="18"/>
    </row>
    <row r="378" spans="1:15">
      <c r="A378" s="16" t="s">
        <v>1182</v>
      </c>
      <c r="B378" s="16" t="s">
        <v>214</v>
      </c>
      <c r="C378" s="15" t="str">
        <f>IFERROR(INDEX('قائمة الوحدات'!$B$2:$B$41,MATCH($B378,'قائمة الوحدات'!$A$2:$A$41,0)),"")</f>
        <v>MIL</v>
      </c>
      <c r="D378" s="14" t="str">
        <f>IFERROR(INDEX('قائمة الوحدات'!$C$2:$C$41,MATCH($B378,'قائمة الوحدات'!$A$2:$A$41,0)),"")</f>
        <v>الجهاز العسكري</v>
      </c>
      <c r="E378" s="14" t="str">
        <f>IFERROR(INDEX('قائمة الوحدات'!$D$2:$D$41,MATCH($B378,'قائمة الوحدات'!$A$2:$A$41,0)),"")</f>
        <v>الإدارة العامة للخدمات الطبية العسكرية</v>
      </c>
      <c r="F378" s="14" t="str">
        <f>IFERROR(INDEX('قائمة الوحدات'!$F$2:$F$41,MATCH($B378,'قائمة الوحدات'!$A$2:$A$41,0)),"")</f>
        <v>الإدارة العامة للخدمات الطبية العسكرية</v>
      </c>
      <c r="G378" s="16" t="s">
        <v>61</v>
      </c>
      <c r="H378" s="14" t="str">
        <f>IFERROR(INDEX(المرجع!$A$2:$A$19,MATCH($G378,المرجع!$B$2:$B$19,0)),"")</f>
        <v>البناء المؤسسي</v>
      </c>
      <c r="I378" s="16" t="s">
        <v>56</v>
      </c>
      <c r="J378" s="14" t="str">
        <f>IFERROR(INDEX(المرجع!$D$2:$D$19,MATCH($I378,المرجع!$E$2:$E$19,0)),"")</f>
        <v>الموارد</v>
      </c>
      <c r="K378" s="16" t="s">
        <v>104</v>
      </c>
      <c r="L378" s="17" t="str">
        <f>IFERROR(INDEX('نقاط التحقق'!$G$2:$G$31,MATCH($K378,'نقاط التحقق'!$A$2:$A$31,0))&amp;"","")</f>
        <v>مدير الوحدة التنظيمية والموظفون الرئيسيون معينون/ملحقون</v>
      </c>
      <c r="M378" s="13">
        <v>45</v>
      </c>
      <c r="N378" s="15" t="str">
        <f>IF($M378="","غير مقيّمة",IF($M378&gt;المرجع!$K$3,"مستوفاة بشكل متقدم",IF($M378&lt;=المرجع!$K$2,"مستوفاة بشكل أولي","مستوفاة بشكل جزئي")))</f>
        <v>مستوفاة بشكل جزئي</v>
      </c>
      <c r="O378" s="18"/>
    </row>
    <row r="379" spans="1:15">
      <c r="A379" s="16" t="s">
        <v>1183</v>
      </c>
      <c r="B379" s="16" t="s">
        <v>214</v>
      </c>
      <c r="C379" s="15" t="str">
        <f>IFERROR(INDEX('قائمة الوحدات'!$B$2:$B$41,MATCH($B379,'قائمة الوحدات'!$A$2:$A$41,0)),"")</f>
        <v>MIL</v>
      </c>
      <c r="D379" s="14" t="str">
        <f>IFERROR(INDEX('قائمة الوحدات'!$C$2:$C$41,MATCH($B379,'قائمة الوحدات'!$A$2:$A$41,0)),"")</f>
        <v>الجهاز العسكري</v>
      </c>
      <c r="E379" s="14" t="str">
        <f>IFERROR(INDEX('قائمة الوحدات'!$D$2:$D$41,MATCH($B379,'قائمة الوحدات'!$A$2:$A$41,0)),"")</f>
        <v>الإدارة العامة للخدمات الطبية العسكرية</v>
      </c>
      <c r="F379" s="14" t="str">
        <f>IFERROR(INDEX('قائمة الوحدات'!$F$2:$F$41,MATCH($B379,'قائمة الوحدات'!$A$2:$A$41,0)),"")</f>
        <v>الإدارة العامة للخدمات الطبية العسكرية</v>
      </c>
      <c r="G379" s="16" t="s">
        <v>61</v>
      </c>
      <c r="H379" s="14" t="str">
        <f>IFERROR(INDEX(المرجع!$A$2:$A$19,MATCH($G379,المرجع!$B$2:$B$19,0)),"")</f>
        <v>البناء المؤسسي</v>
      </c>
      <c r="I379" s="16" t="s">
        <v>56</v>
      </c>
      <c r="J379" s="14" t="str">
        <f>IFERROR(INDEX(المرجع!$D$2:$D$19,MATCH($I379,المرجع!$E$2:$E$19,0)),"")</f>
        <v>الموارد</v>
      </c>
      <c r="K379" s="16" t="s">
        <v>106</v>
      </c>
      <c r="L379" s="17" t="str">
        <f>IFERROR(INDEX('نقاط التحقق'!$G$2:$G$31,MATCH($K379,'نقاط التحقق'!$A$2:$A$31,0))&amp;"","")</f>
        <v>خطة توظيف وتدريب مستكملة</v>
      </c>
      <c r="M379" s="13">
        <v>65</v>
      </c>
      <c r="N379" s="15" t="str">
        <f>IF($M379="","غير مقيّمة",IF($M379&gt;المرجع!$K$3,"مستوفاة بشكل متقدم",IF($M379&lt;=المرجع!$K$2,"مستوفاة بشكل أولي","مستوفاة بشكل جزئي")))</f>
        <v>مستوفاة بشكل جزئي</v>
      </c>
      <c r="O379" s="18"/>
    </row>
    <row r="380" spans="1:15">
      <c r="A380" s="16" t="s">
        <v>1184</v>
      </c>
      <c r="B380" s="16" t="s">
        <v>214</v>
      </c>
      <c r="C380" s="15" t="str">
        <f>IFERROR(INDEX('قائمة الوحدات'!$B$2:$B$41,MATCH($B380,'قائمة الوحدات'!$A$2:$A$41,0)),"")</f>
        <v>MIL</v>
      </c>
      <c r="D380" s="14" t="str">
        <f>IFERROR(INDEX('قائمة الوحدات'!$C$2:$C$41,MATCH($B380,'قائمة الوحدات'!$A$2:$A$41,0)),"")</f>
        <v>الجهاز العسكري</v>
      </c>
      <c r="E380" s="14" t="str">
        <f>IFERROR(INDEX('قائمة الوحدات'!$D$2:$D$41,MATCH($B380,'قائمة الوحدات'!$A$2:$A$41,0)),"")</f>
        <v>الإدارة العامة للخدمات الطبية العسكرية</v>
      </c>
      <c r="F380" s="14" t="str">
        <f>IFERROR(INDEX('قائمة الوحدات'!$F$2:$F$41,MATCH($B380,'قائمة الوحدات'!$A$2:$A$41,0)),"")</f>
        <v>الإدارة العامة للخدمات الطبية العسكرية</v>
      </c>
      <c r="G380" s="16" t="s">
        <v>61</v>
      </c>
      <c r="H380" s="14" t="str">
        <f>IFERROR(INDEX(المرجع!$A$2:$A$19,MATCH($G380,المرجع!$B$2:$B$19,0)),"")</f>
        <v>البناء المؤسسي</v>
      </c>
      <c r="I380" s="16" t="s">
        <v>56</v>
      </c>
      <c r="J380" s="14" t="str">
        <f>IFERROR(INDEX(المرجع!$D$2:$D$19,MATCH($I380,المرجع!$E$2:$E$19,0)),"")</f>
        <v>الموارد</v>
      </c>
      <c r="K380" s="16" t="s">
        <v>108</v>
      </c>
      <c r="L380" s="17" t="str">
        <f>IFERROR(INDEX('نقاط التحقق'!$G$2:$G$31,MATCH($K380,'نقاط التحقق'!$A$2:$A$31,0))&amp;"","")</f>
        <v>وجود مساحات مكتبية كافية</v>
      </c>
      <c r="M380" s="13">
        <v>65</v>
      </c>
      <c r="N380" s="15" t="str">
        <f>IF($M380="","غير مقيّمة",IF($M380&gt;المرجع!$K$3,"مستوفاة بشكل متقدم",IF($M380&lt;=المرجع!$K$2,"مستوفاة بشكل أولي","مستوفاة بشكل جزئي")))</f>
        <v>مستوفاة بشكل جزئي</v>
      </c>
      <c r="O380" s="18"/>
    </row>
    <row r="381" spans="1:15">
      <c r="A381" s="16" t="s">
        <v>1185</v>
      </c>
      <c r="B381" s="16" t="s">
        <v>214</v>
      </c>
      <c r="C381" s="15" t="str">
        <f>IFERROR(INDEX('قائمة الوحدات'!$B$2:$B$41,MATCH($B381,'قائمة الوحدات'!$A$2:$A$41,0)),"")</f>
        <v>MIL</v>
      </c>
      <c r="D381" s="14" t="str">
        <f>IFERROR(INDEX('قائمة الوحدات'!$C$2:$C$41,MATCH($B381,'قائمة الوحدات'!$A$2:$A$41,0)),"")</f>
        <v>الجهاز العسكري</v>
      </c>
      <c r="E381" s="14" t="str">
        <f>IFERROR(INDEX('قائمة الوحدات'!$D$2:$D$41,MATCH($B381,'قائمة الوحدات'!$A$2:$A$41,0)),"")</f>
        <v>الإدارة العامة للخدمات الطبية العسكرية</v>
      </c>
      <c r="F381" s="14" t="str">
        <f>IFERROR(INDEX('قائمة الوحدات'!$F$2:$F$41,MATCH($B381,'قائمة الوحدات'!$A$2:$A$41,0)),"")</f>
        <v>الإدارة العامة للخدمات الطبية العسكرية</v>
      </c>
      <c r="G381" s="16" t="s">
        <v>61</v>
      </c>
      <c r="H381" s="14" t="str">
        <f>IFERROR(INDEX(المرجع!$A$2:$A$19,MATCH($G381,المرجع!$B$2:$B$19,0)),"")</f>
        <v>البناء المؤسسي</v>
      </c>
      <c r="I381" s="16" t="s">
        <v>56</v>
      </c>
      <c r="J381" s="14" t="str">
        <f>IFERROR(INDEX(المرجع!$D$2:$D$19,MATCH($I381,المرجع!$E$2:$E$19,0)),"")</f>
        <v>الموارد</v>
      </c>
      <c r="K381" s="16" t="s">
        <v>110</v>
      </c>
      <c r="L381" s="17" t="str">
        <f>IFERROR(INDEX('نقاط التحقق'!$G$2:$G$31,MATCH($K381,'نقاط التحقق'!$A$2:$A$31,0))&amp;"","")</f>
        <v>وجود الاحتياجات التقنية الأساسية</v>
      </c>
      <c r="M381" s="13">
        <v>35</v>
      </c>
      <c r="N381" s="15" t="str">
        <f>IF($M381="","غير مقيّمة",IF($M381&gt;المرجع!$K$3,"مستوفاة بشكل متقدم",IF($M381&lt;=المرجع!$K$2,"مستوفاة بشكل أولي","مستوفاة بشكل جزئي")))</f>
        <v>مستوفاة بشكل جزئي</v>
      </c>
      <c r="O381" s="18"/>
    </row>
    <row r="382" spans="1:15">
      <c r="A382" s="16" t="s">
        <v>1186</v>
      </c>
      <c r="B382" s="16" t="s">
        <v>214</v>
      </c>
      <c r="C382" s="15" t="str">
        <f>IFERROR(INDEX('قائمة الوحدات'!$B$2:$B$41,MATCH($B382,'قائمة الوحدات'!$A$2:$A$41,0)),"")</f>
        <v>MIL</v>
      </c>
      <c r="D382" s="14" t="str">
        <f>IFERROR(INDEX('قائمة الوحدات'!$C$2:$C$41,MATCH($B382,'قائمة الوحدات'!$A$2:$A$41,0)),"")</f>
        <v>الجهاز العسكري</v>
      </c>
      <c r="E382" s="14" t="str">
        <f>IFERROR(INDEX('قائمة الوحدات'!$D$2:$D$41,MATCH($B382,'قائمة الوحدات'!$A$2:$A$41,0)),"")</f>
        <v>الإدارة العامة للخدمات الطبية العسكرية</v>
      </c>
      <c r="F382" s="14" t="str">
        <f>IFERROR(INDEX('قائمة الوحدات'!$F$2:$F$41,MATCH($B382,'قائمة الوحدات'!$A$2:$A$41,0)),"")</f>
        <v>الإدارة العامة للخدمات الطبية العسكرية</v>
      </c>
      <c r="G382" s="16" t="s">
        <v>61</v>
      </c>
      <c r="H382" s="14" t="str">
        <f>IFERROR(INDEX(المرجع!$A$2:$A$19,MATCH($G382,المرجع!$B$2:$B$19,0)),"")</f>
        <v>البناء المؤسسي</v>
      </c>
      <c r="I382" s="16" t="s">
        <v>59</v>
      </c>
      <c r="J382" s="14" t="str">
        <f>IFERROR(INDEX(المرجع!$D$2:$D$19,MATCH($I382,المرجع!$E$2:$E$19,0)),"")</f>
        <v>الإجراءات</v>
      </c>
      <c r="K382" s="16" t="s">
        <v>112</v>
      </c>
      <c r="L382" s="17" t="str">
        <f>IFERROR(INDEX('نقاط التحقق'!$G$2:$G$31,MATCH($K382,'نقاط التحقق'!$A$2:$A$31,0))&amp;"","")</f>
        <v>إجراءات معتمدة للوحدة التنظيمية</v>
      </c>
      <c r="M382" s="13">
        <v>77</v>
      </c>
      <c r="N382" s="15" t="str">
        <f>IF($M382="","غير مقيّمة",IF($M382&gt;المرجع!$K$3,"مستوفاة بشكل متقدم",IF($M382&lt;=المرجع!$K$2,"مستوفاة بشكل أولي","مستوفاة بشكل جزئي")))</f>
        <v>مستوفاة بشكل متقدم</v>
      </c>
      <c r="O382" s="18"/>
    </row>
    <row r="383" spans="1:15">
      <c r="A383" s="16" t="s">
        <v>1187</v>
      </c>
      <c r="B383" s="16" t="s">
        <v>214</v>
      </c>
      <c r="C383" s="15" t="str">
        <f>IFERROR(INDEX('قائمة الوحدات'!$B$2:$B$41,MATCH($B383,'قائمة الوحدات'!$A$2:$A$41,0)),"")</f>
        <v>MIL</v>
      </c>
      <c r="D383" s="14" t="str">
        <f>IFERROR(INDEX('قائمة الوحدات'!$C$2:$C$41,MATCH($B383,'قائمة الوحدات'!$A$2:$A$41,0)),"")</f>
        <v>الجهاز العسكري</v>
      </c>
      <c r="E383" s="14" t="str">
        <f>IFERROR(INDEX('قائمة الوحدات'!$D$2:$D$41,MATCH($B383,'قائمة الوحدات'!$A$2:$A$41,0)),"")</f>
        <v>الإدارة العامة للخدمات الطبية العسكرية</v>
      </c>
      <c r="F383" s="14" t="str">
        <f>IFERROR(INDEX('قائمة الوحدات'!$F$2:$F$41,MATCH($B383,'قائمة الوحدات'!$A$2:$A$41,0)),"")</f>
        <v>الإدارة العامة للخدمات الطبية العسكرية</v>
      </c>
      <c r="G383" s="16" t="s">
        <v>61</v>
      </c>
      <c r="H383" s="14" t="str">
        <f>IFERROR(INDEX(المرجع!$A$2:$A$19,MATCH($G383,المرجع!$B$2:$B$19,0)),"")</f>
        <v>البناء المؤسسي</v>
      </c>
      <c r="I383" s="16" t="s">
        <v>63</v>
      </c>
      <c r="J383" s="14" t="str">
        <f>IFERROR(INDEX(المرجع!$D$2:$D$19,MATCH($I383,المرجع!$E$2:$E$19,0)),"")</f>
        <v>إنتاج المخرج الأول</v>
      </c>
      <c r="K383" s="16" t="s">
        <v>114</v>
      </c>
      <c r="L383" s="17" t="str">
        <f>IFERROR(INDEX('نقاط التحقق'!$G$2:$G$31,MATCH($K383,'نقاط التحقق'!$A$2:$A$31,0))&amp;"","")</f>
        <v>إنتاج المخرج الأول من قبل الوحدة التنظيمية</v>
      </c>
      <c r="M383" s="13">
        <v>64</v>
      </c>
      <c r="N383" s="15" t="str">
        <f>IF($M383="","غير مقيّمة",IF($M383&gt;المرجع!$K$3,"مستوفاة بشكل متقدم",IF($M383&lt;=المرجع!$K$2,"مستوفاة بشكل أولي","مستوفاة بشكل جزئي")))</f>
        <v>مستوفاة بشكل جزئي</v>
      </c>
      <c r="O383" s="18"/>
    </row>
    <row r="384" spans="1:15">
      <c r="A384" s="16" t="s">
        <v>1188</v>
      </c>
      <c r="B384" s="16" t="s">
        <v>214</v>
      </c>
      <c r="C384" s="15" t="str">
        <f>IFERROR(INDEX('قائمة الوحدات'!$B$2:$B$41,MATCH($B384,'قائمة الوحدات'!$A$2:$A$41,0)),"")</f>
        <v>MIL</v>
      </c>
      <c r="D384" s="14" t="str">
        <f>IFERROR(INDEX('قائمة الوحدات'!$C$2:$C$41,MATCH($B384,'قائمة الوحدات'!$A$2:$A$41,0)),"")</f>
        <v>الجهاز العسكري</v>
      </c>
      <c r="E384" s="14" t="str">
        <f>IFERROR(INDEX('قائمة الوحدات'!$D$2:$D$41,MATCH($B384,'قائمة الوحدات'!$A$2:$A$41,0)),"")</f>
        <v>الإدارة العامة للخدمات الطبية العسكرية</v>
      </c>
      <c r="F384" s="14" t="str">
        <f>IFERROR(INDEX('قائمة الوحدات'!$F$2:$F$41,MATCH($B384,'قائمة الوحدات'!$A$2:$A$41,0)),"")</f>
        <v>الإدارة العامة للخدمات الطبية العسكرية</v>
      </c>
      <c r="G384" s="16" t="s">
        <v>65</v>
      </c>
      <c r="H384" s="14" t="str">
        <f>IFERROR(INDEX(المرجع!$A$2:$A$19,MATCH($G384,المرجع!$B$2:$B$19,0)),"")</f>
        <v>التشغيل</v>
      </c>
      <c r="I384" s="16" t="s">
        <v>48</v>
      </c>
      <c r="J384" s="14" t="str">
        <f>IFERROR(INDEX(المرجع!$D$2:$D$19,MATCH($I384,المرجع!$E$2:$E$19,0)),"")</f>
        <v>الأهداف ومؤشرات الأداء</v>
      </c>
      <c r="K384" s="16" t="s">
        <v>116</v>
      </c>
      <c r="L384" s="17" t="str">
        <f>IFERROR(INDEX('نقاط التحقق'!$G$2:$G$31,MATCH($K384,'نقاط التحقق'!$A$2:$A$31,0))&amp;"","")</f>
        <v>تحرك مؤشرات الأداء التشغيلي للوحدة التنظيمية بشكل إيجابي</v>
      </c>
      <c r="M384" s="13">
        <v>65</v>
      </c>
      <c r="N384" s="15" t="str">
        <f>IF($M384="","غير مقيّمة",IF($M384&gt;المرجع!$K$3,"مستوفاة بشكل متقدم",IF($M384&lt;=المرجع!$K$2,"مستوفاة بشكل أولي","مستوفاة بشكل جزئي")))</f>
        <v>مستوفاة بشكل جزئي</v>
      </c>
      <c r="O384" s="18"/>
    </row>
    <row r="385" spans="1:15">
      <c r="A385" s="16" t="s">
        <v>1189</v>
      </c>
      <c r="B385" s="16" t="s">
        <v>214</v>
      </c>
      <c r="C385" s="15" t="str">
        <f>IFERROR(INDEX('قائمة الوحدات'!$B$2:$B$41,MATCH($B385,'قائمة الوحدات'!$A$2:$A$41,0)),"")</f>
        <v>MIL</v>
      </c>
      <c r="D385" s="14" t="str">
        <f>IFERROR(INDEX('قائمة الوحدات'!$C$2:$C$41,MATCH($B385,'قائمة الوحدات'!$A$2:$A$41,0)),"")</f>
        <v>الجهاز العسكري</v>
      </c>
      <c r="E385" s="14" t="str">
        <f>IFERROR(INDEX('قائمة الوحدات'!$D$2:$D$41,MATCH($B385,'قائمة الوحدات'!$A$2:$A$41,0)),"")</f>
        <v>الإدارة العامة للخدمات الطبية العسكرية</v>
      </c>
      <c r="F385" s="14" t="str">
        <f>IFERROR(INDEX('قائمة الوحدات'!$F$2:$F$41,MATCH($B385,'قائمة الوحدات'!$A$2:$A$41,0)),"")</f>
        <v>الإدارة العامة للخدمات الطبية العسكرية</v>
      </c>
      <c r="G385" s="16" t="s">
        <v>65</v>
      </c>
      <c r="H385" s="14" t="str">
        <f>IFERROR(INDEX(المرجع!$A$2:$A$19,MATCH($G385,المرجع!$B$2:$B$19,0)),"")</f>
        <v>التشغيل</v>
      </c>
      <c r="I385" s="16" t="s">
        <v>48</v>
      </c>
      <c r="J385" s="14" t="str">
        <f>IFERROR(INDEX(المرجع!$D$2:$D$19,MATCH($I385,المرجع!$E$2:$E$19,0)),"")</f>
        <v>الأهداف ومؤشرات الأداء</v>
      </c>
      <c r="K385" s="16" t="s">
        <v>118</v>
      </c>
      <c r="L385" s="17" t="str">
        <f>IFERROR(INDEX('نقاط التحقق'!$G$2:$G$31,MATCH($K385,'نقاط التحقق'!$A$2:$A$31,0))&amp;"","")</f>
        <v>خطة سنوية معتمدة للوحدة التنظيمية</v>
      </c>
      <c r="M385" s="13">
        <v>60</v>
      </c>
      <c r="N385" s="15" t="str">
        <f>IF($M385="","غير مقيّمة",IF($M385&gt;المرجع!$K$3,"مستوفاة بشكل متقدم",IF($M385&lt;=المرجع!$K$2,"مستوفاة بشكل أولي","مستوفاة بشكل جزئي")))</f>
        <v>مستوفاة بشكل جزئي</v>
      </c>
      <c r="O385" s="18"/>
    </row>
    <row r="386" spans="1:15">
      <c r="A386" s="16" t="s">
        <v>1190</v>
      </c>
      <c r="B386" s="16" t="s">
        <v>214</v>
      </c>
      <c r="C386" s="15" t="str">
        <f>IFERROR(INDEX('قائمة الوحدات'!$B$2:$B$41,MATCH($B386,'قائمة الوحدات'!$A$2:$A$41,0)),"")</f>
        <v>MIL</v>
      </c>
      <c r="D386" s="14" t="str">
        <f>IFERROR(INDEX('قائمة الوحدات'!$C$2:$C$41,MATCH($B386,'قائمة الوحدات'!$A$2:$A$41,0)),"")</f>
        <v>الجهاز العسكري</v>
      </c>
      <c r="E386" s="14" t="str">
        <f>IFERROR(INDEX('قائمة الوحدات'!$D$2:$D$41,MATCH($B386,'قائمة الوحدات'!$A$2:$A$41,0)),"")</f>
        <v>الإدارة العامة للخدمات الطبية العسكرية</v>
      </c>
      <c r="F386" s="14" t="str">
        <f>IFERROR(INDEX('قائمة الوحدات'!$F$2:$F$41,MATCH($B386,'قائمة الوحدات'!$A$2:$A$41,0)),"")</f>
        <v>الإدارة العامة للخدمات الطبية العسكرية</v>
      </c>
      <c r="G386" s="16" t="s">
        <v>65</v>
      </c>
      <c r="H386" s="14" t="str">
        <f>IFERROR(INDEX(المرجع!$A$2:$A$19,MATCH($G386,المرجع!$B$2:$B$19,0)),"")</f>
        <v>التشغيل</v>
      </c>
      <c r="I386" s="16" t="s">
        <v>51</v>
      </c>
      <c r="J386" s="14" t="str">
        <f>IFERROR(INDEX(المرجع!$D$2:$D$19,MATCH($I386,المرجع!$E$2:$E$19,0)),"")</f>
        <v>الحوكمة</v>
      </c>
      <c r="K386" s="16" t="s">
        <v>120</v>
      </c>
      <c r="L386" s="17" t="str">
        <f>IFERROR(INDEX('نقاط التحقق'!$G$2:$G$31,MATCH($K386,'نقاط التحقق'!$A$2:$A$31,0))&amp;"","")</f>
        <v>محاضر لجان موثقة</v>
      </c>
      <c r="M386" s="13">
        <v>55</v>
      </c>
      <c r="N386" s="15" t="str">
        <f>IF($M386="","غير مقيّمة",IF($M386&gt;المرجع!$K$3,"مستوفاة بشكل متقدم",IF($M386&lt;=المرجع!$K$2,"مستوفاة بشكل أولي","مستوفاة بشكل جزئي")))</f>
        <v>مستوفاة بشكل جزئي</v>
      </c>
      <c r="O386" s="18"/>
    </row>
    <row r="387" spans="1:15">
      <c r="A387" s="16" t="s">
        <v>1191</v>
      </c>
      <c r="B387" s="16" t="s">
        <v>214</v>
      </c>
      <c r="C387" s="15" t="str">
        <f>IFERROR(INDEX('قائمة الوحدات'!$B$2:$B$41,MATCH($B387,'قائمة الوحدات'!$A$2:$A$41,0)),"")</f>
        <v>MIL</v>
      </c>
      <c r="D387" s="14" t="str">
        <f>IFERROR(INDEX('قائمة الوحدات'!$C$2:$C$41,MATCH($B387,'قائمة الوحدات'!$A$2:$A$41,0)),"")</f>
        <v>الجهاز العسكري</v>
      </c>
      <c r="E387" s="14" t="str">
        <f>IFERROR(INDEX('قائمة الوحدات'!$D$2:$D$41,MATCH($B387,'قائمة الوحدات'!$A$2:$A$41,0)),"")</f>
        <v>الإدارة العامة للخدمات الطبية العسكرية</v>
      </c>
      <c r="F387" s="14" t="str">
        <f>IFERROR(INDEX('قائمة الوحدات'!$F$2:$F$41,MATCH($B387,'قائمة الوحدات'!$A$2:$A$41,0)),"")</f>
        <v>الإدارة العامة للخدمات الطبية العسكرية</v>
      </c>
      <c r="G387" s="16" t="s">
        <v>65</v>
      </c>
      <c r="H387" s="14" t="str">
        <f>IFERROR(INDEX(المرجع!$A$2:$A$19,MATCH($G387,المرجع!$B$2:$B$19,0)),"")</f>
        <v>التشغيل</v>
      </c>
      <c r="I387" s="16" t="s">
        <v>51</v>
      </c>
      <c r="J387" s="14" t="str">
        <f>IFERROR(INDEX(المرجع!$D$2:$D$19,MATCH($I387,المرجع!$E$2:$E$19,0)),"")</f>
        <v>الحوكمة</v>
      </c>
      <c r="K387" s="16" t="s">
        <v>122</v>
      </c>
      <c r="L387" s="17" t="str">
        <f>IFERROR(INDEX('نقاط التحقق'!$G$2:$G$31,MATCH($K387,'نقاط التحقق'!$A$2:$A$31,0))&amp;"","")</f>
        <v>نشر السياسات التي تملكها الوحدة التنظيمية</v>
      </c>
      <c r="M387" s="13">
        <v>45</v>
      </c>
      <c r="N387" s="15" t="str">
        <f>IF($M387="","غير مقيّمة",IF($M387&gt;المرجع!$K$3,"مستوفاة بشكل متقدم",IF($M387&lt;=المرجع!$K$2,"مستوفاة بشكل أولي","مستوفاة بشكل جزئي")))</f>
        <v>مستوفاة بشكل جزئي</v>
      </c>
      <c r="O387" s="18"/>
    </row>
    <row r="388" spans="1:15">
      <c r="A388" s="16" t="s">
        <v>1192</v>
      </c>
      <c r="B388" s="16" t="s">
        <v>214</v>
      </c>
      <c r="C388" s="15" t="str">
        <f>IFERROR(INDEX('قائمة الوحدات'!$B$2:$B$41,MATCH($B388,'قائمة الوحدات'!$A$2:$A$41,0)),"")</f>
        <v>MIL</v>
      </c>
      <c r="D388" s="14" t="str">
        <f>IFERROR(INDEX('قائمة الوحدات'!$C$2:$C$41,MATCH($B388,'قائمة الوحدات'!$A$2:$A$41,0)),"")</f>
        <v>الجهاز العسكري</v>
      </c>
      <c r="E388" s="14" t="str">
        <f>IFERROR(INDEX('قائمة الوحدات'!$D$2:$D$41,MATCH($B388,'قائمة الوحدات'!$A$2:$A$41,0)),"")</f>
        <v>الإدارة العامة للخدمات الطبية العسكرية</v>
      </c>
      <c r="F388" s="14" t="str">
        <f>IFERROR(INDEX('قائمة الوحدات'!$F$2:$F$41,MATCH($B388,'قائمة الوحدات'!$A$2:$A$41,0)),"")</f>
        <v>الإدارة العامة للخدمات الطبية العسكرية</v>
      </c>
      <c r="G388" s="16" t="s">
        <v>65</v>
      </c>
      <c r="H388" s="14" t="str">
        <f>IFERROR(INDEX(المرجع!$A$2:$A$19,MATCH($G388,المرجع!$B$2:$B$19,0)),"")</f>
        <v>التشغيل</v>
      </c>
      <c r="I388" s="16" t="s">
        <v>51</v>
      </c>
      <c r="J388" s="14" t="str">
        <f>IFERROR(INDEX(المرجع!$D$2:$D$19,MATCH($I388,المرجع!$E$2:$E$19,0)),"")</f>
        <v>الحوكمة</v>
      </c>
      <c r="K388" s="16" t="s">
        <v>124</v>
      </c>
      <c r="L388" s="17" t="str">
        <f>IFERROR(INDEX('نقاط التحقق'!$G$2:$G$31,MATCH($K388,'نقاط التحقق'!$A$2:$A$31,0))&amp;"","")</f>
        <v>اتخاذ القرارات في نطاق الصلاحيات (وجود شواهد)</v>
      </c>
      <c r="M388" s="13">
        <v>45</v>
      </c>
      <c r="N388" s="15" t="str">
        <f>IF($M388="","غير مقيّمة",IF($M388&gt;المرجع!$K$3,"مستوفاة بشكل متقدم",IF($M388&lt;=المرجع!$K$2,"مستوفاة بشكل أولي","مستوفاة بشكل جزئي")))</f>
        <v>مستوفاة بشكل جزئي</v>
      </c>
      <c r="O388" s="18"/>
    </row>
    <row r="389" spans="1:15">
      <c r="A389" s="16" t="s">
        <v>1193</v>
      </c>
      <c r="B389" s="16" t="s">
        <v>214</v>
      </c>
      <c r="C389" s="15" t="str">
        <f>IFERROR(INDEX('قائمة الوحدات'!$B$2:$B$41,MATCH($B389,'قائمة الوحدات'!$A$2:$A$41,0)),"")</f>
        <v>MIL</v>
      </c>
      <c r="D389" s="14" t="str">
        <f>IFERROR(INDEX('قائمة الوحدات'!$C$2:$C$41,MATCH($B389,'قائمة الوحدات'!$A$2:$A$41,0)),"")</f>
        <v>الجهاز العسكري</v>
      </c>
      <c r="E389" s="14" t="str">
        <f>IFERROR(INDEX('قائمة الوحدات'!$D$2:$D$41,MATCH($B389,'قائمة الوحدات'!$A$2:$A$41,0)),"")</f>
        <v>الإدارة العامة للخدمات الطبية العسكرية</v>
      </c>
      <c r="F389" s="14" t="str">
        <f>IFERROR(INDEX('قائمة الوحدات'!$F$2:$F$41,MATCH($B389,'قائمة الوحدات'!$A$2:$A$41,0)),"")</f>
        <v>الإدارة العامة للخدمات الطبية العسكرية</v>
      </c>
      <c r="G389" s="16" t="s">
        <v>65</v>
      </c>
      <c r="H389" s="14" t="str">
        <f>IFERROR(INDEX(المرجع!$A$2:$A$19,MATCH($G389,المرجع!$B$2:$B$19,0)),"")</f>
        <v>التشغيل</v>
      </c>
      <c r="I389" s="16" t="s">
        <v>56</v>
      </c>
      <c r="J389" s="14" t="str">
        <f>IFERROR(INDEX(المرجع!$D$2:$D$19,MATCH($I389,المرجع!$E$2:$E$19,0)),"")</f>
        <v>الموارد</v>
      </c>
      <c r="K389" s="16" t="s">
        <v>126</v>
      </c>
      <c r="L389" s="17" t="str">
        <f>IFERROR(INDEX('نقاط التحقق'!$G$2:$G$31,MATCH($K389,'نقاط التحقق'!$A$2:$A$31,0))&amp;"","")</f>
        <v>موارد مستكملة للحد الأدنى الذي يغطي كافة محاور سلسلة القيمة</v>
      </c>
      <c r="M389" s="13">
        <v>49</v>
      </c>
      <c r="N389" s="15" t="str">
        <f>IF($M389="","غير مقيّمة",IF($M389&gt;المرجع!$K$3,"مستوفاة بشكل متقدم",IF($M389&lt;=المرجع!$K$2,"مستوفاة بشكل أولي","مستوفاة بشكل جزئي")))</f>
        <v>مستوفاة بشكل جزئي</v>
      </c>
      <c r="O389" s="18"/>
    </row>
    <row r="390" spans="1:15">
      <c r="A390" s="16" t="s">
        <v>1194</v>
      </c>
      <c r="B390" s="16" t="s">
        <v>214</v>
      </c>
      <c r="C390" s="15" t="str">
        <f>IFERROR(INDEX('قائمة الوحدات'!$B$2:$B$41,MATCH($B390,'قائمة الوحدات'!$A$2:$A$41,0)),"")</f>
        <v>MIL</v>
      </c>
      <c r="D390" s="14" t="str">
        <f>IFERROR(INDEX('قائمة الوحدات'!$C$2:$C$41,MATCH($B390,'قائمة الوحدات'!$A$2:$A$41,0)),"")</f>
        <v>الجهاز العسكري</v>
      </c>
      <c r="E390" s="14" t="str">
        <f>IFERROR(INDEX('قائمة الوحدات'!$D$2:$D$41,MATCH($B390,'قائمة الوحدات'!$A$2:$A$41,0)),"")</f>
        <v>الإدارة العامة للخدمات الطبية العسكرية</v>
      </c>
      <c r="F390" s="14" t="str">
        <f>IFERROR(INDEX('قائمة الوحدات'!$F$2:$F$41,MATCH($B390,'قائمة الوحدات'!$A$2:$A$41,0)),"")</f>
        <v>الإدارة العامة للخدمات الطبية العسكرية</v>
      </c>
      <c r="G390" s="16" t="s">
        <v>65</v>
      </c>
      <c r="H390" s="14" t="str">
        <f>IFERROR(INDEX(المرجع!$A$2:$A$19,MATCH($G390,المرجع!$B$2:$B$19,0)),"")</f>
        <v>التشغيل</v>
      </c>
      <c r="I390" s="16" t="s">
        <v>59</v>
      </c>
      <c r="J390" s="14" t="str">
        <f>IFERROR(INDEX(المرجع!$D$2:$D$19,MATCH($I390,المرجع!$E$2:$E$19,0)),"")</f>
        <v>الإجراءات</v>
      </c>
      <c r="K390" s="16" t="s">
        <v>128</v>
      </c>
      <c r="L390" s="17" t="str">
        <f>IFERROR(INDEX('نقاط التحقق'!$G$2:$G$31,MATCH($K390,'نقاط التحقق'!$A$2:$A$31,0))&amp;"","")</f>
        <v>تحقيق تقييم "مطبق بشكل كامل" من منهجية تقييم فعالية الإجراءات</v>
      </c>
      <c r="M390" s="13">
        <v>44</v>
      </c>
      <c r="N390" s="15" t="str">
        <f>IF($M390="","غير مقيّمة",IF($M390&gt;المرجع!$K$3,"مستوفاة بشكل متقدم",IF($M390&lt;=المرجع!$K$2,"مستوفاة بشكل أولي","مستوفاة بشكل جزئي")))</f>
        <v>مستوفاة بشكل جزئي</v>
      </c>
      <c r="O390" s="18"/>
    </row>
    <row r="391" spans="1:15">
      <c r="A391" s="16" t="s">
        <v>1195</v>
      </c>
      <c r="B391" s="16" t="s">
        <v>214</v>
      </c>
      <c r="C391" s="15" t="str">
        <f>IFERROR(INDEX('قائمة الوحدات'!$B$2:$B$41,MATCH($B391,'قائمة الوحدات'!$A$2:$A$41,0)),"")</f>
        <v>MIL</v>
      </c>
      <c r="D391" s="14" t="str">
        <f>IFERROR(INDEX('قائمة الوحدات'!$C$2:$C$41,MATCH($B391,'قائمة الوحدات'!$A$2:$A$41,0)),"")</f>
        <v>الجهاز العسكري</v>
      </c>
      <c r="E391" s="14" t="str">
        <f>IFERROR(INDEX('قائمة الوحدات'!$D$2:$D$41,MATCH($B391,'قائمة الوحدات'!$A$2:$A$41,0)),"")</f>
        <v>الإدارة العامة للخدمات الطبية العسكرية</v>
      </c>
      <c r="F391" s="14" t="str">
        <f>IFERROR(INDEX('قائمة الوحدات'!$F$2:$F$41,MATCH($B391,'قائمة الوحدات'!$A$2:$A$41,0)),"")</f>
        <v>الإدارة العامة للخدمات الطبية العسكرية</v>
      </c>
      <c r="G391" s="16" t="s">
        <v>65</v>
      </c>
      <c r="H391" s="14" t="str">
        <f>IFERROR(INDEX(المرجع!$A$2:$A$19,MATCH($G391,المرجع!$B$2:$B$19,0)),"")</f>
        <v>التشغيل</v>
      </c>
      <c r="I391" s="16" t="s">
        <v>67</v>
      </c>
      <c r="J391" s="14" t="str">
        <f>IFERROR(INDEX(المرجع!$D$2:$D$19,MATCH($I391,المرجع!$E$2:$E$19,0)),"")</f>
        <v>اكتمال المخرجات المستهدفة</v>
      </c>
      <c r="K391" s="16" t="s">
        <v>130</v>
      </c>
      <c r="L391" s="17" t="str">
        <f>IFERROR(INDEX('نقاط التحقق'!$G$2:$G$31,MATCH($K391,'نقاط التحقق'!$A$2:$A$31,0))&amp;"","")</f>
        <v>اكتمال مخرجات النموذج التشغيلي المستهدف للوحدة التنظيمية</v>
      </c>
      <c r="M391" s="13">
        <v>48</v>
      </c>
      <c r="N391" s="15" t="str">
        <f>IF($M391="","غير مقيّمة",IF($M391&gt;المرجع!$K$3,"مستوفاة بشكل متقدم",IF($M391&lt;=المرجع!$K$2,"مستوفاة بشكل أولي","مستوفاة بشكل جزئي")))</f>
        <v>مستوفاة بشكل جزئي</v>
      </c>
      <c r="O391" s="18"/>
    </row>
    <row r="392" spans="1:15">
      <c r="A392" s="16" t="s">
        <v>1196</v>
      </c>
      <c r="B392" s="16" t="s">
        <v>216</v>
      </c>
      <c r="C392" s="15" t="str">
        <f>IFERROR(INDEX('قائمة الوحدات'!$B$2:$B$41,MATCH($B392,'قائمة الوحدات'!$A$2:$A$41,0)),"")</f>
        <v>MIL</v>
      </c>
      <c r="D392" s="14" t="str">
        <f>IFERROR(INDEX('قائمة الوحدات'!$C$2:$C$41,MATCH($B392,'قائمة الوحدات'!$A$2:$A$41,0)),"")</f>
        <v>الجهاز العسكري</v>
      </c>
      <c r="E392" s="14" t="str">
        <f>IFERROR(INDEX('قائمة الوحدات'!$D$2:$D$41,MATCH($B392,'قائمة الوحدات'!$A$2:$A$41,0)),"")</f>
        <v>الإدارة العامة للقوى البشرية العسكرية</v>
      </c>
      <c r="F392" s="14" t="str">
        <f>IFERROR(INDEX('قائمة الوحدات'!$F$2:$F$41,MATCH($B392,'قائمة الوحدات'!$A$2:$A$41,0)),"")</f>
        <v>الإدارة العامة للقوى البشرية العسكرية</v>
      </c>
      <c r="G392" s="16" t="s">
        <v>43</v>
      </c>
      <c r="H392" s="14" t="str">
        <f>IFERROR(INDEX(المرجع!$A$2:$A$19,MATCH($G392,المرجع!$B$2:$B$19,0)),"")</f>
        <v>التصميم</v>
      </c>
      <c r="I392" s="16" t="s">
        <v>45</v>
      </c>
      <c r="J392" s="14" t="str">
        <f>IFERROR(INDEX(المرجع!$D$2:$D$19,MATCH($I392,المرجع!$E$2:$E$19,0)),"")</f>
        <v>الدور</v>
      </c>
      <c r="K392" s="16" t="s">
        <v>72</v>
      </c>
      <c r="L392" s="17" t="str">
        <f>IFERROR(INDEX('نقاط التحقق'!$G$2:$G$31,MATCH($K392,'نقاط التحقق'!$A$2:$A$31,0))&amp;"","")</f>
        <v>دور مفصل للوحدة التنظيمية</v>
      </c>
      <c r="M392" s="13">
        <v>72</v>
      </c>
      <c r="N392" s="15" t="str">
        <f>IF($M392="","غير مقيّمة",IF($M392&gt;المرجع!$K$3,"مستوفاة بشكل متقدم",IF($M392&lt;=المرجع!$K$2,"مستوفاة بشكل أولي","مستوفاة بشكل جزئي")))</f>
        <v>مستوفاة بشكل متقدم</v>
      </c>
      <c r="O392" s="18"/>
    </row>
    <row r="393" spans="1:15">
      <c r="A393" s="16" t="s">
        <v>1197</v>
      </c>
      <c r="B393" s="16" t="s">
        <v>216</v>
      </c>
      <c r="C393" s="15" t="str">
        <f>IFERROR(INDEX('قائمة الوحدات'!$B$2:$B$41,MATCH($B393,'قائمة الوحدات'!$A$2:$A$41,0)),"")</f>
        <v>MIL</v>
      </c>
      <c r="D393" s="14" t="str">
        <f>IFERROR(INDEX('قائمة الوحدات'!$C$2:$C$41,MATCH($B393,'قائمة الوحدات'!$A$2:$A$41,0)),"")</f>
        <v>الجهاز العسكري</v>
      </c>
      <c r="E393" s="14" t="str">
        <f>IFERROR(INDEX('قائمة الوحدات'!$D$2:$D$41,MATCH($B393,'قائمة الوحدات'!$A$2:$A$41,0)),"")</f>
        <v>الإدارة العامة للقوى البشرية العسكرية</v>
      </c>
      <c r="F393" s="14" t="str">
        <f>IFERROR(INDEX('قائمة الوحدات'!$F$2:$F$41,MATCH($B393,'قائمة الوحدات'!$A$2:$A$41,0)),"")</f>
        <v>الإدارة العامة للقوى البشرية العسكرية</v>
      </c>
      <c r="G393" s="16" t="s">
        <v>43</v>
      </c>
      <c r="H393" s="14" t="str">
        <f>IFERROR(INDEX(المرجع!$A$2:$A$19,MATCH($G393,المرجع!$B$2:$B$19,0)),"")</f>
        <v>التصميم</v>
      </c>
      <c r="I393" s="16" t="s">
        <v>48</v>
      </c>
      <c r="J393" s="14" t="str">
        <f>IFERROR(INDEX(المرجع!$D$2:$D$19,MATCH($I393,المرجع!$E$2:$E$19,0)),"")</f>
        <v>الأهداف ومؤشرات الأداء</v>
      </c>
      <c r="K393" s="16" t="s">
        <v>74</v>
      </c>
      <c r="L393" s="17" t="str">
        <f>IFERROR(INDEX('نقاط التحقق'!$G$2:$G$31,MATCH($K393,'نقاط التحقق'!$A$2:$A$31,0))&amp;"","")</f>
        <v>أهداف محددة للوحدة التنظيمية وربطها بمؤشرات أداء لقياسها</v>
      </c>
      <c r="M393" s="13">
        <v>95</v>
      </c>
      <c r="N393" s="15" t="str">
        <f>IF($M393="","غير مقيّمة",IF($M393&gt;المرجع!$K$3,"مستوفاة بشكل متقدم",IF($M393&lt;=المرجع!$K$2,"مستوفاة بشكل أولي","مستوفاة بشكل جزئي")))</f>
        <v>مستوفاة بشكل متقدم</v>
      </c>
      <c r="O393" s="18"/>
    </row>
    <row r="394" spans="1:15">
      <c r="A394" s="16" t="s">
        <v>1198</v>
      </c>
      <c r="B394" s="16" t="s">
        <v>216</v>
      </c>
      <c r="C394" s="15" t="str">
        <f>IFERROR(INDEX('قائمة الوحدات'!$B$2:$B$41,MATCH($B394,'قائمة الوحدات'!$A$2:$A$41,0)),"")</f>
        <v>MIL</v>
      </c>
      <c r="D394" s="14" t="str">
        <f>IFERROR(INDEX('قائمة الوحدات'!$C$2:$C$41,MATCH($B394,'قائمة الوحدات'!$A$2:$A$41,0)),"")</f>
        <v>الجهاز العسكري</v>
      </c>
      <c r="E394" s="14" t="str">
        <f>IFERROR(INDEX('قائمة الوحدات'!$D$2:$D$41,MATCH($B394,'قائمة الوحدات'!$A$2:$A$41,0)),"")</f>
        <v>الإدارة العامة للقوى البشرية العسكرية</v>
      </c>
      <c r="F394" s="14" t="str">
        <f>IFERROR(INDEX('قائمة الوحدات'!$F$2:$F$41,MATCH($B394,'قائمة الوحدات'!$A$2:$A$41,0)),"")</f>
        <v>الإدارة العامة للقوى البشرية العسكرية</v>
      </c>
      <c r="G394" s="16" t="s">
        <v>43</v>
      </c>
      <c r="H394" s="14" t="str">
        <f>IFERROR(INDEX(المرجع!$A$2:$A$19,MATCH($G394,المرجع!$B$2:$B$19,0)),"")</f>
        <v>التصميم</v>
      </c>
      <c r="I394" s="16" t="s">
        <v>48</v>
      </c>
      <c r="J394" s="14" t="str">
        <f>IFERROR(INDEX(المرجع!$D$2:$D$19,MATCH($I394,المرجع!$E$2:$E$19,0)),"")</f>
        <v>الأهداف ومؤشرات الأداء</v>
      </c>
      <c r="K394" s="16" t="s">
        <v>76</v>
      </c>
      <c r="L394" s="17" t="str">
        <f>IFERROR(INDEX('نقاط التحقق'!$G$2:$G$31,MATCH($K394,'نقاط التحقق'!$A$2:$A$31,0))&amp;"","")</f>
        <v>مؤشرات أداء الوحدة التنظيمية</v>
      </c>
      <c r="M394" s="13">
        <v>80</v>
      </c>
      <c r="N394" s="15" t="str">
        <f>IF($M394="","غير مقيّمة",IF($M394&gt;المرجع!$K$3,"مستوفاة بشكل متقدم",IF($M394&lt;=المرجع!$K$2,"مستوفاة بشكل أولي","مستوفاة بشكل جزئي")))</f>
        <v>مستوفاة بشكل متقدم</v>
      </c>
      <c r="O394" s="18"/>
    </row>
    <row r="395" spans="1:15">
      <c r="A395" s="16" t="s">
        <v>1199</v>
      </c>
      <c r="B395" s="16" t="s">
        <v>216</v>
      </c>
      <c r="C395" s="15" t="str">
        <f>IFERROR(INDEX('قائمة الوحدات'!$B$2:$B$41,MATCH($B395,'قائمة الوحدات'!$A$2:$A$41,0)),"")</f>
        <v>MIL</v>
      </c>
      <c r="D395" s="14" t="str">
        <f>IFERROR(INDEX('قائمة الوحدات'!$C$2:$C$41,MATCH($B395,'قائمة الوحدات'!$A$2:$A$41,0)),"")</f>
        <v>الجهاز العسكري</v>
      </c>
      <c r="E395" s="14" t="str">
        <f>IFERROR(INDEX('قائمة الوحدات'!$D$2:$D$41,MATCH($B395,'قائمة الوحدات'!$A$2:$A$41,0)),"")</f>
        <v>الإدارة العامة للقوى البشرية العسكرية</v>
      </c>
      <c r="F395" s="14" t="str">
        <f>IFERROR(INDEX('قائمة الوحدات'!$F$2:$F$41,MATCH($B395,'قائمة الوحدات'!$A$2:$A$41,0)),"")</f>
        <v>الإدارة العامة للقوى البشرية العسكرية</v>
      </c>
      <c r="G395" s="16" t="s">
        <v>43</v>
      </c>
      <c r="H395" s="14" t="str">
        <f>IFERROR(INDEX(المرجع!$A$2:$A$19,MATCH($G395,المرجع!$B$2:$B$19,0)),"")</f>
        <v>التصميم</v>
      </c>
      <c r="I395" s="16" t="s">
        <v>51</v>
      </c>
      <c r="J395" s="14" t="str">
        <f>IFERROR(INDEX(المرجع!$D$2:$D$19,MATCH($I395,المرجع!$E$2:$E$19,0)),"")</f>
        <v>الحوكمة</v>
      </c>
      <c r="K395" s="16" t="s">
        <v>78</v>
      </c>
      <c r="L395" s="17" t="str">
        <f>IFERROR(INDEX('نقاط التحقق'!$G$2:$G$31,MATCH($K395,'نقاط التحقق'!$A$2:$A$31,0))&amp;"","")</f>
        <v>تفصيل القرارات ومصفوفة الصلاحيات واللجان ذات العلاقة لاعتماد مخرجات الوحدة التنظيمية</v>
      </c>
      <c r="M395" s="13">
        <v>82</v>
      </c>
      <c r="N395" s="15" t="str">
        <f>IF($M395="","غير مقيّمة",IF($M395&gt;المرجع!$K$3,"مستوفاة بشكل متقدم",IF($M395&lt;=المرجع!$K$2,"مستوفاة بشكل أولي","مستوفاة بشكل جزئي")))</f>
        <v>مستوفاة بشكل متقدم</v>
      </c>
      <c r="O395" s="18"/>
    </row>
    <row r="396" spans="1:15">
      <c r="A396" s="16" t="s">
        <v>1200</v>
      </c>
      <c r="B396" s="16" t="s">
        <v>216</v>
      </c>
      <c r="C396" s="15" t="str">
        <f>IFERROR(INDEX('قائمة الوحدات'!$B$2:$B$41,MATCH($B396,'قائمة الوحدات'!$A$2:$A$41,0)),"")</f>
        <v>MIL</v>
      </c>
      <c r="D396" s="14" t="str">
        <f>IFERROR(INDEX('قائمة الوحدات'!$C$2:$C$41,MATCH($B396,'قائمة الوحدات'!$A$2:$A$41,0)),"")</f>
        <v>الجهاز العسكري</v>
      </c>
      <c r="E396" s="14" t="str">
        <f>IFERROR(INDEX('قائمة الوحدات'!$D$2:$D$41,MATCH($B396,'قائمة الوحدات'!$A$2:$A$41,0)),"")</f>
        <v>الإدارة العامة للقوى البشرية العسكرية</v>
      </c>
      <c r="F396" s="14" t="str">
        <f>IFERROR(INDEX('قائمة الوحدات'!$F$2:$F$41,MATCH($B396,'قائمة الوحدات'!$A$2:$A$41,0)),"")</f>
        <v>الإدارة العامة للقوى البشرية العسكرية</v>
      </c>
      <c r="G396" s="16" t="s">
        <v>43</v>
      </c>
      <c r="H396" s="14" t="str">
        <f>IFERROR(INDEX(المرجع!$A$2:$A$19,MATCH($G396,المرجع!$B$2:$B$19,0)),"")</f>
        <v>التصميم</v>
      </c>
      <c r="I396" s="16" t="s">
        <v>54</v>
      </c>
      <c r="J396" s="14" t="str">
        <f>IFERROR(INDEX(المرجع!$D$2:$D$19,MATCH($I396,المرجع!$E$2:$E$19,0)),"")</f>
        <v>التنظيم</v>
      </c>
      <c r="K396" s="16" t="s">
        <v>80</v>
      </c>
      <c r="L396" s="17" t="str">
        <f>IFERROR(INDEX('نقاط التحقق'!$G$2:$G$31,MATCH($K396,'نقاط التحقق'!$A$2:$A$31,0))&amp;"","")</f>
        <v>تطوير الأدوار والمسؤوليات للوحدة التنظيمية وتفصيل الهيكل التنظيمي</v>
      </c>
      <c r="M396" s="13">
        <v>90</v>
      </c>
      <c r="N396" s="15" t="str">
        <f>IF($M396="","غير مقيّمة",IF($M396&gt;المرجع!$K$3,"مستوفاة بشكل متقدم",IF($M396&lt;=المرجع!$K$2,"مستوفاة بشكل أولي","مستوفاة بشكل جزئي")))</f>
        <v>مستوفاة بشكل متقدم</v>
      </c>
      <c r="O396" s="18"/>
    </row>
    <row r="397" spans="1:15">
      <c r="A397" s="16" t="s">
        <v>1201</v>
      </c>
      <c r="B397" s="16" t="s">
        <v>216</v>
      </c>
      <c r="C397" s="15" t="str">
        <f>IFERROR(INDEX('قائمة الوحدات'!$B$2:$B$41,MATCH($B397,'قائمة الوحدات'!$A$2:$A$41,0)),"")</f>
        <v>MIL</v>
      </c>
      <c r="D397" s="14" t="str">
        <f>IFERROR(INDEX('قائمة الوحدات'!$C$2:$C$41,MATCH($B397,'قائمة الوحدات'!$A$2:$A$41,0)),"")</f>
        <v>الجهاز العسكري</v>
      </c>
      <c r="E397" s="14" t="str">
        <f>IFERROR(INDEX('قائمة الوحدات'!$D$2:$D$41,MATCH($B397,'قائمة الوحدات'!$A$2:$A$41,0)),"")</f>
        <v>الإدارة العامة للقوى البشرية العسكرية</v>
      </c>
      <c r="F397" s="14" t="str">
        <f>IFERROR(INDEX('قائمة الوحدات'!$F$2:$F$41,MATCH($B397,'قائمة الوحدات'!$A$2:$A$41,0)),"")</f>
        <v>الإدارة العامة للقوى البشرية العسكرية</v>
      </c>
      <c r="G397" s="16" t="s">
        <v>43</v>
      </c>
      <c r="H397" s="14" t="str">
        <f>IFERROR(INDEX(المرجع!$A$2:$A$19,MATCH($G397,المرجع!$B$2:$B$19,0)),"")</f>
        <v>التصميم</v>
      </c>
      <c r="I397" s="16" t="s">
        <v>56</v>
      </c>
      <c r="J397" s="14" t="str">
        <f>IFERROR(INDEX(المرجع!$D$2:$D$19,MATCH($I397,المرجع!$E$2:$E$19,0)),"")</f>
        <v>الموارد</v>
      </c>
      <c r="K397" s="16" t="s">
        <v>82</v>
      </c>
      <c r="L397" s="17" t="str">
        <f>IFERROR(INDEX('نقاط التحقق'!$G$2:$G$31,MATCH($K397,'نقاط التحقق'!$A$2:$A$31,0))&amp;"","")</f>
        <v>تفصيل احتياج الموارد البشرية للوحدة التنظيمية</v>
      </c>
      <c r="M397" s="13">
        <v>91</v>
      </c>
      <c r="N397" s="15" t="str">
        <f>IF($M397="","غير مقيّمة",IF($M397&gt;المرجع!$K$3,"مستوفاة بشكل متقدم",IF($M397&lt;=المرجع!$K$2,"مستوفاة بشكل أولي","مستوفاة بشكل جزئي")))</f>
        <v>مستوفاة بشكل متقدم</v>
      </c>
      <c r="O397" s="18"/>
    </row>
    <row r="398" spans="1:15">
      <c r="A398" s="16" t="s">
        <v>1202</v>
      </c>
      <c r="B398" s="16" t="s">
        <v>216</v>
      </c>
      <c r="C398" s="15" t="str">
        <f>IFERROR(INDEX('قائمة الوحدات'!$B$2:$B$41,MATCH($B398,'قائمة الوحدات'!$A$2:$A$41,0)),"")</f>
        <v>MIL</v>
      </c>
      <c r="D398" s="14" t="str">
        <f>IFERROR(INDEX('قائمة الوحدات'!$C$2:$C$41,MATCH($B398,'قائمة الوحدات'!$A$2:$A$41,0)),"")</f>
        <v>الجهاز العسكري</v>
      </c>
      <c r="E398" s="14" t="str">
        <f>IFERROR(INDEX('قائمة الوحدات'!$D$2:$D$41,MATCH($B398,'قائمة الوحدات'!$A$2:$A$41,0)),"")</f>
        <v>الإدارة العامة للقوى البشرية العسكرية</v>
      </c>
      <c r="F398" s="14" t="str">
        <f>IFERROR(INDEX('قائمة الوحدات'!$F$2:$F$41,MATCH($B398,'قائمة الوحدات'!$A$2:$A$41,0)),"")</f>
        <v>الإدارة العامة للقوى البشرية العسكرية</v>
      </c>
      <c r="G398" s="16" t="s">
        <v>43</v>
      </c>
      <c r="H398" s="14" t="str">
        <f>IFERROR(INDEX(المرجع!$A$2:$A$19,MATCH($G398,المرجع!$B$2:$B$19,0)),"")</f>
        <v>التصميم</v>
      </c>
      <c r="I398" s="16" t="s">
        <v>59</v>
      </c>
      <c r="J398" s="14" t="str">
        <f>IFERROR(INDEX(المرجع!$D$2:$D$19,MATCH($I398,المرجع!$E$2:$E$19,0)),"")</f>
        <v>الإجراءات</v>
      </c>
      <c r="K398" s="16" t="s">
        <v>84</v>
      </c>
      <c r="L398" s="17" t="str">
        <f>IFERROR(INDEX('نقاط التحقق'!$G$2:$G$31,MATCH($K398,'نقاط التحقق'!$A$2:$A$31,0))&amp;"","")</f>
        <v>تفصيل المخرجات إلى إجراءات عالية المستوى</v>
      </c>
      <c r="M398" s="13">
        <v>70</v>
      </c>
      <c r="N398" s="15" t="str">
        <f>IF($M398="","غير مقيّمة",IF($M398&gt;المرجع!$K$3,"مستوفاة بشكل متقدم",IF($M398&lt;=المرجع!$K$2,"مستوفاة بشكل أولي","مستوفاة بشكل جزئي")))</f>
        <v>مستوفاة بشكل جزئي</v>
      </c>
      <c r="O398" s="18"/>
    </row>
    <row r="399" spans="1:15">
      <c r="A399" s="16" t="s">
        <v>1203</v>
      </c>
      <c r="B399" s="16" t="s">
        <v>216</v>
      </c>
      <c r="C399" s="15" t="str">
        <f>IFERROR(INDEX('قائمة الوحدات'!$B$2:$B$41,MATCH($B399,'قائمة الوحدات'!$A$2:$A$41,0)),"")</f>
        <v>MIL</v>
      </c>
      <c r="D399" s="14" t="str">
        <f>IFERROR(INDEX('قائمة الوحدات'!$C$2:$C$41,MATCH($B399,'قائمة الوحدات'!$A$2:$A$41,0)),"")</f>
        <v>الجهاز العسكري</v>
      </c>
      <c r="E399" s="14" t="str">
        <f>IFERROR(INDEX('قائمة الوحدات'!$D$2:$D$41,MATCH($B399,'قائمة الوحدات'!$A$2:$A$41,0)),"")</f>
        <v>الإدارة العامة للقوى البشرية العسكرية</v>
      </c>
      <c r="F399" s="14" t="str">
        <f>IFERROR(INDEX('قائمة الوحدات'!$F$2:$F$41,MATCH($B399,'قائمة الوحدات'!$A$2:$A$41,0)),"")</f>
        <v>الإدارة العامة للقوى البشرية العسكرية</v>
      </c>
      <c r="G399" s="16" t="s">
        <v>61</v>
      </c>
      <c r="H399" s="14" t="str">
        <f>IFERROR(INDEX(المرجع!$A$2:$A$19,MATCH($G399,المرجع!$B$2:$B$19,0)),"")</f>
        <v>البناء المؤسسي</v>
      </c>
      <c r="I399" s="16" t="s">
        <v>45</v>
      </c>
      <c r="J399" s="14" t="str">
        <f>IFERROR(INDEX(المرجع!$D$2:$D$19,MATCH($I399,المرجع!$E$2:$E$19,0)),"")</f>
        <v>الدور</v>
      </c>
      <c r="K399" s="16" t="s">
        <v>86</v>
      </c>
      <c r="L399" s="17" t="str">
        <f>IFERROR(INDEX('نقاط التحقق'!$G$2:$G$31,MATCH($K399,'نقاط التحقق'!$A$2:$A$31,0))&amp;"","")</f>
        <v>دور معتمد للوحدة التنظيمية</v>
      </c>
      <c r="M399" s="13">
        <v>49</v>
      </c>
      <c r="N399" s="15" t="str">
        <f>IF($M399="","غير مقيّمة",IF($M399&gt;المرجع!$K$3,"مستوفاة بشكل متقدم",IF($M399&lt;=المرجع!$K$2,"مستوفاة بشكل أولي","مستوفاة بشكل جزئي")))</f>
        <v>مستوفاة بشكل جزئي</v>
      </c>
      <c r="O399" s="18"/>
    </row>
    <row r="400" spans="1:15">
      <c r="A400" s="16" t="s">
        <v>1204</v>
      </c>
      <c r="B400" s="16" t="s">
        <v>216</v>
      </c>
      <c r="C400" s="15" t="str">
        <f>IFERROR(INDEX('قائمة الوحدات'!$B$2:$B$41,MATCH($B400,'قائمة الوحدات'!$A$2:$A$41,0)),"")</f>
        <v>MIL</v>
      </c>
      <c r="D400" s="14" t="str">
        <f>IFERROR(INDEX('قائمة الوحدات'!$C$2:$C$41,MATCH($B400,'قائمة الوحدات'!$A$2:$A$41,0)),"")</f>
        <v>الجهاز العسكري</v>
      </c>
      <c r="E400" s="14" t="str">
        <f>IFERROR(INDEX('قائمة الوحدات'!$D$2:$D$41,MATCH($B400,'قائمة الوحدات'!$A$2:$A$41,0)),"")</f>
        <v>الإدارة العامة للقوى البشرية العسكرية</v>
      </c>
      <c r="F400" s="14" t="str">
        <f>IFERROR(INDEX('قائمة الوحدات'!$F$2:$F$41,MATCH($B400,'قائمة الوحدات'!$A$2:$A$41,0)),"")</f>
        <v>الإدارة العامة للقوى البشرية العسكرية</v>
      </c>
      <c r="G400" s="16" t="s">
        <v>61</v>
      </c>
      <c r="H400" s="14" t="str">
        <f>IFERROR(INDEX(المرجع!$A$2:$A$19,MATCH($G400,المرجع!$B$2:$B$19,0)),"")</f>
        <v>البناء المؤسسي</v>
      </c>
      <c r="I400" s="16" t="s">
        <v>48</v>
      </c>
      <c r="J400" s="14" t="str">
        <f>IFERROR(INDEX(المرجع!$D$2:$D$19,MATCH($I400,المرجع!$E$2:$E$19,0)),"")</f>
        <v>الأهداف ومؤشرات الأداء</v>
      </c>
      <c r="K400" s="16" t="s">
        <v>88</v>
      </c>
      <c r="L400" s="17" t="str">
        <f>IFERROR(INDEX('نقاط التحقق'!$G$2:$G$31,MATCH($K400,'نقاط التحقق'!$A$2:$A$31,0))&amp;"","")</f>
        <v>أهداف تشغيلية معتمدة من صاحب الصلاحية</v>
      </c>
      <c r="M400" s="13">
        <v>50</v>
      </c>
      <c r="N400" s="15" t="str">
        <f>IF($M400="","غير مقيّمة",IF($M400&gt;المرجع!$K$3,"مستوفاة بشكل متقدم",IF($M400&lt;=المرجع!$K$2,"مستوفاة بشكل أولي","مستوفاة بشكل جزئي")))</f>
        <v>مستوفاة بشكل جزئي</v>
      </c>
      <c r="O400" s="18"/>
    </row>
    <row r="401" spans="1:15">
      <c r="A401" s="16" t="s">
        <v>1205</v>
      </c>
      <c r="B401" s="16" t="s">
        <v>216</v>
      </c>
      <c r="C401" s="15" t="str">
        <f>IFERROR(INDEX('قائمة الوحدات'!$B$2:$B$41,MATCH($B401,'قائمة الوحدات'!$A$2:$A$41,0)),"")</f>
        <v>MIL</v>
      </c>
      <c r="D401" s="14" t="str">
        <f>IFERROR(INDEX('قائمة الوحدات'!$C$2:$C$41,MATCH($B401,'قائمة الوحدات'!$A$2:$A$41,0)),"")</f>
        <v>الجهاز العسكري</v>
      </c>
      <c r="E401" s="14" t="str">
        <f>IFERROR(INDEX('قائمة الوحدات'!$D$2:$D$41,MATCH($B401,'قائمة الوحدات'!$A$2:$A$41,0)),"")</f>
        <v>الإدارة العامة للقوى البشرية العسكرية</v>
      </c>
      <c r="F401" s="14" t="str">
        <f>IFERROR(INDEX('قائمة الوحدات'!$F$2:$F$41,MATCH($B401,'قائمة الوحدات'!$A$2:$A$41,0)),"")</f>
        <v>الإدارة العامة للقوى البشرية العسكرية</v>
      </c>
      <c r="G401" s="16" t="s">
        <v>61</v>
      </c>
      <c r="H401" s="14" t="str">
        <f>IFERROR(INDEX(المرجع!$A$2:$A$19,MATCH($G401,المرجع!$B$2:$B$19,0)),"")</f>
        <v>البناء المؤسسي</v>
      </c>
      <c r="I401" s="16" t="s">
        <v>48</v>
      </c>
      <c r="J401" s="14" t="str">
        <f>IFERROR(INDEX(المرجع!$D$2:$D$19,MATCH($I401,المرجع!$E$2:$E$19,0)),"")</f>
        <v>الأهداف ومؤشرات الأداء</v>
      </c>
      <c r="K401" s="16" t="s">
        <v>90</v>
      </c>
      <c r="L401" s="17" t="str">
        <f>IFERROR(INDEX('نقاط التحقق'!$G$2:$G$31,MATCH($K401,'نقاط التحقق'!$A$2:$A$31,0))&amp;"","")</f>
        <v>نشر الأهداف التشغيلية على موظفي الوحدة التنظيمية</v>
      </c>
      <c r="M401" s="13">
        <v>60</v>
      </c>
      <c r="N401" s="15" t="str">
        <f>IF($M401="","غير مقيّمة",IF($M401&gt;المرجع!$K$3,"مستوفاة بشكل متقدم",IF($M401&lt;=المرجع!$K$2,"مستوفاة بشكل أولي","مستوفاة بشكل جزئي")))</f>
        <v>مستوفاة بشكل جزئي</v>
      </c>
      <c r="O401" s="18"/>
    </row>
    <row r="402" spans="1:15">
      <c r="A402" s="16" t="s">
        <v>1206</v>
      </c>
      <c r="B402" s="16" t="s">
        <v>216</v>
      </c>
      <c r="C402" s="15" t="str">
        <f>IFERROR(INDEX('قائمة الوحدات'!$B$2:$B$41,MATCH($B402,'قائمة الوحدات'!$A$2:$A$41,0)),"")</f>
        <v>MIL</v>
      </c>
      <c r="D402" s="14" t="str">
        <f>IFERROR(INDEX('قائمة الوحدات'!$C$2:$C$41,MATCH($B402,'قائمة الوحدات'!$A$2:$A$41,0)),"")</f>
        <v>الجهاز العسكري</v>
      </c>
      <c r="E402" s="14" t="str">
        <f>IFERROR(INDEX('قائمة الوحدات'!$D$2:$D$41,MATCH($B402,'قائمة الوحدات'!$A$2:$A$41,0)),"")</f>
        <v>الإدارة العامة للقوى البشرية العسكرية</v>
      </c>
      <c r="F402" s="14" t="str">
        <f>IFERROR(INDEX('قائمة الوحدات'!$F$2:$F$41,MATCH($B402,'قائمة الوحدات'!$A$2:$A$41,0)),"")</f>
        <v>الإدارة العامة للقوى البشرية العسكرية</v>
      </c>
      <c r="G402" s="16" t="s">
        <v>61</v>
      </c>
      <c r="H402" s="14" t="str">
        <f>IFERROR(INDEX(المرجع!$A$2:$A$19,MATCH($G402,المرجع!$B$2:$B$19,0)),"")</f>
        <v>البناء المؤسسي</v>
      </c>
      <c r="I402" s="16" t="s">
        <v>51</v>
      </c>
      <c r="J402" s="14" t="str">
        <f>IFERROR(INDEX(المرجع!$D$2:$D$19,MATCH($I402,المرجع!$E$2:$E$19,0)),"")</f>
        <v>الحوكمة</v>
      </c>
      <c r="K402" s="16" t="s">
        <v>92</v>
      </c>
      <c r="L402" s="17" t="str">
        <f>IFERROR(INDEX('نقاط التحقق'!$G$2:$G$31,MATCH($K402,'نقاط التحقق'!$A$2:$A$31,0))&amp;"","")</f>
        <v>مصفوفة صلاحيات معتمدة ومعممة على أصحاب المصلحة</v>
      </c>
      <c r="M402" s="13">
        <v>45</v>
      </c>
      <c r="N402" s="15" t="str">
        <f>IF($M402="","غير مقيّمة",IF($M402&gt;المرجع!$K$3,"مستوفاة بشكل متقدم",IF($M402&lt;=المرجع!$K$2,"مستوفاة بشكل أولي","مستوفاة بشكل جزئي")))</f>
        <v>مستوفاة بشكل جزئي</v>
      </c>
      <c r="O402" s="18"/>
    </row>
    <row r="403" spans="1:15">
      <c r="A403" s="16" t="s">
        <v>1207</v>
      </c>
      <c r="B403" s="16" t="s">
        <v>216</v>
      </c>
      <c r="C403" s="15" t="str">
        <f>IFERROR(INDEX('قائمة الوحدات'!$B$2:$B$41,MATCH($B403,'قائمة الوحدات'!$A$2:$A$41,0)),"")</f>
        <v>MIL</v>
      </c>
      <c r="D403" s="14" t="str">
        <f>IFERROR(INDEX('قائمة الوحدات'!$C$2:$C$41,MATCH($B403,'قائمة الوحدات'!$A$2:$A$41,0)),"")</f>
        <v>الجهاز العسكري</v>
      </c>
      <c r="E403" s="14" t="str">
        <f>IFERROR(INDEX('قائمة الوحدات'!$D$2:$D$41,MATCH($B403,'قائمة الوحدات'!$A$2:$A$41,0)),"")</f>
        <v>الإدارة العامة للقوى البشرية العسكرية</v>
      </c>
      <c r="F403" s="14" t="str">
        <f>IFERROR(INDEX('قائمة الوحدات'!$F$2:$F$41,MATCH($B403,'قائمة الوحدات'!$A$2:$A$41,0)),"")</f>
        <v>الإدارة العامة للقوى البشرية العسكرية</v>
      </c>
      <c r="G403" s="16" t="s">
        <v>61</v>
      </c>
      <c r="H403" s="14" t="str">
        <f>IFERROR(INDEX(المرجع!$A$2:$A$19,MATCH($G403,المرجع!$B$2:$B$19,0)),"")</f>
        <v>البناء المؤسسي</v>
      </c>
      <c r="I403" s="16" t="s">
        <v>51</v>
      </c>
      <c r="J403" s="14" t="str">
        <f>IFERROR(INDEX(المرجع!$D$2:$D$19,MATCH($I403,المرجع!$E$2:$E$19,0)),"")</f>
        <v>الحوكمة</v>
      </c>
      <c r="K403" s="16" t="s">
        <v>94</v>
      </c>
      <c r="L403" s="17" t="str">
        <f>IFERROR(INDEX('نقاط التحقق'!$G$2:$G$31,MATCH($K403,'نقاط التحقق'!$A$2:$A$31,0))&amp;"","")</f>
        <v>سياسات معتمدة للتي تملكها الوحدة التنظيمية</v>
      </c>
      <c r="M403" s="13">
        <v>45</v>
      </c>
      <c r="N403" s="15" t="str">
        <f>IF($M403="","غير مقيّمة",IF($M403&gt;المرجع!$K$3,"مستوفاة بشكل متقدم",IF($M403&lt;=المرجع!$K$2,"مستوفاة بشكل أولي","مستوفاة بشكل جزئي")))</f>
        <v>مستوفاة بشكل جزئي</v>
      </c>
      <c r="O403" s="18"/>
    </row>
    <row r="404" spans="1:15">
      <c r="A404" s="16" t="s">
        <v>1208</v>
      </c>
      <c r="B404" s="16" t="s">
        <v>216</v>
      </c>
      <c r="C404" s="15" t="str">
        <f>IFERROR(INDEX('قائمة الوحدات'!$B$2:$B$41,MATCH($B404,'قائمة الوحدات'!$A$2:$A$41,0)),"")</f>
        <v>MIL</v>
      </c>
      <c r="D404" s="14" t="str">
        <f>IFERROR(INDEX('قائمة الوحدات'!$C$2:$C$41,MATCH($B404,'قائمة الوحدات'!$A$2:$A$41,0)),"")</f>
        <v>الجهاز العسكري</v>
      </c>
      <c r="E404" s="14" t="str">
        <f>IFERROR(INDEX('قائمة الوحدات'!$D$2:$D$41,MATCH($B404,'قائمة الوحدات'!$A$2:$A$41,0)),"")</f>
        <v>الإدارة العامة للقوى البشرية العسكرية</v>
      </c>
      <c r="F404" s="14" t="str">
        <f>IFERROR(INDEX('قائمة الوحدات'!$F$2:$F$41,MATCH($B404,'قائمة الوحدات'!$A$2:$A$41,0)),"")</f>
        <v>الإدارة العامة للقوى البشرية العسكرية</v>
      </c>
      <c r="G404" s="16" t="s">
        <v>61</v>
      </c>
      <c r="H404" s="14" t="str">
        <f>IFERROR(INDEX(المرجع!$A$2:$A$19,MATCH($G404,المرجع!$B$2:$B$19,0)),"")</f>
        <v>البناء المؤسسي</v>
      </c>
      <c r="I404" s="16" t="s">
        <v>51</v>
      </c>
      <c r="J404" s="14" t="str">
        <f>IFERROR(INDEX(المرجع!$D$2:$D$19,MATCH($I404,المرجع!$E$2:$E$19,0)),"")</f>
        <v>الحوكمة</v>
      </c>
      <c r="K404" s="16" t="s">
        <v>96</v>
      </c>
      <c r="L404" s="17" t="str">
        <f>IFERROR(INDEX('نقاط التحقق'!$G$2:$G$31,MATCH($K404,'نقاط التحقق'!$A$2:$A$31,0))&amp;"","")</f>
        <v>قرار تشكيل معتمد للجان ذات العلاقة</v>
      </c>
      <c r="M404" s="13">
        <v>50</v>
      </c>
      <c r="N404" s="15" t="str">
        <f>IF($M404="","غير مقيّمة",IF($M404&gt;المرجع!$K$3,"مستوفاة بشكل متقدم",IF($M404&lt;=المرجع!$K$2,"مستوفاة بشكل أولي","مستوفاة بشكل جزئي")))</f>
        <v>مستوفاة بشكل جزئي</v>
      </c>
      <c r="O404" s="18"/>
    </row>
    <row r="405" spans="1:15">
      <c r="A405" s="16" t="s">
        <v>1209</v>
      </c>
      <c r="B405" s="16" t="s">
        <v>216</v>
      </c>
      <c r="C405" s="15" t="str">
        <f>IFERROR(INDEX('قائمة الوحدات'!$B$2:$B$41,MATCH($B405,'قائمة الوحدات'!$A$2:$A$41,0)),"")</f>
        <v>MIL</v>
      </c>
      <c r="D405" s="14" t="str">
        <f>IFERROR(INDEX('قائمة الوحدات'!$C$2:$C$41,MATCH($B405,'قائمة الوحدات'!$A$2:$A$41,0)),"")</f>
        <v>الجهاز العسكري</v>
      </c>
      <c r="E405" s="14" t="str">
        <f>IFERROR(INDEX('قائمة الوحدات'!$D$2:$D$41,MATCH($B405,'قائمة الوحدات'!$A$2:$A$41,0)),"")</f>
        <v>الإدارة العامة للقوى البشرية العسكرية</v>
      </c>
      <c r="F405" s="14" t="str">
        <f>IFERROR(INDEX('قائمة الوحدات'!$F$2:$F$41,MATCH($B405,'قائمة الوحدات'!$A$2:$A$41,0)),"")</f>
        <v>الإدارة العامة للقوى البشرية العسكرية</v>
      </c>
      <c r="G405" s="16" t="s">
        <v>61</v>
      </c>
      <c r="H405" s="14" t="str">
        <f>IFERROR(INDEX(المرجع!$A$2:$A$19,MATCH($G405,المرجع!$B$2:$B$19,0)),"")</f>
        <v>البناء المؤسسي</v>
      </c>
      <c r="I405" s="16" t="s">
        <v>54</v>
      </c>
      <c r="J405" s="14" t="str">
        <f>IFERROR(INDEX(المرجع!$D$2:$D$19,MATCH($I405,المرجع!$E$2:$E$19,0)),"")</f>
        <v>التنظيم</v>
      </c>
      <c r="K405" s="16" t="s">
        <v>98</v>
      </c>
      <c r="L405" s="17" t="str">
        <f>IFERROR(INDEX('نقاط التحقق'!$G$2:$G$31,MATCH($K405,'نقاط التحقق'!$A$2:$A$31,0))&amp;"","")</f>
        <v>هيكل تنظيمي معتمد من صاحب الصلاحية</v>
      </c>
      <c r="M405" s="13">
        <v>35</v>
      </c>
      <c r="N405" s="15" t="str">
        <f>IF($M405="","غير مقيّمة",IF($M405&gt;المرجع!$K$3,"مستوفاة بشكل متقدم",IF($M405&lt;=المرجع!$K$2,"مستوفاة بشكل أولي","مستوفاة بشكل جزئي")))</f>
        <v>مستوفاة بشكل جزئي</v>
      </c>
      <c r="O405" s="18"/>
    </row>
    <row r="406" spans="1:15">
      <c r="A406" s="16" t="s">
        <v>1210</v>
      </c>
      <c r="B406" s="16" t="s">
        <v>216</v>
      </c>
      <c r="C406" s="15" t="str">
        <f>IFERROR(INDEX('قائمة الوحدات'!$B$2:$B$41,MATCH($B406,'قائمة الوحدات'!$A$2:$A$41,0)),"")</f>
        <v>MIL</v>
      </c>
      <c r="D406" s="14" t="str">
        <f>IFERROR(INDEX('قائمة الوحدات'!$C$2:$C$41,MATCH($B406,'قائمة الوحدات'!$A$2:$A$41,0)),"")</f>
        <v>الجهاز العسكري</v>
      </c>
      <c r="E406" s="14" t="str">
        <f>IFERROR(INDEX('قائمة الوحدات'!$D$2:$D$41,MATCH($B406,'قائمة الوحدات'!$A$2:$A$41,0)),"")</f>
        <v>الإدارة العامة للقوى البشرية العسكرية</v>
      </c>
      <c r="F406" s="14" t="str">
        <f>IFERROR(INDEX('قائمة الوحدات'!$F$2:$F$41,MATCH($B406,'قائمة الوحدات'!$A$2:$A$41,0)),"")</f>
        <v>الإدارة العامة للقوى البشرية العسكرية</v>
      </c>
      <c r="G406" s="16" t="s">
        <v>61</v>
      </c>
      <c r="H406" s="14" t="str">
        <f>IFERROR(INDEX(المرجع!$A$2:$A$19,MATCH($G406,المرجع!$B$2:$B$19,0)),"")</f>
        <v>البناء المؤسسي</v>
      </c>
      <c r="I406" s="16" t="s">
        <v>54</v>
      </c>
      <c r="J406" s="14" t="str">
        <f>IFERROR(INDEX(المرجع!$D$2:$D$19,MATCH($I406,المرجع!$E$2:$E$19,0)),"")</f>
        <v>التنظيم</v>
      </c>
      <c r="K406" s="16" t="s">
        <v>100</v>
      </c>
      <c r="L406" s="17" t="str">
        <f>IFERROR(INDEX('نقاط التحقق'!$G$2:$G$31,MATCH($K406,'نقاط التحقق'!$A$2:$A$31,0))&amp;"","")</f>
        <v>هيكل تنظيمي منشأ على نظام القوى العاملة</v>
      </c>
      <c r="M406" s="13">
        <v>30</v>
      </c>
      <c r="N406" s="15" t="str">
        <f>IF($M406="","غير مقيّمة",IF($M406&gt;المرجع!$K$3,"مستوفاة بشكل متقدم",IF($M406&lt;=المرجع!$K$2,"مستوفاة بشكل أولي","مستوفاة بشكل جزئي")))</f>
        <v>مستوفاة بشكل أولي</v>
      </c>
      <c r="O406" s="18"/>
    </row>
    <row r="407" spans="1:15">
      <c r="A407" s="16" t="s">
        <v>1211</v>
      </c>
      <c r="B407" s="16" t="s">
        <v>216</v>
      </c>
      <c r="C407" s="15" t="str">
        <f>IFERROR(INDEX('قائمة الوحدات'!$B$2:$B$41,MATCH($B407,'قائمة الوحدات'!$A$2:$A$41,0)),"")</f>
        <v>MIL</v>
      </c>
      <c r="D407" s="14" t="str">
        <f>IFERROR(INDEX('قائمة الوحدات'!$C$2:$C$41,MATCH($B407,'قائمة الوحدات'!$A$2:$A$41,0)),"")</f>
        <v>الجهاز العسكري</v>
      </c>
      <c r="E407" s="14" t="str">
        <f>IFERROR(INDEX('قائمة الوحدات'!$D$2:$D$41,MATCH($B407,'قائمة الوحدات'!$A$2:$A$41,0)),"")</f>
        <v>الإدارة العامة للقوى البشرية العسكرية</v>
      </c>
      <c r="F407" s="14" t="str">
        <f>IFERROR(INDEX('قائمة الوحدات'!$F$2:$F$41,MATCH($B407,'قائمة الوحدات'!$A$2:$A$41,0)),"")</f>
        <v>الإدارة العامة للقوى البشرية العسكرية</v>
      </c>
      <c r="G407" s="16" t="s">
        <v>61</v>
      </c>
      <c r="H407" s="14" t="str">
        <f>IFERROR(INDEX(المرجع!$A$2:$A$19,MATCH($G407,المرجع!$B$2:$B$19,0)),"")</f>
        <v>البناء المؤسسي</v>
      </c>
      <c r="I407" s="16" t="s">
        <v>54</v>
      </c>
      <c r="J407" s="14" t="str">
        <f>IFERROR(INDEX(المرجع!$D$2:$D$19,MATCH($I407,المرجع!$E$2:$E$19,0)),"")</f>
        <v>التنظيم</v>
      </c>
      <c r="K407" s="16" t="s">
        <v>102</v>
      </c>
      <c r="L407" s="17" t="str">
        <f>IFERROR(INDEX('نقاط التحقق'!$G$2:$G$31,MATCH($K407,'نقاط التحقق'!$A$2:$A$31,0))&amp;"","")</f>
        <v>الموظفون المحددون مسكّنون على الهيكل التنظيمي المستهدف</v>
      </c>
      <c r="M407" s="13">
        <v>50</v>
      </c>
      <c r="N407" s="15" t="str">
        <f>IF($M407="","غير مقيّمة",IF($M407&gt;المرجع!$K$3,"مستوفاة بشكل متقدم",IF($M407&lt;=المرجع!$K$2,"مستوفاة بشكل أولي","مستوفاة بشكل جزئي")))</f>
        <v>مستوفاة بشكل جزئي</v>
      </c>
      <c r="O407" s="18"/>
    </row>
    <row r="408" spans="1:15">
      <c r="A408" s="16" t="s">
        <v>1212</v>
      </c>
      <c r="B408" s="16" t="s">
        <v>216</v>
      </c>
      <c r="C408" s="15" t="str">
        <f>IFERROR(INDEX('قائمة الوحدات'!$B$2:$B$41,MATCH($B408,'قائمة الوحدات'!$A$2:$A$41,0)),"")</f>
        <v>MIL</v>
      </c>
      <c r="D408" s="14" t="str">
        <f>IFERROR(INDEX('قائمة الوحدات'!$C$2:$C$41,MATCH($B408,'قائمة الوحدات'!$A$2:$A$41,0)),"")</f>
        <v>الجهاز العسكري</v>
      </c>
      <c r="E408" s="14" t="str">
        <f>IFERROR(INDEX('قائمة الوحدات'!$D$2:$D$41,MATCH($B408,'قائمة الوحدات'!$A$2:$A$41,0)),"")</f>
        <v>الإدارة العامة للقوى البشرية العسكرية</v>
      </c>
      <c r="F408" s="14" t="str">
        <f>IFERROR(INDEX('قائمة الوحدات'!$F$2:$F$41,MATCH($B408,'قائمة الوحدات'!$A$2:$A$41,0)),"")</f>
        <v>الإدارة العامة للقوى البشرية العسكرية</v>
      </c>
      <c r="G408" s="16" t="s">
        <v>61</v>
      </c>
      <c r="H408" s="14" t="str">
        <f>IFERROR(INDEX(المرجع!$A$2:$A$19,MATCH($G408,المرجع!$B$2:$B$19,0)),"")</f>
        <v>البناء المؤسسي</v>
      </c>
      <c r="I408" s="16" t="s">
        <v>56</v>
      </c>
      <c r="J408" s="14" t="str">
        <f>IFERROR(INDEX(المرجع!$D$2:$D$19,MATCH($I408,المرجع!$E$2:$E$19,0)),"")</f>
        <v>الموارد</v>
      </c>
      <c r="K408" s="16" t="s">
        <v>104</v>
      </c>
      <c r="L408" s="17" t="str">
        <f>IFERROR(INDEX('نقاط التحقق'!$G$2:$G$31,MATCH($K408,'نقاط التحقق'!$A$2:$A$31,0))&amp;"","")</f>
        <v>مدير الوحدة التنظيمية والموظفون الرئيسيون معينون/ملحقون</v>
      </c>
      <c r="M408" s="13">
        <v>80</v>
      </c>
      <c r="N408" s="15" t="str">
        <f>IF($M408="","غير مقيّمة",IF($M408&gt;المرجع!$K$3,"مستوفاة بشكل متقدم",IF($M408&lt;=المرجع!$K$2,"مستوفاة بشكل أولي","مستوفاة بشكل جزئي")))</f>
        <v>مستوفاة بشكل متقدم</v>
      </c>
      <c r="O408" s="18"/>
    </row>
    <row r="409" spans="1:15">
      <c r="A409" s="16" t="s">
        <v>1213</v>
      </c>
      <c r="B409" s="16" t="s">
        <v>216</v>
      </c>
      <c r="C409" s="15" t="str">
        <f>IFERROR(INDEX('قائمة الوحدات'!$B$2:$B$41,MATCH($B409,'قائمة الوحدات'!$A$2:$A$41,0)),"")</f>
        <v>MIL</v>
      </c>
      <c r="D409" s="14" t="str">
        <f>IFERROR(INDEX('قائمة الوحدات'!$C$2:$C$41,MATCH($B409,'قائمة الوحدات'!$A$2:$A$41,0)),"")</f>
        <v>الجهاز العسكري</v>
      </c>
      <c r="E409" s="14" t="str">
        <f>IFERROR(INDEX('قائمة الوحدات'!$D$2:$D$41,MATCH($B409,'قائمة الوحدات'!$A$2:$A$41,0)),"")</f>
        <v>الإدارة العامة للقوى البشرية العسكرية</v>
      </c>
      <c r="F409" s="14" t="str">
        <f>IFERROR(INDEX('قائمة الوحدات'!$F$2:$F$41,MATCH($B409,'قائمة الوحدات'!$A$2:$A$41,0)),"")</f>
        <v>الإدارة العامة للقوى البشرية العسكرية</v>
      </c>
      <c r="G409" s="16" t="s">
        <v>61</v>
      </c>
      <c r="H409" s="14" t="str">
        <f>IFERROR(INDEX(المرجع!$A$2:$A$19,MATCH($G409,المرجع!$B$2:$B$19,0)),"")</f>
        <v>البناء المؤسسي</v>
      </c>
      <c r="I409" s="16" t="s">
        <v>56</v>
      </c>
      <c r="J409" s="14" t="str">
        <f>IFERROR(INDEX(المرجع!$D$2:$D$19,MATCH($I409,المرجع!$E$2:$E$19,0)),"")</f>
        <v>الموارد</v>
      </c>
      <c r="K409" s="16" t="s">
        <v>106</v>
      </c>
      <c r="L409" s="17" t="str">
        <f>IFERROR(INDEX('نقاط التحقق'!$G$2:$G$31,MATCH($K409,'نقاط التحقق'!$A$2:$A$31,0))&amp;"","")</f>
        <v>خطة توظيف وتدريب مستكملة</v>
      </c>
      <c r="M409" s="13">
        <v>60</v>
      </c>
      <c r="N409" s="15" t="str">
        <f>IF($M409="","غير مقيّمة",IF($M409&gt;المرجع!$K$3,"مستوفاة بشكل متقدم",IF($M409&lt;=المرجع!$K$2,"مستوفاة بشكل أولي","مستوفاة بشكل جزئي")))</f>
        <v>مستوفاة بشكل جزئي</v>
      </c>
      <c r="O409" s="18"/>
    </row>
    <row r="410" spans="1:15">
      <c r="A410" s="16" t="s">
        <v>1214</v>
      </c>
      <c r="B410" s="16" t="s">
        <v>216</v>
      </c>
      <c r="C410" s="15" t="str">
        <f>IFERROR(INDEX('قائمة الوحدات'!$B$2:$B$41,MATCH($B410,'قائمة الوحدات'!$A$2:$A$41,0)),"")</f>
        <v>MIL</v>
      </c>
      <c r="D410" s="14" t="str">
        <f>IFERROR(INDEX('قائمة الوحدات'!$C$2:$C$41,MATCH($B410,'قائمة الوحدات'!$A$2:$A$41,0)),"")</f>
        <v>الجهاز العسكري</v>
      </c>
      <c r="E410" s="14" t="str">
        <f>IFERROR(INDEX('قائمة الوحدات'!$D$2:$D$41,MATCH($B410,'قائمة الوحدات'!$A$2:$A$41,0)),"")</f>
        <v>الإدارة العامة للقوى البشرية العسكرية</v>
      </c>
      <c r="F410" s="14" t="str">
        <f>IFERROR(INDEX('قائمة الوحدات'!$F$2:$F$41,MATCH($B410,'قائمة الوحدات'!$A$2:$A$41,0)),"")</f>
        <v>الإدارة العامة للقوى البشرية العسكرية</v>
      </c>
      <c r="G410" s="16" t="s">
        <v>61</v>
      </c>
      <c r="H410" s="14" t="str">
        <f>IFERROR(INDEX(المرجع!$A$2:$A$19,MATCH($G410,المرجع!$B$2:$B$19,0)),"")</f>
        <v>البناء المؤسسي</v>
      </c>
      <c r="I410" s="16" t="s">
        <v>56</v>
      </c>
      <c r="J410" s="14" t="str">
        <f>IFERROR(INDEX(المرجع!$D$2:$D$19,MATCH($I410,المرجع!$E$2:$E$19,0)),"")</f>
        <v>الموارد</v>
      </c>
      <c r="K410" s="16" t="s">
        <v>108</v>
      </c>
      <c r="L410" s="17" t="str">
        <f>IFERROR(INDEX('نقاط التحقق'!$G$2:$G$31,MATCH($K410,'نقاط التحقق'!$A$2:$A$31,0))&amp;"","")</f>
        <v>وجود مساحات مكتبية كافية</v>
      </c>
      <c r="M410" s="13">
        <v>80</v>
      </c>
      <c r="N410" s="15" t="str">
        <f>IF($M410="","غير مقيّمة",IF($M410&gt;المرجع!$K$3,"مستوفاة بشكل متقدم",IF($M410&lt;=المرجع!$K$2,"مستوفاة بشكل أولي","مستوفاة بشكل جزئي")))</f>
        <v>مستوفاة بشكل متقدم</v>
      </c>
      <c r="O410" s="18"/>
    </row>
    <row r="411" spans="1:15">
      <c r="A411" s="16" t="s">
        <v>1215</v>
      </c>
      <c r="B411" s="16" t="s">
        <v>216</v>
      </c>
      <c r="C411" s="15" t="str">
        <f>IFERROR(INDEX('قائمة الوحدات'!$B$2:$B$41,MATCH($B411,'قائمة الوحدات'!$A$2:$A$41,0)),"")</f>
        <v>MIL</v>
      </c>
      <c r="D411" s="14" t="str">
        <f>IFERROR(INDEX('قائمة الوحدات'!$C$2:$C$41,MATCH($B411,'قائمة الوحدات'!$A$2:$A$41,0)),"")</f>
        <v>الجهاز العسكري</v>
      </c>
      <c r="E411" s="14" t="str">
        <f>IFERROR(INDEX('قائمة الوحدات'!$D$2:$D$41,MATCH($B411,'قائمة الوحدات'!$A$2:$A$41,0)),"")</f>
        <v>الإدارة العامة للقوى البشرية العسكرية</v>
      </c>
      <c r="F411" s="14" t="str">
        <f>IFERROR(INDEX('قائمة الوحدات'!$F$2:$F$41,MATCH($B411,'قائمة الوحدات'!$A$2:$A$41,0)),"")</f>
        <v>الإدارة العامة للقوى البشرية العسكرية</v>
      </c>
      <c r="G411" s="16" t="s">
        <v>61</v>
      </c>
      <c r="H411" s="14" t="str">
        <f>IFERROR(INDEX(المرجع!$A$2:$A$19,MATCH($G411,المرجع!$B$2:$B$19,0)),"")</f>
        <v>البناء المؤسسي</v>
      </c>
      <c r="I411" s="16" t="s">
        <v>56</v>
      </c>
      <c r="J411" s="14" t="str">
        <f>IFERROR(INDEX(المرجع!$D$2:$D$19,MATCH($I411,المرجع!$E$2:$E$19,0)),"")</f>
        <v>الموارد</v>
      </c>
      <c r="K411" s="16" t="s">
        <v>110</v>
      </c>
      <c r="L411" s="17" t="str">
        <f>IFERROR(INDEX('نقاط التحقق'!$G$2:$G$31,MATCH($K411,'نقاط التحقق'!$A$2:$A$31,0))&amp;"","")</f>
        <v>وجود الاحتياجات التقنية الأساسية</v>
      </c>
      <c r="M411" s="13">
        <v>75</v>
      </c>
      <c r="N411" s="15" t="str">
        <f>IF($M411="","غير مقيّمة",IF($M411&gt;المرجع!$K$3,"مستوفاة بشكل متقدم",IF($M411&lt;=المرجع!$K$2,"مستوفاة بشكل أولي","مستوفاة بشكل جزئي")))</f>
        <v>مستوفاة بشكل متقدم</v>
      </c>
      <c r="O411" s="18"/>
    </row>
    <row r="412" spans="1:15">
      <c r="A412" s="16" t="s">
        <v>1216</v>
      </c>
      <c r="B412" s="16" t="s">
        <v>216</v>
      </c>
      <c r="C412" s="15" t="str">
        <f>IFERROR(INDEX('قائمة الوحدات'!$B$2:$B$41,MATCH($B412,'قائمة الوحدات'!$A$2:$A$41,0)),"")</f>
        <v>MIL</v>
      </c>
      <c r="D412" s="14" t="str">
        <f>IFERROR(INDEX('قائمة الوحدات'!$C$2:$C$41,MATCH($B412,'قائمة الوحدات'!$A$2:$A$41,0)),"")</f>
        <v>الجهاز العسكري</v>
      </c>
      <c r="E412" s="14" t="str">
        <f>IFERROR(INDEX('قائمة الوحدات'!$D$2:$D$41,MATCH($B412,'قائمة الوحدات'!$A$2:$A$41,0)),"")</f>
        <v>الإدارة العامة للقوى البشرية العسكرية</v>
      </c>
      <c r="F412" s="14" t="str">
        <f>IFERROR(INDEX('قائمة الوحدات'!$F$2:$F$41,MATCH($B412,'قائمة الوحدات'!$A$2:$A$41,0)),"")</f>
        <v>الإدارة العامة للقوى البشرية العسكرية</v>
      </c>
      <c r="G412" s="16" t="s">
        <v>61</v>
      </c>
      <c r="H412" s="14" t="str">
        <f>IFERROR(INDEX(المرجع!$A$2:$A$19,MATCH($G412,المرجع!$B$2:$B$19,0)),"")</f>
        <v>البناء المؤسسي</v>
      </c>
      <c r="I412" s="16" t="s">
        <v>59</v>
      </c>
      <c r="J412" s="14" t="str">
        <f>IFERROR(INDEX(المرجع!$D$2:$D$19,MATCH($I412,المرجع!$E$2:$E$19,0)),"")</f>
        <v>الإجراءات</v>
      </c>
      <c r="K412" s="16" t="s">
        <v>112</v>
      </c>
      <c r="L412" s="17" t="str">
        <f>IFERROR(INDEX('نقاط التحقق'!$G$2:$G$31,MATCH($K412,'نقاط التحقق'!$A$2:$A$31,0))&amp;"","")</f>
        <v>إجراءات معتمدة للوحدة التنظيمية</v>
      </c>
      <c r="M412" s="13">
        <v>87</v>
      </c>
      <c r="N412" s="15" t="str">
        <f>IF($M412="","غير مقيّمة",IF($M412&gt;المرجع!$K$3,"مستوفاة بشكل متقدم",IF($M412&lt;=المرجع!$K$2,"مستوفاة بشكل أولي","مستوفاة بشكل جزئي")))</f>
        <v>مستوفاة بشكل متقدم</v>
      </c>
      <c r="O412" s="18"/>
    </row>
    <row r="413" spans="1:15">
      <c r="A413" s="16" t="s">
        <v>1217</v>
      </c>
      <c r="B413" s="16" t="s">
        <v>216</v>
      </c>
      <c r="C413" s="15" t="str">
        <f>IFERROR(INDEX('قائمة الوحدات'!$B$2:$B$41,MATCH($B413,'قائمة الوحدات'!$A$2:$A$41,0)),"")</f>
        <v>MIL</v>
      </c>
      <c r="D413" s="14" t="str">
        <f>IFERROR(INDEX('قائمة الوحدات'!$C$2:$C$41,MATCH($B413,'قائمة الوحدات'!$A$2:$A$41,0)),"")</f>
        <v>الجهاز العسكري</v>
      </c>
      <c r="E413" s="14" t="str">
        <f>IFERROR(INDEX('قائمة الوحدات'!$D$2:$D$41,MATCH($B413,'قائمة الوحدات'!$A$2:$A$41,0)),"")</f>
        <v>الإدارة العامة للقوى البشرية العسكرية</v>
      </c>
      <c r="F413" s="14" t="str">
        <f>IFERROR(INDEX('قائمة الوحدات'!$F$2:$F$41,MATCH($B413,'قائمة الوحدات'!$A$2:$A$41,0)),"")</f>
        <v>الإدارة العامة للقوى البشرية العسكرية</v>
      </c>
      <c r="G413" s="16" t="s">
        <v>61</v>
      </c>
      <c r="H413" s="14" t="str">
        <f>IFERROR(INDEX(المرجع!$A$2:$A$19,MATCH($G413,المرجع!$B$2:$B$19,0)),"")</f>
        <v>البناء المؤسسي</v>
      </c>
      <c r="I413" s="16" t="s">
        <v>63</v>
      </c>
      <c r="J413" s="14" t="str">
        <f>IFERROR(INDEX(المرجع!$D$2:$D$19,MATCH($I413,المرجع!$E$2:$E$19,0)),"")</f>
        <v>إنتاج المخرج الأول</v>
      </c>
      <c r="K413" s="16" t="s">
        <v>114</v>
      </c>
      <c r="L413" s="17" t="str">
        <f>IFERROR(INDEX('نقاط التحقق'!$G$2:$G$31,MATCH($K413,'نقاط التحقق'!$A$2:$A$31,0))&amp;"","")</f>
        <v>إنتاج المخرج الأول من قبل الوحدة التنظيمية</v>
      </c>
      <c r="M413" s="13">
        <v>51</v>
      </c>
      <c r="N413" s="15" t="str">
        <f>IF($M413="","غير مقيّمة",IF($M413&gt;المرجع!$K$3,"مستوفاة بشكل متقدم",IF($M413&lt;=المرجع!$K$2,"مستوفاة بشكل أولي","مستوفاة بشكل جزئي")))</f>
        <v>مستوفاة بشكل جزئي</v>
      </c>
      <c r="O413" s="18"/>
    </row>
    <row r="414" spans="1:15">
      <c r="A414" s="16" t="s">
        <v>1218</v>
      </c>
      <c r="B414" s="16" t="s">
        <v>216</v>
      </c>
      <c r="C414" s="15" t="str">
        <f>IFERROR(INDEX('قائمة الوحدات'!$B$2:$B$41,MATCH($B414,'قائمة الوحدات'!$A$2:$A$41,0)),"")</f>
        <v>MIL</v>
      </c>
      <c r="D414" s="14" t="str">
        <f>IFERROR(INDEX('قائمة الوحدات'!$C$2:$C$41,MATCH($B414,'قائمة الوحدات'!$A$2:$A$41,0)),"")</f>
        <v>الجهاز العسكري</v>
      </c>
      <c r="E414" s="14" t="str">
        <f>IFERROR(INDEX('قائمة الوحدات'!$D$2:$D$41,MATCH($B414,'قائمة الوحدات'!$A$2:$A$41,0)),"")</f>
        <v>الإدارة العامة للقوى البشرية العسكرية</v>
      </c>
      <c r="F414" s="14" t="str">
        <f>IFERROR(INDEX('قائمة الوحدات'!$F$2:$F$41,MATCH($B414,'قائمة الوحدات'!$A$2:$A$41,0)),"")</f>
        <v>الإدارة العامة للقوى البشرية العسكرية</v>
      </c>
      <c r="G414" s="16" t="s">
        <v>65</v>
      </c>
      <c r="H414" s="14" t="str">
        <f>IFERROR(INDEX(المرجع!$A$2:$A$19,MATCH($G414,المرجع!$B$2:$B$19,0)),"")</f>
        <v>التشغيل</v>
      </c>
      <c r="I414" s="16" t="s">
        <v>48</v>
      </c>
      <c r="J414" s="14" t="str">
        <f>IFERROR(INDEX(المرجع!$D$2:$D$19,MATCH($I414,المرجع!$E$2:$E$19,0)),"")</f>
        <v>الأهداف ومؤشرات الأداء</v>
      </c>
      <c r="K414" s="16" t="s">
        <v>116</v>
      </c>
      <c r="L414" s="17" t="str">
        <f>IFERROR(INDEX('نقاط التحقق'!$G$2:$G$31,MATCH($K414,'نقاط التحقق'!$A$2:$A$31,0))&amp;"","")</f>
        <v>تحرك مؤشرات الأداء التشغيلي للوحدة التنظيمية بشكل إيجابي</v>
      </c>
      <c r="M414" s="13">
        <v>70</v>
      </c>
      <c r="N414" s="15" t="str">
        <f>IF($M414="","غير مقيّمة",IF($M414&gt;المرجع!$K$3,"مستوفاة بشكل متقدم",IF($M414&lt;=المرجع!$K$2,"مستوفاة بشكل أولي","مستوفاة بشكل جزئي")))</f>
        <v>مستوفاة بشكل جزئي</v>
      </c>
      <c r="O414" s="18"/>
    </row>
    <row r="415" spans="1:15">
      <c r="A415" s="16" t="s">
        <v>1219</v>
      </c>
      <c r="B415" s="16" t="s">
        <v>216</v>
      </c>
      <c r="C415" s="15" t="str">
        <f>IFERROR(INDEX('قائمة الوحدات'!$B$2:$B$41,MATCH($B415,'قائمة الوحدات'!$A$2:$A$41,0)),"")</f>
        <v>MIL</v>
      </c>
      <c r="D415" s="14" t="str">
        <f>IFERROR(INDEX('قائمة الوحدات'!$C$2:$C$41,MATCH($B415,'قائمة الوحدات'!$A$2:$A$41,0)),"")</f>
        <v>الجهاز العسكري</v>
      </c>
      <c r="E415" s="14" t="str">
        <f>IFERROR(INDEX('قائمة الوحدات'!$D$2:$D$41,MATCH($B415,'قائمة الوحدات'!$A$2:$A$41,0)),"")</f>
        <v>الإدارة العامة للقوى البشرية العسكرية</v>
      </c>
      <c r="F415" s="14" t="str">
        <f>IFERROR(INDEX('قائمة الوحدات'!$F$2:$F$41,MATCH($B415,'قائمة الوحدات'!$A$2:$A$41,0)),"")</f>
        <v>الإدارة العامة للقوى البشرية العسكرية</v>
      </c>
      <c r="G415" s="16" t="s">
        <v>65</v>
      </c>
      <c r="H415" s="14" t="str">
        <f>IFERROR(INDEX(المرجع!$A$2:$A$19,MATCH($G415,المرجع!$B$2:$B$19,0)),"")</f>
        <v>التشغيل</v>
      </c>
      <c r="I415" s="16" t="s">
        <v>48</v>
      </c>
      <c r="J415" s="14" t="str">
        <f>IFERROR(INDEX(المرجع!$D$2:$D$19,MATCH($I415,المرجع!$E$2:$E$19,0)),"")</f>
        <v>الأهداف ومؤشرات الأداء</v>
      </c>
      <c r="K415" s="16" t="s">
        <v>118</v>
      </c>
      <c r="L415" s="17" t="str">
        <f>IFERROR(INDEX('نقاط التحقق'!$G$2:$G$31,MATCH($K415,'نقاط التحقق'!$A$2:$A$31,0))&amp;"","")</f>
        <v>خطة سنوية معتمدة للوحدة التنظيمية</v>
      </c>
      <c r="M415" s="13">
        <v>60</v>
      </c>
      <c r="N415" s="15" t="str">
        <f>IF($M415="","غير مقيّمة",IF($M415&gt;المرجع!$K$3,"مستوفاة بشكل متقدم",IF($M415&lt;=المرجع!$K$2,"مستوفاة بشكل أولي","مستوفاة بشكل جزئي")))</f>
        <v>مستوفاة بشكل جزئي</v>
      </c>
      <c r="O415" s="18"/>
    </row>
    <row r="416" spans="1:15">
      <c r="A416" s="16" t="s">
        <v>1220</v>
      </c>
      <c r="B416" s="16" t="s">
        <v>216</v>
      </c>
      <c r="C416" s="15" t="str">
        <f>IFERROR(INDEX('قائمة الوحدات'!$B$2:$B$41,MATCH($B416,'قائمة الوحدات'!$A$2:$A$41,0)),"")</f>
        <v>MIL</v>
      </c>
      <c r="D416" s="14" t="str">
        <f>IFERROR(INDEX('قائمة الوحدات'!$C$2:$C$41,MATCH($B416,'قائمة الوحدات'!$A$2:$A$41,0)),"")</f>
        <v>الجهاز العسكري</v>
      </c>
      <c r="E416" s="14" t="str">
        <f>IFERROR(INDEX('قائمة الوحدات'!$D$2:$D$41,MATCH($B416,'قائمة الوحدات'!$A$2:$A$41,0)),"")</f>
        <v>الإدارة العامة للقوى البشرية العسكرية</v>
      </c>
      <c r="F416" s="14" t="str">
        <f>IFERROR(INDEX('قائمة الوحدات'!$F$2:$F$41,MATCH($B416,'قائمة الوحدات'!$A$2:$A$41,0)),"")</f>
        <v>الإدارة العامة للقوى البشرية العسكرية</v>
      </c>
      <c r="G416" s="16" t="s">
        <v>65</v>
      </c>
      <c r="H416" s="14" t="str">
        <f>IFERROR(INDEX(المرجع!$A$2:$A$19,MATCH($G416,المرجع!$B$2:$B$19,0)),"")</f>
        <v>التشغيل</v>
      </c>
      <c r="I416" s="16" t="s">
        <v>51</v>
      </c>
      <c r="J416" s="14" t="str">
        <f>IFERROR(INDEX(المرجع!$D$2:$D$19,MATCH($I416,المرجع!$E$2:$E$19,0)),"")</f>
        <v>الحوكمة</v>
      </c>
      <c r="K416" s="16" t="s">
        <v>120</v>
      </c>
      <c r="L416" s="17" t="str">
        <f>IFERROR(INDEX('نقاط التحقق'!$G$2:$G$31,MATCH($K416,'نقاط التحقق'!$A$2:$A$31,0))&amp;"","")</f>
        <v>محاضر لجان موثقة</v>
      </c>
      <c r="M416" s="13">
        <v>40</v>
      </c>
      <c r="N416" s="15" t="str">
        <f>IF($M416="","غير مقيّمة",IF($M416&gt;المرجع!$K$3,"مستوفاة بشكل متقدم",IF($M416&lt;=المرجع!$K$2,"مستوفاة بشكل أولي","مستوفاة بشكل جزئي")))</f>
        <v>مستوفاة بشكل جزئي</v>
      </c>
      <c r="O416" s="18"/>
    </row>
    <row r="417" spans="1:15">
      <c r="A417" s="16" t="s">
        <v>1221</v>
      </c>
      <c r="B417" s="16" t="s">
        <v>216</v>
      </c>
      <c r="C417" s="15" t="str">
        <f>IFERROR(INDEX('قائمة الوحدات'!$B$2:$B$41,MATCH($B417,'قائمة الوحدات'!$A$2:$A$41,0)),"")</f>
        <v>MIL</v>
      </c>
      <c r="D417" s="14" t="str">
        <f>IFERROR(INDEX('قائمة الوحدات'!$C$2:$C$41,MATCH($B417,'قائمة الوحدات'!$A$2:$A$41,0)),"")</f>
        <v>الجهاز العسكري</v>
      </c>
      <c r="E417" s="14" t="str">
        <f>IFERROR(INDEX('قائمة الوحدات'!$D$2:$D$41,MATCH($B417,'قائمة الوحدات'!$A$2:$A$41,0)),"")</f>
        <v>الإدارة العامة للقوى البشرية العسكرية</v>
      </c>
      <c r="F417" s="14" t="str">
        <f>IFERROR(INDEX('قائمة الوحدات'!$F$2:$F$41,MATCH($B417,'قائمة الوحدات'!$A$2:$A$41,0)),"")</f>
        <v>الإدارة العامة للقوى البشرية العسكرية</v>
      </c>
      <c r="G417" s="16" t="s">
        <v>65</v>
      </c>
      <c r="H417" s="14" t="str">
        <f>IFERROR(INDEX(المرجع!$A$2:$A$19,MATCH($G417,المرجع!$B$2:$B$19,0)),"")</f>
        <v>التشغيل</v>
      </c>
      <c r="I417" s="16" t="s">
        <v>51</v>
      </c>
      <c r="J417" s="14" t="str">
        <f>IFERROR(INDEX(المرجع!$D$2:$D$19,MATCH($I417,المرجع!$E$2:$E$19,0)),"")</f>
        <v>الحوكمة</v>
      </c>
      <c r="K417" s="16" t="s">
        <v>122</v>
      </c>
      <c r="L417" s="17" t="str">
        <f>IFERROR(INDEX('نقاط التحقق'!$G$2:$G$31,MATCH($K417,'نقاط التحقق'!$A$2:$A$31,0))&amp;"","")</f>
        <v>نشر السياسات التي تملكها الوحدة التنظيمية</v>
      </c>
      <c r="M417" s="13">
        <v>55</v>
      </c>
      <c r="N417" s="15" t="str">
        <f>IF($M417="","غير مقيّمة",IF($M417&gt;المرجع!$K$3,"مستوفاة بشكل متقدم",IF($M417&lt;=المرجع!$K$2,"مستوفاة بشكل أولي","مستوفاة بشكل جزئي")))</f>
        <v>مستوفاة بشكل جزئي</v>
      </c>
      <c r="O417" s="18"/>
    </row>
    <row r="418" spans="1:15">
      <c r="A418" s="16" t="s">
        <v>1222</v>
      </c>
      <c r="B418" s="16" t="s">
        <v>216</v>
      </c>
      <c r="C418" s="15" t="str">
        <f>IFERROR(INDEX('قائمة الوحدات'!$B$2:$B$41,MATCH($B418,'قائمة الوحدات'!$A$2:$A$41,0)),"")</f>
        <v>MIL</v>
      </c>
      <c r="D418" s="14" t="str">
        <f>IFERROR(INDEX('قائمة الوحدات'!$C$2:$C$41,MATCH($B418,'قائمة الوحدات'!$A$2:$A$41,0)),"")</f>
        <v>الجهاز العسكري</v>
      </c>
      <c r="E418" s="14" t="str">
        <f>IFERROR(INDEX('قائمة الوحدات'!$D$2:$D$41,MATCH($B418,'قائمة الوحدات'!$A$2:$A$41,0)),"")</f>
        <v>الإدارة العامة للقوى البشرية العسكرية</v>
      </c>
      <c r="F418" s="14" t="str">
        <f>IFERROR(INDEX('قائمة الوحدات'!$F$2:$F$41,MATCH($B418,'قائمة الوحدات'!$A$2:$A$41,0)),"")</f>
        <v>الإدارة العامة للقوى البشرية العسكرية</v>
      </c>
      <c r="G418" s="16" t="s">
        <v>65</v>
      </c>
      <c r="H418" s="14" t="str">
        <f>IFERROR(INDEX(المرجع!$A$2:$A$19,MATCH($G418,المرجع!$B$2:$B$19,0)),"")</f>
        <v>التشغيل</v>
      </c>
      <c r="I418" s="16" t="s">
        <v>51</v>
      </c>
      <c r="J418" s="14" t="str">
        <f>IFERROR(INDEX(المرجع!$D$2:$D$19,MATCH($I418,المرجع!$E$2:$E$19,0)),"")</f>
        <v>الحوكمة</v>
      </c>
      <c r="K418" s="16" t="s">
        <v>124</v>
      </c>
      <c r="L418" s="17" t="str">
        <f>IFERROR(INDEX('نقاط التحقق'!$G$2:$G$31,MATCH($K418,'نقاط التحقق'!$A$2:$A$31,0))&amp;"","")</f>
        <v>اتخاذ القرارات في نطاق الصلاحيات (وجود شواهد)</v>
      </c>
      <c r="M418" s="13">
        <v>70</v>
      </c>
      <c r="N418" s="15" t="str">
        <f>IF($M418="","غير مقيّمة",IF($M418&gt;المرجع!$K$3,"مستوفاة بشكل متقدم",IF($M418&lt;=المرجع!$K$2,"مستوفاة بشكل أولي","مستوفاة بشكل جزئي")))</f>
        <v>مستوفاة بشكل جزئي</v>
      </c>
      <c r="O418" s="18"/>
    </row>
    <row r="419" spans="1:15">
      <c r="A419" s="16" t="s">
        <v>1223</v>
      </c>
      <c r="B419" s="16" t="s">
        <v>216</v>
      </c>
      <c r="C419" s="15" t="str">
        <f>IFERROR(INDEX('قائمة الوحدات'!$B$2:$B$41,MATCH($B419,'قائمة الوحدات'!$A$2:$A$41,0)),"")</f>
        <v>MIL</v>
      </c>
      <c r="D419" s="14" t="str">
        <f>IFERROR(INDEX('قائمة الوحدات'!$C$2:$C$41,MATCH($B419,'قائمة الوحدات'!$A$2:$A$41,0)),"")</f>
        <v>الجهاز العسكري</v>
      </c>
      <c r="E419" s="14" t="str">
        <f>IFERROR(INDEX('قائمة الوحدات'!$D$2:$D$41,MATCH($B419,'قائمة الوحدات'!$A$2:$A$41,0)),"")</f>
        <v>الإدارة العامة للقوى البشرية العسكرية</v>
      </c>
      <c r="F419" s="14" t="str">
        <f>IFERROR(INDEX('قائمة الوحدات'!$F$2:$F$41,MATCH($B419,'قائمة الوحدات'!$A$2:$A$41,0)),"")</f>
        <v>الإدارة العامة للقوى البشرية العسكرية</v>
      </c>
      <c r="G419" s="16" t="s">
        <v>65</v>
      </c>
      <c r="H419" s="14" t="str">
        <f>IFERROR(INDEX(المرجع!$A$2:$A$19,MATCH($G419,المرجع!$B$2:$B$19,0)),"")</f>
        <v>التشغيل</v>
      </c>
      <c r="I419" s="16" t="s">
        <v>56</v>
      </c>
      <c r="J419" s="14" t="str">
        <f>IFERROR(INDEX(المرجع!$D$2:$D$19,MATCH($I419,المرجع!$E$2:$E$19,0)),"")</f>
        <v>الموارد</v>
      </c>
      <c r="K419" s="16" t="s">
        <v>126</v>
      </c>
      <c r="L419" s="17" t="str">
        <f>IFERROR(INDEX('نقاط التحقق'!$G$2:$G$31,MATCH($K419,'نقاط التحقق'!$A$2:$A$31,0))&amp;"","")</f>
        <v>موارد مستكملة للحد الأدنى الذي يغطي كافة محاور سلسلة القيمة</v>
      </c>
      <c r="M419" s="13">
        <v>27</v>
      </c>
      <c r="N419" s="15" t="str">
        <f>IF($M419="","غير مقيّمة",IF($M419&gt;المرجع!$K$3,"مستوفاة بشكل متقدم",IF($M419&lt;=المرجع!$K$2,"مستوفاة بشكل أولي","مستوفاة بشكل جزئي")))</f>
        <v>مستوفاة بشكل أولي</v>
      </c>
      <c r="O419" s="18"/>
    </row>
    <row r="420" spans="1:15">
      <c r="A420" s="16" t="s">
        <v>1224</v>
      </c>
      <c r="B420" s="16" t="s">
        <v>216</v>
      </c>
      <c r="C420" s="15" t="str">
        <f>IFERROR(INDEX('قائمة الوحدات'!$B$2:$B$41,MATCH($B420,'قائمة الوحدات'!$A$2:$A$41,0)),"")</f>
        <v>MIL</v>
      </c>
      <c r="D420" s="14" t="str">
        <f>IFERROR(INDEX('قائمة الوحدات'!$C$2:$C$41,MATCH($B420,'قائمة الوحدات'!$A$2:$A$41,0)),"")</f>
        <v>الجهاز العسكري</v>
      </c>
      <c r="E420" s="14" t="str">
        <f>IFERROR(INDEX('قائمة الوحدات'!$D$2:$D$41,MATCH($B420,'قائمة الوحدات'!$A$2:$A$41,0)),"")</f>
        <v>الإدارة العامة للقوى البشرية العسكرية</v>
      </c>
      <c r="F420" s="14" t="str">
        <f>IFERROR(INDEX('قائمة الوحدات'!$F$2:$F$41,MATCH($B420,'قائمة الوحدات'!$A$2:$A$41,0)),"")</f>
        <v>الإدارة العامة للقوى البشرية العسكرية</v>
      </c>
      <c r="G420" s="16" t="s">
        <v>65</v>
      </c>
      <c r="H420" s="14" t="str">
        <f>IFERROR(INDEX(المرجع!$A$2:$A$19,MATCH($G420,المرجع!$B$2:$B$19,0)),"")</f>
        <v>التشغيل</v>
      </c>
      <c r="I420" s="16" t="s">
        <v>59</v>
      </c>
      <c r="J420" s="14" t="str">
        <f>IFERROR(INDEX(المرجع!$D$2:$D$19,MATCH($I420,المرجع!$E$2:$E$19,0)),"")</f>
        <v>الإجراءات</v>
      </c>
      <c r="K420" s="16" t="s">
        <v>128</v>
      </c>
      <c r="L420" s="17" t="str">
        <f>IFERROR(INDEX('نقاط التحقق'!$G$2:$G$31,MATCH($K420,'نقاط التحقق'!$A$2:$A$31,0))&amp;"","")</f>
        <v>تحقيق تقييم "مطبق بشكل كامل" من منهجية تقييم فعالية الإجراءات</v>
      </c>
      <c r="M420" s="13">
        <v>32</v>
      </c>
      <c r="N420" s="15" t="str">
        <f>IF($M420="","غير مقيّمة",IF($M420&gt;المرجع!$K$3,"مستوفاة بشكل متقدم",IF($M420&lt;=المرجع!$K$2,"مستوفاة بشكل أولي","مستوفاة بشكل جزئي")))</f>
        <v>مستوفاة بشكل جزئي</v>
      </c>
      <c r="O420" s="18"/>
    </row>
    <row r="421" spans="1:15">
      <c r="A421" s="16" t="s">
        <v>1225</v>
      </c>
      <c r="B421" s="16" t="s">
        <v>216</v>
      </c>
      <c r="C421" s="15" t="str">
        <f>IFERROR(INDEX('قائمة الوحدات'!$B$2:$B$41,MATCH($B421,'قائمة الوحدات'!$A$2:$A$41,0)),"")</f>
        <v>MIL</v>
      </c>
      <c r="D421" s="14" t="str">
        <f>IFERROR(INDEX('قائمة الوحدات'!$C$2:$C$41,MATCH($B421,'قائمة الوحدات'!$A$2:$A$41,0)),"")</f>
        <v>الجهاز العسكري</v>
      </c>
      <c r="E421" s="14" t="str">
        <f>IFERROR(INDEX('قائمة الوحدات'!$D$2:$D$41,MATCH($B421,'قائمة الوحدات'!$A$2:$A$41,0)),"")</f>
        <v>الإدارة العامة للقوى البشرية العسكرية</v>
      </c>
      <c r="F421" s="14" t="str">
        <f>IFERROR(INDEX('قائمة الوحدات'!$F$2:$F$41,MATCH($B421,'قائمة الوحدات'!$A$2:$A$41,0)),"")</f>
        <v>الإدارة العامة للقوى البشرية العسكرية</v>
      </c>
      <c r="G421" s="16" t="s">
        <v>65</v>
      </c>
      <c r="H421" s="14" t="str">
        <f>IFERROR(INDEX(المرجع!$A$2:$A$19,MATCH($G421,المرجع!$B$2:$B$19,0)),"")</f>
        <v>التشغيل</v>
      </c>
      <c r="I421" s="16" t="s">
        <v>67</v>
      </c>
      <c r="J421" s="14" t="str">
        <f>IFERROR(INDEX(المرجع!$D$2:$D$19,MATCH($I421,المرجع!$E$2:$E$19,0)),"")</f>
        <v>اكتمال المخرجات المستهدفة</v>
      </c>
      <c r="K421" s="16" t="s">
        <v>130</v>
      </c>
      <c r="L421" s="17" t="str">
        <f>IFERROR(INDEX('نقاط التحقق'!$G$2:$G$31,MATCH($K421,'نقاط التحقق'!$A$2:$A$31,0))&amp;"","")</f>
        <v>اكتمال مخرجات النموذج التشغيلي المستهدف للوحدة التنظيمية</v>
      </c>
      <c r="M421" s="13">
        <v>53</v>
      </c>
      <c r="N421" s="15" t="str">
        <f>IF($M421="","غير مقيّمة",IF($M421&gt;المرجع!$K$3,"مستوفاة بشكل متقدم",IF($M421&lt;=المرجع!$K$2,"مستوفاة بشكل أولي","مستوفاة بشكل جزئي")))</f>
        <v>مستوفاة بشكل جزئي</v>
      </c>
      <c r="O421" s="18"/>
    </row>
    <row r="422" spans="1:15">
      <c r="A422" s="16" t="s">
        <v>1226</v>
      </c>
      <c r="B422" s="16" t="s">
        <v>218</v>
      </c>
      <c r="C422" s="15" t="str">
        <f>IFERROR(INDEX('قائمة الوحدات'!$B$2:$B$41,MATCH($B422,'قائمة الوحدات'!$A$2:$A$41,0)),"")</f>
        <v>MIL</v>
      </c>
      <c r="D422" s="14" t="str">
        <f>IFERROR(INDEX('قائمة الوحدات'!$C$2:$C$41,MATCH($B422,'قائمة الوحدات'!$A$2:$A$41,0)),"")</f>
        <v>الجهاز العسكري</v>
      </c>
      <c r="E422" s="14" t="str">
        <f>IFERROR(INDEX('قائمة الوحدات'!$D$2:$D$41,MATCH($B422,'قائمة الوحدات'!$A$2:$A$41,0)),"")</f>
        <v>الإدارة العامة للتدريب والتأهيل العسكري</v>
      </c>
      <c r="F422" s="14" t="str">
        <f>IFERROR(INDEX('قائمة الوحدات'!$F$2:$F$41,MATCH($B422,'قائمة الوحدات'!$A$2:$A$41,0)),"")</f>
        <v>الإدارة العامة للتدريب والتأهيل العسكري</v>
      </c>
      <c r="G422" s="16" t="s">
        <v>43</v>
      </c>
      <c r="H422" s="14" t="str">
        <f>IFERROR(INDEX(المرجع!$A$2:$A$19,MATCH($G422,المرجع!$B$2:$B$19,0)),"")</f>
        <v>التصميم</v>
      </c>
      <c r="I422" s="16" t="s">
        <v>45</v>
      </c>
      <c r="J422" s="14" t="str">
        <f>IFERROR(INDEX(المرجع!$D$2:$D$19,MATCH($I422,المرجع!$E$2:$E$19,0)),"")</f>
        <v>الدور</v>
      </c>
      <c r="K422" s="16" t="s">
        <v>72</v>
      </c>
      <c r="L422" s="17" t="str">
        <f>IFERROR(INDEX('نقاط التحقق'!$G$2:$G$31,MATCH($K422,'نقاط التحقق'!$A$2:$A$31,0))&amp;"","")</f>
        <v>دور مفصل للوحدة التنظيمية</v>
      </c>
      <c r="M422" s="13">
        <v>83</v>
      </c>
      <c r="N422" s="15" t="str">
        <f>IF($M422="","غير مقيّمة",IF($M422&gt;المرجع!$K$3,"مستوفاة بشكل متقدم",IF($M422&lt;=المرجع!$K$2,"مستوفاة بشكل أولي","مستوفاة بشكل جزئي")))</f>
        <v>مستوفاة بشكل متقدم</v>
      </c>
      <c r="O422" s="18"/>
    </row>
    <row r="423" spans="1:15">
      <c r="A423" s="16" t="s">
        <v>1227</v>
      </c>
      <c r="B423" s="16" t="s">
        <v>218</v>
      </c>
      <c r="C423" s="15" t="str">
        <f>IFERROR(INDEX('قائمة الوحدات'!$B$2:$B$41,MATCH($B423,'قائمة الوحدات'!$A$2:$A$41,0)),"")</f>
        <v>MIL</v>
      </c>
      <c r="D423" s="14" t="str">
        <f>IFERROR(INDEX('قائمة الوحدات'!$C$2:$C$41,MATCH($B423,'قائمة الوحدات'!$A$2:$A$41,0)),"")</f>
        <v>الجهاز العسكري</v>
      </c>
      <c r="E423" s="14" t="str">
        <f>IFERROR(INDEX('قائمة الوحدات'!$D$2:$D$41,MATCH($B423,'قائمة الوحدات'!$A$2:$A$41,0)),"")</f>
        <v>الإدارة العامة للتدريب والتأهيل العسكري</v>
      </c>
      <c r="F423" s="14" t="str">
        <f>IFERROR(INDEX('قائمة الوحدات'!$F$2:$F$41,MATCH($B423,'قائمة الوحدات'!$A$2:$A$41,0)),"")</f>
        <v>الإدارة العامة للتدريب والتأهيل العسكري</v>
      </c>
      <c r="G423" s="16" t="s">
        <v>43</v>
      </c>
      <c r="H423" s="14" t="str">
        <f>IFERROR(INDEX(المرجع!$A$2:$A$19,MATCH($G423,المرجع!$B$2:$B$19,0)),"")</f>
        <v>التصميم</v>
      </c>
      <c r="I423" s="16" t="s">
        <v>48</v>
      </c>
      <c r="J423" s="14" t="str">
        <f>IFERROR(INDEX(المرجع!$D$2:$D$19,MATCH($I423,المرجع!$E$2:$E$19,0)),"")</f>
        <v>الأهداف ومؤشرات الأداء</v>
      </c>
      <c r="K423" s="16" t="s">
        <v>74</v>
      </c>
      <c r="L423" s="17" t="str">
        <f>IFERROR(INDEX('نقاط التحقق'!$G$2:$G$31,MATCH($K423,'نقاط التحقق'!$A$2:$A$31,0))&amp;"","")</f>
        <v>أهداف محددة للوحدة التنظيمية وربطها بمؤشرات أداء لقياسها</v>
      </c>
      <c r="M423" s="13">
        <v>95</v>
      </c>
      <c r="N423" s="15" t="str">
        <f>IF($M423="","غير مقيّمة",IF($M423&gt;المرجع!$K$3,"مستوفاة بشكل متقدم",IF($M423&lt;=المرجع!$K$2,"مستوفاة بشكل أولي","مستوفاة بشكل جزئي")))</f>
        <v>مستوفاة بشكل متقدم</v>
      </c>
      <c r="O423" s="18"/>
    </row>
    <row r="424" spans="1:15">
      <c r="A424" s="16" t="s">
        <v>1228</v>
      </c>
      <c r="B424" s="16" t="s">
        <v>218</v>
      </c>
      <c r="C424" s="15" t="str">
        <f>IFERROR(INDEX('قائمة الوحدات'!$B$2:$B$41,MATCH($B424,'قائمة الوحدات'!$A$2:$A$41,0)),"")</f>
        <v>MIL</v>
      </c>
      <c r="D424" s="14" t="str">
        <f>IFERROR(INDEX('قائمة الوحدات'!$C$2:$C$41,MATCH($B424,'قائمة الوحدات'!$A$2:$A$41,0)),"")</f>
        <v>الجهاز العسكري</v>
      </c>
      <c r="E424" s="14" t="str">
        <f>IFERROR(INDEX('قائمة الوحدات'!$D$2:$D$41,MATCH($B424,'قائمة الوحدات'!$A$2:$A$41,0)),"")</f>
        <v>الإدارة العامة للتدريب والتأهيل العسكري</v>
      </c>
      <c r="F424" s="14" t="str">
        <f>IFERROR(INDEX('قائمة الوحدات'!$F$2:$F$41,MATCH($B424,'قائمة الوحدات'!$A$2:$A$41,0)),"")</f>
        <v>الإدارة العامة للتدريب والتأهيل العسكري</v>
      </c>
      <c r="G424" s="16" t="s">
        <v>43</v>
      </c>
      <c r="H424" s="14" t="str">
        <f>IFERROR(INDEX(المرجع!$A$2:$A$19,MATCH($G424,المرجع!$B$2:$B$19,0)),"")</f>
        <v>التصميم</v>
      </c>
      <c r="I424" s="16" t="s">
        <v>48</v>
      </c>
      <c r="J424" s="14" t="str">
        <f>IFERROR(INDEX(المرجع!$D$2:$D$19,MATCH($I424,المرجع!$E$2:$E$19,0)),"")</f>
        <v>الأهداف ومؤشرات الأداء</v>
      </c>
      <c r="K424" s="16" t="s">
        <v>76</v>
      </c>
      <c r="L424" s="17" t="str">
        <f>IFERROR(INDEX('نقاط التحقق'!$G$2:$G$31,MATCH($K424,'نقاط التحقق'!$A$2:$A$31,0))&amp;"","")</f>
        <v>مؤشرات أداء الوحدة التنظيمية</v>
      </c>
      <c r="M424" s="13">
        <v>85</v>
      </c>
      <c r="N424" s="15" t="str">
        <f>IF($M424="","غير مقيّمة",IF($M424&gt;المرجع!$K$3,"مستوفاة بشكل متقدم",IF($M424&lt;=المرجع!$K$2,"مستوفاة بشكل أولي","مستوفاة بشكل جزئي")))</f>
        <v>مستوفاة بشكل متقدم</v>
      </c>
      <c r="O424" s="18"/>
    </row>
    <row r="425" spans="1:15">
      <c r="A425" s="16" t="s">
        <v>1229</v>
      </c>
      <c r="B425" s="16" t="s">
        <v>218</v>
      </c>
      <c r="C425" s="15" t="str">
        <f>IFERROR(INDEX('قائمة الوحدات'!$B$2:$B$41,MATCH($B425,'قائمة الوحدات'!$A$2:$A$41,0)),"")</f>
        <v>MIL</v>
      </c>
      <c r="D425" s="14" t="str">
        <f>IFERROR(INDEX('قائمة الوحدات'!$C$2:$C$41,MATCH($B425,'قائمة الوحدات'!$A$2:$A$41,0)),"")</f>
        <v>الجهاز العسكري</v>
      </c>
      <c r="E425" s="14" t="str">
        <f>IFERROR(INDEX('قائمة الوحدات'!$D$2:$D$41,MATCH($B425,'قائمة الوحدات'!$A$2:$A$41,0)),"")</f>
        <v>الإدارة العامة للتدريب والتأهيل العسكري</v>
      </c>
      <c r="F425" s="14" t="str">
        <f>IFERROR(INDEX('قائمة الوحدات'!$F$2:$F$41,MATCH($B425,'قائمة الوحدات'!$A$2:$A$41,0)),"")</f>
        <v>الإدارة العامة للتدريب والتأهيل العسكري</v>
      </c>
      <c r="G425" s="16" t="s">
        <v>43</v>
      </c>
      <c r="H425" s="14" t="str">
        <f>IFERROR(INDEX(المرجع!$A$2:$A$19,MATCH($G425,المرجع!$B$2:$B$19,0)),"")</f>
        <v>التصميم</v>
      </c>
      <c r="I425" s="16" t="s">
        <v>51</v>
      </c>
      <c r="J425" s="14" t="str">
        <f>IFERROR(INDEX(المرجع!$D$2:$D$19,MATCH($I425,المرجع!$E$2:$E$19,0)),"")</f>
        <v>الحوكمة</v>
      </c>
      <c r="K425" s="16" t="s">
        <v>78</v>
      </c>
      <c r="L425" s="17" t="str">
        <f>IFERROR(INDEX('نقاط التحقق'!$G$2:$G$31,MATCH($K425,'نقاط التحقق'!$A$2:$A$31,0))&amp;"","")</f>
        <v>تفصيل القرارات ومصفوفة الصلاحيات واللجان ذات العلاقة لاعتماد مخرجات الوحدة التنظيمية</v>
      </c>
      <c r="M425" s="13">
        <v>91</v>
      </c>
      <c r="N425" s="15" t="str">
        <f>IF($M425="","غير مقيّمة",IF($M425&gt;المرجع!$K$3,"مستوفاة بشكل متقدم",IF($M425&lt;=المرجع!$K$2,"مستوفاة بشكل أولي","مستوفاة بشكل جزئي")))</f>
        <v>مستوفاة بشكل متقدم</v>
      </c>
      <c r="O425" s="18"/>
    </row>
    <row r="426" spans="1:15">
      <c r="A426" s="16" t="s">
        <v>1230</v>
      </c>
      <c r="B426" s="16" t="s">
        <v>218</v>
      </c>
      <c r="C426" s="15" t="str">
        <f>IFERROR(INDEX('قائمة الوحدات'!$B$2:$B$41,MATCH($B426,'قائمة الوحدات'!$A$2:$A$41,0)),"")</f>
        <v>MIL</v>
      </c>
      <c r="D426" s="14" t="str">
        <f>IFERROR(INDEX('قائمة الوحدات'!$C$2:$C$41,MATCH($B426,'قائمة الوحدات'!$A$2:$A$41,0)),"")</f>
        <v>الجهاز العسكري</v>
      </c>
      <c r="E426" s="14" t="str">
        <f>IFERROR(INDEX('قائمة الوحدات'!$D$2:$D$41,MATCH($B426,'قائمة الوحدات'!$A$2:$A$41,0)),"")</f>
        <v>الإدارة العامة للتدريب والتأهيل العسكري</v>
      </c>
      <c r="F426" s="14" t="str">
        <f>IFERROR(INDEX('قائمة الوحدات'!$F$2:$F$41,MATCH($B426,'قائمة الوحدات'!$A$2:$A$41,0)),"")</f>
        <v>الإدارة العامة للتدريب والتأهيل العسكري</v>
      </c>
      <c r="G426" s="16" t="s">
        <v>43</v>
      </c>
      <c r="H426" s="14" t="str">
        <f>IFERROR(INDEX(المرجع!$A$2:$A$19,MATCH($G426,المرجع!$B$2:$B$19,0)),"")</f>
        <v>التصميم</v>
      </c>
      <c r="I426" s="16" t="s">
        <v>54</v>
      </c>
      <c r="J426" s="14" t="str">
        <f>IFERROR(INDEX(المرجع!$D$2:$D$19,MATCH($I426,المرجع!$E$2:$E$19,0)),"")</f>
        <v>التنظيم</v>
      </c>
      <c r="K426" s="16" t="s">
        <v>80</v>
      </c>
      <c r="L426" s="17" t="str">
        <f>IFERROR(INDEX('نقاط التحقق'!$G$2:$G$31,MATCH($K426,'نقاط التحقق'!$A$2:$A$31,0))&amp;"","")</f>
        <v>تطوير الأدوار والمسؤوليات للوحدة التنظيمية وتفصيل الهيكل التنظيمي</v>
      </c>
      <c r="M426" s="13">
        <v>94</v>
      </c>
      <c r="N426" s="15" t="str">
        <f>IF($M426="","غير مقيّمة",IF($M426&gt;المرجع!$K$3,"مستوفاة بشكل متقدم",IF($M426&lt;=المرجع!$K$2,"مستوفاة بشكل أولي","مستوفاة بشكل جزئي")))</f>
        <v>مستوفاة بشكل متقدم</v>
      </c>
      <c r="O426" s="18"/>
    </row>
    <row r="427" spans="1:15">
      <c r="A427" s="16" t="s">
        <v>1231</v>
      </c>
      <c r="B427" s="16" t="s">
        <v>218</v>
      </c>
      <c r="C427" s="15" t="str">
        <f>IFERROR(INDEX('قائمة الوحدات'!$B$2:$B$41,MATCH($B427,'قائمة الوحدات'!$A$2:$A$41,0)),"")</f>
        <v>MIL</v>
      </c>
      <c r="D427" s="14" t="str">
        <f>IFERROR(INDEX('قائمة الوحدات'!$C$2:$C$41,MATCH($B427,'قائمة الوحدات'!$A$2:$A$41,0)),"")</f>
        <v>الجهاز العسكري</v>
      </c>
      <c r="E427" s="14" t="str">
        <f>IFERROR(INDEX('قائمة الوحدات'!$D$2:$D$41,MATCH($B427,'قائمة الوحدات'!$A$2:$A$41,0)),"")</f>
        <v>الإدارة العامة للتدريب والتأهيل العسكري</v>
      </c>
      <c r="F427" s="14" t="str">
        <f>IFERROR(INDEX('قائمة الوحدات'!$F$2:$F$41,MATCH($B427,'قائمة الوحدات'!$A$2:$A$41,0)),"")</f>
        <v>الإدارة العامة للتدريب والتأهيل العسكري</v>
      </c>
      <c r="G427" s="16" t="s">
        <v>43</v>
      </c>
      <c r="H427" s="14" t="str">
        <f>IFERROR(INDEX(المرجع!$A$2:$A$19,MATCH($G427,المرجع!$B$2:$B$19,0)),"")</f>
        <v>التصميم</v>
      </c>
      <c r="I427" s="16" t="s">
        <v>56</v>
      </c>
      <c r="J427" s="14" t="str">
        <f>IFERROR(INDEX(المرجع!$D$2:$D$19,MATCH($I427,المرجع!$E$2:$E$19,0)),"")</f>
        <v>الموارد</v>
      </c>
      <c r="K427" s="16" t="s">
        <v>82</v>
      </c>
      <c r="L427" s="17" t="str">
        <f>IFERROR(INDEX('نقاط التحقق'!$G$2:$G$31,MATCH($K427,'نقاط التحقق'!$A$2:$A$31,0))&amp;"","")</f>
        <v>تفصيل احتياج الموارد البشرية للوحدة التنظيمية</v>
      </c>
      <c r="M427" s="13">
        <v>95</v>
      </c>
      <c r="N427" s="15" t="str">
        <f>IF($M427="","غير مقيّمة",IF($M427&gt;المرجع!$K$3,"مستوفاة بشكل متقدم",IF($M427&lt;=المرجع!$K$2,"مستوفاة بشكل أولي","مستوفاة بشكل جزئي")))</f>
        <v>مستوفاة بشكل متقدم</v>
      </c>
      <c r="O427" s="18"/>
    </row>
    <row r="428" spans="1:15">
      <c r="A428" s="16" t="s">
        <v>1232</v>
      </c>
      <c r="B428" s="16" t="s">
        <v>218</v>
      </c>
      <c r="C428" s="15" t="str">
        <f>IFERROR(INDEX('قائمة الوحدات'!$B$2:$B$41,MATCH($B428,'قائمة الوحدات'!$A$2:$A$41,0)),"")</f>
        <v>MIL</v>
      </c>
      <c r="D428" s="14" t="str">
        <f>IFERROR(INDEX('قائمة الوحدات'!$C$2:$C$41,MATCH($B428,'قائمة الوحدات'!$A$2:$A$41,0)),"")</f>
        <v>الجهاز العسكري</v>
      </c>
      <c r="E428" s="14" t="str">
        <f>IFERROR(INDEX('قائمة الوحدات'!$D$2:$D$41,MATCH($B428,'قائمة الوحدات'!$A$2:$A$41,0)),"")</f>
        <v>الإدارة العامة للتدريب والتأهيل العسكري</v>
      </c>
      <c r="F428" s="14" t="str">
        <f>IFERROR(INDEX('قائمة الوحدات'!$F$2:$F$41,MATCH($B428,'قائمة الوحدات'!$A$2:$A$41,0)),"")</f>
        <v>الإدارة العامة للتدريب والتأهيل العسكري</v>
      </c>
      <c r="G428" s="16" t="s">
        <v>43</v>
      </c>
      <c r="H428" s="14" t="str">
        <f>IFERROR(INDEX(المرجع!$A$2:$A$19,MATCH($G428,المرجع!$B$2:$B$19,0)),"")</f>
        <v>التصميم</v>
      </c>
      <c r="I428" s="16" t="s">
        <v>59</v>
      </c>
      <c r="J428" s="14" t="str">
        <f>IFERROR(INDEX(المرجع!$D$2:$D$19,MATCH($I428,المرجع!$E$2:$E$19,0)),"")</f>
        <v>الإجراءات</v>
      </c>
      <c r="K428" s="16" t="s">
        <v>84</v>
      </c>
      <c r="L428" s="17" t="str">
        <f>IFERROR(INDEX('نقاط التحقق'!$G$2:$G$31,MATCH($K428,'نقاط التحقق'!$A$2:$A$31,0))&amp;"","")</f>
        <v>تفصيل المخرجات إلى إجراءات عالية المستوى</v>
      </c>
      <c r="M428" s="13">
        <v>97</v>
      </c>
      <c r="N428" s="15" t="str">
        <f>IF($M428="","غير مقيّمة",IF($M428&gt;المرجع!$K$3,"مستوفاة بشكل متقدم",IF($M428&lt;=المرجع!$K$2,"مستوفاة بشكل أولي","مستوفاة بشكل جزئي")))</f>
        <v>مستوفاة بشكل متقدم</v>
      </c>
      <c r="O428" s="18"/>
    </row>
    <row r="429" spans="1:15">
      <c r="A429" s="16" t="s">
        <v>1233</v>
      </c>
      <c r="B429" s="16" t="s">
        <v>218</v>
      </c>
      <c r="C429" s="15" t="str">
        <f>IFERROR(INDEX('قائمة الوحدات'!$B$2:$B$41,MATCH($B429,'قائمة الوحدات'!$A$2:$A$41,0)),"")</f>
        <v>MIL</v>
      </c>
      <c r="D429" s="14" t="str">
        <f>IFERROR(INDEX('قائمة الوحدات'!$C$2:$C$41,MATCH($B429,'قائمة الوحدات'!$A$2:$A$41,0)),"")</f>
        <v>الجهاز العسكري</v>
      </c>
      <c r="E429" s="14" t="str">
        <f>IFERROR(INDEX('قائمة الوحدات'!$D$2:$D$41,MATCH($B429,'قائمة الوحدات'!$A$2:$A$41,0)),"")</f>
        <v>الإدارة العامة للتدريب والتأهيل العسكري</v>
      </c>
      <c r="F429" s="14" t="str">
        <f>IFERROR(INDEX('قائمة الوحدات'!$F$2:$F$41,MATCH($B429,'قائمة الوحدات'!$A$2:$A$41,0)),"")</f>
        <v>الإدارة العامة للتدريب والتأهيل العسكري</v>
      </c>
      <c r="G429" s="16" t="s">
        <v>61</v>
      </c>
      <c r="H429" s="14" t="str">
        <f>IFERROR(INDEX(المرجع!$A$2:$A$19,MATCH($G429,المرجع!$B$2:$B$19,0)),"")</f>
        <v>البناء المؤسسي</v>
      </c>
      <c r="I429" s="16" t="s">
        <v>45</v>
      </c>
      <c r="J429" s="14" t="str">
        <f>IFERROR(INDEX(المرجع!$D$2:$D$19,MATCH($I429,المرجع!$E$2:$E$19,0)),"")</f>
        <v>الدور</v>
      </c>
      <c r="K429" s="16" t="s">
        <v>86</v>
      </c>
      <c r="L429" s="17" t="str">
        <f>IFERROR(INDEX('نقاط التحقق'!$G$2:$G$31,MATCH($K429,'نقاط التحقق'!$A$2:$A$31,0))&amp;"","")</f>
        <v>دور معتمد للوحدة التنظيمية</v>
      </c>
      <c r="M429" s="13">
        <v>80</v>
      </c>
      <c r="N429" s="15" t="str">
        <f>IF($M429="","غير مقيّمة",IF($M429&gt;المرجع!$K$3,"مستوفاة بشكل متقدم",IF($M429&lt;=المرجع!$K$2,"مستوفاة بشكل أولي","مستوفاة بشكل جزئي")))</f>
        <v>مستوفاة بشكل متقدم</v>
      </c>
      <c r="O429" s="18"/>
    </row>
    <row r="430" spans="1:15">
      <c r="A430" s="16" t="s">
        <v>1234</v>
      </c>
      <c r="B430" s="16" t="s">
        <v>218</v>
      </c>
      <c r="C430" s="15" t="str">
        <f>IFERROR(INDEX('قائمة الوحدات'!$B$2:$B$41,MATCH($B430,'قائمة الوحدات'!$A$2:$A$41,0)),"")</f>
        <v>MIL</v>
      </c>
      <c r="D430" s="14" t="str">
        <f>IFERROR(INDEX('قائمة الوحدات'!$C$2:$C$41,MATCH($B430,'قائمة الوحدات'!$A$2:$A$41,0)),"")</f>
        <v>الجهاز العسكري</v>
      </c>
      <c r="E430" s="14" t="str">
        <f>IFERROR(INDEX('قائمة الوحدات'!$D$2:$D$41,MATCH($B430,'قائمة الوحدات'!$A$2:$A$41,0)),"")</f>
        <v>الإدارة العامة للتدريب والتأهيل العسكري</v>
      </c>
      <c r="F430" s="14" t="str">
        <f>IFERROR(INDEX('قائمة الوحدات'!$F$2:$F$41,MATCH($B430,'قائمة الوحدات'!$A$2:$A$41,0)),"")</f>
        <v>الإدارة العامة للتدريب والتأهيل العسكري</v>
      </c>
      <c r="G430" s="16" t="s">
        <v>61</v>
      </c>
      <c r="H430" s="14" t="str">
        <f>IFERROR(INDEX(المرجع!$A$2:$A$19,MATCH($G430,المرجع!$B$2:$B$19,0)),"")</f>
        <v>البناء المؤسسي</v>
      </c>
      <c r="I430" s="16" t="s">
        <v>48</v>
      </c>
      <c r="J430" s="14" t="str">
        <f>IFERROR(INDEX(المرجع!$D$2:$D$19,MATCH($I430,المرجع!$E$2:$E$19,0)),"")</f>
        <v>الأهداف ومؤشرات الأداء</v>
      </c>
      <c r="K430" s="16" t="s">
        <v>88</v>
      </c>
      <c r="L430" s="17" t="str">
        <f>IFERROR(INDEX('نقاط التحقق'!$G$2:$G$31,MATCH($K430,'نقاط التحقق'!$A$2:$A$31,0))&amp;"","")</f>
        <v>أهداف تشغيلية معتمدة من صاحب الصلاحية</v>
      </c>
      <c r="M430" s="13">
        <v>60</v>
      </c>
      <c r="N430" s="15" t="str">
        <f>IF($M430="","غير مقيّمة",IF($M430&gt;المرجع!$K$3,"مستوفاة بشكل متقدم",IF($M430&lt;=المرجع!$K$2,"مستوفاة بشكل أولي","مستوفاة بشكل جزئي")))</f>
        <v>مستوفاة بشكل جزئي</v>
      </c>
      <c r="O430" s="18"/>
    </row>
    <row r="431" spans="1:15">
      <c r="A431" s="16" t="s">
        <v>1235</v>
      </c>
      <c r="B431" s="16" t="s">
        <v>218</v>
      </c>
      <c r="C431" s="15" t="str">
        <f>IFERROR(INDEX('قائمة الوحدات'!$B$2:$B$41,MATCH($B431,'قائمة الوحدات'!$A$2:$A$41,0)),"")</f>
        <v>MIL</v>
      </c>
      <c r="D431" s="14" t="str">
        <f>IFERROR(INDEX('قائمة الوحدات'!$C$2:$C$41,MATCH($B431,'قائمة الوحدات'!$A$2:$A$41,0)),"")</f>
        <v>الجهاز العسكري</v>
      </c>
      <c r="E431" s="14" t="str">
        <f>IFERROR(INDEX('قائمة الوحدات'!$D$2:$D$41,MATCH($B431,'قائمة الوحدات'!$A$2:$A$41,0)),"")</f>
        <v>الإدارة العامة للتدريب والتأهيل العسكري</v>
      </c>
      <c r="F431" s="14" t="str">
        <f>IFERROR(INDEX('قائمة الوحدات'!$F$2:$F$41,MATCH($B431,'قائمة الوحدات'!$A$2:$A$41,0)),"")</f>
        <v>الإدارة العامة للتدريب والتأهيل العسكري</v>
      </c>
      <c r="G431" s="16" t="s">
        <v>61</v>
      </c>
      <c r="H431" s="14" t="str">
        <f>IFERROR(INDEX(المرجع!$A$2:$A$19,MATCH($G431,المرجع!$B$2:$B$19,0)),"")</f>
        <v>البناء المؤسسي</v>
      </c>
      <c r="I431" s="16" t="s">
        <v>48</v>
      </c>
      <c r="J431" s="14" t="str">
        <f>IFERROR(INDEX(المرجع!$D$2:$D$19,MATCH($I431,المرجع!$E$2:$E$19,0)),"")</f>
        <v>الأهداف ومؤشرات الأداء</v>
      </c>
      <c r="K431" s="16" t="s">
        <v>90</v>
      </c>
      <c r="L431" s="17" t="str">
        <f>IFERROR(INDEX('نقاط التحقق'!$G$2:$G$31,MATCH($K431,'نقاط التحقق'!$A$2:$A$31,0))&amp;"","")</f>
        <v>نشر الأهداف التشغيلية على موظفي الوحدة التنظيمية</v>
      </c>
      <c r="M431" s="13">
        <v>65</v>
      </c>
      <c r="N431" s="15" t="str">
        <f>IF($M431="","غير مقيّمة",IF($M431&gt;المرجع!$K$3,"مستوفاة بشكل متقدم",IF($M431&lt;=المرجع!$K$2,"مستوفاة بشكل أولي","مستوفاة بشكل جزئي")))</f>
        <v>مستوفاة بشكل جزئي</v>
      </c>
      <c r="O431" s="18"/>
    </row>
    <row r="432" spans="1:15">
      <c r="A432" s="16" t="s">
        <v>1236</v>
      </c>
      <c r="B432" s="16" t="s">
        <v>218</v>
      </c>
      <c r="C432" s="15" t="str">
        <f>IFERROR(INDEX('قائمة الوحدات'!$B$2:$B$41,MATCH($B432,'قائمة الوحدات'!$A$2:$A$41,0)),"")</f>
        <v>MIL</v>
      </c>
      <c r="D432" s="14" t="str">
        <f>IFERROR(INDEX('قائمة الوحدات'!$C$2:$C$41,MATCH($B432,'قائمة الوحدات'!$A$2:$A$41,0)),"")</f>
        <v>الجهاز العسكري</v>
      </c>
      <c r="E432" s="14" t="str">
        <f>IFERROR(INDEX('قائمة الوحدات'!$D$2:$D$41,MATCH($B432,'قائمة الوحدات'!$A$2:$A$41,0)),"")</f>
        <v>الإدارة العامة للتدريب والتأهيل العسكري</v>
      </c>
      <c r="F432" s="14" t="str">
        <f>IFERROR(INDEX('قائمة الوحدات'!$F$2:$F$41,MATCH($B432,'قائمة الوحدات'!$A$2:$A$41,0)),"")</f>
        <v>الإدارة العامة للتدريب والتأهيل العسكري</v>
      </c>
      <c r="G432" s="16" t="s">
        <v>61</v>
      </c>
      <c r="H432" s="14" t="str">
        <f>IFERROR(INDEX(المرجع!$A$2:$A$19,MATCH($G432,المرجع!$B$2:$B$19,0)),"")</f>
        <v>البناء المؤسسي</v>
      </c>
      <c r="I432" s="16" t="s">
        <v>51</v>
      </c>
      <c r="J432" s="14" t="str">
        <f>IFERROR(INDEX(المرجع!$D$2:$D$19,MATCH($I432,المرجع!$E$2:$E$19,0)),"")</f>
        <v>الحوكمة</v>
      </c>
      <c r="K432" s="16" t="s">
        <v>92</v>
      </c>
      <c r="L432" s="17" t="str">
        <f>IFERROR(INDEX('نقاط التحقق'!$G$2:$G$31,MATCH($K432,'نقاط التحقق'!$A$2:$A$31,0))&amp;"","")</f>
        <v>مصفوفة صلاحيات معتمدة ومعممة على أصحاب المصلحة</v>
      </c>
      <c r="M432" s="13">
        <v>70</v>
      </c>
      <c r="N432" s="15" t="str">
        <f>IF($M432="","غير مقيّمة",IF($M432&gt;المرجع!$K$3,"مستوفاة بشكل متقدم",IF($M432&lt;=المرجع!$K$2,"مستوفاة بشكل أولي","مستوفاة بشكل جزئي")))</f>
        <v>مستوفاة بشكل جزئي</v>
      </c>
      <c r="O432" s="18"/>
    </row>
    <row r="433" spans="1:15">
      <c r="A433" s="16" t="s">
        <v>1237</v>
      </c>
      <c r="B433" s="16" t="s">
        <v>218</v>
      </c>
      <c r="C433" s="15" t="str">
        <f>IFERROR(INDEX('قائمة الوحدات'!$B$2:$B$41,MATCH($B433,'قائمة الوحدات'!$A$2:$A$41,0)),"")</f>
        <v>MIL</v>
      </c>
      <c r="D433" s="14" t="str">
        <f>IFERROR(INDEX('قائمة الوحدات'!$C$2:$C$41,MATCH($B433,'قائمة الوحدات'!$A$2:$A$41,0)),"")</f>
        <v>الجهاز العسكري</v>
      </c>
      <c r="E433" s="14" t="str">
        <f>IFERROR(INDEX('قائمة الوحدات'!$D$2:$D$41,MATCH($B433,'قائمة الوحدات'!$A$2:$A$41,0)),"")</f>
        <v>الإدارة العامة للتدريب والتأهيل العسكري</v>
      </c>
      <c r="F433" s="14" t="str">
        <f>IFERROR(INDEX('قائمة الوحدات'!$F$2:$F$41,MATCH($B433,'قائمة الوحدات'!$A$2:$A$41,0)),"")</f>
        <v>الإدارة العامة للتدريب والتأهيل العسكري</v>
      </c>
      <c r="G433" s="16" t="s">
        <v>61</v>
      </c>
      <c r="H433" s="14" t="str">
        <f>IFERROR(INDEX(المرجع!$A$2:$A$19,MATCH($G433,المرجع!$B$2:$B$19,0)),"")</f>
        <v>البناء المؤسسي</v>
      </c>
      <c r="I433" s="16" t="s">
        <v>51</v>
      </c>
      <c r="J433" s="14" t="str">
        <f>IFERROR(INDEX(المرجع!$D$2:$D$19,MATCH($I433,المرجع!$E$2:$E$19,0)),"")</f>
        <v>الحوكمة</v>
      </c>
      <c r="K433" s="16" t="s">
        <v>94</v>
      </c>
      <c r="L433" s="17" t="str">
        <f>IFERROR(INDEX('نقاط التحقق'!$G$2:$G$31,MATCH($K433,'نقاط التحقق'!$A$2:$A$31,0))&amp;"","")</f>
        <v>سياسات معتمدة للتي تملكها الوحدة التنظيمية</v>
      </c>
      <c r="M433" s="13">
        <v>55</v>
      </c>
      <c r="N433" s="15" t="str">
        <f>IF($M433="","غير مقيّمة",IF($M433&gt;المرجع!$K$3,"مستوفاة بشكل متقدم",IF($M433&lt;=المرجع!$K$2,"مستوفاة بشكل أولي","مستوفاة بشكل جزئي")))</f>
        <v>مستوفاة بشكل جزئي</v>
      </c>
      <c r="O433" s="18"/>
    </row>
    <row r="434" spans="1:15">
      <c r="A434" s="16" t="s">
        <v>1238</v>
      </c>
      <c r="B434" s="16" t="s">
        <v>218</v>
      </c>
      <c r="C434" s="15" t="str">
        <f>IFERROR(INDEX('قائمة الوحدات'!$B$2:$B$41,MATCH($B434,'قائمة الوحدات'!$A$2:$A$41,0)),"")</f>
        <v>MIL</v>
      </c>
      <c r="D434" s="14" t="str">
        <f>IFERROR(INDEX('قائمة الوحدات'!$C$2:$C$41,MATCH($B434,'قائمة الوحدات'!$A$2:$A$41,0)),"")</f>
        <v>الجهاز العسكري</v>
      </c>
      <c r="E434" s="14" t="str">
        <f>IFERROR(INDEX('قائمة الوحدات'!$D$2:$D$41,MATCH($B434,'قائمة الوحدات'!$A$2:$A$41,0)),"")</f>
        <v>الإدارة العامة للتدريب والتأهيل العسكري</v>
      </c>
      <c r="F434" s="14" t="str">
        <f>IFERROR(INDEX('قائمة الوحدات'!$F$2:$F$41,MATCH($B434,'قائمة الوحدات'!$A$2:$A$41,0)),"")</f>
        <v>الإدارة العامة للتدريب والتأهيل العسكري</v>
      </c>
      <c r="G434" s="16" t="s">
        <v>61</v>
      </c>
      <c r="H434" s="14" t="str">
        <f>IFERROR(INDEX(المرجع!$A$2:$A$19,MATCH($G434,المرجع!$B$2:$B$19,0)),"")</f>
        <v>البناء المؤسسي</v>
      </c>
      <c r="I434" s="16" t="s">
        <v>51</v>
      </c>
      <c r="J434" s="14" t="str">
        <f>IFERROR(INDEX(المرجع!$D$2:$D$19,MATCH($I434,المرجع!$E$2:$E$19,0)),"")</f>
        <v>الحوكمة</v>
      </c>
      <c r="K434" s="16" t="s">
        <v>96</v>
      </c>
      <c r="L434" s="17" t="str">
        <f>IFERROR(INDEX('نقاط التحقق'!$G$2:$G$31,MATCH($K434,'نقاط التحقق'!$A$2:$A$31,0))&amp;"","")</f>
        <v>قرار تشكيل معتمد للجان ذات العلاقة</v>
      </c>
      <c r="M434" s="13">
        <v>55</v>
      </c>
      <c r="N434" s="15" t="str">
        <f>IF($M434="","غير مقيّمة",IF($M434&gt;المرجع!$K$3,"مستوفاة بشكل متقدم",IF($M434&lt;=المرجع!$K$2,"مستوفاة بشكل أولي","مستوفاة بشكل جزئي")))</f>
        <v>مستوفاة بشكل جزئي</v>
      </c>
      <c r="O434" s="18"/>
    </row>
    <row r="435" spans="1:15">
      <c r="A435" s="16" t="s">
        <v>1239</v>
      </c>
      <c r="B435" s="16" t="s">
        <v>218</v>
      </c>
      <c r="C435" s="15" t="str">
        <f>IFERROR(INDEX('قائمة الوحدات'!$B$2:$B$41,MATCH($B435,'قائمة الوحدات'!$A$2:$A$41,0)),"")</f>
        <v>MIL</v>
      </c>
      <c r="D435" s="14" t="str">
        <f>IFERROR(INDEX('قائمة الوحدات'!$C$2:$C$41,MATCH($B435,'قائمة الوحدات'!$A$2:$A$41,0)),"")</f>
        <v>الجهاز العسكري</v>
      </c>
      <c r="E435" s="14" t="str">
        <f>IFERROR(INDEX('قائمة الوحدات'!$D$2:$D$41,MATCH($B435,'قائمة الوحدات'!$A$2:$A$41,0)),"")</f>
        <v>الإدارة العامة للتدريب والتأهيل العسكري</v>
      </c>
      <c r="F435" s="14" t="str">
        <f>IFERROR(INDEX('قائمة الوحدات'!$F$2:$F$41,MATCH($B435,'قائمة الوحدات'!$A$2:$A$41,0)),"")</f>
        <v>الإدارة العامة للتدريب والتأهيل العسكري</v>
      </c>
      <c r="G435" s="16" t="s">
        <v>61</v>
      </c>
      <c r="H435" s="14" t="str">
        <f>IFERROR(INDEX(المرجع!$A$2:$A$19,MATCH($G435,المرجع!$B$2:$B$19,0)),"")</f>
        <v>البناء المؤسسي</v>
      </c>
      <c r="I435" s="16" t="s">
        <v>54</v>
      </c>
      <c r="J435" s="14" t="str">
        <f>IFERROR(INDEX(المرجع!$D$2:$D$19,MATCH($I435,المرجع!$E$2:$E$19,0)),"")</f>
        <v>التنظيم</v>
      </c>
      <c r="K435" s="16" t="s">
        <v>98</v>
      </c>
      <c r="L435" s="17" t="str">
        <f>IFERROR(INDEX('نقاط التحقق'!$G$2:$G$31,MATCH($K435,'نقاط التحقق'!$A$2:$A$31,0))&amp;"","")</f>
        <v>هيكل تنظيمي معتمد من صاحب الصلاحية</v>
      </c>
      <c r="M435" s="13">
        <v>90</v>
      </c>
      <c r="N435" s="15" t="str">
        <f>IF($M435="","غير مقيّمة",IF($M435&gt;المرجع!$K$3,"مستوفاة بشكل متقدم",IF($M435&lt;=المرجع!$K$2,"مستوفاة بشكل أولي","مستوفاة بشكل جزئي")))</f>
        <v>مستوفاة بشكل متقدم</v>
      </c>
      <c r="O435" s="18"/>
    </row>
    <row r="436" spans="1:15">
      <c r="A436" s="16" t="s">
        <v>1240</v>
      </c>
      <c r="B436" s="16" t="s">
        <v>218</v>
      </c>
      <c r="C436" s="15" t="str">
        <f>IFERROR(INDEX('قائمة الوحدات'!$B$2:$B$41,MATCH($B436,'قائمة الوحدات'!$A$2:$A$41,0)),"")</f>
        <v>MIL</v>
      </c>
      <c r="D436" s="14" t="str">
        <f>IFERROR(INDEX('قائمة الوحدات'!$C$2:$C$41,MATCH($B436,'قائمة الوحدات'!$A$2:$A$41,0)),"")</f>
        <v>الجهاز العسكري</v>
      </c>
      <c r="E436" s="14" t="str">
        <f>IFERROR(INDEX('قائمة الوحدات'!$D$2:$D$41,MATCH($B436,'قائمة الوحدات'!$A$2:$A$41,0)),"")</f>
        <v>الإدارة العامة للتدريب والتأهيل العسكري</v>
      </c>
      <c r="F436" s="14" t="str">
        <f>IFERROR(INDEX('قائمة الوحدات'!$F$2:$F$41,MATCH($B436,'قائمة الوحدات'!$A$2:$A$41,0)),"")</f>
        <v>الإدارة العامة للتدريب والتأهيل العسكري</v>
      </c>
      <c r="G436" s="16" t="s">
        <v>61</v>
      </c>
      <c r="H436" s="14" t="str">
        <f>IFERROR(INDEX(المرجع!$A$2:$A$19,MATCH($G436,المرجع!$B$2:$B$19,0)),"")</f>
        <v>البناء المؤسسي</v>
      </c>
      <c r="I436" s="16" t="s">
        <v>54</v>
      </c>
      <c r="J436" s="14" t="str">
        <f>IFERROR(INDEX(المرجع!$D$2:$D$19,MATCH($I436,المرجع!$E$2:$E$19,0)),"")</f>
        <v>التنظيم</v>
      </c>
      <c r="K436" s="16" t="s">
        <v>100</v>
      </c>
      <c r="L436" s="17" t="str">
        <f>IFERROR(INDEX('نقاط التحقق'!$G$2:$G$31,MATCH($K436,'نقاط التحقق'!$A$2:$A$31,0))&amp;"","")</f>
        <v>هيكل تنظيمي منشأ على نظام القوى العاملة</v>
      </c>
      <c r="M436" s="13">
        <v>65</v>
      </c>
      <c r="N436" s="15" t="str">
        <f>IF($M436="","غير مقيّمة",IF($M436&gt;المرجع!$K$3,"مستوفاة بشكل متقدم",IF($M436&lt;=المرجع!$K$2,"مستوفاة بشكل أولي","مستوفاة بشكل جزئي")))</f>
        <v>مستوفاة بشكل جزئي</v>
      </c>
      <c r="O436" s="18"/>
    </row>
    <row r="437" spans="1:15">
      <c r="A437" s="16" t="s">
        <v>1241</v>
      </c>
      <c r="B437" s="16" t="s">
        <v>218</v>
      </c>
      <c r="C437" s="15" t="str">
        <f>IFERROR(INDEX('قائمة الوحدات'!$B$2:$B$41,MATCH($B437,'قائمة الوحدات'!$A$2:$A$41,0)),"")</f>
        <v>MIL</v>
      </c>
      <c r="D437" s="14" t="str">
        <f>IFERROR(INDEX('قائمة الوحدات'!$C$2:$C$41,MATCH($B437,'قائمة الوحدات'!$A$2:$A$41,0)),"")</f>
        <v>الجهاز العسكري</v>
      </c>
      <c r="E437" s="14" t="str">
        <f>IFERROR(INDEX('قائمة الوحدات'!$D$2:$D$41,MATCH($B437,'قائمة الوحدات'!$A$2:$A$41,0)),"")</f>
        <v>الإدارة العامة للتدريب والتأهيل العسكري</v>
      </c>
      <c r="F437" s="14" t="str">
        <f>IFERROR(INDEX('قائمة الوحدات'!$F$2:$F$41,MATCH($B437,'قائمة الوحدات'!$A$2:$A$41,0)),"")</f>
        <v>الإدارة العامة للتدريب والتأهيل العسكري</v>
      </c>
      <c r="G437" s="16" t="s">
        <v>61</v>
      </c>
      <c r="H437" s="14" t="str">
        <f>IFERROR(INDEX(المرجع!$A$2:$A$19,MATCH($G437,المرجع!$B$2:$B$19,0)),"")</f>
        <v>البناء المؤسسي</v>
      </c>
      <c r="I437" s="16" t="s">
        <v>54</v>
      </c>
      <c r="J437" s="14" t="str">
        <f>IFERROR(INDEX(المرجع!$D$2:$D$19,MATCH($I437,المرجع!$E$2:$E$19,0)),"")</f>
        <v>التنظيم</v>
      </c>
      <c r="K437" s="16" t="s">
        <v>102</v>
      </c>
      <c r="L437" s="17" t="str">
        <f>IFERROR(INDEX('نقاط التحقق'!$G$2:$G$31,MATCH($K437,'نقاط التحقق'!$A$2:$A$31,0))&amp;"","")</f>
        <v>الموظفون المحددون مسكّنون على الهيكل التنظيمي المستهدف</v>
      </c>
      <c r="M437" s="13">
        <v>85</v>
      </c>
      <c r="N437" s="15" t="str">
        <f>IF($M437="","غير مقيّمة",IF($M437&gt;المرجع!$K$3,"مستوفاة بشكل متقدم",IF($M437&lt;=المرجع!$K$2,"مستوفاة بشكل أولي","مستوفاة بشكل جزئي")))</f>
        <v>مستوفاة بشكل متقدم</v>
      </c>
      <c r="O437" s="18"/>
    </row>
    <row r="438" spans="1:15">
      <c r="A438" s="16" t="s">
        <v>1242</v>
      </c>
      <c r="B438" s="16" t="s">
        <v>218</v>
      </c>
      <c r="C438" s="15" t="str">
        <f>IFERROR(INDEX('قائمة الوحدات'!$B$2:$B$41,MATCH($B438,'قائمة الوحدات'!$A$2:$A$41,0)),"")</f>
        <v>MIL</v>
      </c>
      <c r="D438" s="14" t="str">
        <f>IFERROR(INDEX('قائمة الوحدات'!$C$2:$C$41,MATCH($B438,'قائمة الوحدات'!$A$2:$A$41,0)),"")</f>
        <v>الجهاز العسكري</v>
      </c>
      <c r="E438" s="14" t="str">
        <f>IFERROR(INDEX('قائمة الوحدات'!$D$2:$D$41,MATCH($B438,'قائمة الوحدات'!$A$2:$A$41,0)),"")</f>
        <v>الإدارة العامة للتدريب والتأهيل العسكري</v>
      </c>
      <c r="F438" s="14" t="str">
        <f>IFERROR(INDEX('قائمة الوحدات'!$F$2:$F$41,MATCH($B438,'قائمة الوحدات'!$A$2:$A$41,0)),"")</f>
        <v>الإدارة العامة للتدريب والتأهيل العسكري</v>
      </c>
      <c r="G438" s="16" t="s">
        <v>61</v>
      </c>
      <c r="H438" s="14" t="str">
        <f>IFERROR(INDEX(المرجع!$A$2:$A$19,MATCH($G438,المرجع!$B$2:$B$19,0)),"")</f>
        <v>البناء المؤسسي</v>
      </c>
      <c r="I438" s="16" t="s">
        <v>56</v>
      </c>
      <c r="J438" s="14" t="str">
        <f>IFERROR(INDEX(المرجع!$D$2:$D$19,MATCH($I438,المرجع!$E$2:$E$19,0)),"")</f>
        <v>الموارد</v>
      </c>
      <c r="K438" s="16" t="s">
        <v>104</v>
      </c>
      <c r="L438" s="17" t="str">
        <f>IFERROR(INDEX('نقاط التحقق'!$G$2:$G$31,MATCH($K438,'نقاط التحقق'!$A$2:$A$31,0))&amp;"","")</f>
        <v>مدير الوحدة التنظيمية والموظفون الرئيسيون معينون/ملحقون</v>
      </c>
      <c r="M438" s="13">
        <v>70</v>
      </c>
      <c r="N438" s="15" t="str">
        <f>IF($M438="","غير مقيّمة",IF($M438&gt;المرجع!$K$3,"مستوفاة بشكل متقدم",IF($M438&lt;=المرجع!$K$2,"مستوفاة بشكل أولي","مستوفاة بشكل جزئي")))</f>
        <v>مستوفاة بشكل جزئي</v>
      </c>
      <c r="O438" s="18"/>
    </row>
    <row r="439" spans="1:15">
      <c r="A439" s="16" t="s">
        <v>1243</v>
      </c>
      <c r="B439" s="16" t="s">
        <v>218</v>
      </c>
      <c r="C439" s="15" t="str">
        <f>IFERROR(INDEX('قائمة الوحدات'!$B$2:$B$41,MATCH($B439,'قائمة الوحدات'!$A$2:$A$41,0)),"")</f>
        <v>MIL</v>
      </c>
      <c r="D439" s="14" t="str">
        <f>IFERROR(INDEX('قائمة الوحدات'!$C$2:$C$41,MATCH($B439,'قائمة الوحدات'!$A$2:$A$41,0)),"")</f>
        <v>الجهاز العسكري</v>
      </c>
      <c r="E439" s="14" t="str">
        <f>IFERROR(INDEX('قائمة الوحدات'!$D$2:$D$41,MATCH($B439,'قائمة الوحدات'!$A$2:$A$41,0)),"")</f>
        <v>الإدارة العامة للتدريب والتأهيل العسكري</v>
      </c>
      <c r="F439" s="14" t="str">
        <f>IFERROR(INDEX('قائمة الوحدات'!$F$2:$F$41,MATCH($B439,'قائمة الوحدات'!$A$2:$A$41,0)),"")</f>
        <v>الإدارة العامة للتدريب والتأهيل العسكري</v>
      </c>
      <c r="G439" s="16" t="s">
        <v>61</v>
      </c>
      <c r="H439" s="14" t="str">
        <f>IFERROR(INDEX(المرجع!$A$2:$A$19,MATCH($G439,المرجع!$B$2:$B$19,0)),"")</f>
        <v>البناء المؤسسي</v>
      </c>
      <c r="I439" s="16" t="s">
        <v>56</v>
      </c>
      <c r="J439" s="14" t="str">
        <f>IFERROR(INDEX(المرجع!$D$2:$D$19,MATCH($I439,المرجع!$E$2:$E$19,0)),"")</f>
        <v>الموارد</v>
      </c>
      <c r="K439" s="16" t="s">
        <v>106</v>
      </c>
      <c r="L439" s="17" t="str">
        <f>IFERROR(INDEX('نقاط التحقق'!$G$2:$G$31,MATCH($K439,'نقاط التحقق'!$A$2:$A$31,0))&amp;"","")</f>
        <v>خطة توظيف وتدريب مستكملة</v>
      </c>
      <c r="M439" s="13">
        <v>80</v>
      </c>
      <c r="N439" s="15" t="str">
        <f>IF($M439="","غير مقيّمة",IF($M439&gt;المرجع!$K$3,"مستوفاة بشكل متقدم",IF($M439&lt;=المرجع!$K$2,"مستوفاة بشكل أولي","مستوفاة بشكل جزئي")))</f>
        <v>مستوفاة بشكل متقدم</v>
      </c>
      <c r="O439" s="18"/>
    </row>
    <row r="440" spans="1:15">
      <c r="A440" s="16" t="s">
        <v>1244</v>
      </c>
      <c r="B440" s="16" t="s">
        <v>218</v>
      </c>
      <c r="C440" s="15" t="str">
        <f>IFERROR(INDEX('قائمة الوحدات'!$B$2:$B$41,MATCH($B440,'قائمة الوحدات'!$A$2:$A$41,0)),"")</f>
        <v>MIL</v>
      </c>
      <c r="D440" s="14" t="str">
        <f>IFERROR(INDEX('قائمة الوحدات'!$C$2:$C$41,MATCH($B440,'قائمة الوحدات'!$A$2:$A$41,0)),"")</f>
        <v>الجهاز العسكري</v>
      </c>
      <c r="E440" s="14" t="str">
        <f>IFERROR(INDEX('قائمة الوحدات'!$D$2:$D$41,MATCH($B440,'قائمة الوحدات'!$A$2:$A$41,0)),"")</f>
        <v>الإدارة العامة للتدريب والتأهيل العسكري</v>
      </c>
      <c r="F440" s="14" t="str">
        <f>IFERROR(INDEX('قائمة الوحدات'!$F$2:$F$41,MATCH($B440,'قائمة الوحدات'!$A$2:$A$41,0)),"")</f>
        <v>الإدارة العامة للتدريب والتأهيل العسكري</v>
      </c>
      <c r="G440" s="16" t="s">
        <v>61</v>
      </c>
      <c r="H440" s="14" t="str">
        <f>IFERROR(INDEX(المرجع!$A$2:$A$19,MATCH($G440,المرجع!$B$2:$B$19,0)),"")</f>
        <v>البناء المؤسسي</v>
      </c>
      <c r="I440" s="16" t="s">
        <v>56</v>
      </c>
      <c r="J440" s="14" t="str">
        <f>IFERROR(INDEX(المرجع!$D$2:$D$19,MATCH($I440,المرجع!$E$2:$E$19,0)),"")</f>
        <v>الموارد</v>
      </c>
      <c r="K440" s="16" t="s">
        <v>108</v>
      </c>
      <c r="L440" s="17" t="str">
        <f>IFERROR(INDEX('نقاط التحقق'!$G$2:$G$31,MATCH($K440,'نقاط التحقق'!$A$2:$A$31,0))&amp;"","")</f>
        <v>وجود مساحات مكتبية كافية</v>
      </c>
      <c r="M440" s="13">
        <v>60</v>
      </c>
      <c r="N440" s="15" t="str">
        <f>IF($M440="","غير مقيّمة",IF($M440&gt;المرجع!$K$3,"مستوفاة بشكل متقدم",IF($M440&lt;=المرجع!$K$2,"مستوفاة بشكل أولي","مستوفاة بشكل جزئي")))</f>
        <v>مستوفاة بشكل جزئي</v>
      </c>
      <c r="O440" s="18"/>
    </row>
    <row r="441" spans="1:15">
      <c r="A441" s="16" t="s">
        <v>1245</v>
      </c>
      <c r="B441" s="16" t="s">
        <v>218</v>
      </c>
      <c r="C441" s="15" t="str">
        <f>IFERROR(INDEX('قائمة الوحدات'!$B$2:$B$41,MATCH($B441,'قائمة الوحدات'!$A$2:$A$41,0)),"")</f>
        <v>MIL</v>
      </c>
      <c r="D441" s="14" t="str">
        <f>IFERROR(INDEX('قائمة الوحدات'!$C$2:$C$41,MATCH($B441,'قائمة الوحدات'!$A$2:$A$41,0)),"")</f>
        <v>الجهاز العسكري</v>
      </c>
      <c r="E441" s="14" t="str">
        <f>IFERROR(INDEX('قائمة الوحدات'!$D$2:$D$41,MATCH($B441,'قائمة الوحدات'!$A$2:$A$41,0)),"")</f>
        <v>الإدارة العامة للتدريب والتأهيل العسكري</v>
      </c>
      <c r="F441" s="14" t="str">
        <f>IFERROR(INDEX('قائمة الوحدات'!$F$2:$F$41,MATCH($B441,'قائمة الوحدات'!$A$2:$A$41,0)),"")</f>
        <v>الإدارة العامة للتدريب والتأهيل العسكري</v>
      </c>
      <c r="G441" s="16" t="s">
        <v>61</v>
      </c>
      <c r="H441" s="14" t="str">
        <f>IFERROR(INDEX(المرجع!$A$2:$A$19,MATCH($G441,المرجع!$B$2:$B$19,0)),"")</f>
        <v>البناء المؤسسي</v>
      </c>
      <c r="I441" s="16" t="s">
        <v>56</v>
      </c>
      <c r="J441" s="14" t="str">
        <f>IFERROR(INDEX(المرجع!$D$2:$D$19,MATCH($I441,المرجع!$E$2:$E$19,0)),"")</f>
        <v>الموارد</v>
      </c>
      <c r="K441" s="16" t="s">
        <v>110</v>
      </c>
      <c r="L441" s="17" t="str">
        <f>IFERROR(INDEX('نقاط التحقق'!$G$2:$G$31,MATCH($K441,'نقاط التحقق'!$A$2:$A$31,0))&amp;"","")</f>
        <v>وجود الاحتياجات التقنية الأساسية</v>
      </c>
      <c r="M441" s="13">
        <v>85</v>
      </c>
      <c r="N441" s="15" t="str">
        <f>IF($M441="","غير مقيّمة",IF($M441&gt;المرجع!$K$3,"مستوفاة بشكل متقدم",IF($M441&lt;=المرجع!$K$2,"مستوفاة بشكل أولي","مستوفاة بشكل جزئي")))</f>
        <v>مستوفاة بشكل متقدم</v>
      </c>
      <c r="O441" s="18"/>
    </row>
    <row r="442" spans="1:15">
      <c r="A442" s="16" t="s">
        <v>1246</v>
      </c>
      <c r="B442" s="16" t="s">
        <v>218</v>
      </c>
      <c r="C442" s="15" t="str">
        <f>IFERROR(INDEX('قائمة الوحدات'!$B$2:$B$41,MATCH($B442,'قائمة الوحدات'!$A$2:$A$41,0)),"")</f>
        <v>MIL</v>
      </c>
      <c r="D442" s="14" t="str">
        <f>IFERROR(INDEX('قائمة الوحدات'!$C$2:$C$41,MATCH($B442,'قائمة الوحدات'!$A$2:$A$41,0)),"")</f>
        <v>الجهاز العسكري</v>
      </c>
      <c r="E442" s="14" t="str">
        <f>IFERROR(INDEX('قائمة الوحدات'!$D$2:$D$41,MATCH($B442,'قائمة الوحدات'!$A$2:$A$41,0)),"")</f>
        <v>الإدارة العامة للتدريب والتأهيل العسكري</v>
      </c>
      <c r="F442" s="14" t="str">
        <f>IFERROR(INDEX('قائمة الوحدات'!$F$2:$F$41,MATCH($B442,'قائمة الوحدات'!$A$2:$A$41,0)),"")</f>
        <v>الإدارة العامة للتدريب والتأهيل العسكري</v>
      </c>
      <c r="G442" s="16" t="s">
        <v>61</v>
      </c>
      <c r="H442" s="14" t="str">
        <f>IFERROR(INDEX(المرجع!$A$2:$A$19,MATCH($G442,المرجع!$B$2:$B$19,0)),"")</f>
        <v>البناء المؤسسي</v>
      </c>
      <c r="I442" s="16" t="s">
        <v>59</v>
      </c>
      <c r="J442" s="14" t="str">
        <f>IFERROR(INDEX(المرجع!$D$2:$D$19,MATCH($I442,المرجع!$E$2:$E$19,0)),"")</f>
        <v>الإجراءات</v>
      </c>
      <c r="K442" s="16" t="s">
        <v>112</v>
      </c>
      <c r="L442" s="17" t="str">
        <f>IFERROR(INDEX('نقاط التحقق'!$G$2:$G$31,MATCH($K442,'نقاط التحقق'!$A$2:$A$31,0))&amp;"","")</f>
        <v>إجراءات معتمدة للوحدة التنظيمية</v>
      </c>
      <c r="M442" s="13">
        <v>53</v>
      </c>
      <c r="N442" s="15" t="str">
        <f>IF($M442="","غير مقيّمة",IF($M442&gt;المرجع!$K$3,"مستوفاة بشكل متقدم",IF($M442&lt;=المرجع!$K$2,"مستوفاة بشكل أولي","مستوفاة بشكل جزئي")))</f>
        <v>مستوفاة بشكل جزئي</v>
      </c>
      <c r="O442" s="18"/>
    </row>
    <row r="443" spans="1:15">
      <c r="A443" s="16" t="s">
        <v>1247</v>
      </c>
      <c r="B443" s="16" t="s">
        <v>218</v>
      </c>
      <c r="C443" s="15" t="str">
        <f>IFERROR(INDEX('قائمة الوحدات'!$B$2:$B$41,MATCH($B443,'قائمة الوحدات'!$A$2:$A$41,0)),"")</f>
        <v>MIL</v>
      </c>
      <c r="D443" s="14" t="str">
        <f>IFERROR(INDEX('قائمة الوحدات'!$C$2:$C$41,MATCH($B443,'قائمة الوحدات'!$A$2:$A$41,0)),"")</f>
        <v>الجهاز العسكري</v>
      </c>
      <c r="E443" s="14" t="str">
        <f>IFERROR(INDEX('قائمة الوحدات'!$D$2:$D$41,MATCH($B443,'قائمة الوحدات'!$A$2:$A$41,0)),"")</f>
        <v>الإدارة العامة للتدريب والتأهيل العسكري</v>
      </c>
      <c r="F443" s="14" t="str">
        <f>IFERROR(INDEX('قائمة الوحدات'!$F$2:$F$41,MATCH($B443,'قائمة الوحدات'!$A$2:$A$41,0)),"")</f>
        <v>الإدارة العامة للتدريب والتأهيل العسكري</v>
      </c>
      <c r="G443" s="16" t="s">
        <v>61</v>
      </c>
      <c r="H443" s="14" t="str">
        <f>IFERROR(INDEX(المرجع!$A$2:$A$19,MATCH($G443,المرجع!$B$2:$B$19,0)),"")</f>
        <v>البناء المؤسسي</v>
      </c>
      <c r="I443" s="16" t="s">
        <v>63</v>
      </c>
      <c r="J443" s="14" t="str">
        <f>IFERROR(INDEX(المرجع!$D$2:$D$19,MATCH($I443,المرجع!$E$2:$E$19,0)),"")</f>
        <v>إنتاج المخرج الأول</v>
      </c>
      <c r="K443" s="16" t="s">
        <v>114</v>
      </c>
      <c r="L443" s="17" t="str">
        <f>IFERROR(INDEX('نقاط التحقق'!$G$2:$G$31,MATCH($K443,'نقاط التحقق'!$A$2:$A$31,0))&amp;"","")</f>
        <v>إنتاج المخرج الأول من قبل الوحدة التنظيمية</v>
      </c>
      <c r="M443" s="13">
        <v>43</v>
      </c>
      <c r="N443" s="15" t="str">
        <f>IF($M443="","غير مقيّمة",IF($M443&gt;المرجع!$K$3,"مستوفاة بشكل متقدم",IF($M443&lt;=المرجع!$K$2,"مستوفاة بشكل أولي","مستوفاة بشكل جزئي")))</f>
        <v>مستوفاة بشكل جزئي</v>
      </c>
      <c r="O443" s="18"/>
    </row>
    <row r="444" spans="1:15">
      <c r="A444" s="16" t="s">
        <v>1248</v>
      </c>
      <c r="B444" s="16" t="s">
        <v>218</v>
      </c>
      <c r="C444" s="15" t="str">
        <f>IFERROR(INDEX('قائمة الوحدات'!$B$2:$B$41,MATCH($B444,'قائمة الوحدات'!$A$2:$A$41,0)),"")</f>
        <v>MIL</v>
      </c>
      <c r="D444" s="14" t="str">
        <f>IFERROR(INDEX('قائمة الوحدات'!$C$2:$C$41,MATCH($B444,'قائمة الوحدات'!$A$2:$A$41,0)),"")</f>
        <v>الجهاز العسكري</v>
      </c>
      <c r="E444" s="14" t="str">
        <f>IFERROR(INDEX('قائمة الوحدات'!$D$2:$D$41,MATCH($B444,'قائمة الوحدات'!$A$2:$A$41,0)),"")</f>
        <v>الإدارة العامة للتدريب والتأهيل العسكري</v>
      </c>
      <c r="F444" s="14" t="str">
        <f>IFERROR(INDEX('قائمة الوحدات'!$F$2:$F$41,MATCH($B444,'قائمة الوحدات'!$A$2:$A$41,0)),"")</f>
        <v>الإدارة العامة للتدريب والتأهيل العسكري</v>
      </c>
      <c r="G444" s="16" t="s">
        <v>65</v>
      </c>
      <c r="H444" s="14" t="str">
        <f>IFERROR(INDEX(المرجع!$A$2:$A$19,MATCH($G444,المرجع!$B$2:$B$19,0)),"")</f>
        <v>التشغيل</v>
      </c>
      <c r="I444" s="16" t="s">
        <v>48</v>
      </c>
      <c r="J444" s="14" t="str">
        <f>IFERROR(INDEX(المرجع!$D$2:$D$19,MATCH($I444,المرجع!$E$2:$E$19,0)),"")</f>
        <v>الأهداف ومؤشرات الأداء</v>
      </c>
      <c r="K444" s="16" t="s">
        <v>116</v>
      </c>
      <c r="L444" s="17" t="str">
        <f>IFERROR(INDEX('نقاط التحقق'!$G$2:$G$31,MATCH($K444,'نقاط التحقق'!$A$2:$A$31,0))&amp;"","")</f>
        <v>تحرك مؤشرات الأداء التشغيلي للوحدة التنظيمية بشكل إيجابي</v>
      </c>
      <c r="M444" s="13">
        <v>45</v>
      </c>
      <c r="N444" s="15" t="str">
        <f>IF($M444="","غير مقيّمة",IF($M444&gt;المرجع!$K$3,"مستوفاة بشكل متقدم",IF($M444&lt;=المرجع!$K$2,"مستوفاة بشكل أولي","مستوفاة بشكل جزئي")))</f>
        <v>مستوفاة بشكل جزئي</v>
      </c>
      <c r="O444" s="18"/>
    </row>
    <row r="445" spans="1:15">
      <c r="A445" s="16" t="s">
        <v>1249</v>
      </c>
      <c r="B445" s="16" t="s">
        <v>218</v>
      </c>
      <c r="C445" s="15" t="str">
        <f>IFERROR(INDEX('قائمة الوحدات'!$B$2:$B$41,MATCH($B445,'قائمة الوحدات'!$A$2:$A$41,0)),"")</f>
        <v>MIL</v>
      </c>
      <c r="D445" s="14" t="str">
        <f>IFERROR(INDEX('قائمة الوحدات'!$C$2:$C$41,MATCH($B445,'قائمة الوحدات'!$A$2:$A$41,0)),"")</f>
        <v>الجهاز العسكري</v>
      </c>
      <c r="E445" s="14" t="str">
        <f>IFERROR(INDEX('قائمة الوحدات'!$D$2:$D$41,MATCH($B445,'قائمة الوحدات'!$A$2:$A$41,0)),"")</f>
        <v>الإدارة العامة للتدريب والتأهيل العسكري</v>
      </c>
      <c r="F445" s="14" t="str">
        <f>IFERROR(INDEX('قائمة الوحدات'!$F$2:$F$41,MATCH($B445,'قائمة الوحدات'!$A$2:$A$41,0)),"")</f>
        <v>الإدارة العامة للتدريب والتأهيل العسكري</v>
      </c>
      <c r="G445" s="16" t="s">
        <v>65</v>
      </c>
      <c r="H445" s="14" t="str">
        <f>IFERROR(INDEX(المرجع!$A$2:$A$19,MATCH($G445,المرجع!$B$2:$B$19,0)),"")</f>
        <v>التشغيل</v>
      </c>
      <c r="I445" s="16" t="s">
        <v>48</v>
      </c>
      <c r="J445" s="14" t="str">
        <f>IFERROR(INDEX(المرجع!$D$2:$D$19,MATCH($I445,المرجع!$E$2:$E$19,0)),"")</f>
        <v>الأهداف ومؤشرات الأداء</v>
      </c>
      <c r="K445" s="16" t="s">
        <v>118</v>
      </c>
      <c r="L445" s="17" t="str">
        <f>IFERROR(INDEX('نقاط التحقق'!$G$2:$G$31,MATCH($K445,'نقاط التحقق'!$A$2:$A$31,0))&amp;"","")</f>
        <v>خطة سنوية معتمدة للوحدة التنظيمية</v>
      </c>
      <c r="M445" s="13">
        <v>70</v>
      </c>
      <c r="N445" s="15" t="str">
        <f>IF($M445="","غير مقيّمة",IF($M445&gt;المرجع!$K$3,"مستوفاة بشكل متقدم",IF($M445&lt;=المرجع!$K$2,"مستوفاة بشكل أولي","مستوفاة بشكل جزئي")))</f>
        <v>مستوفاة بشكل جزئي</v>
      </c>
      <c r="O445" s="18"/>
    </row>
    <row r="446" spans="1:15">
      <c r="A446" s="16" t="s">
        <v>1250</v>
      </c>
      <c r="B446" s="16" t="s">
        <v>218</v>
      </c>
      <c r="C446" s="15" t="str">
        <f>IFERROR(INDEX('قائمة الوحدات'!$B$2:$B$41,MATCH($B446,'قائمة الوحدات'!$A$2:$A$41,0)),"")</f>
        <v>MIL</v>
      </c>
      <c r="D446" s="14" t="str">
        <f>IFERROR(INDEX('قائمة الوحدات'!$C$2:$C$41,MATCH($B446,'قائمة الوحدات'!$A$2:$A$41,0)),"")</f>
        <v>الجهاز العسكري</v>
      </c>
      <c r="E446" s="14" t="str">
        <f>IFERROR(INDEX('قائمة الوحدات'!$D$2:$D$41,MATCH($B446,'قائمة الوحدات'!$A$2:$A$41,0)),"")</f>
        <v>الإدارة العامة للتدريب والتأهيل العسكري</v>
      </c>
      <c r="F446" s="14" t="str">
        <f>IFERROR(INDEX('قائمة الوحدات'!$F$2:$F$41,MATCH($B446,'قائمة الوحدات'!$A$2:$A$41,0)),"")</f>
        <v>الإدارة العامة للتدريب والتأهيل العسكري</v>
      </c>
      <c r="G446" s="16" t="s">
        <v>65</v>
      </c>
      <c r="H446" s="14" t="str">
        <f>IFERROR(INDEX(المرجع!$A$2:$A$19,MATCH($G446,المرجع!$B$2:$B$19,0)),"")</f>
        <v>التشغيل</v>
      </c>
      <c r="I446" s="16" t="s">
        <v>51</v>
      </c>
      <c r="J446" s="14" t="str">
        <f>IFERROR(INDEX(المرجع!$D$2:$D$19,MATCH($I446,المرجع!$E$2:$E$19,0)),"")</f>
        <v>الحوكمة</v>
      </c>
      <c r="K446" s="16" t="s">
        <v>120</v>
      </c>
      <c r="L446" s="17" t="str">
        <f>IFERROR(INDEX('نقاط التحقق'!$G$2:$G$31,MATCH($K446,'نقاط التحقق'!$A$2:$A$31,0))&amp;"","")</f>
        <v>محاضر لجان موثقة</v>
      </c>
      <c r="M446" s="13">
        <v>35</v>
      </c>
      <c r="N446" s="15" t="str">
        <f>IF($M446="","غير مقيّمة",IF($M446&gt;المرجع!$K$3,"مستوفاة بشكل متقدم",IF($M446&lt;=المرجع!$K$2,"مستوفاة بشكل أولي","مستوفاة بشكل جزئي")))</f>
        <v>مستوفاة بشكل جزئي</v>
      </c>
      <c r="O446" s="18"/>
    </row>
    <row r="447" spans="1:15">
      <c r="A447" s="16" t="s">
        <v>1251</v>
      </c>
      <c r="B447" s="16" t="s">
        <v>218</v>
      </c>
      <c r="C447" s="15" t="str">
        <f>IFERROR(INDEX('قائمة الوحدات'!$B$2:$B$41,MATCH($B447,'قائمة الوحدات'!$A$2:$A$41,0)),"")</f>
        <v>MIL</v>
      </c>
      <c r="D447" s="14" t="str">
        <f>IFERROR(INDEX('قائمة الوحدات'!$C$2:$C$41,MATCH($B447,'قائمة الوحدات'!$A$2:$A$41,0)),"")</f>
        <v>الجهاز العسكري</v>
      </c>
      <c r="E447" s="14" t="str">
        <f>IFERROR(INDEX('قائمة الوحدات'!$D$2:$D$41,MATCH($B447,'قائمة الوحدات'!$A$2:$A$41,0)),"")</f>
        <v>الإدارة العامة للتدريب والتأهيل العسكري</v>
      </c>
      <c r="F447" s="14" t="str">
        <f>IFERROR(INDEX('قائمة الوحدات'!$F$2:$F$41,MATCH($B447,'قائمة الوحدات'!$A$2:$A$41,0)),"")</f>
        <v>الإدارة العامة للتدريب والتأهيل العسكري</v>
      </c>
      <c r="G447" s="16" t="s">
        <v>65</v>
      </c>
      <c r="H447" s="14" t="str">
        <f>IFERROR(INDEX(المرجع!$A$2:$A$19,MATCH($G447,المرجع!$B$2:$B$19,0)),"")</f>
        <v>التشغيل</v>
      </c>
      <c r="I447" s="16" t="s">
        <v>51</v>
      </c>
      <c r="J447" s="14" t="str">
        <f>IFERROR(INDEX(المرجع!$D$2:$D$19,MATCH($I447,المرجع!$E$2:$E$19,0)),"")</f>
        <v>الحوكمة</v>
      </c>
      <c r="K447" s="16" t="s">
        <v>122</v>
      </c>
      <c r="L447" s="17" t="str">
        <f>IFERROR(INDEX('نقاط التحقق'!$G$2:$G$31,MATCH($K447,'نقاط التحقق'!$A$2:$A$31,0))&amp;"","")</f>
        <v>نشر السياسات التي تملكها الوحدة التنظيمية</v>
      </c>
      <c r="M447" s="13">
        <v>10</v>
      </c>
      <c r="N447" s="15" t="str">
        <f>IF($M447="","غير مقيّمة",IF($M447&gt;المرجع!$K$3,"مستوفاة بشكل متقدم",IF($M447&lt;=المرجع!$K$2,"مستوفاة بشكل أولي","مستوفاة بشكل جزئي")))</f>
        <v>مستوفاة بشكل أولي</v>
      </c>
      <c r="O447" s="18"/>
    </row>
    <row r="448" spans="1:15">
      <c r="A448" s="16" t="s">
        <v>1252</v>
      </c>
      <c r="B448" s="16" t="s">
        <v>218</v>
      </c>
      <c r="C448" s="15" t="str">
        <f>IFERROR(INDEX('قائمة الوحدات'!$B$2:$B$41,MATCH($B448,'قائمة الوحدات'!$A$2:$A$41,0)),"")</f>
        <v>MIL</v>
      </c>
      <c r="D448" s="14" t="str">
        <f>IFERROR(INDEX('قائمة الوحدات'!$C$2:$C$41,MATCH($B448,'قائمة الوحدات'!$A$2:$A$41,0)),"")</f>
        <v>الجهاز العسكري</v>
      </c>
      <c r="E448" s="14" t="str">
        <f>IFERROR(INDEX('قائمة الوحدات'!$D$2:$D$41,MATCH($B448,'قائمة الوحدات'!$A$2:$A$41,0)),"")</f>
        <v>الإدارة العامة للتدريب والتأهيل العسكري</v>
      </c>
      <c r="F448" s="14" t="str">
        <f>IFERROR(INDEX('قائمة الوحدات'!$F$2:$F$41,MATCH($B448,'قائمة الوحدات'!$A$2:$A$41,0)),"")</f>
        <v>الإدارة العامة للتدريب والتأهيل العسكري</v>
      </c>
      <c r="G448" s="16" t="s">
        <v>65</v>
      </c>
      <c r="H448" s="14" t="str">
        <f>IFERROR(INDEX(المرجع!$A$2:$A$19,MATCH($G448,المرجع!$B$2:$B$19,0)),"")</f>
        <v>التشغيل</v>
      </c>
      <c r="I448" s="16" t="s">
        <v>51</v>
      </c>
      <c r="J448" s="14" t="str">
        <f>IFERROR(INDEX(المرجع!$D$2:$D$19,MATCH($I448,المرجع!$E$2:$E$19,0)),"")</f>
        <v>الحوكمة</v>
      </c>
      <c r="K448" s="16" t="s">
        <v>124</v>
      </c>
      <c r="L448" s="17" t="str">
        <f>IFERROR(INDEX('نقاط التحقق'!$G$2:$G$31,MATCH($K448,'نقاط التحقق'!$A$2:$A$31,0))&amp;"","")</f>
        <v>اتخاذ القرارات في نطاق الصلاحيات (وجود شواهد)</v>
      </c>
      <c r="M448" s="13">
        <v>35</v>
      </c>
      <c r="N448" s="15" t="str">
        <f>IF($M448="","غير مقيّمة",IF($M448&gt;المرجع!$K$3,"مستوفاة بشكل متقدم",IF($M448&lt;=المرجع!$K$2,"مستوفاة بشكل أولي","مستوفاة بشكل جزئي")))</f>
        <v>مستوفاة بشكل جزئي</v>
      </c>
      <c r="O448" s="18"/>
    </row>
    <row r="449" spans="1:15">
      <c r="A449" s="16" t="s">
        <v>1253</v>
      </c>
      <c r="B449" s="16" t="s">
        <v>218</v>
      </c>
      <c r="C449" s="15" t="str">
        <f>IFERROR(INDEX('قائمة الوحدات'!$B$2:$B$41,MATCH($B449,'قائمة الوحدات'!$A$2:$A$41,0)),"")</f>
        <v>MIL</v>
      </c>
      <c r="D449" s="14" t="str">
        <f>IFERROR(INDEX('قائمة الوحدات'!$C$2:$C$41,MATCH($B449,'قائمة الوحدات'!$A$2:$A$41,0)),"")</f>
        <v>الجهاز العسكري</v>
      </c>
      <c r="E449" s="14" t="str">
        <f>IFERROR(INDEX('قائمة الوحدات'!$D$2:$D$41,MATCH($B449,'قائمة الوحدات'!$A$2:$A$41,0)),"")</f>
        <v>الإدارة العامة للتدريب والتأهيل العسكري</v>
      </c>
      <c r="F449" s="14" t="str">
        <f>IFERROR(INDEX('قائمة الوحدات'!$F$2:$F$41,MATCH($B449,'قائمة الوحدات'!$A$2:$A$41,0)),"")</f>
        <v>الإدارة العامة للتدريب والتأهيل العسكري</v>
      </c>
      <c r="G449" s="16" t="s">
        <v>65</v>
      </c>
      <c r="H449" s="14" t="str">
        <f>IFERROR(INDEX(المرجع!$A$2:$A$19,MATCH($G449,المرجع!$B$2:$B$19,0)),"")</f>
        <v>التشغيل</v>
      </c>
      <c r="I449" s="16" t="s">
        <v>56</v>
      </c>
      <c r="J449" s="14" t="str">
        <f>IFERROR(INDEX(المرجع!$D$2:$D$19,MATCH($I449,المرجع!$E$2:$E$19,0)),"")</f>
        <v>الموارد</v>
      </c>
      <c r="K449" s="16" t="s">
        <v>126</v>
      </c>
      <c r="L449" s="17" t="str">
        <f>IFERROR(INDEX('نقاط التحقق'!$G$2:$G$31,MATCH($K449,'نقاط التحقق'!$A$2:$A$31,0))&amp;"","")</f>
        <v>موارد مستكملة للحد الأدنى الذي يغطي كافة محاور سلسلة القيمة</v>
      </c>
      <c r="M449" s="13">
        <v>44</v>
      </c>
      <c r="N449" s="15" t="str">
        <f>IF($M449="","غير مقيّمة",IF($M449&gt;المرجع!$K$3,"مستوفاة بشكل متقدم",IF($M449&lt;=المرجع!$K$2,"مستوفاة بشكل أولي","مستوفاة بشكل جزئي")))</f>
        <v>مستوفاة بشكل جزئي</v>
      </c>
      <c r="O449" s="18"/>
    </row>
    <row r="450" spans="1:15">
      <c r="A450" s="16" t="s">
        <v>1254</v>
      </c>
      <c r="B450" s="16" t="s">
        <v>218</v>
      </c>
      <c r="C450" s="15" t="str">
        <f>IFERROR(INDEX('قائمة الوحدات'!$B$2:$B$41,MATCH($B450,'قائمة الوحدات'!$A$2:$A$41,0)),"")</f>
        <v>MIL</v>
      </c>
      <c r="D450" s="14" t="str">
        <f>IFERROR(INDEX('قائمة الوحدات'!$C$2:$C$41,MATCH($B450,'قائمة الوحدات'!$A$2:$A$41,0)),"")</f>
        <v>الجهاز العسكري</v>
      </c>
      <c r="E450" s="14" t="str">
        <f>IFERROR(INDEX('قائمة الوحدات'!$D$2:$D$41,MATCH($B450,'قائمة الوحدات'!$A$2:$A$41,0)),"")</f>
        <v>الإدارة العامة للتدريب والتأهيل العسكري</v>
      </c>
      <c r="F450" s="14" t="str">
        <f>IFERROR(INDEX('قائمة الوحدات'!$F$2:$F$41,MATCH($B450,'قائمة الوحدات'!$A$2:$A$41,0)),"")</f>
        <v>الإدارة العامة للتدريب والتأهيل العسكري</v>
      </c>
      <c r="G450" s="16" t="s">
        <v>65</v>
      </c>
      <c r="H450" s="14" t="str">
        <f>IFERROR(INDEX(المرجع!$A$2:$A$19,MATCH($G450,المرجع!$B$2:$B$19,0)),"")</f>
        <v>التشغيل</v>
      </c>
      <c r="I450" s="16" t="s">
        <v>59</v>
      </c>
      <c r="J450" s="14" t="str">
        <f>IFERROR(INDEX(المرجع!$D$2:$D$19,MATCH($I450,المرجع!$E$2:$E$19,0)),"")</f>
        <v>الإجراءات</v>
      </c>
      <c r="K450" s="16" t="s">
        <v>128</v>
      </c>
      <c r="L450" s="17" t="str">
        <f>IFERROR(INDEX('نقاط التحقق'!$G$2:$G$31,MATCH($K450,'نقاط التحقق'!$A$2:$A$31,0))&amp;"","")</f>
        <v>تحقيق تقييم "مطبق بشكل كامل" من منهجية تقييم فعالية الإجراءات</v>
      </c>
      <c r="M450" s="13">
        <v>49</v>
      </c>
      <c r="N450" s="15" t="str">
        <f>IF($M450="","غير مقيّمة",IF($M450&gt;المرجع!$K$3,"مستوفاة بشكل متقدم",IF($M450&lt;=المرجع!$K$2,"مستوفاة بشكل أولي","مستوفاة بشكل جزئي")))</f>
        <v>مستوفاة بشكل جزئي</v>
      </c>
      <c r="O450" s="18"/>
    </row>
    <row r="451" spans="1:15">
      <c r="A451" s="16" t="s">
        <v>1255</v>
      </c>
      <c r="B451" s="16" t="s">
        <v>218</v>
      </c>
      <c r="C451" s="15" t="str">
        <f>IFERROR(INDEX('قائمة الوحدات'!$B$2:$B$41,MATCH($B451,'قائمة الوحدات'!$A$2:$A$41,0)),"")</f>
        <v>MIL</v>
      </c>
      <c r="D451" s="14" t="str">
        <f>IFERROR(INDEX('قائمة الوحدات'!$C$2:$C$41,MATCH($B451,'قائمة الوحدات'!$A$2:$A$41,0)),"")</f>
        <v>الجهاز العسكري</v>
      </c>
      <c r="E451" s="14" t="str">
        <f>IFERROR(INDEX('قائمة الوحدات'!$D$2:$D$41,MATCH($B451,'قائمة الوحدات'!$A$2:$A$41,0)),"")</f>
        <v>الإدارة العامة للتدريب والتأهيل العسكري</v>
      </c>
      <c r="F451" s="14" t="str">
        <f>IFERROR(INDEX('قائمة الوحدات'!$F$2:$F$41,MATCH($B451,'قائمة الوحدات'!$A$2:$A$41,0)),"")</f>
        <v>الإدارة العامة للتدريب والتأهيل العسكري</v>
      </c>
      <c r="G451" s="16" t="s">
        <v>65</v>
      </c>
      <c r="H451" s="14" t="str">
        <f>IFERROR(INDEX(المرجع!$A$2:$A$19,MATCH($G451,المرجع!$B$2:$B$19,0)),"")</f>
        <v>التشغيل</v>
      </c>
      <c r="I451" s="16" t="s">
        <v>67</v>
      </c>
      <c r="J451" s="14" t="str">
        <f>IFERROR(INDEX(المرجع!$D$2:$D$19,MATCH($I451,المرجع!$E$2:$E$19,0)),"")</f>
        <v>اكتمال المخرجات المستهدفة</v>
      </c>
      <c r="K451" s="16" t="s">
        <v>130</v>
      </c>
      <c r="L451" s="17" t="str">
        <f>IFERROR(INDEX('نقاط التحقق'!$G$2:$G$31,MATCH($K451,'نقاط التحقق'!$A$2:$A$31,0))&amp;"","")</f>
        <v>اكتمال مخرجات النموذج التشغيلي المستهدف للوحدة التنظيمية</v>
      </c>
      <c r="M451" s="13">
        <v>31</v>
      </c>
      <c r="N451" s="15" t="str">
        <f>IF($M451="","غير مقيّمة",IF($M451&gt;المرجع!$K$3,"مستوفاة بشكل متقدم",IF($M451&lt;=المرجع!$K$2,"مستوفاة بشكل أولي","مستوفاة بشكل جزئي")))</f>
        <v>مستوفاة بشكل جزئي</v>
      </c>
      <c r="O451" s="18"/>
    </row>
    <row r="452" spans="1:15">
      <c r="A452" s="16" t="s">
        <v>1256</v>
      </c>
      <c r="B452" s="16" t="s">
        <v>220</v>
      </c>
      <c r="C452" s="15" t="str">
        <f>IFERROR(INDEX('قائمة الوحدات'!$B$2:$B$41,MATCH($B452,'قائمة الوحدات'!$A$2:$A$41,0)),"")</f>
        <v>MIL</v>
      </c>
      <c r="D452" s="14" t="str">
        <f>IFERROR(INDEX('قائمة الوحدات'!$C$2:$C$41,MATCH($B452,'قائمة الوحدات'!$A$2:$A$41,0)),"")</f>
        <v>الجهاز العسكري</v>
      </c>
      <c r="E452" s="14" t="str">
        <f>IFERROR(INDEX('قائمة الوحدات'!$D$2:$D$41,MATCH($B452,'قائمة الوحدات'!$A$2:$A$41,0)),"")</f>
        <v>الإدارة العامة للتسليح والعتاد</v>
      </c>
      <c r="F452" s="14" t="str">
        <f>IFERROR(INDEX('قائمة الوحدات'!$F$2:$F$41,MATCH($B452,'قائمة الوحدات'!$A$2:$A$41,0)),"")</f>
        <v>الإدارة العامة للتسليح والعتاد</v>
      </c>
      <c r="G452" s="16" t="s">
        <v>43</v>
      </c>
      <c r="H452" s="14" t="str">
        <f>IFERROR(INDEX(المرجع!$A$2:$A$19,MATCH($G452,المرجع!$B$2:$B$19,0)),"")</f>
        <v>التصميم</v>
      </c>
      <c r="I452" s="16" t="s">
        <v>45</v>
      </c>
      <c r="J452" s="14" t="str">
        <f>IFERROR(INDEX(المرجع!$D$2:$D$19,MATCH($I452,المرجع!$E$2:$E$19,0)),"")</f>
        <v>الدور</v>
      </c>
      <c r="K452" s="16" t="s">
        <v>72</v>
      </c>
      <c r="L452" s="17" t="str">
        <f>IFERROR(INDEX('نقاط التحقق'!$G$2:$G$31,MATCH($K452,'نقاط التحقق'!$A$2:$A$31,0))&amp;"","")</f>
        <v>دور مفصل للوحدة التنظيمية</v>
      </c>
      <c r="M452" s="13">
        <v>79</v>
      </c>
      <c r="N452" s="15" t="str">
        <f>IF($M452="","غير مقيّمة",IF($M452&gt;المرجع!$K$3,"مستوفاة بشكل متقدم",IF($M452&lt;=المرجع!$K$2,"مستوفاة بشكل أولي","مستوفاة بشكل جزئي")))</f>
        <v>مستوفاة بشكل متقدم</v>
      </c>
      <c r="O452" s="18"/>
    </row>
    <row r="453" spans="1:15">
      <c r="A453" s="16" t="s">
        <v>1257</v>
      </c>
      <c r="B453" s="16" t="s">
        <v>220</v>
      </c>
      <c r="C453" s="15" t="str">
        <f>IFERROR(INDEX('قائمة الوحدات'!$B$2:$B$41,MATCH($B453,'قائمة الوحدات'!$A$2:$A$41,0)),"")</f>
        <v>MIL</v>
      </c>
      <c r="D453" s="14" t="str">
        <f>IFERROR(INDEX('قائمة الوحدات'!$C$2:$C$41,MATCH($B453,'قائمة الوحدات'!$A$2:$A$41,0)),"")</f>
        <v>الجهاز العسكري</v>
      </c>
      <c r="E453" s="14" t="str">
        <f>IFERROR(INDEX('قائمة الوحدات'!$D$2:$D$41,MATCH($B453,'قائمة الوحدات'!$A$2:$A$41,0)),"")</f>
        <v>الإدارة العامة للتسليح والعتاد</v>
      </c>
      <c r="F453" s="14" t="str">
        <f>IFERROR(INDEX('قائمة الوحدات'!$F$2:$F$41,MATCH($B453,'قائمة الوحدات'!$A$2:$A$41,0)),"")</f>
        <v>الإدارة العامة للتسليح والعتاد</v>
      </c>
      <c r="G453" s="16" t="s">
        <v>43</v>
      </c>
      <c r="H453" s="14" t="str">
        <f>IFERROR(INDEX(المرجع!$A$2:$A$19,MATCH($G453,المرجع!$B$2:$B$19,0)),"")</f>
        <v>التصميم</v>
      </c>
      <c r="I453" s="16" t="s">
        <v>48</v>
      </c>
      <c r="J453" s="14" t="str">
        <f>IFERROR(INDEX(المرجع!$D$2:$D$19,MATCH($I453,المرجع!$E$2:$E$19,0)),"")</f>
        <v>الأهداف ومؤشرات الأداء</v>
      </c>
      <c r="K453" s="16" t="s">
        <v>74</v>
      </c>
      <c r="L453" s="17" t="str">
        <f>IFERROR(INDEX('نقاط التحقق'!$G$2:$G$31,MATCH($K453,'نقاط التحقق'!$A$2:$A$31,0))&amp;"","")</f>
        <v>أهداف محددة للوحدة التنظيمية وربطها بمؤشرات أداء لقياسها</v>
      </c>
      <c r="M453" s="13">
        <v>85</v>
      </c>
      <c r="N453" s="15" t="str">
        <f>IF($M453="","غير مقيّمة",IF($M453&gt;المرجع!$K$3,"مستوفاة بشكل متقدم",IF($M453&lt;=المرجع!$K$2,"مستوفاة بشكل أولي","مستوفاة بشكل جزئي")))</f>
        <v>مستوفاة بشكل متقدم</v>
      </c>
      <c r="O453" s="18"/>
    </row>
    <row r="454" spans="1:15">
      <c r="A454" s="16" t="s">
        <v>1258</v>
      </c>
      <c r="B454" s="16" t="s">
        <v>220</v>
      </c>
      <c r="C454" s="15" t="str">
        <f>IFERROR(INDEX('قائمة الوحدات'!$B$2:$B$41,MATCH($B454,'قائمة الوحدات'!$A$2:$A$41,0)),"")</f>
        <v>MIL</v>
      </c>
      <c r="D454" s="14" t="str">
        <f>IFERROR(INDEX('قائمة الوحدات'!$C$2:$C$41,MATCH($B454,'قائمة الوحدات'!$A$2:$A$41,0)),"")</f>
        <v>الجهاز العسكري</v>
      </c>
      <c r="E454" s="14" t="str">
        <f>IFERROR(INDEX('قائمة الوحدات'!$D$2:$D$41,MATCH($B454,'قائمة الوحدات'!$A$2:$A$41,0)),"")</f>
        <v>الإدارة العامة للتسليح والعتاد</v>
      </c>
      <c r="F454" s="14" t="str">
        <f>IFERROR(INDEX('قائمة الوحدات'!$F$2:$F$41,MATCH($B454,'قائمة الوحدات'!$A$2:$A$41,0)),"")</f>
        <v>الإدارة العامة للتسليح والعتاد</v>
      </c>
      <c r="G454" s="16" t="s">
        <v>43</v>
      </c>
      <c r="H454" s="14" t="str">
        <f>IFERROR(INDEX(المرجع!$A$2:$A$19,MATCH($G454,المرجع!$B$2:$B$19,0)),"")</f>
        <v>التصميم</v>
      </c>
      <c r="I454" s="16" t="s">
        <v>48</v>
      </c>
      <c r="J454" s="14" t="str">
        <f>IFERROR(INDEX(المرجع!$D$2:$D$19,MATCH($I454,المرجع!$E$2:$E$19,0)),"")</f>
        <v>الأهداف ومؤشرات الأداء</v>
      </c>
      <c r="K454" s="16" t="s">
        <v>76</v>
      </c>
      <c r="L454" s="17" t="str">
        <f>IFERROR(INDEX('نقاط التحقق'!$G$2:$G$31,MATCH($K454,'نقاط التحقق'!$A$2:$A$31,0))&amp;"","")</f>
        <v>مؤشرات أداء الوحدة التنظيمية</v>
      </c>
      <c r="M454" s="13">
        <v>100</v>
      </c>
      <c r="N454" s="15" t="str">
        <f>IF($M454="","غير مقيّمة",IF($M454&gt;المرجع!$K$3,"مستوفاة بشكل متقدم",IF($M454&lt;=المرجع!$K$2,"مستوفاة بشكل أولي","مستوفاة بشكل جزئي")))</f>
        <v>مستوفاة بشكل متقدم</v>
      </c>
      <c r="O454" s="18"/>
    </row>
    <row r="455" spans="1:15">
      <c r="A455" s="16" t="s">
        <v>1259</v>
      </c>
      <c r="B455" s="16" t="s">
        <v>220</v>
      </c>
      <c r="C455" s="15" t="str">
        <f>IFERROR(INDEX('قائمة الوحدات'!$B$2:$B$41,MATCH($B455,'قائمة الوحدات'!$A$2:$A$41,0)),"")</f>
        <v>MIL</v>
      </c>
      <c r="D455" s="14" t="str">
        <f>IFERROR(INDEX('قائمة الوحدات'!$C$2:$C$41,MATCH($B455,'قائمة الوحدات'!$A$2:$A$41,0)),"")</f>
        <v>الجهاز العسكري</v>
      </c>
      <c r="E455" s="14" t="str">
        <f>IFERROR(INDEX('قائمة الوحدات'!$D$2:$D$41,MATCH($B455,'قائمة الوحدات'!$A$2:$A$41,0)),"")</f>
        <v>الإدارة العامة للتسليح والعتاد</v>
      </c>
      <c r="F455" s="14" t="str">
        <f>IFERROR(INDEX('قائمة الوحدات'!$F$2:$F$41,MATCH($B455,'قائمة الوحدات'!$A$2:$A$41,0)),"")</f>
        <v>الإدارة العامة للتسليح والعتاد</v>
      </c>
      <c r="G455" s="16" t="s">
        <v>43</v>
      </c>
      <c r="H455" s="14" t="str">
        <f>IFERROR(INDEX(المرجع!$A$2:$A$19,MATCH($G455,المرجع!$B$2:$B$19,0)),"")</f>
        <v>التصميم</v>
      </c>
      <c r="I455" s="16" t="s">
        <v>51</v>
      </c>
      <c r="J455" s="14" t="str">
        <f>IFERROR(INDEX(المرجع!$D$2:$D$19,MATCH($I455,المرجع!$E$2:$E$19,0)),"")</f>
        <v>الحوكمة</v>
      </c>
      <c r="K455" s="16" t="s">
        <v>78</v>
      </c>
      <c r="L455" s="17" t="str">
        <f>IFERROR(INDEX('نقاط التحقق'!$G$2:$G$31,MATCH($K455,'نقاط التحقق'!$A$2:$A$31,0))&amp;"","")</f>
        <v>تفصيل القرارات ومصفوفة الصلاحيات واللجان ذات العلاقة لاعتماد مخرجات الوحدة التنظيمية</v>
      </c>
      <c r="M455" s="13">
        <v>69</v>
      </c>
      <c r="N455" s="15" t="str">
        <f>IF($M455="","غير مقيّمة",IF($M455&gt;المرجع!$K$3,"مستوفاة بشكل متقدم",IF($M455&lt;=المرجع!$K$2,"مستوفاة بشكل أولي","مستوفاة بشكل جزئي")))</f>
        <v>مستوفاة بشكل جزئي</v>
      </c>
      <c r="O455" s="18"/>
    </row>
    <row r="456" spans="1:15">
      <c r="A456" s="16" t="s">
        <v>1260</v>
      </c>
      <c r="B456" s="16" t="s">
        <v>220</v>
      </c>
      <c r="C456" s="15" t="str">
        <f>IFERROR(INDEX('قائمة الوحدات'!$B$2:$B$41,MATCH($B456,'قائمة الوحدات'!$A$2:$A$41,0)),"")</f>
        <v>MIL</v>
      </c>
      <c r="D456" s="14" t="str">
        <f>IFERROR(INDEX('قائمة الوحدات'!$C$2:$C$41,MATCH($B456,'قائمة الوحدات'!$A$2:$A$41,0)),"")</f>
        <v>الجهاز العسكري</v>
      </c>
      <c r="E456" s="14" t="str">
        <f>IFERROR(INDEX('قائمة الوحدات'!$D$2:$D$41,MATCH($B456,'قائمة الوحدات'!$A$2:$A$41,0)),"")</f>
        <v>الإدارة العامة للتسليح والعتاد</v>
      </c>
      <c r="F456" s="14" t="str">
        <f>IFERROR(INDEX('قائمة الوحدات'!$F$2:$F$41,MATCH($B456,'قائمة الوحدات'!$A$2:$A$41,0)),"")</f>
        <v>الإدارة العامة للتسليح والعتاد</v>
      </c>
      <c r="G456" s="16" t="s">
        <v>43</v>
      </c>
      <c r="H456" s="14" t="str">
        <f>IFERROR(INDEX(المرجع!$A$2:$A$19,MATCH($G456,المرجع!$B$2:$B$19,0)),"")</f>
        <v>التصميم</v>
      </c>
      <c r="I456" s="16" t="s">
        <v>54</v>
      </c>
      <c r="J456" s="14" t="str">
        <f>IFERROR(INDEX(المرجع!$D$2:$D$19,MATCH($I456,المرجع!$E$2:$E$19,0)),"")</f>
        <v>التنظيم</v>
      </c>
      <c r="K456" s="16" t="s">
        <v>80</v>
      </c>
      <c r="L456" s="17" t="str">
        <f>IFERROR(INDEX('نقاط التحقق'!$G$2:$G$31,MATCH($K456,'نقاط التحقق'!$A$2:$A$31,0))&amp;"","")</f>
        <v>تطوير الأدوار والمسؤوليات للوحدة التنظيمية وتفصيل الهيكل التنظيمي</v>
      </c>
      <c r="M456" s="13">
        <v>90</v>
      </c>
      <c r="N456" s="15" t="str">
        <f>IF($M456="","غير مقيّمة",IF($M456&gt;المرجع!$K$3,"مستوفاة بشكل متقدم",IF($M456&lt;=المرجع!$K$2,"مستوفاة بشكل أولي","مستوفاة بشكل جزئي")))</f>
        <v>مستوفاة بشكل متقدم</v>
      </c>
      <c r="O456" s="18"/>
    </row>
    <row r="457" spans="1:15">
      <c r="A457" s="16" t="s">
        <v>1261</v>
      </c>
      <c r="B457" s="16" t="s">
        <v>220</v>
      </c>
      <c r="C457" s="15" t="str">
        <f>IFERROR(INDEX('قائمة الوحدات'!$B$2:$B$41,MATCH($B457,'قائمة الوحدات'!$A$2:$A$41,0)),"")</f>
        <v>MIL</v>
      </c>
      <c r="D457" s="14" t="str">
        <f>IFERROR(INDEX('قائمة الوحدات'!$C$2:$C$41,MATCH($B457,'قائمة الوحدات'!$A$2:$A$41,0)),"")</f>
        <v>الجهاز العسكري</v>
      </c>
      <c r="E457" s="14" t="str">
        <f>IFERROR(INDEX('قائمة الوحدات'!$D$2:$D$41,MATCH($B457,'قائمة الوحدات'!$A$2:$A$41,0)),"")</f>
        <v>الإدارة العامة للتسليح والعتاد</v>
      </c>
      <c r="F457" s="14" t="str">
        <f>IFERROR(INDEX('قائمة الوحدات'!$F$2:$F$41,MATCH($B457,'قائمة الوحدات'!$A$2:$A$41,0)),"")</f>
        <v>الإدارة العامة للتسليح والعتاد</v>
      </c>
      <c r="G457" s="16" t="s">
        <v>43</v>
      </c>
      <c r="H457" s="14" t="str">
        <f>IFERROR(INDEX(المرجع!$A$2:$A$19,MATCH($G457,المرجع!$B$2:$B$19,0)),"")</f>
        <v>التصميم</v>
      </c>
      <c r="I457" s="16" t="s">
        <v>56</v>
      </c>
      <c r="J457" s="14" t="str">
        <f>IFERROR(INDEX(المرجع!$D$2:$D$19,MATCH($I457,المرجع!$E$2:$E$19,0)),"")</f>
        <v>الموارد</v>
      </c>
      <c r="K457" s="16" t="s">
        <v>82</v>
      </c>
      <c r="L457" s="17" t="str">
        <f>IFERROR(INDEX('نقاط التحقق'!$G$2:$G$31,MATCH($K457,'نقاط التحقق'!$A$2:$A$31,0))&amp;"","")</f>
        <v>تفصيل احتياج الموارد البشرية للوحدة التنظيمية</v>
      </c>
      <c r="M457" s="13">
        <v>81</v>
      </c>
      <c r="N457" s="15" t="str">
        <f>IF($M457="","غير مقيّمة",IF($M457&gt;المرجع!$K$3,"مستوفاة بشكل متقدم",IF($M457&lt;=المرجع!$K$2,"مستوفاة بشكل أولي","مستوفاة بشكل جزئي")))</f>
        <v>مستوفاة بشكل متقدم</v>
      </c>
      <c r="O457" s="18"/>
    </row>
    <row r="458" spans="1:15">
      <c r="A458" s="16" t="s">
        <v>1262</v>
      </c>
      <c r="B458" s="16" t="s">
        <v>220</v>
      </c>
      <c r="C458" s="15" t="str">
        <f>IFERROR(INDEX('قائمة الوحدات'!$B$2:$B$41,MATCH($B458,'قائمة الوحدات'!$A$2:$A$41,0)),"")</f>
        <v>MIL</v>
      </c>
      <c r="D458" s="14" t="str">
        <f>IFERROR(INDEX('قائمة الوحدات'!$C$2:$C$41,MATCH($B458,'قائمة الوحدات'!$A$2:$A$41,0)),"")</f>
        <v>الجهاز العسكري</v>
      </c>
      <c r="E458" s="14" t="str">
        <f>IFERROR(INDEX('قائمة الوحدات'!$D$2:$D$41,MATCH($B458,'قائمة الوحدات'!$A$2:$A$41,0)),"")</f>
        <v>الإدارة العامة للتسليح والعتاد</v>
      </c>
      <c r="F458" s="14" t="str">
        <f>IFERROR(INDEX('قائمة الوحدات'!$F$2:$F$41,MATCH($B458,'قائمة الوحدات'!$A$2:$A$41,0)),"")</f>
        <v>الإدارة العامة للتسليح والعتاد</v>
      </c>
      <c r="G458" s="16" t="s">
        <v>43</v>
      </c>
      <c r="H458" s="14" t="str">
        <f>IFERROR(INDEX(المرجع!$A$2:$A$19,MATCH($G458,المرجع!$B$2:$B$19,0)),"")</f>
        <v>التصميم</v>
      </c>
      <c r="I458" s="16" t="s">
        <v>59</v>
      </c>
      <c r="J458" s="14" t="str">
        <f>IFERROR(INDEX(المرجع!$D$2:$D$19,MATCH($I458,المرجع!$E$2:$E$19,0)),"")</f>
        <v>الإجراءات</v>
      </c>
      <c r="K458" s="16" t="s">
        <v>84</v>
      </c>
      <c r="L458" s="17" t="str">
        <f>IFERROR(INDEX('نقاط التحقق'!$G$2:$G$31,MATCH($K458,'نقاط التحقق'!$A$2:$A$31,0))&amp;"","")</f>
        <v>تفصيل المخرجات إلى إجراءات عالية المستوى</v>
      </c>
      <c r="M458" s="13">
        <v>81</v>
      </c>
      <c r="N458" s="15" t="str">
        <f>IF($M458="","غير مقيّمة",IF($M458&gt;المرجع!$K$3,"مستوفاة بشكل متقدم",IF($M458&lt;=المرجع!$K$2,"مستوفاة بشكل أولي","مستوفاة بشكل جزئي")))</f>
        <v>مستوفاة بشكل متقدم</v>
      </c>
      <c r="O458" s="18"/>
    </row>
    <row r="459" spans="1:15">
      <c r="A459" s="16" t="s">
        <v>1263</v>
      </c>
      <c r="B459" s="16" t="s">
        <v>220</v>
      </c>
      <c r="C459" s="15" t="str">
        <f>IFERROR(INDEX('قائمة الوحدات'!$B$2:$B$41,MATCH($B459,'قائمة الوحدات'!$A$2:$A$41,0)),"")</f>
        <v>MIL</v>
      </c>
      <c r="D459" s="14" t="str">
        <f>IFERROR(INDEX('قائمة الوحدات'!$C$2:$C$41,MATCH($B459,'قائمة الوحدات'!$A$2:$A$41,0)),"")</f>
        <v>الجهاز العسكري</v>
      </c>
      <c r="E459" s="14" t="str">
        <f>IFERROR(INDEX('قائمة الوحدات'!$D$2:$D$41,MATCH($B459,'قائمة الوحدات'!$A$2:$A$41,0)),"")</f>
        <v>الإدارة العامة للتسليح والعتاد</v>
      </c>
      <c r="F459" s="14" t="str">
        <f>IFERROR(INDEX('قائمة الوحدات'!$F$2:$F$41,MATCH($B459,'قائمة الوحدات'!$A$2:$A$41,0)),"")</f>
        <v>الإدارة العامة للتسليح والعتاد</v>
      </c>
      <c r="G459" s="16" t="s">
        <v>61</v>
      </c>
      <c r="H459" s="14" t="str">
        <f>IFERROR(INDEX(المرجع!$A$2:$A$19,MATCH($G459,المرجع!$B$2:$B$19,0)),"")</f>
        <v>البناء المؤسسي</v>
      </c>
      <c r="I459" s="16" t="s">
        <v>45</v>
      </c>
      <c r="J459" s="14" t="str">
        <f>IFERROR(INDEX(المرجع!$D$2:$D$19,MATCH($I459,المرجع!$E$2:$E$19,0)),"")</f>
        <v>الدور</v>
      </c>
      <c r="K459" s="16" t="s">
        <v>86</v>
      </c>
      <c r="L459" s="17" t="str">
        <f>IFERROR(INDEX('نقاط التحقق'!$G$2:$G$31,MATCH($K459,'نقاط التحقق'!$A$2:$A$31,0))&amp;"","")</f>
        <v>دور معتمد للوحدة التنظيمية</v>
      </c>
      <c r="M459" s="13">
        <v>88</v>
      </c>
      <c r="N459" s="15" t="str">
        <f>IF($M459="","غير مقيّمة",IF($M459&gt;المرجع!$K$3,"مستوفاة بشكل متقدم",IF($M459&lt;=المرجع!$K$2,"مستوفاة بشكل أولي","مستوفاة بشكل جزئي")))</f>
        <v>مستوفاة بشكل متقدم</v>
      </c>
      <c r="O459" s="18"/>
    </row>
    <row r="460" spans="1:15">
      <c r="A460" s="16" t="s">
        <v>1264</v>
      </c>
      <c r="B460" s="16" t="s">
        <v>220</v>
      </c>
      <c r="C460" s="15" t="str">
        <f>IFERROR(INDEX('قائمة الوحدات'!$B$2:$B$41,MATCH($B460,'قائمة الوحدات'!$A$2:$A$41,0)),"")</f>
        <v>MIL</v>
      </c>
      <c r="D460" s="14" t="str">
        <f>IFERROR(INDEX('قائمة الوحدات'!$C$2:$C$41,MATCH($B460,'قائمة الوحدات'!$A$2:$A$41,0)),"")</f>
        <v>الجهاز العسكري</v>
      </c>
      <c r="E460" s="14" t="str">
        <f>IFERROR(INDEX('قائمة الوحدات'!$D$2:$D$41,MATCH($B460,'قائمة الوحدات'!$A$2:$A$41,0)),"")</f>
        <v>الإدارة العامة للتسليح والعتاد</v>
      </c>
      <c r="F460" s="14" t="str">
        <f>IFERROR(INDEX('قائمة الوحدات'!$F$2:$F$41,MATCH($B460,'قائمة الوحدات'!$A$2:$A$41,0)),"")</f>
        <v>الإدارة العامة للتسليح والعتاد</v>
      </c>
      <c r="G460" s="16" t="s">
        <v>61</v>
      </c>
      <c r="H460" s="14" t="str">
        <f>IFERROR(INDEX(المرجع!$A$2:$A$19,MATCH($G460,المرجع!$B$2:$B$19,0)),"")</f>
        <v>البناء المؤسسي</v>
      </c>
      <c r="I460" s="16" t="s">
        <v>48</v>
      </c>
      <c r="J460" s="14" t="str">
        <f>IFERROR(INDEX(المرجع!$D$2:$D$19,MATCH($I460,المرجع!$E$2:$E$19,0)),"")</f>
        <v>الأهداف ومؤشرات الأداء</v>
      </c>
      <c r="K460" s="16" t="s">
        <v>88</v>
      </c>
      <c r="L460" s="17" t="str">
        <f>IFERROR(INDEX('نقاط التحقق'!$G$2:$G$31,MATCH($K460,'نقاط التحقق'!$A$2:$A$31,0))&amp;"","")</f>
        <v>أهداف تشغيلية معتمدة من صاحب الصلاحية</v>
      </c>
      <c r="M460" s="13">
        <v>70</v>
      </c>
      <c r="N460" s="15" t="str">
        <f>IF($M460="","غير مقيّمة",IF($M460&gt;المرجع!$K$3,"مستوفاة بشكل متقدم",IF($M460&lt;=المرجع!$K$2,"مستوفاة بشكل أولي","مستوفاة بشكل جزئي")))</f>
        <v>مستوفاة بشكل جزئي</v>
      </c>
      <c r="O460" s="18"/>
    </row>
    <row r="461" spans="1:15">
      <c r="A461" s="16" t="s">
        <v>1265</v>
      </c>
      <c r="B461" s="16" t="s">
        <v>220</v>
      </c>
      <c r="C461" s="15" t="str">
        <f>IFERROR(INDEX('قائمة الوحدات'!$B$2:$B$41,MATCH($B461,'قائمة الوحدات'!$A$2:$A$41,0)),"")</f>
        <v>MIL</v>
      </c>
      <c r="D461" s="14" t="str">
        <f>IFERROR(INDEX('قائمة الوحدات'!$C$2:$C$41,MATCH($B461,'قائمة الوحدات'!$A$2:$A$41,0)),"")</f>
        <v>الجهاز العسكري</v>
      </c>
      <c r="E461" s="14" t="str">
        <f>IFERROR(INDEX('قائمة الوحدات'!$D$2:$D$41,MATCH($B461,'قائمة الوحدات'!$A$2:$A$41,0)),"")</f>
        <v>الإدارة العامة للتسليح والعتاد</v>
      </c>
      <c r="F461" s="14" t="str">
        <f>IFERROR(INDEX('قائمة الوحدات'!$F$2:$F$41,MATCH($B461,'قائمة الوحدات'!$A$2:$A$41,0)),"")</f>
        <v>الإدارة العامة للتسليح والعتاد</v>
      </c>
      <c r="G461" s="16" t="s">
        <v>61</v>
      </c>
      <c r="H461" s="14" t="str">
        <f>IFERROR(INDEX(المرجع!$A$2:$A$19,MATCH($G461,المرجع!$B$2:$B$19,0)),"")</f>
        <v>البناء المؤسسي</v>
      </c>
      <c r="I461" s="16" t="s">
        <v>48</v>
      </c>
      <c r="J461" s="14" t="str">
        <f>IFERROR(INDEX(المرجع!$D$2:$D$19,MATCH($I461,المرجع!$E$2:$E$19,0)),"")</f>
        <v>الأهداف ومؤشرات الأداء</v>
      </c>
      <c r="K461" s="16" t="s">
        <v>90</v>
      </c>
      <c r="L461" s="17" t="str">
        <f>IFERROR(INDEX('نقاط التحقق'!$G$2:$G$31,MATCH($K461,'نقاط التحقق'!$A$2:$A$31,0))&amp;"","")</f>
        <v>نشر الأهداف التشغيلية على موظفي الوحدة التنظيمية</v>
      </c>
      <c r="M461" s="13">
        <v>55</v>
      </c>
      <c r="N461" s="15" t="str">
        <f>IF($M461="","غير مقيّمة",IF($M461&gt;المرجع!$K$3,"مستوفاة بشكل متقدم",IF($M461&lt;=المرجع!$K$2,"مستوفاة بشكل أولي","مستوفاة بشكل جزئي")))</f>
        <v>مستوفاة بشكل جزئي</v>
      </c>
      <c r="O461" s="18"/>
    </row>
    <row r="462" spans="1:15">
      <c r="A462" s="16" t="s">
        <v>1266</v>
      </c>
      <c r="B462" s="16" t="s">
        <v>220</v>
      </c>
      <c r="C462" s="15" t="str">
        <f>IFERROR(INDEX('قائمة الوحدات'!$B$2:$B$41,MATCH($B462,'قائمة الوحدات'!$A$2:$A$41,0)),"")</f>
        <v>MIL</v>
      </c>
      <c r="D462" s="14" t="str">
        <f>IFERROR(INDEX('قائمة الوحدات'!$C$2:$C$41,MATCH($B462,'قائمة الوحدات'!$A$2:$A$41,0)),"")</f>
        <v>الجهاز العسكري</v>
      </c>
      <c r="E462" s="14" t="str">
        <f>IFERROR(INDEX('قائمة الوحدات'!$D$2:$D$41,MATCH($B462,'قائمة الوحدات'!$A$2:$A$41,0)),"")</f>
        <v>الإدارة العامة للتسليح والعتاد</v>
      </c>
      <c r="F462" s="14" t="str">
        <f>IFERROR(INDEX('قائمة الوحدات'!$F$2:$F$41,MATCH($B462,'قائمة الوحدات'!$A$2:$A$41,0)),"")</f>
        <v>الإدارة العامة للتسليح والعتاد</v>
      </c>
      <c r="G462" s="16" t="s">
        <v>61</v>
      </c>
      <c r="H462" s="14" t="str">
        <f>IFERROR(INDEX(المرجع!$A$2:$A$19,MATCH($G462,المرجع!$B$2:$B$19,0)),"")</f>
        <v>البناء المؤسسي</v>
      </c>
      <c r="I462" s="16" t="s">
        <v>51</v>
      </c>
      <c r="J462" s="14" t="str">
        <f>IFERROR(INDEX(المرجع!$D$2:$D$19,MATCH($I462,المرجع!$E$2:$E$19,0)),"")</f>
        <v>الحوكمة</v>
      </c>
      <c r="K462" s="16" t="s">
        <v>92</v>
      </c>
      <c r="L462" s="17" t="str">
        <f>IFERROR(INDEX('نقاط التحقق'!$G$2:$G$31,MATCH($K462,'نقاط التحقق'!$A$2:$A$31,0))&amp;"","")</f>
        <v>مصفوفة صلاحيات معتمدة ومعممة على أصحاب المصلحة</v>
      </c>
      <c r="M462" s="13">
        <v>70</v>
      </c>
      <c r="N462" s="15" t="str">
        <f>IF($M462="","غير مقيّمة",IF($M462&gt;المرجع!$K$3,"مستوفاة بشكل متقدم",IF($M462&lt;=المرجع!$K$2,"مستوفاة بشكل أولي","مستوفاة بشكل جزئي")))</f>
        <v>مستوفاة بشكل جزئي</v>
      </c>
      <c r="O462" s="18"/>
    </row>
    <row r="463" spans="1:15">
      <c r="A463" s="16" t="s">
        <v>1267</v>
      </c>
      <c r="B463" s="16" t="s">
        <v>220</v>
      </c>
      <c r="C463" s="15" t="str">
        <f>IFERROR(INDEX('قائمة الوحدات'!$B$2:$B$41,MATCH($B463,'قائمة الوحدات'!$A$2:$A$41,0)),"")</f>
        <v>MIL</v>
      </c>
      <c r="D463" s="14" t="str">
        <f>IFERROR(INDEX('قائمة الوحدات'!$C$2:$C$41,MATCH($B463,'قائمة الوحدات'!$A$2:$A$41,0)),"")</f>
        <v>الجهاز العسكري</v>
      </c>
      <c r="E463" s="14" t="str">
        <f>IFERROR(INDEX('قائمة الوحدات'!$D$2:$D$41,MATCH($B463,'قائمة الوحدات'!$A$2:$A$41,0)),"")</f>
        <v>الإدارة العامة للتسليح والعتاد</v>
      </c>
      <c r="F463" s="14" t="str">
        <f>IFERROR(INDEX('قائمة الوحدات'!$F$2:$F$41,MATCH($B463,'قائمة الوحدات'!$A$2:$A$41,0)),"")</f>
        <v>الإدارة العامة للتسليح والعتاد</v>
      </c>
      <c r="G463" s="16" t="s">
        <v>61</v>
      </c>
      <c r="H463" s="14" t="str">
        <f>IFERROR(INDEX(المرجع!$A$2:$A$19,MATCH($G463,المرجع!$B$2:$B$19,0)),"")</f>
        <v>البناء المؤسسي</v>
      </c>
      <c r="I463" s="16" t="s">
        <v>51</v>
      </c>
      <c r="J463" s="14" t="str">
        <f>IFERROR(INDEX(المرجع!$D$2:$D$19,MATCH($I463,المرجع!$E$2:$E$19,0)),"")</f>
        <v>الحوكمة</v>
      </c>
      <c r="K463" s="16" t="s">
        <v>94</v>
      </c>
      <c r="L463" s="17" t="str">
        <f>IFERROR(INDEX('نقاط التحقق'!$G$2:$G$31,MATCH($K463,'نقاط التحقق'!$A$2:$A$31,0))&amp;"","")</f>
        <v>سياسات معتمدة للتي تملكها الوحدة التنظيمية</v>
      </c>
      <c r="M463" s="13">
        <v>95</v>
      </c>
      <c r="N463" s="15" t="str">
        <f>IF($M463="","غير مقيّمة",IF($M463&gt;المرجع!$K$3,"مستوفاة بشكل متقدم",IF($M463&lt;=المرجع!$K$2,"مستوفاة بشكل أولي","مستوفاة بشكل جزئي")))</f>
        <v>مستوفاة بشكل متقدم</v>
      </c>
      <c r="O463" s="18"/>
    </row>
    <row r="464" spans="1:15">
      <c r="A464" s="16" t="s">
        <v>1268</v>
      </c>
      <c r="B464" s="16" t="s">
        <v>220</v>
      </c>
      <c r="C464" s="15" t="str">
        <f>IFERROR(INDEX('قائمة الوحدات'!$B$2:$B$41,MATCH($B464,'قائمة الوحدات'!$A$2:$A$41,0)),"")</f>
        <v>MIL</v>
      </c>
      <c r="D464" s="14" t="str">
        <f>IFERROR(INDEX('قائمة الوحدات'!$C$2:$C$41,MATCH($B464,'قائمة الوحدات'!$A$2:$A$41,0)),"")</f>
        <v>الجهاز العسكري</v>
      </c>
      <c r="E464" s="14" t="str">
        <f>IFERROR(INDEX('قائمة الوحدات'!$D$2:$D$41,MATCH($B464,'قائمة الوحدات'!$A$2:$A$41,0)),"")</f>
        <v>الإدارة العامة للتسليح والعتاد</v>
      </c>
      <c r="F464" s="14" t="str">
        <f>IFERROR(INDEX('قائمة الوحدات'!$F$2:$F$41,MATCH($B464,'قائمة الوحدات'!$A$2:$A$41,0)),"")</f>
        <v>الإدارة العامة للتسليح والعتاد</v>
      </c>
      <c r="G464" s="16" t="s">
        <v>61</v>
      </c>
      <c r="H464" s="14" t="str">
        <f>IFERROR(INDEX(المرجع!$A$2:$A$19,MATCH($G464,المرجع!$B$2:$B$19,0)),"")</f>
        <v>البناء المؤسسي</v>
      </c>
      <c r="I464" s="16" t="s">
        <v>51</v>
      </c>
      <c r="J464" s="14" t="str">
        <f>IFERROR(INDEX(المرجع!$D$2:$D$19,MATCH($I464,المرجع!$E$2:$E$19,0)),"")</f>
        <v>الحوكمة</v>
      </c>
      <c r="K464" s="16" t="s">
        <v>96</v>
      </c>
      <c r="L464" s="17" t="str">
        <f>IFERROR(INDEX('نقاط التحقق'!$G$2:$G$31,MATCH($K464,'نقاط التحقق'!$A$2:$A$31,0))&amp;"","")</f>
        <v>قرار تشكيل معتمد للجان ذات العلاقة</v>
      </c>
      <c r="M464" s="13">
        <v>85</v>
      </c>
      <c r="N464" s="15" t="str">
        <f>IF($M464="","غير مقيّمة",IF($M464&gt;المرجع!$K$3,"مستوفاة بشكل متقدم",IF($M464&lt;=المرجع!$K$2,"مستوفاة بشكل أولي","مستوفاة بشكل جزئي")))</f>
        <v>مستوفاة بشكل متقدم</v>
      </c>
      <c r="O464" s="18"/>
    </row>
    <row r="465" spans="1:15">
      <c r="A465" s="16" t="s">
        <v>1269</v>
      </c>
      <c r="B465" s="16" t="s">
        <v>220</v>
      </c>
      <c r="C465" s="15" t="str">
        <f>IFERROR(INDEX('قائمة الوحدات'!$B$2:$B$41,MATCH($B465,'قائمة الوحدات'!$A$2:$A$41,0)),"")</f>
        <v>MIL</v>
      </c>
      <c r="D465" s="14" t="str">
        <f>IFERROR(INDEX('قائمة الوحدات'!$C$2:$C$41,MATCH($B465,'قائمة الوحدات'!$A$2:$A$41,0)),"")</f>
        <v>الجهاز العسكري</v>
      </c>
      <c r="E465" s="14" t="str">
        <f>IFERROR(INDEX('قائمة الوحدات'!$D$2:$D$41,MATCH($B465,'قائمة الوحدات'!$A$2:$A$41,0)),"")</f>
        <v>الإدارة العامة للتسليح والعتاد</v>
      </c>
      <c r="F465" s="14" t="str">
        <f>IFERROR(INDEX('قائمة الوحدات'!$F$2:$F$41,MATCH($B465,'قائمة الوحدات'!$A$2:$A$41,0)),"")</f>
        <v>الإدارة العامة للتسليح والعتاد</v>
      </c>
      <c r="G465" s="16" t="s">
        <v>61</v>
      </c>
      <c r="H465" s="14" t="str">
        <f>IFERROR(INDEX(المرجع!$A$2:$A$19,MATCH($G465,المرجع!$B$2:$B$19,0)),"")</f>
        <v>البناء المؤسسي</v>
      </c>
      <c r="I465" s="16" t="s">
        <v>54</v>
      </c>
      <c r="J465" s="14" t="str">
        <f>IFERROR(INDEX(المرجع!$D$2:$D$19,MATCH($I465,المرجع!$E$2:$E$19,0)),"")</f>
        <v>التنظيم</v>
      </c>
      <c r="K465" s="16" t="s">
        <v>98</v>
      </c>
      <c r="L465" s="17" t="str">
        <f>IFERROR(INDEX('نقاط التحقق'!$G$2:$G$31,MATCH($K465,'نقاط التحقق'!$A$2:$A$31,0))&amp;"","")</f>
        <v>هيكل تنظيمي معتمد من صاحب الصلاحية</v>
      </c>
      <c r="M465" s="13">
        <v>90</v>
      </c>
      <c r="N465" s="15" t="str">
        <f>IF($M465="","غير مقيّمة",IF($M465&gt;المرجع!$K$3,"مستوفاة بشكل متقدم",IF($M465&lt;=المرجع!$K$2,"مستوفاة بشكل أولي","مستوفاة بشكل جزئي")))</f>
        <v>مستوفاة بشكل متقدم</v>
      </c>
      <c r="O465" s="18"/>
    </row>
    <row r="466" spans="1:15">
      <c r="A466" s="16" t="s">
        <v>1270</v>
      </c>
      <c r="B466" s="16" t="s">
        <v>220</v>
      </c>
      <c r="C466" s="15" t="str">
        <f>IFERROR(INDEX('قائمة الوحدات'!$B$2:$B$41,MATCH($B466,'قائمة الوحدات'!$A$2:$A$41,0)),"")</f>
        <v>MIL</v>
      </c>
      <c r="D466" s="14" t="str">
        <f>IFERROR(INDEX('قائمة الوحدات'!$C$2:$C$41,MATCH($B466,'قائمة الوحدات'!$A$2:$A$41,0)),"")</f>
        <v>الجهاز العسكري</v>
      </c>
      <c r="E466" s="14" t="str">
        <f>IFERROR(INDEX('قائمة الوحدات'!$D$2:$D$41,MATCH($B466,'قائمة الوحدات'!$A$2:$A$41,0)),"")</f>
        <v>الإدارة العامة للتسليح والعتاد</v>
      </c>
      <c r="F466" s="14" t="str">
        <f>IFERROR(INDEX('قائمة الوحدات'!$F$2:$F$41,MATCH($B466,'قائمة الوحدات'!$A$2:$A$41,0)),"")</f>
        <v>الإدارة العامة للتسليح والعتاد</v>
      </c>
      <c r="G466" s="16" t="s">
        <v>61</v>
      </c>
      <c r="H466" s="14" t="str">
        <f>IFERROR(INDEX(المرجع!$A$2:$A$19,MATCH($G466,المرجع!$B$2:$B$19,0)),"")</f>
        <v>البناء المؤسسي</v>
      </c>
      <c r="I466" s="16" t="s">
        <v>54</v>
      </c>
      <c r="J466" s="14" t="str">
        <f>IFERROR(INDEX(المرجع!$D$2:$D$19,MATCH($I466,المرجع!$E$2:$E$19,0)),"")</f>
        <v>التنظيم</v>
      </c>
      <c r="K466" s="16" t="s">
        <v>100</v>
      </c>
      <c r="L466" s="17" t="str">
        <f>IFERROR(INDEX('نقاط التحقق'!$G$2:$G$31,MATCH($K466,'نقاط التحقق'!$A$2:$A$31,0))&amp;"","")</f>
        <v>هيكل تنظيمي منشأ على نظام القوى العاملة</v>
      </c>
      <c r="M466" s="13">
        <v>70</v>
      </c>
      <c r="N466" s="15" t="str">
        <f>IF($M466="","غير مقيّمة",IF($M466&gt;المرجع!$K$3,"مستوفاة بشكل متقدم",IF($M466&lt;=المرجع!$K$2,"مستوفاة بشكل أولي","مستوفاة بشكل جزئي")))</f>
        <v>مستوفاة بشكل جزئي</v>
      </c>
      <c r="O466" s="18"/>
    </row>
    <row r="467" spans="1:15">
      <c r="A467" s="16" t="s">
        <v>1271</v>
      </c>
      <c r="B467" s="16" t="s">
        <v>220</v>
      </c>
      <c r="C467" s="15" t="str">
        <f>IFERROR(INDEX('قائمة الوحدات'!$B$2:$B$41,MATCH($B467,'قائمة الوحدات'!$A$2:$A$41,0)),"")</f>
        <v>MIL</v>
      </c>
      <c r="D467" s="14" t="str">
        <f>IFERROR(INDEX('قائمة الوحدات'!$C$2:$C$41,MATCH($B467,'قائمة الوحدات'!$A$2:$A$41,0)),"")</f>
        <v>الجهاز العسكري</v>
      </c>
      <c r="E467" s="14" t="str">
        <f>IFERROR(INDEX('قائمة الوحدات'!$D$2:$D$41,MATCH($B467,'قائمة الوحدات'!$A$2:$A$41,0)),"")</f>
        <v>الإدارة العامة للتسليح والعتاد</v>
      </c>
      <c r="F467" s="14" t="str">
        <f>IFERROR(INDEX('قائمة الوحدات'!$F$2:$F$41,MATCH($B467,'قائمة الوحدات'!$A$2:$A$41,0)),"")</f>
        <v>الإدارة العامة للتسليح والعتاد</v>
      </c>
      <c r="G467" s="16" t="s">
        <v>61</v>
      </c>
      <c r="H467" s="14" t="str">
        <f>IFERROR(INDEX(المرجع!$A$2:$A$19,MATCH($G467,المرجع!$B$2:$B$19,0)),"")</f>
        <v>البناء المؤسسي</v>
      </c>
      <c r="I467" s="16" t="s">
        <v>54</v>
      </c>
      <c r="J467" s="14" t="str">
        <f>IFERROR(INDEX(المرجع!$D$2:$D$19,MATCH($I467,المرجع!$E$2:$E$19,0)),"")</f>
        <v>التنظيم</v>
      </c>
      <c r="K467" s="16" t="s">
        <v>102</v>
      </c>
      <c r="L467" s="17" t="str">
        <f>IFERROR(INDEX('نقاط التحقق'!$G$2:$G$31,MATCH($K467,'نقاط التحقق'!$A$2:$A$31,0))&amp;"","")</f>
        <v>الموظفون المحددون مسكّنون على الهيكل التنظيمي المستهدف</v>
      </c>
      <c r="M467" s="13">
        <v>80</v>
      </c>
      <c r="N467" s="15" t="str">
        <f>IF($M467="","غير مقيّمة",IF($M467&gt;المرجع!$K$3,"مستوفاة بشكل متقدم",IF($M467&lt;=المرجع!$K$2,"مستوفاة بشكل أولي","مستوفاة بشكل جزئي")))</f>
        <v>مستوفاة بشكل متقدم</v>
      </c>
      <c r="O467" s="18"/>
    </row>
    <row r="468" spans="1:15">
      <c r="A468" s="16" t="s">
        <v>1272</v>
      </c>
      <c r="B468" s="16" t="s">
        <v>220</v>
      </c>
      <c r="C468" s="15" t="str">
        <f>IFERROR(INDEX('قائمة الوحدات'!$B$2:$B$41,MATCH($B468,'قائمة الوحدات'!$A$2:$A$41,0)),"")</f>
        <v>MIL</v>
      </c>
      <c r="D468" s="14" t="str">
        <f>IFERROR(INDEX('قائمة الوحدات'!$C$2:$C$41,MATCH($B468,'قائمة الوحدات'!$A$2:$A$41,0)),"")</f>
        <v>الجهاز العسكري</v>
      </c>
      <c r="E468" s="14" t="str">
        <f>IFERROR(INDEX('قائمة الوحدات'!$D$2:$D$41,MATCH($B468,'قائمة الوحدات'!$A$2:$A$41,0)),"")</f>
        <v>الإدارة العامة للتسليح والعتاد</v>
      </c>
      <c r="F468" s="14" t="str">
        <f>IFERROR(INDEX('قائمة الوحدات'!$F$2:$F$41,MATCH($B468,'قائمة الوحدات'!$A$2:$A$41,0)),"")</f>
        <v>الإدارة العامة للتسليح والعتاد</v>
      </c>
      <c r="G468" s="16" t="s">
        <v>61</v>
      </c>
      <c r="H468" s="14" t="str">
        <f>IFERROR(INDEX(المرجع!$A$2:$A$19,MATCH($G468,المرجع!$B$2:$B$19,0)),"")</f>
        <v>البناء المؤسسي</v>
      </c>
      <c r="I468" s="16" t="s">
        <v>56</v>
      </c>
      <c r="J468" s="14" t="str">
        <f>IFERROR(INDEX(المرجع!$D$2:$D$19,MATCH($I468,المرجع!$E$2:$E$19,0)),"")</f>
        <v>الموارد</v>
      </c>
      <c r="K468" s="16" t="s">
        <v>104</v>
      </c>
      <c r="L468" s="17" t="str">
        <f>IFERROR(INDEX('نقاط التحقق'!$G$2:$G$31,MATCH($K468,'نقاط التحقق'!$A$2:$A$31,0))&amp;"","")</f>
        <v>مدير الوحدة التنظيمية والموظفون الرئيسيون معينون/ملحقون</v>
      </c>
      <c r="M468" s="13">
        <v>35</v>
      </c>
      <c r="N468" s="15" t="str">
        <f>IF($M468="","غير مقيّمة",IF($M468&gt;المرجع!$K$3,"مستوفاة بشكل متقدم",IF($M468&lt;=المرجع!$K$2,"مستوفاة بشكل أولي","مستوفاة بشكل جزئي")))</f>
        <v>مستوفاة بشكل جزئي</v>
      </c>
      <c r="O468" s="18"/>
    </row>
    <row r="469" spans="1:15">
      <c r="A469" s="16" t="s">
        <v>1273</v>
      </c>
      <c r="B469" s="16" t="s">
        <v>220</v>
      </c>
      <c r="C469" s="15" t="str">
        <f>IFERROR(INDEX('قائمة الوحدات'!$B$2:$B$41,MATCH($B469,'قائمة الوحدات'!$A$2:$A$41,0)),"")</f>
        <v>MIL</v>
      </c>
      <c r="D469" s="14" t="str">
        <f>IFERROR(INDEX('قائمة الوحدات'!$C$2:$C$41,MATCH($B469,'قائمة الوحدات'!$A$2:$A$41,0)),"")</f>
        <v>الجهاز العسكري</v>
      </c>
      <c r="E469" s="14" t="str">
        <f>IFERROR(INDEX('قائمة الوحدات'!$D$2:$D$41,MATCH($B469,'قائمة الوحدات'!$A$2:$A$41,0)),"")</f>
        <v>الإدارة العامة للتسليح والعتاد</v>
      </c>
      <c r="F469" s="14" t="str">
        <f>IFERROR(INDEX('قائمة الوحدات'!$F$2:$F$41,MATCH($B469,'قائمة الوحدات'!$A$2:$A$41,0)),"")</f>
        <v>الإدارة العامة للتسليح والعتاد</v>
      </c>
      <c r="G469" s="16" t="s">
        <v>61</v>
      </c>
      <c r="H469" s="14" t="str">
        <f>IFERROR(INDEX(المرجع!$A$2:$A$19,MATCH($G469,المرجع!$B$2:$B$19,0)),"")</f>
        <v>البناء المؤسسي</v>
      </c>
      <c r="I469" s="16" t="s">
        <v>56</v>
      </c>
      <c r="J469" s="14" t="str">
        <f>IFERROR(INDEX(المرجع!$D$2:$D$19,MATCH($I469,المرجع!$E$2:$E$19,0)),"")</f>
        <v>الموارد</v>
      </c>
      <c r="K469" s="16" t="s">
        <v>106</v>
      </c>
      <c r="L469" s="17" t="str">
        <f>IFERROR(INDEX('نقاط التحقق'!$G$2:$G$31,MATCH($K469,'نقاط التحقق'!$A$2:$A$31,0))&amp;"","")</f>
        <v>خطة توظيف وتدريب مستكملة</v>
      </c>
      <c r="M469" s="13">
        <v>60</v>
      </c>
      <c r="N469" s="15" t="str">
        <f>IF($M469="","غير مقيّمة",IF($M469&gt;المرجع!$K$3,"مستوفاة بشكل متقدم",IF($M469&lt;=المرجع!$K$2,"مستوفاة بشكل أولي","مستوفاة بشكل جزئي")))</f>
        <v>مستوفاة بشكل جزئي</v>
      </c>
      <c r="O469" s="18"/>
    </row>
    <row r="470" spans="1:15">
      <c r="A470" s="16" t="s">
        <v>1274</v>
      </c>
      <c r="B470" s="16" t="s">
        <v>220</v>
      </c>
      <c r="C470" s="15" t="str">
        <f>IFERROR(INDEX('قائمة الوحدات'!$B$2:$B$41,MATCH($B470,'قائمة الوحدات'!$A$2:$A$41,0)),"")</f>
        <v>MIL</v>
      </c>
      <c r="D470" s="14" t="str">
        <f>IFERROR(INDEX('قائمة الوحدات'!$C$2:$C$41,MATCH($B470,'قائمة الوحدات'!$A$2:$A$41,0)),"")</f>
        <v>الجهاز العسكري</v>
      </c>
      <c r="E470" s="14" t="str">
        <f>IFERROR(INDEX('قائمة الوحدات'!$D$2:$D$41,MATCH($B470,'قائمة الوحدات'!$A$2:$A$41,0)),"")</f>
        <v>الإدارة العامة للتسليح والعتاد</v>
      </c>
      <c r="F470" s="14" t="str">
        <f>IFERROR(INDEX('قائمة الوحدات'!$F$2:$F$41,MATCH($B470,'قائمة الوحدات'!$A$2:$A$41,0)),"")</f>
        <v>الإدارة العامة للتسليح والعتاد</v>
      </c>
      <c r="G470" s="16" t="s">
        <v>61</v>
      </c>
      <c r="H470" s="14" t="str">
        <f>IFERROR(INDEX(المرجع!$A$2:$A$19,MATCH($G470,المرجع!$B$2:$B$19,0)),"")</f>
        <v>البناء المؤسسي</v>
      </c>
      <c r="I470" s="16" t="s">
        <v>56</v>
      </c>
      <c r="J470" s="14" t="str">
        <f>IFERROR(INDEX(المرجع!$D$2:$D$19,MATCH($I470,المرجع!$E$2:$E$19,0)),"")</f>
        <v>الموارد</v>
      </c>
      <c r="K470" s="16" t="s">
        <v>108</v>
      </c>
      <c r="L470" s="17" t="str">
        <f>IFERROR(INDEX('نقاط التحقق'!$G$2:$G$31,MATCH($K470,'نقاط التحقق'!$A$2:$A$31,0))&amp;"","")</f>
        <v>وجود مساحات مكتبية كافية</v>
      </c>
      <c r="M470" s="13">
        <v>50</v>
      </c>
      <c r="N470" s="15" t="str">
        <f>IF($M470="","غير مقيّمة",IF($M470&gt;المرجع!$K$3,"مستوفاة بشكل متقدم",IF($M470&lt;=المرجع!$K$2,"مستوفاة بشكل أولي","مستوفاة بشكل جزئي")))</f>
        <v>مستوفاة بشكل جزئي</v>
      </c>
      <c r="O470" s="18"/>
    </row>
    <row r="471" spans="1:15">
      <c r="A471" s="16" t="s">
        <v>1275</v>
      </c>
      <c r="B471" s="16" t="s">
        <v>220</v>
      </c>
      <c r="C471" s="15" t="str">
        <f>IFERROR(INDEX('قائمة الوحدات'!$B$2:$B$41,MATCH($B471,'قائمة الوحدات'!$A$2:$A$41,0)),"")</f>
        <v>MIL</v>
      </c>
      <c r="D471" s="14" t="str">
        <f>IFERROR(INDEX('قائمة الوحدات'!$C$2:$C$41,MATCH($B471,'قائمة الوحدات'!$A$2:$A$41,0)),"")</f>
        <v>الجهاز العسكري</v>
      </c>
      <c r="E471" s="14" t="str">
        <f>IFERROR(INDEX('قائمة الوحدات'!$D$2:$D$41,MATCH($B471,'قائمة الوحدات'!$A$2:$A$41,0)),"")</f>
        <v>الإدارة العامة للتسليح والعتاد</v>
      </c>
      <c r="F471" s="14" t="str">
        <f>IFERROR(INDEX('قائمة الوحدات'!$F$2:$F$41,MATCH($B471,'قائمة الوحدات'!$A$2:$A$41,0)),"")</f>
        <v>الإدارة العامة للتسليح والعتاد</v>
      </c>
      <c r="G471" s="16" t="s">
        <v>61</v>
      </c>
      <c r="H471" s="14" t="str">
        <f>IFERROR(INDEX(المرجع!$A$2:$A$19,MATCH($G471,المرجع!$B$2:$B$19,0)),"")</f>
        <v>البناء المؤسسي</v>
      </c>
      <c r="I471" s="16" t="s">
        <v>56</v>
      </c>
      <c r="J471" s="14" t="str">
        <f>IFERROR(INDEX(المرجع!$D$2:$D$19,MATCH($I471,المرجع!$E$2:$E$19,0)),"")</f>
        <v>الموارد</v>
      </c>
      <c r="K471" s="16" t="s">
        <v>110</v>
      </c>
      <c r="L471" s="17" t="str">
        <f>IFERROR(INDEX('نقاط التحقق'!$G$2:$G$31,MATCH($K471,'نقاط التحقق'!$A$2:$A$31,0))&amp;"","")</f>
        <v>وجود الاحتياجات التقنية الأساسية</v>
      </c>
      <c r="M471" s="13">
        <v>40</v>
      </c>
      <c r="N471" s="15" t="str">
        <f>IF($M471="","غير مقيّمة",IF($M471&gt;المرجع!$K$3,"مستوفاة بشكل متقدم",IF($M471&lt;=المرجع!$K$2,"مستوفاة بشكل أولي","مستوفاة بشكل جزئي")))</f>
        <v>مستوفاة بشكل جزئي</v>
      </c>
      <c r="O471" s="18"/>
    </row>
    <row r="472" spans="1:15">
      <c r="A472" s="16" t="s">
        <v>1276</v>
      </c>
      <c r="B472" s="16" t="s">
        <v>220</v>
      </c>
      <c r="C472" s="15" t="str">
        <f>IFERROR(INDEX('قائمة الوحدات'!$B$2:$B$41,MATCH($B472,'قائمة الوحدات'!$A$2:$A$41,0)),"")</f>
        <v>MIL</v>
      </c>
      <c r="D472" s="14" t="str">
        <f>IFERROR(INDEX('قائمة الوحدات'!$C$2:$C$41,MATCH($B472,'قائمة الوحدات'!$A$2:$A$41,0)),"")</f>
        <v>الجهاز العسكري</v>
      </c>
      <c r="E472" s="14" t="str">
        <f>IFERROR(INDEX('قائمة الوحدات'!$D$2:$D$41,MATCH($B472,'قائمة الوحدات'!$A$2:$A$41,0)),"")</f>
        <v>الإدارة العامة للتسليح والعتاد</v>
      </c>
      <c r="F472" s="14" t="str">
        <f>IFERROR(INDEX('قائمة الوحدات'!$F$2:$F$41,MATCH($B472,'قائمة الوحدات'!$A$2:$A$41,0)),"")</f>
        <v>الإدارة العامة للتسليح والعتاد</v>
      </c>
      <c r="G472" s="16" t="s">
        <v>61</v>
      </c>
      <c r="H472" s="14" t="str">
        <f>IFERROR(INDEX(المرجع!$A$2:$A$19,MATCH($G472,المرجع!$B$2:$B$19,0)),"")</f>
        <v>البناء المؤسسي</v>
      </c>
      <c r="I472" s="16" t="s">
        <v>59</v>
      </c>
      <c r="J472" s="14" t="str">
        <f>IFERROR(INDEX(المرجع!$D$2:$D$19,MATCH($I472,المرجع!$E$2:$E$19,0)),"")</f>
        <v>الإجراءات</v>
      </c>
      <c r="K472" s="16" t="s">
        <v>112</v>
      </c>
      <c r="L472" s="17" t="str">
        <f>IFERROR(INDEX('نقاط التحقق'!$G$2:$G$31,MATCH($K472,'نقاط التحقق'!$A$2:$A$31,0))&amp;"","")</f>
        <v>إجراءات معتمدة للوحدة التنظيمية</v>
      </c>
      <c r="M472" s="13">
        <v>67</v>
      </c>
      <c r="N472" s="15" t="str">
        <f>IF($M472="","غير مقيّمة",IF($M472&gt;المرجع!$K$3,"مستوفاة بشكل متقدم",IF($M472&lt;=المرجع!$K$2,"مستوفاة بشكل أولي","مستوفاة بشكل جزئي")))</f>
        <v>مستوفاة بشكل جزئي</v>
      </c>
      <c r="O472" s="18"/>
    </row>
    <row r="473" spans="1:15">
      <c r="A473" s="16" t="s">
        <v>1277</v>
      </c>
      <c r="B473" s="16" t="s">
        <v>220</v>
      </c>
      <c r="C473" s="15" t="str">
        <f>IFERROR(INDEX('قائمة الوحدات'!$B$2:$B$41,MATCH($B473,'قائمة الوحدات'!$A$2:$A$41,0)),"")</f>
        <v>MIL</v>
      </c>
      <c r="D473" s="14" t="str">
        <f>IFERROR(INDEX('قائمة الوحدات'!$C$2:$C$41,MATCH($B473,'قائمة الوحدات'!$A$2:$A$41,0)),"")</f>
        <v>الجهاز العسكري</v>
      </c>
      <c r="E473" s="14" t="str">
        <f>IFERROR(INDEX('قائمة الوحدات'!$D$2:$D$41,MATCH($B473,'قائمة الوحدات'!$A$2:$A$41,0)),"")</f>
        <v>الإدارة العامة للتسليح والعتاد</v>
      </c>
      <c r="F473" s="14" t="str">
        <f>IFERROR(INDEX('قائمة الوحدات'!$F$2:$F$41,MATCH($B473,'قائمة الوحدات'!$A$2:$A$41,0)),"")</f>
        <v>الإدارة العامة للتسليح والعتاد</v>
      </c>
      <c r="G473" s="16" t="s">
        <v>61</v>
      </c>
      <c r="H473" s="14" t="str">
        <f>IFERROR(INDEX(المرجع!$A$2:$A$19,MATCH($G473,المرجع!$B$2:$B$19,0)),"")</f>
        <v>البناء المؤسسي</v>
      </c>
      <c r="I473" s="16" t="s">
        <v>63</v>
      </c>
      <c r="J473" s="14" t="str">
        <f>IFERROR(INDEX(المرجع!$D$2:$D$19,MATCH($I473,المرجع!$E$2:$E$19,0)),"")</f>
        <v>إنتاج المخرج الأول</v>
      </c>
      <c r="K473" s="16" t="s">
        <v>114</v>
      </c>
      <c r="L473" s="17" t="str">
        <f>IFERROR(INDEX('نقاط التحقق'!$G$2:$G$31,MATCH($K473,'نقاط التحقق'!$A$2:$A$31,0))&amp;"","")</f>
        <v>إنتاج المخرج الأول من قبل الوحدة التنظيمية</v>
      </c>
      <c r="M473" s="13">
        <v>62</v>
      </c>
      <c r="N473" s="15" t="str">
        <f>IF($M473="","غير مقيّمة",IF($M473&gt;المرجع!$K$3,"مستوفاة بشكل متقدم",IF($M473&lt;=المرجع!$K$2,"مستوفاة بشكل أولي","مستوفاة بشكل جزئي")))</f>
        <v>مستوفاة بشكل جزئي</v>
      </c>
      <c r="O473" s="18"/>
    </row>
    <row r="474" spans="1:15">
      <c r="A474" s="16" t="s">
        <v>1278</v>
      </c>
      <c r="B474" s="16" t="s">
        <v>220</v>
      </c>
      <c r="C474" s="15" t="str">
        <f>IFERROR(INDEX('قائمة الوحدات'!$B$2:$B$41,MATCH($B474,'قائمة الوحدات'!$A$2:$A$41,0)),"")</f>
        <v>MIL</v>
      </c>
      <c r="D474" s="14" t="str">
        <f>IFERROR(INDEX('قائمة الوحدات'!$C$2:$C$41,MATCH($B474,'قائمة الوحدات'!$A$2:$A$41,0)),"")</f>
        <v>الجهاز العسكري</v>
      </c>
      <c r="E474" s="14" t="str">
        <f>IFERROR(INDEX('قائمة الوحدات'!$D$2:$D$41,MATCH($B474,'قائمة الوحدات'!$A$2:$A$41,0)),"")</f>
        <v>الإدارة العامة للتسليح والعتاد</v>
      </c>
      <c r="F474" s="14" t="str">
        <f>IFERROR(INDEX('قائمة الوحدات'!$F$2:$F$41,MATCH($B474,'قائمة الوحدات'!$A$2:$A$41,0)),"")</f>
        <v>الإدارة العامة للتسليح والعتاد</v>
      </c>
      <c r="G474" s="16" t="s">
        <v>65</v>
      </c>
      <c r="H474" s="14" t="str">
        <f>IFERROR(INDEX(المرجع!$A$2:$A$19,MATCH($G474,المرجع!$B$2:$B$19,0)),"")</f>
        <v>التشغيل</v>
      </c>
      <c r="I474" s="16" t="s">
        <v>48</v>
      </c>
      <c r="J474" s="14" t="str">
        <f>IFERROR(INDEX(المرجع!$D$2:$D$19,MATCH($I474,المرجع!$E$2:$E$19,0)),"")</f>
        <v>الأهداف ومؤشرات الأداء</v>
      </c>
      <c r="K474" s="16" t="s">
        <v>116</v>
      </c>
      <c r="L474" s="17" t="str">
        <f>IFERROR(INDEX('نقاط التحقق'!$G$2:$G$31,MATCH($K474,'نقاط التحقق'!$A$2:$A$31,0))&amp;"","")</f>
        <v>تحرك مؤشرات الأداء التشغيلي للوحدة التنظيمية بشكل إيجابي</v>
      </c>
      <c r="M474" s="13">
        <v>50</v>
      </c>
      <c r="N474" s="15" t="str">
        <f>IF($M474="","غير مقيّمة",IF($M474&gt;المرجع!$K$3,"مستوفاة بشكل متقدم",IF($M474&lt;=المرجع!$K$2,"مستوفاة بشكل أولي","مستوفاة بشكل جزئي")))</f>
        <v>مستوفاة بشكل جزئي</v>
      </c>
      <c r="O474" s="18"/>
    </row>
    <row r="475" spans="1:15">
      <c r="A475" s="16" t="s">
        <v>1279</v>
      </c>
      <c r="B475" s="16" t="s">
        <v>220</v>
      </c>
      <c r="C475" s="15" t="str">
        <f>IFERROR(INDEX('قائمة الوحدات'!$B$2:$B$41,MATCH($B475,'قائمة الوحدات'!$A$2:$A$41,0)),"")</f>
        <v>MIL</v>
      </c>
      <c r="D475" s="14" t="str">
        <f>IFERROR(INDEX('قائمة الوحدات'!$C$2:$C$41,MATCH($B475,'قائمة الوحدات'!$A$2:$A$41,0)),"")</f>
        <v>الجهاز العسكري</v>
      </c>
      <c r="E475" s="14" t="str">
        <f>IFERROR(INDEX('قائمة الوحدات'!$D$2:$D$41,MATCH($B475,'قائمة الوحدات'!$A$2:$A$41,0)),"")</f>
        <v>الإدارة العامة للتسليح والعتاد</v>
      </c>
      <c r="F475" s="14" t="str">
        <f>IFERROR(INDEX('قائمة الوحدات'!$F$2:$F$41,MATCH($B475,'قائمة الوحدات'!$A$2:$A$41,0)),"")</f>
        <v>الإدارة العامة للتسليح والعتاد</v>
      </c>
      <c r="G475" s="16" t="s">
        <v>65</v>
      </c>
      <c r="H475" s="14" t="str">
        <f>IFERROR(INDEX(المرجع!$A$2:$A$19,MATCH($G475,المرجع!$B$2:$B$19,0)),"")</f>
        <v>التشغيل</v>
      </c>
      <c r="I475" s="16" t="s">
        <v>48</v>
      </c>
      <c r="J475" s="14" t="str">
        <f>IFERROR(INDEX(المرجع!$D$2:$D$19,MATCH($I475,المرجع!$E$2:$E$19,0)),"")</f>
        <v>الأهداف ومؤشرات الأداء</v>
      </c>
      <c r="K475" s="16" t="s">
        <v>118</v>
      </c>
      <c r="L475" s="17" t="str">
        <f>IFERROR(INDEX('نقاط التحقق'!$G$2:$G$31,MATCH($K475,'نقاط التحقق'!$A$2:$A$31,0))&amp;"","")</f>
        <v>خطة سنوية معتمدة للوحدة التنظيمية</v>
      </c>
      <c r="M475" s="13">
        <v>40</v>
      </c>
      <c r="N475" s="15" t="str">
        <f>IF($M475="","غير مقيّمة",IF($M475&gt;المرجع!$K$3,"مستوفاة بشكل متقدم",IF($M475&lt;=المرجع!$K$2,"مستوفاة بشكل أولي","مستوفاة بشكل جزئي")))</f>
        <v>مستوفاة بشكل جزئي</v>
      </c>
      <c r="O475" s="18"/>
    </row>
    <row r="476" spans="1:15">
      <c r="A476" s="16" t="s">
        <v>1280</v>
      </c>
      <c r="B476" s="16" t="s">
        <v>220</v>
      </c>
      <c r="C476" s="15" t="str">
        <f>IFERROR(INDEX('قائمة الوحدات'!$B$2:$B$41,MATCH($B476,'قائمة الوحدات'!$A$2:$A$41,0)),"")</f>
        <v>MIL</v>
      </c>
      <c r="D476" s="14" t="str">
        <f>IFERROR(INDEX('قائمة الوحدات'!$C$2:$C$41,MATCH($B476,'قائمة الوحدات'!$A$2:$A$41,0)),"")</f>
        <v>الجهاز العسكري</v>
      </c>
      <c r="E476" s="14" t="str">
        <f>IFERROR(INDEX('قائمة الوحدات'!$D$2:$D$41,MATCH($B476,'قائمة الوحدات'!$A$2:$A$41,0)),"")</f>
        <v>الإدارة العامة للتسليح والعتاد</v>
      </c>
      <c r="F476" s="14" t="str">
        <f>IFERROR(INDEX('قائمة الوحدات'!$F$2:$F$41,MATCH($B476,'قائمة الوحدات'!$A$2:$A$41,0)),"")</f>
        <v>الإدارة العامة للتسليح والعتاد</v>
      </c>
      <c r="G476" s="16" t="s">
        <v>65</v>
      </c>
      <c r="H476" s="14" t="str">
        <f>IFERROR(INDEX(المرجع!$A$2:$A$19,MATCH($G476,المرجع!$B$2:$B$19,0)),"")</f>
        <v>التشغيل</v>
      </c>
      <c r="I476" s="16" t="s">
        <v>51</v>
      </c>
      <c r="J476" s="14" t="str">
        <f>IFERROR(INDEX(المرجع!$D$2:$D$19,MATCH($I476,المرجع!$E$2:$E$19,0)),"")</f>
        <v>الحوكمة</v>
      </c>
      <c r="K476" s="16" t="s">
        <v>120</v>
      </c>
      <c r="L476" s="17" t="str">
        <f>IFERROR(INDEX('نقاط التحقق'!$G$2:$G$31,MATCH($K476,'نقاط التحقق'!$A$2:$A$31,0))&amp;"","")</f>
        <v>محاضر لجان موثقة</v>
      </c>
      <c r="M476" s="13">
        <v>35</v>
      </c>
      <c r="N476" s="15" t="str">
        <f>IF($M476="","غير مقيّمة",IF($M476&gt;المرجع!$K$3,"مستوفاة بشكل متقدم",IF($M476&lt;=المرجع!$K$2,"مستوفاة بشكل أولي","مستوفاة بشكل جزئي")))</f>
        <v>مستوفاة بشكل جزئي</v>
      </c>
      <c r="O476" s="18"/>
    </row>
    <row r="477" spans="1:15">
      <c r="A477" s="16" t="s">
        <v>1281</v>
      </c>
      <c r="B477" s="16" t="s">
        <v>220</v>
      </c>
      <c r="C477" s="15" t="str">
        <f>IFERROR(INDEX('قائمة الوحدات'!$B$2:$B$41,MATCH($B477,'قائمة الوحدات'!$A$2:$A$41,0)),"")</f>
        <v>MIL</v>
      </c>
      <c r="D477" s="14" t="str">
        <f>IFERROR(INDEX('قائمة الوحدات'!$C$2:$C$41,MATCH($B477,'قائمة الوحدات'!$A$2:$A$41,0)),"")</f>
        <v>الجهاز العسكري</v>
      </c>
      <c r="E477" s="14" t="str">
        <f>IFERROR(INDEX('قائمة الوحدات'!$D$2:$D$41,MATCH($B477,'قائمة الوحدات'!$A$2:$A$41,0)),"")</f>
        <v>الإدارة العامة للتسليح والعتاد</v>
      </c>
      <c r="F477" s="14" t="str">
        <f>IFERROR(INDEX('قائمة الوحدات'!$F$2:$F$41,MATCH($B477,'قائمة الوحدات'!$A$2:$A$41,0)),"")</f>
        <v>الإدارة العامة للتسليح والعتاد</v>
      </c>
      <c r="G477" s="16" t="s">
        <v>65</v>
      </c>
      <c r="H477" s="14" t="str">
        <f>IFERROR(INDEX(المرجع!$A$2:$A$19,MATCH($G477,المرجع!$B$2:$B$19,0)),"")</f>
        <v>التشغيل</v>
      </c>
      <c r="I477" s="16" t="s">
        <v>51</v>
      </c>
      <c r="J477" s="14" t="str">
        <f>IFERROR(INDEX(المرجع!$D$2:$D$19,MATCH($I477,المرجع!$E$2:$E$19,0)),"")</f>
        <v>الحوكمة</v>
      </c>
      <c r="K477" s="16" t="s">
        <v>122</v>
      </c>
      <c r="L477" s="17" t="str">
        <f>IFERROR(INDEX('نقاط التحقق'!$G$2:$G$31,MATCH($K477,'نقاط التحقق'!$A$2:$A$31,0))&amp;"","")</f>
        <v>نشر السياسات التي تملكها الوحدة التنظيمية</v>
      </c>
      <c r="M477" s="13">
        <v>55</v>
      </c>
      <c r="N477" s="15" t="str">
        <f>IF($M477="","غير مقيّمة",IF($M477&gt;المرجع!$K$3,"مستوفاة بشكل متقدم",IF($M477&lt;=المرجع!$K$2,"مستوفاة بشكل أولي","مستوفاة بشكل جزئي")))</f>
        <v>مستوفاة بشكل جزئي</v>
      </c>
      <c r="O477" s="18"/>
    </row>
    <row r="478" spans="1:15">
      <c r="A478" s="16" t="s">
        <v>1282</v>
      </c>
      <c r="B478" s="16" t="s">
        <v>220</v>
      </c>
      <c r="C478" s="15" t="str">
        <f>IFERROR(INDEX('قائمة الوحدات'!$B$2:$B$41,MATCH($B478,'قائمة الوحدات'!$A$2:$A$41,0)),"")</f>
        <v>MIL</v>
      </c>
      <c r="D478" s="14" t="str">
        <f>IFERROR(INDEX('قائمة الوحدات'!$C$2:$C$41,MATCH($B478,'قائمة الوحدات'!$A$2:$A$41,0)),"")</f>
        <v>الجهاز العسكري</v>
      </c>
      <c r="E478" s="14" t="str">
        <f>IFERROR(INDEX('قائمة الوحدات'!$D$2:$D$41,MATCH($B478,'قائمة الوحدات'!$A$2:$A$41,0)),"")</f>
        <v>الإدارة العامة للتسليح والعتاد</v>
      </c>
      <c r="F478" s="14" t="str">
        <f>IFERROR(INDEX('قائمة الوحدات'!$F$2:$F$41,MATCH($B478,'قائمة الوحدات'!$A$2:$A$41,0)),"")</f>
        <v>الإدارة العامة للتسليح والعتاد</v>
      </c>
      <c r="G478" s="16" t="s">
        <v>65</v>
      </c>
      <c r="H478" s="14" t="str">
        <f>IFERROR(INDEX(المرجع!$A$2:$A$19,MATCH($G478,المرجع!$B$2:$B$19,0)),"")</f>
        <v>التشغيل</v>
      </c>
      <c r="I478" s="16" t="s">
        <v>51</v>
      </c>
      <c r="J478" s="14" t="str">
        <f>IFERROR(INDEX(المرجع!$D$2:$D$19,MATCH($I478,المرجع!$E$2:$E$19,0)),"")</f>
        <v>الحوكمة</v>
      </c>
      <c r="K478" s="16" t="s">
        <v>124</v>
      </c>
      <c r="L478" s="17" t="str">
        <f>IFERROR(INDEX('نقاط التحقق'!$G$2:$G$31,MATCH($K478,'نقاط التحقق'!$A$2:$A$31,0))&amp;"","")</f>
        <v>اتخاذ القرارات في نطاق الصلاحيات (وجود شواهد)</v>
      </c>
      <c r="M478" s="13">
        <v>40</v>
      </c>
      <c r="N478" s="15" t="str">
        <f>IF($M478="","غير مقيّمة",IF($M478&gt;المرجع!$K$3,"مستوفاة بشكل متقدم",IF($M478&lt;=المرجع!$K$2,"مستوفاة بشكل أولي","مستوفاة بشكل جزئي")))</f>
        <v>مستوفاة بشكل جزئي</v>
      </c>
      <c r="O478" s="18"/>
    </row>
    <row r="479" spans="1:15">
      <c r="A479" s="16" t="s">
        <v>1283</v>
      </c>
      <c r="B479" s="16" t="s">
        <v>220</v>
      </c>
      <c r="C479" s="15" t="str">
        <f>IFERROR(INDEX('قائمة الوحدات'!$B$2:$B$41,MATCH($B479,'قائمة الوحدات'!$A$2:$A$41,0)),"")</f>
        <v>MIL</v>
      </c>
      <c r="D479" s="14" t="str">
        <f>IFERROR(INDEX('قائمة الوحدات'!$C$2:$C$41,MATCH($B479,'قائمة الوحدات'!$A$2:$A$41,0)),"")</f>
        <v>الجهاز العسكري</v>
      </c>
      <c r="E479" s="14" t="str">
        <f>IFERROR(INDEX('قائمة الوحدات'!$D$2:$D$41,MATCH($B479,'قائمة الوحدات'!$A$2:$A$41,0)),"")</f>
        <v>الإدارة العامة للتسليح والعتاد</v>
      </c>
      <c r="F479" s="14" t="str">
        <f>IFERROR(INDEX('قائمة الوحدات'!$F$2:$F$41,MATCH($B479,'قائمة الوحدات'!$A$2:$A$41,0)),"")</f>
        <v>الإدارة العامة للتسليح والعتاد</v>
      </c>
      <c r="G479" s="16" t="s">
        <v>65</v>
      </c>
      <c r="H479" s="14" t="str">
        <f>IFERROR(INDEX(المرجع!$A$2:$A$19,MATCH($G479,المرجع!$B$2:$B$19,0)),"")</f>
        <v>التشغيل</v>
      </c>
      <c r="I479" s="16" t="s">
        <v>56</v>
      </c>
      <c r="J479" s="14" t="str">
        <f>IFERROR(INDEX(المرجع!$D$2:$D$19,MATCH($I479,المرجع!$E$2:$E$19,0)),"")</f>
        <v>الموارد</v>
      </c>
      <c r="K479" s="16" t="s">
        <v>126</v>
      </c>
      <c r="L479" s="17" t="str">
        <f>IFERROR(INDEX('نقاط التحقق'!$G$2:$G$31,MATCH($K479,'نقاط التحقق'!$A$2:$A$31,0))&amp;"","")</f>
        <v>موارد مستكملة للحد الأدنى الذي يغطي كافة محاور سلسلة القيمة</v>
      </c>
      <c r="M479" s="13">
        <v>30</v>
      </c>
      <c r="N479" s="15" t="str">
        <f>IF($M479="","غير مقيّمة",IF($M479&gt;المرجع!$K$3,"مستوفاة بشكل متقدم",IF($M479&lt;=المرجع!$K$2,"مستوفاة بشكل أولي","مستوفاة بشكل جزئي")))</f>
        <v>مستوفاة بشكل أولي</v>
      </c>
      <c r="O479" s="18"/>
    </row>
    <row r="480" spans="1:15">
      <c r="A480" s="16" t="s">
        <v>1284</v>
      </c>
      <c r="B480" s="16" t="s">
        <v>220</v>
      </c>
      <c r="C480" s="15" t="str">
        <f>IFERROR(INDEX('قائمة الوحدات'!$B$2:$B$41,MATCH($B480,'قائمة الوحدات'!$A$2:$A$41,0)),"")</f>
        <v>MIL</v>
      </c>
      <c r="D480" s="14" t="str">
        <f>IFERROR(INDEX('قائمة الوحدات'!$C$2:$C$41,MATCH($B480,'قائمة الوحدات'!$A$2:$A$41,0)),"")</f>
        <v>الجهاز العسكري</v>
      </c>
      <c r="E480" s="14" t="str">
        <f>IFERROR(INDEX('قائمة الوحدات'!$D$2:$D$41,MATCH($B480,'قائمة الوحدات'!$A$2:$A$41,0)),"")</f>
        <v>الإدارة العامة للتسليح والعتاد</v>
      </c>
      <c r="F480" s="14" t="str">
        <f>IFERROR(INDEX('قائمة الوحدات'!$F$2:$F$41,MATCH($B480,'قائمة الوحدات'!$A$2:$A$41,0)),"")</f>
        <v>الإدارة العامة للتسليح والعتاد</v>
      </c>
      <c r="G480" s="16" t="s">
        <v>65</v>
      </c>
      <c r="H480" s="14" t="str">
        <f>IFERROR(INDEX(المرجع!$A$2:$A$19,MATCH($G480,المرجع!$B$2:$B$19,0)),"")</f>
        <v>التشغيل</v>
      </c>
      <c r="I480" s="16" t="s">
        <v>59</v>
      </c>
      <c r="J480" s="14" t="str">
        <f>IFERROR(INDEX(المرجع!$D$2:$D$19,MATCH($I480,المرجع!$E$2:$E$19,0)),"")</f>
        <v>الإجراءات</v>
      </c>
      <c r="K480" s="16" t="s">
        <v>128</v>
      </c>
      <c r="L480" s="17" t="str">
        <f>IFERROR(INDEX('نقاط التحقق'!$G$2:$G$31,MATCH($K480,'نقاط التحقق'!$A$2:$A$31,0))&amp;"","")</f>
        <v>تحقيق تقييم "مطبق بشكل كامل" من منهجية تقييم فعالية الإجراءات</v>
      </c>
      <c r="M480" s="13">
        <v>25</v>
      </c>
      <c r="N480" s="15" t="str">
        <f>IF($M480="","غير مقيّمة",IF($M480&gt;المرجع!$K$3,"مستوفاة بشكل متقدم",IF($M480&lt;=المرجع!$K$2,"مستوفاة بشكل أولي","مستوفاة بشكل جزئي")))</f>
        <v>مستوفاة بشكل أولي</v>
      </c>
      <c r="O480" s="18"/>
    </row>
    <row r="481" spans="1:15">
      <c r="A481" s="16" t="s">
        <v>1285</v>
      </c>
      <c r="B481" s="16" t="s">
        <v>220</v>
      </c>
      <c r="C481" s="15" t="str">
        <f>IFERROR(INDEX('قائمة الوحدات'!$B$2:$B$41,MATCH($B481,'قائمة الوحدات'!$A$2:$A$41,0)),"")</f>
        <v>MIL</v>
      </c>
      <c r="D481" s="14" t="str">
        <f>IFERROR(INDEX('قائمة الوحدات'!$C$2:$C$41,MATCH($B481,'قائمة الوحدات'!$A$2:$A$41,0)),"")</f>
        <v>الجهاز العسكري</v>
      </c>
      <c r="E481" s="14" t="str">
        <f>IFERROR(INDEX('قائمة الوحدات'!$D$2:$D$41,MATCH($B481,'قائمة الوحدات'!$A$2:$A$41,0)),"")</f>
        <v>الإدارة العامة للتسليح والعتاد</v>
      </c>
      <c r="F481" s="14" t="str">
        <f>IFERROR(INDEX('قائمة الوحدات'!$F$2:$F$41,MATCH($B481,'قائمة الوحدات'!$A$2:$A$41,0)),"")</f>
        <v>الإدارة العامة للتسليح والعتاد</v>
      </c>
      <c r="G481" s="16" t="s">
        <v>65</v>
      </c>
      <c r="H481" s="14" t="str">
        <f>IFERROR(INDEX(المرجع!$A$2:$A$19,MATCH($G481,المرجع!$B$2:$B$19,0)),"")</f>
        <v>التشغيل</v>
      </c>
      <c r="I481" s="16" t="s">
        <v>67</v>
      </c>
      <c r="J481" s="14" t="str">
        <f>IFERROR(INDEX(المرجع!$D$2:$D$19,MATCH($I481,المرجع!$E$2:$E$19,0)),"")</f>
        <v>اكتمال المخرجات المستهدفة</v>
      </c>
      <c r="K481" s="16" t="s">
        <v>130</v>
      </c>
      <c r="L481" s="17" t="str">
        <f>IFERROR(INDEX('نقاط التحقق'!$G$2:$G$31,MATCH($K481,'نقاط التحقق'!$A$2:$A$31,0))&amp;"","")</f>
        <v>اكتمال مخرجات النموذج التشغيلي المستهدف للوحدة التنظيمية</v>
      </c>
      <c r="M481" s="13">
        <v>36</v>
      </c>
      <c r="N481" s="15" t="str">
        <f>IF($M481="","غير مقيّمة",IF($M481&gt;المرجع!$K$3,"مستوفاة بشكل متقدم",IF($M481&lt;=المرجع!$K$2,"مستوفاة بشكل أولي","مستوفاة بشكل جزئي")))</f>
        <v>مستوفاة بشكل جزئي</v>
      </c>
      <c r="O481" s="18"/>
    </row>
    <row r="482" spans="1:15">
      <c r="A482" s="16" t="s">
        <v>1286</v>
      </c>
      <c r="B482" s="16" t="s">
        <v>222</v>
      </c>
      <c r="C482" s="15" t="str">
        <f>IFERROR(INDEX('قائمة الوحدات'!$B$2:$B$41,MATCH($B482,'قائمة الوحدات'!$A$2:$A$41,0)),"")</f>
        <v>MIL</v>
      </c>
      <c r="D482" s="14" t="str">
        <f>IFERROR(INDEX('قائمة الوحدات'!$C$2:$C$41,MATCH($B482,'قائمة الوحدات'!$A$2:$A$41,0)),"")</f>
        <v>الجهاز العسكري</v>
      </c>
      <c r="E482" s="14" t="str">
        <f>IFERROR(INDEX('قائمة الوحدات'!$D$2:$D$41,MATCH($B482,'قائمة الوحدات'!$A$2:$A$41,0)),"")</f>
        <v>الإدارة العامة للقضاء العسكري</v>
      </c>
      <c r="F482" s="14" t="str">
        <f>IFERROR(INDEX('قائمة الوحدات'!$F$2:$F$41,MATCH($B482,'قائمة الوحدات'!$A$2:$A$41,0)),"")</f>
        <v>الإدارة العامة للقضاء العسكري</v>
      </c>
      <c r="G482" s="16" t="s">
        <v>43</v>
      </c>
      <c r="H482" s="14" t="str">
        <f>IFERROR(INDEX(المرجع!$A$2:$A$19,MATCH($G482,المرجع!$B$2:$B$19,0)),"")</f>
        <v>التصميم</v>
      </c>
      <c r="I482" s="16" t="s">
        <v>45</v>
      </c>
      <c r="J482" s="14" t="str">
        <f>IFERROR(INDEX(المرجع!$D$2:$D$19,MATCH($I482,المرجع!$E$2:$E$19,0)),"")</f>
        <v>الدور</v>
      </c>
      <c r="K482" s="16" t="s">
        <v>72</v>
      </c>
      <c r="L482" s="17" t="str">
        <f>IFERROR(INDEX('نقاط التحقق'!$G$2:$G$31,MATCH($K482,'نقاط التحقق'!$A$2:$A$31,0))&amp;"","")</f>
        <v>دور مفصل للوحدة التنظيمية</v>
      </c>
      <c r="M482" s="13">
        <v>95</v>
      </c>
      <c r="N482" s="15" t="str">
        <f>IF($M482="","غير مقيّمة",IF($M482&gt;المرجع!$K$3,"مستوفاة بشكل متقدم",IF($M482&lt;=المرجع!$K$2,"مستوفاة بشكل أولي","مستوفاة بشكل جزئي")))</f>
        <v>مستوفاة بشكل متقدم</v>
      </c>
      <c r="O482" s="18"/>
    </row>
    <row r="483" spans="1:15">
      <c r="A483" s="16" t="s">
        <v>1287</v>
      </c>
      <c r="B483" s="16" t="s">
        <v>222</v>
      </c>
      <c r="C483" s="15" t="str">
        <f>IFERROR(INDEX('قائمة الوحدات'!$B$2:$B$41,MATCH($B483,'قائمة الوحدات'!$A$2:$A$41,0)),"")</f>
        <v>MIL</v>
      </c>
      <c r="D483" s="14" t="str">
        <f>IFERROR(INDEX('قائمة الوحدات'!$C$2:$C$41,MATCH($B483,'قائمة الوحدات'!$A$2:$A$41,0)),"")</f>
        <v>الجهاز العسكري</v>
      </c>
      <c r="E483" s="14" t="str">
        <f>IFERROR(INDEX('قائمة الوحدات'!$D$2:$D$41,MATCH($B483,'قائمة الوحدات'!$A$2:$A$41,0)),"")</f>
        <v>الإدارة العامة للقضاء العسكري</v>
      </c>
      <c r="F483" s="14" t="str">
        <f>IFERROR(INDEX('قائمة الوحدات'!$F$2:$F$41,MATCH($B483,'قائمة الوحدات'!$A$2:$A$41,0)),"")</f>
        <v>الإدارة العامة للقضاء العسكري</v>
      </c>
      <c r="G483" s="16" t="s">
        <v>43</v>
      </c>
      <c r="H483" s="14" t="str">
        <f>IFERROR(INDEX(المرجع!$A$2:$A$19,MATCH($G483,المرجع!$B$2:$B$19,0)),"")</f>
        <v>التصميم</v>
      </c>
      <c r="I483" s="16" t="s">
        <v>48</v>
      </c>
      <c r="J483" s="14" t="str">
        <f>IFERROR(INDEX(المرجع!$D$2:$D$19,MATCH($I483,المرجع!$E$2:$E$19,0)),"")</f>
        <v>الأهداف ومؤشرات الأداء</v>
      </c>
      <c r="K483" s="16" t="s">
        <v>74</v>
      </c>
      <c r="L483" s="17" t="str">
        <f>IFERROR(INDEX('نقاط التحقق'!$G$2:$G$31,MATCH($K483,'نقاط التحقق'!$A$2:$A$31,0))&amp;"","")</f>
        <v>أهداف محددة للوحدة التنظيمية وربطها بمؤشرات أداء لقياسها</v>
      </c>
      <c r="M483" s="13">
        <v>90</v>
      </c>
      <c r="N483" s="15" t="str">
        <f>IF($M483="","غير مقيّمة",IF($M483&gt;المرجع!$K$3,"مستوفاة بشكل متقدم",IF($M483&lt;=المرجع!$K$2,"مستوفاة بشكل أولي","مستوفاة بشكل جزئي")))</f>
        <v>مستوفاة بشكل متقدم</v>
      </c>
      <c r="O483" s="18"/>
    </row>
    <row r="484" spans="1:15">
      <c r="A484" s="16" t="s">
        <v>1288</v>
      </c>
      <c r="B484" s="16" t="s">
        <v>222</v>
      </c>
      <c r="C484" s="15" t="str">
        <f>IFERROR(INDEX('قائمة الوحدات'!$B$2:$B$41,MATCH($B484,'قائمة الوحدات'!$A$2:$A$41,0)),"")</f>
        <v>MIL</v>
      </c>
      <c r="D484" s="14" t="str">
        <f>IFERROR(INDEX('قائمة الوحدات'!$C$2:$C$41,MATCH($B484,'قائمة الوحدات'!$A$2:$A$41,0)),"")</f>
        <v>الجهاز العسكري</v>
      </c>
      <c r="E484" s="14" t="str">
        <f>IFERROR(INDEX('قائمة الوحدات'!$D$2:$D$41,MATCH($B484,'قائمة الوحدات'!$A$2:$A$41,0)),"")</f>
        <v>الإدارة العامة للقضاء العسكري</v>
      </c>
      <c r="F484" s="14" t="str">
        <f>IFERROR(INDEX('قائمة الوحدات'!$F$2:$F$41,MATCH($B484,'قائمة الوحدات'!$A$2:$A$41,0)),"")</f>
        <v>الإدارة العامة للقضاء العسكري</v>
      </c>
      <c r="G484" s="16" t="s">
        <v>43</v>
      </c>
      <c r="H484" s="14" t="str">
        <f>IFERROR(INDEX(المرجع!$A$2:$A$19,MATCH($G484,المرجع!$B$2:$B$19,0)),"")</f>
        <v>التصميم</v>
      </c>
      <c r="I484" s="16" t="s">
        <v>48</v>
      </c>
      <c r="J484" s="14" t="str">
        <f>IFERROR(INDEX(المرجع!$D$2:$D$19,MATCH($I484,المرجع!$E$2:$E$19,0)),"")</f>
        <v>الأهداف ومؤشرات الأداء</v>
      </c>
      <c r="K484" s="16" t="s">
        <v>76</v>
      </c>
      <c r="L484" s="17" t="str">
        <f>IFERROR(INDEX('نقاط التحقق'!$G$2:$G$31,MATCH($K484,'نقاط التحقق'!$A$2:$A$31,0))&amp;"","")</f>
        <v>مؤشرات أداء الوحدة التنظيمية</v>
      </c>
      <c r="M484" s="13">
        <v>75</v>
      </c>
      <c r="N484" s="15" t="str">
        <f>IF($M484="","غير مقيّمة",IF($M484&gt;المرجع!$K$3,"مستوفاة بشكل متقدم",IF($M484&lt;=المرجع!$K$2,"مستوفاة بشكل أولي","مستوفاة بشكل جزئي")))</f>
        <v>مستوفاة بشكل متقدم</v>
      </c>
      <c r="O484" s="18"/>
    </row>
    <row r="485" spans="1:15">
      <c r="A485" s="16" t="s">
        <v>1289</v>
      </c>
      <c r="B485" s="16" t="s">
        <v>222</v>
      </c>
      <c r="C485" s="15" t="str">
        <f>IFERROR(INDEX('قائمة الوحدات'!$B$2:$B$41,MATCH($B485,'قائمة الوحدات'!$A$2:$A$41,0)),"")</f>
        <v>MIL</v>
      </c>
      <c r="D485" s="14" t="str">
        <f>IFERROR(INDEX('قائمة الوحدات'!$C$2:$C$41,MATCH($B485,'قائمة الوحدات'!$A$2:$A$41,0)),"")</f>
        <v>الجهاز العسكري</v>
      </c>
      <c r="E485" s="14" t="str">
        <f>IFERROR(INDEX('قائمة الوحدات'!$D$2:$D$41,MATCH($B485,'قائمة الوحدات'!$A$2:$A$41,0)),"")</f>
        <v>الإدارة العامة للقضاء العسكري</v>
      </c>
      <c r="F485" s="14" t="str">
        <f>IFERROR(INDEX('قائمة الوحدات'!$F$2:$F$41,MATCH($B485,'قائمة الوحدات'!$A$2:$A$41,0)),"")</f>
        <v>الإدارة العامة للقضاء العسكري</v>
      </c>
      <c r="G485" s="16" t="s">
        <v>43</v>
      </c>
      <c r="H485" s="14" t="str">
        <f>IFERROR(INDEX(المرجع!$A$2:$A$19,MATCH($G485,المرجع!$B$2:$B$19,0)),"")</f>
        <v>التصميم</v>
      </c>
      <c r="I485" s="16" t="s">
        <v>51</v>
      </c>
      <c r="J485" s="14" t="str">
        <f>IFERROR(INDEX(المرجع!$D$2:$D$19,MATCH($I485,المرجع!$E$2:$E$19,0)),"")</f>
        <v>الحوكمة</v>
      </c>
      <c r="K485" s="16" t="s">
        <v>78</v>
      </c>
      <c r="L485" s="17" t="str">
        <f>IFERROR(INDEX('نقاط التحقق'!$G$2:$G$31,MATCH($K485,'نقاط التحقق'!$A$2:$A$31,0))&amp;"","")</f>
        <v>تفصيل القرارات ومصفوفة الصلاحيات واللجان ذات العلاقة لاعتماد مخرجات الوحدة التنظيمية</v>
      </c>
      <c r="M485" s="13">
        <v>92</v>
      </c>
      <c r="N485" s="15" t="str">
        <f>IF($M485="","غير مقيّمة",IF($M485&gt;المرجع!$K$3,"مستوفاة بشكل متقدم",IF($M485&lt;=المرجع!$K$2,"مستوفاة بشكل أولي","مستوفاة بشكل جزئي")))</f>
        <v>مستوفاة بشكل متقدم</v>
      </c>
      <c r="O485" s="18"/>
    </row>
    <row r="486" spans="1:15">
      <c r="A486" s="16" t="s">
        <v>1290</v>
      </c>
      <c r="B486" s="16" t="s">
        <v>222</v>
      </c>
      <c r="C486" s="15" t="str">
        <f>IFERROR(INDEX('قائمة الوحدات'!$B$2:$B$41,MATCH($B486,'قائمة الوحدات'!$A$2:$A$41,0)),"")</f>
        <v>MIL</v>
      </c>
      <c r="D486" s="14" t="str">
        <f>IFERROR(INDEX('قائمة الوحدات'!$C$2:$C$41,MATCH($B486,'قائمة الوحدات'!$A$2:$A$41,0)),"")</f>
        <v>الجهاز العسكري</v>
      </c>
      <c r="E486" s="14" t="str">
        <f>IFERROR(INDEX('قائمة الوحدات'!$D$2:$D$41,MATCH($B486,'قائمة الوحدات'!$A$2:$A$41,0)),"")</f>
        <v>الإدارة العامة للقضاء العسكري</v>
      </c>
      <c r="F486" s="14" t="str">
        <f>IFERROR(INDEX('قائمة الوحدات'!$F$2:$F$41,MATCH($B486,'قائمة الوحدات'!$A$2:$A$41,0)),"")</f>
        <v>الإدارة العامة للقضاء العسكري</v>
      </c>
      <c r="G486" s="16" t="s">
        <v>43</v>
      </c>
      <c r="H486" s="14" t="str">
        <f>IFERROR(INDEX(المرجع!$A$2:$A$19,MATCH($G486,المرجع!$B$2:$B$19,0)),"")</f>
        <v>التصميم</v>
      </c>
      <c r="I486" s="16" t="s">
        <v>54</v>
      </c>
      <c r="J486" s="14" t="str">
        <f>IFERROR(INDEX(المرجع!$D$2:$D$19,MATCH($I486,المرجع!$E$2:$E$19,0)),"")</f>
        <v>التنظيم</v>
      </c>
      <c r="K486" s="16" t="s">
        <v>80</v>
      </c>
      <c r="L486" s="17" t="str">
        <f>IFERROR(INDEX('نقاط التحقق'!$G$2:$G$31,MATCH($K486,'نقاط التحقق'!$A$2:$A$31,0))&amp;"","")</f>
        <v>تطوير الأدوار والمسؤوليات للوحدة التنظيمية وتفصيل الهيكل التنظيمي</v>
      </c>
      <c r="M486" s="13">
        <v>95</v>
      </c>
      <c r="N486" s="15" t="str">
        <f>IF($M486="","غير مقيّمة",IF($M486&gt;المرجع!$K$3,"مستوفاة بشكل متقدم",IF($M486&lt;=المرجع!$K$2,"مستوفاة بشكل أولي","مستوفاة بشكل جزئي")))</f>
        <v>مستوفاة بشكل متقدم</v>
      </c>
      <c r="O486" s="18"/>
    </row>
    <row r="487" spans="1:15">
      <c r="A487" s="16" t="s">
        <v>1291</v>
      </c>
      <c r="B487" s="16" t="s">
        <v>222</v>
      </c>
      <c r="C487" s="15" t="str">
        <f>IFERROR(INDEX('قائمة الوحدات'!$B$2:$B$41,MATCH($B487,'قائمة الوحدات'!$A$2:$A$41,0)),"")</f>
        <v>MIL</v>
      </c>
      <c r="D487" s="14" t="str">
        <f>IFERROR(INDEX('قائمة الوحدات'!$C$2:$C$41,MATCH($B487,'قائمة الوحدات'!$A$2:$A$41,0)),"")</f>
        <v>الجهاز العسكري</v>
      </c>
      <c r="E487" s="14" t="str">
        <f>IFERROR(INDEX('قائمة الوحدات'!$D$2:$D$41,MATCH($B487,'قائمة الوحدات'!$A$2:$A$41,0)),"")</f>
        <v>الإدارة العامة للقضاء العسكري</v>
      </c>
      <c r="F487" s="14" t="str">
        <f>IFERROR(INDEX('قائمة الوحدات'!$F$2:$F$41,MATCH($B487,'قائمة الوحدات'!$A$2:$A$41,0)),"")</f>
        <v>الإدارة العامة للقضاء العسكري</v>
      </c>
      <c r="G487" s="16" t="s">
        <v>43</v>
      </c>
      <c r="H487" s="14" t="str">
        <f>IFERROR(INDEX(المرجع!$A$2:$A$19,MATCH($G487,المرجع!$B$2:$B$19,0)),"")</f>
        <v>التصميم</v>
      </c>
      <c r="I487" s="16" t="s">
        <v>56</v>
      </c>
      <c r="J487" s="14" t="str">
        <f>IFERROR(INDEX(المرجع!$D$2:$D$19,MATCH($I487,المرجع!$E$2:$E$19,0)),"")</f>
        <v>الموارد</v>
      </c>
      <c r="K487" s="16" t="s">
        <v>82</v>
      </c>
      <c r="L487" s="17" t="str">
        <f>IFERROR(INDEX('نقاط التحقق'!$G$2:$G$31,MATCH($K487,'نقاط التحقق'!$A$2:$A$31,0))&amp;"","")</f>
        <v>تفصيل احتياج الموارد البشرية للوحدة التنظيمية</v>
      </c>
      <c r="M487" s="13">
        <v>73</v>
      </c>
      <c r="N487" s="15" t="str">
        <f>IF($M487="","غير مقيّمة",IF($M487&gt;المرجع!$K$3,"مستوفاة بشكل متقدم",IF($M487&lt;=المرجع!$K$2,"مستوفاة بشكل أولي","مستوفاة بشكل جزئي")))</f>
        <v>مستوفاة بشكل متقدم</v>
      </c>
      <c r="O487" s="18"/>
    </row>
    <row r="488" spans="1:15">
      <c r="A488" s="16" t="s">
        <v>1292</v>
      </c>
      <c r="B488" s="16" t="s">
        <v>222</v>
      </c>
      <c r="C488" s="15" t="str">
        <f>IFERROR(INDEX('قائمة الوحدات'!$B$2:$B$41,MATCH($B488,'قائمة الوحدات'!$A$2:$A$41,0)),"")</f>
        <v>MIL</v>
      </c>
      <c r="D488" s="14" t="str">
        <f>IFERROR(INDEX('قائمة الوحدات'!$C$2:$C$41,MATCH($B488,'قائمة الوحدات'!$A$2:$A$41,0)),"")</f>
        <v>الجهاز العسكري</v>
      </c>
      <c r="E488" s="14" t="str">
        <f>IFERROR(INDEX('قائمة الوحدات'!$D$2:$D$41,MATCH($B488,'قائمة الوحدات'!$A$2:$A$41,0)),"")</f>
        <v>الإدارة العامة للقضاء العسكري</v>
      </c>
      <c r="F488" s="14" t="str">
        <f>IFERROR(INDEX('قائمة الوحدات'!$F$2:$F$41,MATCH($B488,'قائمة الوحدات'!$A$2:$A$41,0)),"")</f>
        <v>الإدارة العامة للقضاء العسكري</v>
      </c>
      <c r="G488" s="16" t="s">
        <v>43</v>
      </c>
      <c r="H488" s="14" t="str">
        <f>IFERROR(INDEX(المرجع!$A$2:$A$19,MATCH($G488,المرجع!$B$2:$B$19,0)),"")</f>
        <v>التصميم</v>
      </c>
      <c r="I488" s="16" t="s">
        <v>59</v>
      </c>
      <c r="J488" s="14" t="str">
        <f>IFERROR(INDEX(المرجع!$D$2:$D$19,MATCH($I488,المرجع!$E$2:$E$19,0)),"")</f>
        <v>الإجراءات</v>
      </c>
      <c r="K488" s="16" t="s">
        <v>84</v>
      </c>
      <c r="L488" s="17" t="str">
        <f>IFERROR(INDEX('نقاط التحقق'!$G$2:$G$31,MATCH($K488,'نقاط التحقق'!$A$2:$A$31,0))&amp;"","")</f>
        <v>تفصيل المخرجات إلى إجراءات عالية المستوى</v>
      </c>
      <c r="M488" s="13">
        <v>74</v>
      </c>
      <c r="N488" s="15" t="str">
        <f>IF($M488="","غير مقيّمة",IF($M488&gt;المرجع!$K$3,"مستوفاة بشكل متقدم",IF($M488&lt;=المرجع!$K$2,"مستوفاة بشكل أولي","مستوفاة بشكل جزئي")))</f>
        <v>مستوفاة بشكل متقدم</v>
      </c>
      <c r="O488" s="18"/>
    </row>
    <row r="489" spans="1:15">
      <c r="A489" s="16" t="s">
        <v>1293</v>
      </c>
      <c r="B489" s="16" t="s">
        <v>222</v>
      </c>
      <c r="C489" s="15" t="str">
        <f>IFERROR(INDEX('قائمة الوحدات'!$B$2:$B$41,MATCH($B489,'قائمة الوحدات'!$A$2:$A$41,0)),"")</f>
        <v>MIL</v>
      </c>
      <c r="D489" s="14" t="str">
        <f>IFERROR(INDEX('قائمة الوحدات'!$C$2:$C$41,MATCH($B489,'قائمة الوحدات'!$A$2:$A$41,0)),"")</f>
        <v>الجهاز العسكري</v>
      </c>
      <c r="E489" s="14" t="str">
        <f>IFERROR(INDEX('قائمة الوحدات'!$D$2:$D$41,MATCH($B489,'قائمة الوحدات'!$A$2:$A$41,0)),"")</f>
        <v>الإدارة العامة للقضاء العسكري</v>
      </c>
      <c r="F489" s="14" t="str">
        <f>IFERROR(INDEX('قائمة الوحدات'!$F$2:$F$41,MATCH($B489,'قائمة الوحدات'!$A$2:$A$41,0)),"")</f>
        <v>الإدارة العامة للقضاء العسكري</v>
      </c>
      <c r="G489" s="16" t="s">
        <v>61</v>
      </c>
      <c r="H489" s="14" t="str">
        <f>IFERROR(INDEX(المرجع!$A$2:$A$19,MATCH($G489,المرجع!$B$2:$B$19,0)),"")</f>
        <v>البناء المؤسسي</v>
      </c>
      <c r="I489" s="16" t="s">
        <v>45</v>
      </c>
      <c r="J489" s="14" t="str">
        <f>IFERROR(INDEX(المرجع!$D$2:$D$19,MATCH($I489,المرجع!$E$2:$E$19,0)),"")</f>
        <v>الدور</v>
      </c>
      <c r="K489" s="16" t="s">
        <v>86</v>
      </c>
      <c r="L489" s="17" t="str">
        <f>IFERROR(INDEX('نقاط التحقق'!$G$2:$G$31,MATCH($K489,'نقاط التحقق'!$A$2:$A$31,0))&amp;"","")</f>
        <v>دور معتمد للوحدة التنظيمية</v>
      </c>
      <c r="M489" s="13">
        <v>88</v>
      </c>
      <c r="N489" s="15" t="str">
        <f>IF($M489="","غير مقيّمة",IF($M489&gt;المرجع!$K$3,"مستوفاة بشكل متقدم",IF($M489&lt;=المرجع!$K$2,"مستوفاة بشكل أولي","مستوفاة بشكل جزئي")))</f>
        <v>مستوفاة بشكل متقدم</v>
      </c>
      <c r="O489" s="18"/>
    </row>
    <row r="490" spans="1:15">
      <c r="A490" s="16" t="s">
        <v>1294</v>
      </c>
      <c r="B490" s="16" t="s">
        <v>222</v>
      </c>
      <c r="C490" s="15" t="str">
        <f>IFERROR(INDEX('قائمة الوحدات'!$B$2:$B$41,MATCH($B490,'قائمة الوحدات'!$A$2:$A$41,0)),"")</f>
        <v>MIL</v>
      </c>
      <c r="D490" s="14" t="str">
        <f>IFERROR(INDEX('قائمة الوحدات'!$C$2:$C$41,MATCH($B490,'قائمة الوحدات'!$A$2:$A$41,0)),"")</f>
        <v>الجهاز العسكري</v>
      </c>
      <c r="E490" s="14" t="str">
        <f>IFERROR(INDEX('قائمة الوحدات'!$D$2:$D$41,MATCH($B490,'قائمة الوحدات'!$A$2:$A$41,0)),"")</f>
        <v>الإدارة العامة للقضاء العسكري</v>
      </c>
      <c r="F490" s="14" t="str">
        <f>IFERROR(INDEX('قائمة الوحدات'!$F$2:$F$41,MATCH($B490,'قائمة الوحدات'!$A$2:$A$41,0)),"")</f>
        <v>الإدارة العامة للقضاء العسكري</v>
      </c>
      <c r="G490" s="16" t="s">
        <v>61</v>
      </c>
      <c r="H490" s="14" t="str">
        <f>IFERROR(INDEX(المرجع!$A$2:$A$19,MATCH($G490,المرجع!$B$2:$B$19,0)),"")</f>
        <v>البناء المؤسسي</v>
      </c>
      <c r="I490" s="16" t="s">
        <v>48</v>
      </c>
      <c r="J490" s="14" t="str">
        <f>IFERROR(INDEX(المرجع!$D$2:$D$19,MATCH($I490,المرجع!$E$2:$E$19,0)),"")</f>
        <v>الأهداف ومؤشرات الأداء</v>
      </c>
      <c r="K490" s="16" t="s">
        <v>88</v>
      </c>
      <c r="L490" s="17" t="str">
        <f>IFERROR(INDEX('نقاط التحقق'!$G$2:$G$31,MATCH($K490,'نقاط التحقق'!$A$2:$A$31,0))&amp;"","")</f>
        <v>أهداف تشغيلية معتمدة من صاحب الصلاحية</v>
      </c>
      <c r="M490" s="13">
        <v>60</v>
      </c>
      <c r="N490" s="15" t="str">
        <f>IF($M490="","غير مقيّمة",IF($M490&gt;المرجع!$K$3,"مستوفاة بشكل متقدم",IF($M490&lt;=المرجع!$K$2,"مستوفاة بشكل أولي","مستوفاة بشكل جزئي")))</f>
        <v>مستوفاة بشكل جزئي</v>
      </c>
      <c r="O490" s="18"/>
    </row>
    <row r="491" spans="1:15">
      <c r="A491" s="16" t="s">
        <v>1295</v>
      </c>
      <c r="B491" s="16" t="s">
        <v>222</v>
      </c>
      <c r="C491" s="15" t="str">
        <f>IFERROR(INDEX('قائمة الوحدات'!$B$2:$B$41,MATCH($B491,'قائمة الوحدات'!$A$2:$A$41,0)),"")</f>
        <v>MIL</v>
      </c>
      <c r="D491" s="14" t="str">
        <f>IFERROR(INDEX('قائمة الوحدات'!$C$2:$C$41,MATCH($B491,'قائمة الوحدات'!$A$2:$A$41,0)),"")</f>
        <v>الجهاز العسكري</v>
      </c>
      <c r="E491" s="14" t="str">
        <f>IFERROR(INDEX('قائمة الوحدات'!$D$2:$D$41,MATCH($B491,'قائمة الوحدات'!$A$2:$A$41,0)),"")</f>
        <v>الإدارة العامة للقضاء العسكري</v>
      </c>
      <c r="F491" s="14" t="str">
        <f>IFERROR(INDEX('قائمة الوحدات'!$F$2:$F$41,MATCH($B491,'قائمة الوحدات'!$A$2:$A$41,0)),"")</f>
        <v>الإدارة العامة للقضاء العسكري</v>
      </c>
      <c r="G491" s="16" t="s">
        <v>61</v>
      </c>
      <c r="H491" s="14" t="str">
        <f>IFERROR(INDEX(المرجع!$A$2:$A$19,MATCH($G491,المرجع!$B$2:$B$19,0)),"")</f>
        <v>البناء المؤسسي</v>
      </c>
      <c r="I491" s="16" t="s">
        <v>48</v>
      </c>
      <c r="J491" s="14" t="str">
        <f>IFERROR(INDEX(المرجع!$D$2:$D$19,MATCH($I491,المرجع!$E$2:$E$19,0)),"")</f>
        <v>الأهداف ومؤشرات الأداء</v>
      </c>
      <c r="K491" s="16" t="s">
        <v>90</v>
      </c>
      <c r="L491" s="17" t="str">
        <f>IFERROR(INDEX('نقاط التحقق'!$G$2:$G$31,MATCH($K491,'نقاط التحقق'!$A$2:$A$31,0))&amp;"","")</f>
        <v>نشر الأهداف التشغيلية على موظفي الوحدة التنظيمية</v>
      </c>
      <c r="M491" s="13">
        <v>80</v>
      </c>
      <c r="N491" s="15" t="str">
        <f>IF($M491="","غير مقيّمة",IF($M491&gt;المرجع!$K$3,"مستوفاة بشكل متقدم",IF($M491&lt;=المرجع!$K$2,"مستوفاة بشكل أولي","مستوفاة بشكل جزئي")))</f>
        <v>مستوفاة بشكل متقدم</v>
      </c>
      <c r="O491" s="18"/>
    </row>
    <row r="492" spans="1:15">
      <c r="A492" s="16" t="s">
        <v>1296</v>
      </c>
      <c r="B492" s="16" t="s">
        <v>222</v>
      </c>
      <c r="C492" s="15" t="str">
        <f>IFERROR(INDEX('قائمة الوحدات'!$B$2:$B$41,MATCH($B492,'قائمة الوحدات'!$A$2:$A$41,0)),"")</f>
        <v>MIL</v>
      </c>
      <c r="D492" s="14" t="str">
        <f>IFERROR(INDEX('قائمة الوحدات'!$C$2:$C$41,MATCH($B492,'قائمة الوحدات'!$A$2:$A$41,0)),"")</f>
        <v>الجهاز العسكري</v>
      </c>
      <c r="E492" s="14" t="str">
        <f>IFERROR(INDEX('قائمة الوحدات'!$D$2:$D$41,MATCH($B492,'قائمة الوحدات'!$A$2:$A$41,0)),"")</f>
        <v>الإدارة العامة للقضاء العسكري</v>
      </c>
      <c r="F492" s="14" t="str">
        <f>IFERROR(INDEX('قائمة الوحدات'!$F$2:$F$41,MATCH($B492,'قائمة الوحدات'!$A$2:$A$41,0)),"")</f>
        <v>الإدارة العامة للقضاء العسكري</v>
      </c>
      <c r="G492" s="16" t="s">
        <v>61</v>
      </c>
      <c r="H492" s="14" t="str">
        <f>IFERROR(INDEX(المرجع!$A$2:$A$19,MATCH($G492,المرجع!$B$2:$B$19,0)),"")</f>
        <v>البناء المؤسسي</v>
      </c>
      <c r="I492" s="16" t="s">
        <v>51</v>
      </c>
      <c r="J492" s="14" t="str">
        <f>IFERROR(INDEX(المرجع!$D$2:$D$19,MATCH($I492,المرجع!$E$2:$E$19,0)),"")</f>
        <v>الحوكمة</v>
      </c>
      <c r="K492" s="16" t="s">
        <v>92</v>
      </c>
      <c r="L492" s="17" t="str">
        <f>IFERROR(INDEX('نقاط التحقق'!$G$2:$G$31,MATCH($K492,'نقاط التحقق'!$A$2:$A$31,0))&amp;"","")</f>
        <v>مصفوفة صلاحيات معتمدة ومعممة على أصحاب المصلحة</v>
      </c>
      <c r="M492" s="13">
        <v>60</v>
      </c>
      <c r="N492" s="15" t="str">
        <f>IF($M492="","غير مقيّمة",IF($M492&gt;المرجع!$K$3,"مستوفاة بشكل متقدم",IF($M492&lt;=المرجع!$K$2,"مستوفاة بشكل أولي","مستوفاة بشكل جزئي")))</f>
        <v>مستوفاة بشكل جزئي</v>
      </c>
      <c r="O492" s="18"/>
    </row>
    <row r="493" spans="1:15">
      <c r="A493" s="16" t="s">
        <v>1297</v>
      </c>
      <c r="B493" s="16" t="s">
        <v>222</v>
      </c>
      <c r="C493" s="15" t="str">
        <f>IFERROR(INDEX('قائمة الوحدات'!$B$2:$B$41,MATCH($B493,'قائمة الوحدات'!$A$2:$A$41,0)),"")</f>
        <v>MIL</v>
      </c>
      <c r="D493" s="14" t="str">
        <f>IFERROR(INDEX('قائمة الوحدات'!$C$2:$C$41,MATCH($B493,'قائمة الوحدات'!$A$2:$A$41,0)),"")</f>
        <v>الجهاز العسكري</v>
      </c>
      <c r="E493" s="14" t="str">
        <f>IFERROR(INDEX('قائمة الوحدات'!$D$2:$D$41,MATCH($B493,'قائمة الوحدات'!$A$2:$A$41,0)),"")</f>
        <v>الإدارة العامة للقضاء العسكري</v>
      </c>
      <c r="F493" s="14" t="str">
        <f>IFERROR(INDEX('قائمة الوحدات'!$F$2:$F$41,MATCH($B493,'قائمة الوحدات'!$A$2:$A$41,0)),"")</f>
        <v>الإدارة العامة للقضاء العسكري</v>
      </c>
      <c r="G493" s="16" t="s">
        <v>61</v>
      </c>
      <c r="H493" s="14" t="str">
        <f>IFERROR(INDEX(المرجع!$A$2:$A$19,MATCH($G493,المرجع!$B$2:$B$19,0)),"")</f>
        <v>البناء المؤسسي</v>
      </c>
      <c r="I493" s="16" t="s">
        <v>51</v>
      </c>
      <c r="J493" s="14" t="str">
        <f>IFERROR(INDEX(المرجع!$D$2:$D$19,MATCH($I493,المرجع!$E$2:$E$19,0)),"")</f>
        <v>الحوكمة</v>
      </c>
      <c r="K493" s="16" t="s">
        <v>94</v>
      </c>
      <c r="L493" s="17" t="str">
        <f>IFERROR(INDEX('نقاط التحقق'!$G$2:$G$31,MATCH($K493,'نقاط التحقق'!$A$2:$A$31,0))&amp;"","")</f>
        <v>سياسات معتمدة للتي تملكها الوحدة التنظيمية</v>
      </c>
      <c r="M493" s="13">
        <v>35</v>
      </c>
      <c r="N493" s="15" t="str">
        <f>IF($M493="","غير مقيّمة",IF($M493&gt;المرجع!$K$3,"مستوفاة بشكل متقدم",IF($M493&lt;=المرجع!$K$2,"مستوفاة بشكل أولي","مستوفاة بشكل جزئي")))</f>
        <v>مستوفاة بشكل جزئي</v>
      </c>
      <c r="O493" s="18"/>
    </row>
    <row r="494" spans="1:15">
      <c r="A494" s="16" t="s">
        <v>1298</v>
      </c>
      <c r="B494" s="16" t="s">
        <v>222</v>
      </c>
      <c r="C494" s="15" t="str">
        <f>IFERROR(INDEX('قائمة الوحدات'!$B$2:$B$41,MATCH($B494,'قائمة الوحدات'!$A$2:$A$41,0)),"")</f>
        <v>MIL</v>
      </c>
      <c r="D494" s="14" t="str">
        <f>IFERROR(INDEX('قائمة الوحدات'!$C$2:$C$41,MATCH($B494,'قائمة الوحدات'!$A$2:$A$41,0)),"")</f>
        <v>الجهاز العسكري</v>
      </c>
      <c r="E494" s="14" t="str">
        <f>IFERROR(INDEX('قائمة الوحدات'!$D$2:$D$41,MATCH($B494,'قائمة الوحدات'!$A$2:$A$41,0)),"")</f>
        <v>الإدارة العامة للقضاء العسكري</v>
      </c>
      <c r="F494" s="14" t="str">
        <f>IFERROR(INDEX('قائمة الوحدات'!$F$2:$F$41,MATCH($B494,'قائمة الوحدات'!$A$2:$A$41,0)),"")</f>
        <v>الإدارة العامة للقضاء العسكري</v>
      </c>
      <c r="G494" s="16" t="s">
        <v>61</v>
      </c>
      <c r="H494" s="14" t="str">
        <f>IFERROR(INDEX(المرجع!$A$2:$A$19,MATCH($G494,المرجع!$B$2:$B$19,0)),"")</f>
        <v>البناء المؤسسي</v>
      </c>
      <c r="I494" s="16" t="s">
        <v>51</v>
      </c>
      <c r="J494" s="14" t="str">
        <f>IFERROR(INDEX(المرجع!$D$2:$D$19,MATCH($I494,المرجع!$E$2:$E$19,0)),"")</f>
        <v>الحوكمة</v>
      </c>
      <c r="K494" s="16" t="s">
        <v>96</v>
      </c>
      <c r="L494" s="17" t="str">
        <f>IFERROR(INDEX('نقاط التحقق'!$G$2:$G$31,MATCH($K494,'نقاط التحقق'!$A$2:$A$31,0))&amp;"","")</f>
        <v>قرار تشكيل معتمد للجان ذات العلاقة</v>
      </c>
      <c r="M494" s="13">
        <v>35</v>
      </c>
      <c r="N494" s="15" t="str">
        <f>IF($M494="","غير مقيّمة",IF($M494&gt;المرجع!$K$3,"مستوفاة بشكل متقدم",IF($M494&lt;=المرجع!$K$2,"مستوفاة بشكل أولي","مستوفاة بشكل جزئي")))</f>
        <v>مستوفاة بشكل جزئي</v>
      </c>
      <c r="O494" s="18"/>
    </row>
    <row r="495" spans="1:15">
      <c r="A495" s="16" t="s">
        <v>1299</v>
      </c>
      <c r="B495" s="16" t="s">
        <v>222</v>
      </c>
      <c r="C495" s="15" t="str">
        <f>IFERROR(INDEX('قائمة الوحدات'!$B$2:$B$41,MATCH($B495,'قائمة الوحدات'!$A$2:$A$41,0)),"")</f>
        <v>MIL</v>
      </c>
      <c r="D495" s="14" t="str">
        <f>IFERROR(INDEX('قائمة الوحدات'!$C$2:$C$41,MATCH($B495,'قائمة الوحدات'!$A$2:$A$41,0)),"")</f>
        <v>الجهاز العسكري</v>
      </c>
      <c r="E495" s="14" t="str">
        <f>IFERROR(INDEX('قائمة الوحدات'!$D$2:$D$41,MATCH($B495,'قائمة الوحدات'!$A$2:$A$41,0)),"")</f>
        <v>الإدارة العامة للقضاء العسكري</v>
      </c>
      <c r="F495" s="14" t="str">
        <f>IFERROR(INDEX('قائمة الوحدات'!$F$2:$F$41,MATCH($B495,'قائمة الوحدات'!$A$2:$A$41,0)),"")</f>
        <v>الإدارة العامة للقضاء العسكري</v>
      </c>
      <c r="G495" s="16" t="s">
        <v>61</v>
      </c>
      <c r="H495" s="14" t="str">
        <f>IFERROR(INDEX(المرجع!$A$2:$A$19,MATCH($G495,المرجع!$B$2:$B$19,0)),"")</f>
        <v>البناء المؤسسي</v>
      </c>
      <c r="I495" s="16" t="s">
        <v>54</v>
      </c>
      <c r="J495" s="14" t="str">
        <f>IFERROR(INDEX(المرجع!$D$2:$D$19,MATCH($I495,المرجع!$E$2:$E$19,0)),"")</f>
        <v>التنظيم</v>
      </c>
      <c r="K495" s="16" t="s">
        <v>98</v>
      </c>
      <c r="L495" s="17" t="str">
        <f>IFERROR(INDEX('نقاط التحقق'!$G$2:$G$31,MATCH($K495,'نقاط التحقق'!$A$2:$A$31,0))&amp;"","")</f>
        <v>هيكل تنظيمي معتمد من صاحب الصلاحية</v>
      </c>
      <c r="M495" s="13">
        <v>65</v>
      </c>
      <c r="N495" s="15" t="str">
        <f>IF($M495="","غير مقيّمة",IF($M495&gt;المرجع!$K$3,"مستوفاة بشكل متقدم",IF($M495&lt;=المرجع!$K$2,"مستوفاة بشكل أولي","مستوفاة بشكل جزئي")))</f>
        <v>مستوفاة بشكل جزئي</v>
      </c>
      <c r="O495" s="18"/>
    </row>
    <row r="496" spans="1:15">
      <c r="A496" s="16" t="s">
        <v>1300</v>
      </c>
      <c r="B496" s="16" t="s">
        <v>222</v>
      </c>
      <c r="C496" s="15" t="str">
        <f>IFERROR(INDEX('قائمة الوحدات'!$B$2:$B$41,MATCH($B496,'قائمة الوحدات'!$A$2:$A$41,0)),"")</f>
        <v>MIL</v>
      </c>
      <c r="D496" s="14" t="str">
        <f>IFERROR(INDEX('قائمة الوحدات'!$C$2:$C$41,MATCH($B496,'قائمة الوحدات'!$A$2:$A$41,0)),"")</f>
        <v>الجهاز العسكري</v>
      </c>
      <c r="E496" s="14" t="str">
        <f>IFERROR(INDEX('قائمة الوحدات'!$D$2:$D$41,MATCH($B496,'قائمة الوحدات'!$A$2:$A$41,0)),"")</f>
        <v>الإدارة العامة للقضاء العسكري</v>
      </c>
      <c r="F496" s="14" t="str">
        <f>IFERROR(INDEX('قائمة الوحدات'!$F$2:$F$41,MATCH($B496,'قائمة الوحدات'!$A$2:$A$41,0)),"")</f>
        <v>الإدارة العامة للقضاء العسكري</v>
      </c>
      <c r="G496" s="16" t="s">
        <v>61</v>
      </c>
      <c r="H496" s="14" t="str">
        <f>IFERROR(INDEX(المرجع!$A$2:$A$19,MATCH($G496,المرجع!$B$2:$B$19,0)),"")</f>
        <v>البناء المؤسسي</v>
      </c>
      <c r="I496" s="16" t="s">
        <v>54</v>
      </c>
      <c r="J496" s="14" t="str">
        <f>IFERROR(INDEX(المرجع!$D$2:$D$19,MATCH($I496,المرجع!$E$2:$E$19,0)),"")</f>
        <v>التنظيم</v>
      </c>
      <c r="K496" s="16" t="s">
        <v>100</v>
      </c>
      <c r="L496" s="17" t="str">
        <f>IFERROR(INDEX('نقاط التحقق'!$G$2:$G$31,MATCH($K496,'نقاط التحقق'!$A$2:$A$31,0))&amp;"","")</f>
        <v>هيكل تنظيمي منشأ على نظام القوى العاملة</v>
      </c>
      <c r="M496" s="13">
        <v>50</v>
      </c>
      <c r="N496" s="15" t="str">
        <f>IF($M496="","غير مقيّمة",IF($M496&gt;المرجع!$K$3,"مستوفاة بشكل متقدم",IF($M496&lt;=المرجع!$K$2,"مستوفاة بشكل أولي","مستوفاة بشكل جزئي")))</f>
        <v>مستوفاة بشكل جزئي</v>
      </c>
      <c r="O496" s="18"/>
    </row>
    <row r="497" spans="1:15">
      <c r="A497" s="16" t="s">
        <v>1301</v>
      </c>
      <c r="B497" s="16" t="s">
        <v>222</v>
      </c>
      <c r="C497" s="15" t="str">
        <f>IFERROR(INDEX('قائمة الوحدات'!$B$2:$B$41,MATCH($B497,'قائمة الوحدات'!$A$2:$A$41,0)),"")</f>
        <v>MIL</v>
      </c>
      <c r="D497" s="14" t="str">
        <f>IFERROR(INDEX('قائمة الوحدات'!$C$2:$C$41,MATCH($B497,'قائمة الوحدات'!$A$2:$A$41,0)),"")</f>
        <v>الجهاز العسكري</v>
      </c>
      <c r="E497" s="14" t="str">
        <f>IFERROR(INDEX('قائمة الوحدات'!$D$2:$D$41,MATCH($B497,'قائمة الوحدات'!$A$2:$A$41,0)),"")</f>
        <v>الإدارة العامة للقضاء العسكري</v>
      </c>
      <c r="F497" s="14" t="str">
        <f>IFERROR(INDEX('قائمة الوحدات'!$F$2:$F$41,MATCH($B497,'قائمة الوحدات'!$A$2:$A$41,0)),"")</f>
        <v>الإدارة العامة للقضاء العسكري</v>
      </c>
      <c r="G497" s="16" t="s">
        <v>61</v>
      </c>
      <c r="H497" s="14" t="str">
        <f>IFERROR(INDEX(المرجع!$A$2:$A$19,MATCH($G497,المرجع!$B$2:$B$19,0)),"")</f>
        <v>البناء المؤسسي</v>
      </c>
      <c r="I497" s="16" t="s">
        <v>54</v>
      </c>
      <c r="J497" s="14" t="str">
        <f>IFERROR(INDEX(المرجع!$D$2:$D$19,MATCH($I497,المرجع!$E$2:$E$19,0)),"")</f>
        <v>التنظيم</v>
      </c>
      <c r="K497" s="16" t="s">
        <v>102</v>
      </c>
      <c r="L497" s="17" t="str">
        <f>IFERROR(INDEX('نقاط التحقق'!$G$2:$G$31,MATCH($K497,'نقاط التحقق'!$A$2:$A$31,0))&amp;"","")</f>
        <v>الموظفون المحددون مسكّنون على الهيكل التنظيمي المستهدف</v>
      </c>
      <c r="M497" s="13">
        <v>60</v>
      </c>
      <c r="N497" s="15" t="str">
        <f>IF($M497="","غير مقيّمة",IF($M497&gt;المرجع!$K$3,"مستوفاة بشكل متقدم",IF($M497&lt;=المرجع!$K$2,"مستوفاة بشكل أولي","مستوفاة بشكل جزئي")))</f>
        <v>مستوفاة بشكل جزئي</v>
      </c>
      <c r="O497" s="18"/>
    </row>
    <row r="498" spans="1:15">
      <c r="A498" s="16" t="s">
        <v>1302</v>
      </c>
      <c r="B498" s="16" t="s">
        <v>222</v>
      </c>
      <c r="C498" s="15" t="str">
        <f>IFERROR(INDEX('قائمة الوحدات'!$B$2:$B$41,MATCH($B498,'قائمة الوحدات'!$A$2:$A$41,0)),"")</f>
        <v>MIL</v>
      </c>
      <c r="D498" s="14" t="str">
        <f>IFERROR(INDEX('قائمة الوحدات'!$C$2:$C$41,MATCH($B498,'قائمة الوحدات'!$A$2:$A$41,0)),"")</f>
        <v>الجهاز العسكري</v>
      </c>
      <c r="E498" s="14" t="str">
        <f>IFERROR(INDEX('قائمة الوحدات'!$D$2:$D$41,MATCH($B498,'قائمة الوحدات'!$A$2:$A$41,0)),"")</f>
        <v>الإدارة العامة للقضاء العسكري</v>
      </c>
      <c r="F498" s="14" t="str">
        <f>IFERROR(INDEX('قائمة الوحدات'!$F$2:$F$41,MATCH($B498,'قائمة الوحدات'!$A$2:$A$41,0)),"")</f>
        <v>الإدارة العامة للقضاء العسكري</v>
      </c>
      <c r="G498" s="16" t="s">
        <v>61</v>
      </c>
      <c r="H498" s="14" t="str">
        <f>IFERROR(INDEX(المرجع!$A$2:$A$19,MATCH($G498,المرجع!$B$2:$B$19,0)),"")</f>
        <v>البناء المؤسسي</v>
      </c>
      <c r="I498" s="16" t="s">
        <v>56</v>
      </c>
      <c r="J498" s="14" t="str">
        <f>IFERROR(INDEX(المرجع!$D$2:$D$19,MATCH($I498,المرجع!$E$2:$E$19,0)),"")</f>
        <v>الموارد</v>
      </c>
      <c r="K498" s="16" t="s">
        <v>104</v>
      </c>
      <c r="L498" s="17" t="str">
        <f>IFERROR(INDEX('نقاط التحقق'!$G$2:$G$31,MATCH($K498,'نقاط التحقق'!$A$2:$A$31,0))&amp;"","")</f>
        <v>مدير الوحدة التنظيمية والموظفون الرئيسيون معينون/ملحقون</v>
      </c>
      <c r="M498" s="13">
        <v>50</v>
      </c>
      <c r="N498" s="15" t="str">
        <f>IF($M498="","غير مقيّمة",IF($M498&gt;المرجع!$K$3,"مستوفاة بشكل متقدم",IF($M498&lt;=المرجع!$K$2,"مستوفاة بشكل أولي","مستوفاة بشكل جزئي")))</f>
        <v>مستوفاة بشكل جزئي</v>
      </c>
      <c r="O498" s="18"/>
    </row>
    <row r="499" spans="1:15">
      <c r="A499" s="16" t="s">
        <v>1303</v>
      </c>
      <c r="B499" s="16" t="s">
        <v>222</v>
      </c>
      <c r="C499" s="15" t="str">
        <f>IFERROR(INDEX('قائمة الوحدات'!$B$2:$B$41,MATCH($B499,'قائمة الوحدات'!$A$2:$A$41,0)),"")</f>
        <v>MIL</v>
      </c>
      <c r="D499" s="14" t="str">
        <f>IFERROR(INDEX('قائمة الوحدات'!$C$2:$C$41,MATCH($B499,'قائمة الوحدات'!$A$2:$A$41,0)),"")</f>
        <v>الجهاز العسكري</v>
      </c>
      <c r="E499" s="14" t="str">
        <f>IFERROR(INDEX('قائمة الوحدات'!$D$2:$D$41,MATCH($B499,'قائمة الوحدات'!$A$2:$A$41,0)),"")</f>
        <v>الإدارة العامة للقضاء العسكري</v>
      </c>
      <c r="F499" s="14" t="str">
        <f>IFERROR(INDEX('قائمة الوحدات'!$F$2:$F$41,MATCH($B499,'قائمة الوحدات'!$A$2:$A$41,0)),"")</f>
        <v>الإدارة العامة للقضاء العسكري</v>
      </c>
      <c r="G499" s="16" t="s">
        <v>61</v>
      </c>
      <c r="H499" s="14" t="str">
        <f>IFERROR(INDEX(المرجع!$A$2:$A$19,MATCH($G499,المرجع!$B$2:$B$19,0)),"")</f>
        <v>البناء المؤسسي</v>
      </c>
      <c r="I499" s="16" t="s">
        <v>56</v>
      </c>
      <c r="J499" s="14" t="str">
        <f>IFERROR(INDEX(المرجع!$D$2:$D$19,MATCH($I499,المرجع!$E$2:$E$19,0)),"")</f>
        <v>الموارد</v>
      </c>
      <c r="K499" s="16" t="s">
        <v>106</v>
      </c>
      <c r="L499" s="17" t="str">
        <f>IFERROR(INDEX('نقاط التحقق'!$G$2:$G$31,MATCH($K499,'نقاط التحقق'!$A$2:$A$31,0))&amp;"","")</f>
        <v>خطة توظيف وتدريب مستكملة</v>
      </c>
      <c r="M499" s="13">
        <v>65</v>
      </c>
      <c r="N499" s="15" t="str">
        <f>IF($M499="","غير مقيّمة",IF($M499&gt;المرجع!$K$3,"مستوفاة بشكل متقدم",IF($M499&lt;=المرجع!$K$2,"مستوفاة بشكل أولي","مستوفاة بشكل جزئي")))</f>
        <v>مستوفاة بشكل جزئي</v>
      </c>
      <c r="O499" s="18"/>
    </row>
    <row r="500" spans="1:15">
      <c r="A500" s="16" t="s">
        <v>1304</v>
      </c>
      <c r="B500" s="16" t="s">
        <v>222</v>
      </c>
      <c r="C500" s="15" t="str">
        <f>IFERROR(INDEX('قائمة الوحدات'!$B$2:$B$41,MATCH($B500,'قائمة الوحدات'!$A$2:$A$41,0)),"")</f>
        <v>MIL</v>
      </c>
      <c r="D500" s="14" t="str">
        <f>IFERROR(INDEX('قائمة الوحدات'!$C$2:$C$41,MATCH($B500,'قائمة الوحدات'!$A$2:$A$41,0)),"")</f>
        <v>الجهاز العسكري</v>
      </c>
      <c r="E500" s="14" t="str">
        <f>IFERROR(INDEX('قائمة الوحدات'!$D$2:$D$41,MATCH($B500,'قائمة الوحدات'!$A$2:$A$41,0)),"")</f>
        <v>الإدارة العامة للقضاء العسكري</v>
      </c>
      <c r="F500" s="14" t="str">
        <f>IFERROR(INDEX('قائمة الوحدات'!$F$2:$F$41,MATCH($B500,'قائمة الوحدات'!$A$2:$A$41,0)),"")</f>
        <v>الإدارة العامة للقضاء العسكري</v>
      </c>
      <c r="G500" s="16" t="s">
        <v>61</v>
      </c>
      <c r="H500" s="14" t="str">
        <f>IFERROR(INDEX(المرجع!$A$2:$A$19,MATCH($G500,المرجع!$B$2:$B$19,0)),"")</f>
        <v>البناء المؤسسي</v>
      </c>
      <c r="I500" s="16" t="s">
        <v>56</v>
      </c>
      <c r="J500" s="14" t="str">
        <f>IFERROR(INDEX(المرجع!$D$2:$D$19,MATCH($I500,المرجع!$E$2:$E$19,0)),"")</f>
        <v>الموارد</v>
      </c>
      <c r="K500" s="16" t="s">
        <v>108</v>
      </c>
      <c r="L500" s="17" t="str">
        <f>IFERROR(INDEX('نقاط التحقق'!$G$2:$G$31,MATCH($K500,'نقاط التحقق'!$A$2:$A$31,0))&amp;"","")</f>
        <v>وجود مساحات مكتبية كافية</v>
      </c>
      <c r="M500" s="13">
        <v>65</v>
      </c>
      <c r="N500" s="15" t="str">
        <f>IF($M500="","غير مقيّمة",IF($M500&gt;المرجع!$K$3,"مستوفاة بشكل متقدم",IF($M500&lt;=المرجع!$K$2,"مستوفاة بشكل أولي","مستوفاة بشكل جزئي")))</f>
        <v>مستوفاة بشكل جزئي</v>
      </c>
      <c r="O500" s="18"/>
    </row>
    <row r="501" spans="1:15">
      <c r="A501" s="16" t="s">
        <v>1305</v>
      </c>
      <c r="B501" s="16" t="s">
        <v>222</v>
      </c>
      <c r="C501" s="15" t="str">
        <f>IFERROR(INDEX('قائمة الوحدات'!$B$2:$B$41,MATCH($B501,'قائمة الوحدات'!$A$2:$A$41,0)),"")</f>
        <v>MIL</v>
      </c>
      <c r="D501" s="14" t="str">
        <f>IFERROR(INDEX('قائمة الوحدات'!$C$2:$C$41,MATCH($B501,'قائمة الوحدات'!$A$2:$A$41,0)),"")</f>
        <v>الجهاز العسكري</v>
      </c>
      <c r="E501" s="14" t="str">
        <f>IFERROR(INDEX('قائمة الوحدات'!$D$2:$D$41,MATCH($B501,'قائمة الوحدات'!$A$2:$A$41,0)),"")</f>
        <v>الإدارة العامة للقضاء العسكري</v>
      </c>
      <c r="F501" s="14" t="str">
        <f>IFERROR(INDEX('قائمة الوحدات'!$F$2:$F$41,MATCH($B501,'قائمة الوحدات'!$A$2:$A$41,0)),"")</f>
        <v>الإدارة العامة للقضاء العسكري</v>
      </c>
      <c r="G501" s="16" t="s">
        <v>61</v>
      </c>
      <c r="H501" s="14" t="str">
        <f>IFERROR(INDEX(المرجع!$A$2:$A$19,MATCH($G501,المرجع!$B$2:$B$19,0)),"")</f>
        <v>البناء المؤسسي</v>
      </c>
      <c r="I501" s="16" t="s">
        <v>56</v>
      </c>
      <c r="J501" s="14" t="str">
        <f>IFERROR(INDEX(المرجع!$D$2:$D$19,MATCH($I501,المرجع!$E$2:$E$19,0)),"")</f>
        <v>الموارد</v>
      </c>
      <c r="K501" s="16" t="s">
        <v>110</v>
      </c>
      <c r="L501" s="17" t="str">
        <f>IFERROR(INDEX('نقاط التحقق'!$G$2:$G$31,MATCH($K501,'نقاط التحقق'!$A$2:$A$31,0))&amp;"","")</f>
        <v>وجود الاحتياجات التقنية الأساسية</v>
      </c>
      <c r="M501" s="13">
        <v>60</v>
      </c>
      <c r="N501" s="15" t="str">
        <f>IF($M501="","غير مقيّمة",IF($M501&gt;المرجع!$K$3,"مستوفاة بشكل متقدم",IF($M501&lt;=المرجع!$K$2,"مستوفاة بشكل أولي","مستوفاة بشكل جزئي")))</f>
        <v>مستوفاة بشكل جزئي</v>
      </c>
      <c r="O501" s="18"/>
    </row>
    <row r="502" spans="1:15">
      <c r="A502" s="16" t="s">
        <v>1306</v>
      </c>
      <c r="B502" s="16" t="s">
        <v>222</v>
      </c>
      <c r="C502" s="15" t="str">
        <f>IFERROR(INDEX('قائمة الوحدات'!$B$2:$B$41,MATCH($B502,'قائمة الوحدات'!$A$2:$A$41,0)),"")</f>
        <v>MIL</v>
      </c>
      <c r="D502" s="14" t="str">
        <f>IFERROR(INDEX('قائمة الوحدات'!$C$2:$C$41,MATCH($B502,'قائمة الوحدات'!$A$2:$A$41,0)),"")</f>
        <v>الجهاز العسكري</v>
      </c>
      <c r="E502" s="14" t="str">
        <f>IFERROR(INDEX('قائمة الوحدات'!$D$2:$D$41,MATCH($B502,'قائمة الوحدات'!$A$2:$A$41,0)),"")</f>
        <v>الإدارة العامة للقضاء العسكري</v>
      </c>
      <c r="F502" s="14" t="str">
        <f>IFERROR(INDEX('قائمة الوحدات'!$F$2:$F$41,MATCH($B502,'قائمة الوحدات'!$A$2:$A$41,0)),"")</f>
        <v>الإدارة العامة للقضاء العسكري</v>
      </c>
      <c r="G502" s="16" t="s">
        <v>61</v>
      </c>
      <c r="H502" s="14" t="str">
        <f>IFERROR(INDEX(المرجع!$A$2:$A$19,MATCH($G502,المرجع!$B$2:$B$19,0)),"")</f>
        <v>البناء المؤسسي</v>
      </c>
      <c r="I502" s="16" t="s">
        <v>59</v>
      </c>
      <c r="J502" s="14" t="str">
        <f>IFERROR(INDEX(المرجع!$D$2:$D$19,MATCH($I502,المرجع!$E$2:$E$19,0)),"")</f>
        <v>الإجراءات</v>
      </c>
      <c r="K502" s="16" t="s">
        <v>112</v>
      </c>
      <c r="L502" s="17" t="str">
        <f>IFERROR(INDEX('نقاط التحقق'!$G$2:$G$31,MATCH($K502,'نقاط التحقق'!$A$2:$A$31,0))&amp;"","")</f>
        <v>إجراءات معتمدة للوحدة التنظيمية</v>
      </c>
      <c r="M502" s="13">
        <v>49</v>
      </c>
      <c r="N502" s="15" t="str">
        <f>IF($M502="","غير مقيّمة",IF($M502&gt;المرجع!$K$3,"مستوفاة بشكل متقدم",IF($M502&lt;=المرجع!$K$2,"مستوفاة بشكل أولي","مستوفاة بشكل جزئي")))</f>
        <v>مستوفاة بشكل جزئي</v>
      </c>
      <c r="O502" s="18"/>
    </row>
    <row r="503" spans="1:15">
      <c r="A503" s="16" t="s">
        <v>1307</v>
      </c>
      <c r="B503" s="16" t="s">
        <v>222</v>
      </c>
      <c r="C503" s="15" t="str">
        <f>IFERROR(INDEX('قائمة الوحدات'!$B$2:$B$41,MATCH($B503,'قائمة الوحدات'!$A$2:$A$41,0)),"")</f>
        <v>MIL</v>
      </c>
      <c r="D503" s="14" t="str">
        <f>IFERROR(INDEX('قائمة الوحدات'!$C$2:$C$41,MATCH($B503,'قائمة الوحدات'!$A$2:$A$41,0)),"")</f>
        <v>الجهاز العسكري</v>
      </c>
      <c r="E503" s="14" t="str">
        <f>IFERROR(INDEX('قائمة الوحدات'!$D$2:$D$41,MATCH($B503,'قائمة الوحدات'!$A$2:$A$41,0)),"")</f>
        <v>الإدارة العامة للقضاء العسكري</v>
      </c>
      <c r="F503" s="14" t="str">
        <f>IFERROR(INDEX('قائمة الوحدات'!$F$2:$F$41,MATCH($B503,'قائمة الوحدات'!$A$2:$A$41,0)),"")</f>
        <v>الإدارة العامة للقضاء العسكري</v>
      </c>
      <c r="G503" s="16" t="s">
        <v>61</v>
      </c>
      <c r="H503" s="14" t="str">
        <f>IFERROR(INDEX(المرجع!$A$2:$A$19,MATCH($G503,المرجع!$B$2:$B$19,0)),"")</f>
        <v>البناء المؤسسي</v>
      </c>
      <c r="I503" s="16" t="s">
        <v>63</v>
      </c>
      <c r="J503" s="14" t="str">
        <f>IFERROR(INDEX(المرجع!$D$2:$D$19,MATCH($I503,المرجع!$E$2:$E$19,0)),"")</f>
        <v>إنتاج المخرج الأول</v>
      </c>
      <c r="K503" s="16" t="s">
        <v>114</v>
      </c>
      <c r="L503" s="17" t="str">
        <f>IFERROR(INDEX('نقاط التحقق'!$G$2:$G$31,MATCH($K503,'نقاط التحقق'!$A$2:$A$31,0))&amp;"","")</f>
        <v>إنتاج المخرج الأول من قبل الوحدة التنظيمية</v>
      </c>
      <c r="M503" s="13">
        <v>86</v>
      </c>
      <c r="N503" s="15" t="str">
        <f>IF($M503="","غير مقيّمة",IF($M503&gt;المرجع!$K$3,"مستوفاة بشكل متقدم",IF($M503&lt;=المرجع!$K$2,"مستوفاة بشكل أولي","مستوفاة بشكل جزئي")))</f>
        <v>مستوفاة بشكل متقدم</v>
      </c>
      <c r="O503" s="18"/>
    </row>
    <row r="504" spans="1:15">
      <c r="A504" s="16" t="s">
        <v>1308</v>
      </c>
      <c r="B504" s="16" t="s">
        <v>222</v>
      </c>
      <c r="C504" s="15" t="str">
        <f>IFERROR(INDEX('قائمة الوحدات'!$B$2:$B$41,MATCH($B504,'قائمة الوحدات'!$A$2:$A$41,0)),"")</f>
        <v>MIL</v>
      </c>
      <c r="D504" s="14" t="str">
        <f>IFERROR(INDEX('قائمة الوحدات'!$C$2:$C$41,MATCH($B504,'قائمة الوحدات'!$A$2:$A$41,0)),"")</f>
        <v>الجهاز العسكري</v>
      </c>
      <c r="E504" s="14" t="str">
        <f>IFERROR(INDEX('قائمة الوحدات'!$D$2:$D$41,MATCH($B504,'قائمة الوحدات'!$A$2:$A$41,0)),"")</f>
        <v>الإدارة العامة للقضاء العسكري</v>
      </c>
      <c r="F504" s="14" t="str">
        <f>IFERROR(INDEX('قائمة الوحدات'!$F$2:$F$41,MATCH($B504,'قائمة الوحدات'!$A$2:$A$41,0)),"")</f>
        <v>الإدارة العامة للقضاء العسكري</v>
      </c>
      <c r="G504" s="16" t="s">
        <v>65</v>
      </c>
      <c r="H504" s="14" t="str">
        <f>IFERROR(INDEX(المرجع!$A$2:$A$19,MATCH($G504,المرجع!$B$2:$B$19,0)),"")</f>
        <v>التشغيل</v>
      </c>
      <c r="I504" s="16" t="s">
        <v>48</v>
      </c>
      <c r="J504" s="14" t="str">
        <f>IFERROR(INDEX(المرجع!$D$2:$D$19,MATCH($I504,المرجع!$E$2:$E$19,0)),"")</f>
        <v>الأهداف ومؤشرات الأداء</v>
      </c>
      <c r="K504" s="16" t="s">
        <v>116</v>
      </c>
      <c r="L504" s="17" t="str">
        <f>IFERROR(INDEX('نقاط التحقق'!$G$2:$G$31,MATCH($K504,'نقاط التحقق'!$A$2:$A$31,0))&amp;"","")</f>
        <v>تحرك مؤشرات الأداء التشغيلي للوحدة التنظيمية بشكل إيجابي</v>
      </c>
      <c r="M504" s="13">
        <v>30</v>
      </c>
      <c r="N504" s="15" t="str">
        <f>IF($M504="","غير مقيّمة",IF($M504&gt;المرجع!$K$3,"مستوفاة بشكل متقدم",IF($M504&lt;=المرجع!$K$2,"مستوفاة بشكل أولي","مستوفاة بشكل جزئي")))</f>
        <v>مستوفاة بشكل أولي</v>
      </c>
      <c r="O504" s="18"/>
    </row>
    <row r="505" spans="1:15">
      <c r="A505" s="16" t="s">
        <v>1309</v>
      </c>
      <c r="B505" s="16" t="s">
        <v>222</v>
      </c>
      <c r="C505" s="15" t="str">
        <f>IFERROR(INDEX('قائمة الوحدات'!$B$2:$B$41,MATCH($B505,'قائمة الوحدات'!$A$2:$A$41,0)),"")</f>
        <v>MIL</v>
      </c>
      <c r="D505" s="14" t="str">
        <f>IFERROR(INDEX('قائمة الوحدات'!$C$2:$C$41,MATCH($B505,'قائمة الوحدات'!$A$2:$A$41,0)),"")</f>
        <v>الجهاز العسكري</v>
      </c>
      <c r="E505" s="14" t="str">
        <f>IFERROR(INDEX('قائمة الوحدات'!$D$2:$D$41,MATCH($B505,'قائمة الوحدات'!$A$2:$A$41,0)),"")</f>
        <v>الإدارة العامة للقضاء العسكري</v>
      </c>
      <c r="F505" s="14" t="str">
        <f>IFERROR(INDEX('قائمة الوحدات'!$F$2:$F$41,MATCH($B505,'قائمة الوحدات'!$A$2:$A$41,0)),"")</f>
        <v>الإدارة العامة للقضاء العسكري</v>
      </c>
      <c r="G505" s="16" t="s">
        <v>65</v>
      </c>
      <c r="H505" s="14" t="str">
        <f>IFERROR(INDEX(المرجع!$A$2:$A$19,MATCH($G505,المرجع!$B$2:$B$19,0)),"")</f>
        <v>التشغيل</v>
      </c>
      <c r="I505" s="16" t="s">
        <v>48</v>
      </c>
      <c r="J505" s="14" t="str">
        <f>IFERROR(INDEX(المرجع!$D$2:$D$19,MATCH($I505,المرجع!$E$2:$E$19,0)),"")</f>
        <v>الأهداف ومؤشرات الأداء</v>
      </c>
      <c r="K505" s="16" t="s">
        <v>118</v>
      </c>
      <c r="L505" s="17" t="str">
        <f>IFERROR(INDEX('نقاط التحقق'!$G$2:$G$31,MATCH($K505,'نقاط التحقق'!$A$2:$A$31,0))&amp;"","")</f>
        <v>خطة سنوية معتمدة للوحدة التنظيمية</v>
      </c>
      <c r="M505" s="13">
        <v>5</v>
      </c>
      <c r="N505" s="15" t="str">
        <f>IF($M505="","غير مقيّمة",IF($M505&gt;المرجع!$K$3,"مستوفاة بشكل متقدم",IF($M505&lt;=المرجع!$K$2,"مستوفاة بشكل أولي","مستوفاة بشكل جزئي")))</f>
        <v>مستوفاة بشكل أولي</v>
      </c>
      <c r="O505" s="18"/>
    </row>
    <row r="506" spans="1:15">
      <c r="A506" s="16" t="s">
        <v>1310</v>
      </c>
      <c r="B506" s="16" t="s">
        <v>222</v>
      </c>
      <c r="C506" s="15" t="str">
        <f>IFERROR(INDEX('قائمة الوحدات'!$B$2:$B$41,MATCH($B506,'قائمة الوحدات'!$A$2:$A$41,0)),"")</f>
        <v>MIL</v>
      </c>
      <c r="D506" s="14" t="str">
        <f>IFERROR(INDEX('قائمة الوحدات'!$C$2:$C$41,MATCH($B506,'قائمة الوحدات'!$A$2:$A$41,0)),"")</f>
        <v>الجهاز العسكري</v>
      </c>
      <c r="E506" s="14" t="str">
        <f>IFERROR(INDEX('قائمة الوحدات'!$D$2:$D$41,MATCH($B506,'قائمة الوحدات'!$A$2:$A$41,0)),"")</f>
        <v>الإدارة العامة للقضاء العسكري</v>
      </c>
      <c r="F506" s="14" t="str">
        <f>IFERROR(INDEX('قائمة الوحدات'!$F$2:$F$41,MATCH($B506,'قائمة الوحدات'!$A$2:$A$41,0)),"")</f>
        <v>الإدارة العامة للقضاء العسكري</v>
      </c>
      <c r="G506" s="16" t="s">
        <v>65</v>
      </c>
      <c r="H506" s="14" t="str">
        <f>IFERROR(INDEX(المرجع!$A$2:$A$19,MATCH($G506,المرجع!$B$2:$B$19,0)),"")</f>
        <v>التشغيل</v>
      </c>
      <c r="I506" s="16" t="s">
        <v>51</v>
      </c>
      <c r="J506" s="14" t="str">
        <f>IFERROR(INDEX(المرجع!$D$2:$D$19,MATCH($I506,المرجع!$E$2:$E$19,0)),"")</f>
        <v>الحوكمة</v>
      </c>
      <c r="K506" s="16" t="s">
        <v>120</v>
      </c>
      <c r="L506" s="17" t="str">
        <f>IFERROR(INDEX('نقاط التحقق'!$G$2:$G$31,MATCH($K506,'نقاط التحقق'!$A$2:$A$31,0))&amp;"","")</f>
        <v>محاضر لجان موثقة</v>
      </c>
      <c r="M506" s="13">
        <v>60</v>
      </c>
      <c r="N506" s="15" t="str">
        <f>IF($M506="","غير مقيّمة",IF($M506&gt;المرجع!$K$3,"مستوفاة بشكل متقدم",IF($M506&lt;=المرجع!$K$2,"مستوفاة بشكل أولي","مستوفاة بشكل جزئي")))</f>
        <v>مستوفاة بشكل جزئي</v>
      </c>
      <c r="O506" s="18"/>
    </row>
    <row r="507" spans="1:15">
      <c r="A507" s="16" t="s">
        <v>1311</v>
      </c>
      <c r="B507" s="16" t="s">
        <v>222</v>
      </c>
      <c r="C507" s="15" t="str">
        <f>IFERROR(INDEX('قائمة الوحدات'!$B$2:$B$41,MATCH($B507,'قائمة الوحدات'!$A$2:$A$41,0)),"")</f>
        <v>MIL</v>
      </c>
      <c r="D507" s="14" t="str">
        <f>IFERROR(INDEX('قائمة الوحدات'!$C$2:$C$41,MATCH($B507,'قائمة الوحدات'!$A$2:$A$41,0)),"")</f>
        <v>الجهاز العسكري</v>
      </c>
      <c r="E507" s="14" t="str">
        <f>IFERROR(INDEX('قائمة الوحدات'!$D$2:$D$41,MATCH($B507,'قائمة الوحدات'!$A$2:$A$41,0)),"")</f>
        <v>الإدارة العامة للقضاء العسكري</v>
      </c>
      <c r="F507" s="14" t="str">
        <f>IFERROR(INDEX('قائمة الوحدات'!$F$2:$F$41,MATCH($B507,'قائمة الوحدات'!$A$2:$A$41,0)),"")</f>
        <v>الإدارة العامة للقضاء العسكري</v>
      </c>
      <c r="G507" s="16" t="s">
        <v>65</v>
      </c>
      <c r="H507" s="14" t="str">
        <f>IFERROR(INDEX(المرجع!$A$2:$A$19,MATCH($G507,المرجع!$B$2:$B$19,0)),"")</f>
        <v>التشغيل</v>
      </c>
      <c r="I507" s="16" t="s">
        <v>51</v>
      </c>
      <c r="J507" s="14" t="str">
        <f>IFERROR(INDEX(المرجع!$D$2:$D$19,MATCH($I507,المرجع!$E$2:$E$19,0)),"")</f>
        <v>الحوكمة</v>
      </c>
      <c r="K507" s="16" t="s">
        <v>122</v>
      </c>
      <c r="L507" s="17" t="str">
        <f>IFERROR(INDEX('نقاط التحقق'!$G$2:$G$31,MATCH($K507,'نقاط التحقق'!$A$2:$A$31,0))&amp;"","")</f>
        <v>نشر السياسات التي تملكها الوحدة التنظيمية</v>
      </c>
      <c r="M507" s="13">
        <v>60</v>
      </c>
      <c r="N507" s="15" t="str">
        <f>IF($M507="","غير مقيّمة",IF($M507&gt;المرجع!$K$3,"مستوفاة بشكل متقدم",IF($M507&lt;=المرجع!$K$2,"مستوفاة بشكل أولي","مستوفاة بشكل جزئي")))</f>
        <v>مستوفاة بشكل جزئي</v>
      </c>
      <c r="O507" s="18"/>
    </row>
    <row r="508" spans="1:15">
      <c r="A508" s="16" t="s">
        <v>1312</v>
      </c>
      <c r="B508" s="16" t="s">
        <v>222</v>
      </c>
      <c r="C508" s="15" t="str">
        <f>IFERROR(INDEX('قائمة الوحدات'!$B$2:$B$41,MATCH($B508,'قائمة الوحدات'!$A$2:$A$41,0)),"")</f>
        <v>MIL</v>
      </c>
      <c r="D508" s="14" t="str">
        <f>IFERROR(INDEX('قائمة الوحدات'!$C$2:$C$41,MATCH($B508,'قائمة الوحدات'!$A$2:$A$41,0)),"")</f>
        <v>الجهاز العسكري</v>
      </c>
      <c r="E508" s="14" t="str">
        <f>IFERROR(INDEX('قائمة الوحدات'!$D$2:$D$41,MATCH($B508,'قائمة الوحدات'!$A$2:$A$41,0)),"")</f>
        <v>الإدارة العامة للقضاء العسكري</v>
      </c>
      <c r="F508" s="14" t="str">
        <f>IFERROR(INDEX('قائمة الوحدات'!$F$2:$F$41,MATCH($B508,'قائمة الوحدات'!$A$2:$A$41,0)),"")</f>
        <v>الإدارة العامة للقضاء العسكري</v>
      </c>
      <c r="G508" s="16" t="s">
        <v>65</v>
      </c>
      <c r="H508" s="14" t="str">
        <f>IFERROR(INDEX(المرجع!$A$2:$A$19,MATCH($G508,المرجع!$B$2:$B$19,0)),"")</f>
        <v>التشغيل</v>
      </c>
      <c r="I508" s="16" t="s">
        <v>51</v>
      </c>
      <c r="J508" s="14" t="str">
        <f>IFERROR(INDEX(المرجع!$D$2:$D$19,MATCH($I508,المرجع!$E$2:$E$19,0)),"")</f>
        <v>الحوكمة</v>
      </c>
      <c r="K508" s="16" t="s">
        <v>124</v>
      </c>
      <c r="L508" s="17" t="str">
        <f>IFERROR(INDEX('نقاط التحقق'!$G$2:$G$31,MATCH($K508,'نقاط التحقق'!$A$2:$A$31,0))&amp;"","")</f>
        <v>اتخاذ القرارات في نطاق الصلاحيات (وجود شواهد)</v>
      </c>
      <c r="M508" s="13">
        <v>35</v>
      </c>
      <c r="N508" s="15" t="str">
        <f>IF($M508="","غير مقيّمة",IF($M508&gt;المرجع!$K$3,"مستوفاة بشكل متقدم",IF($M508&lt;=المرجع!$K$2,"مستوفاة بشكل أولي","مستوفاة بشكل جزئي")))</f>
        <v>مستوفاة بشكل جزئي</v>
      </c>
      <c r="O508" s="18"/>
    </row>
    <row r="509" spans="1:15">
      <c r="A509" s="16" t="s">
        <v>1313</v>
      </c>
      <c r="B509" s="16" t="s">
        <v>222</v>
      </c>
      <c r="C509" s="15" t="str">
        <f>IFERROR(INDEX('قائمة الوحدات'!$B$2:$B$41,MATCH($B509,'قائمة الوحدات'!$A$2:$A$41,0)),"")</f>
        <v>MIL</v>
      </c>
      <c r="D509" s="14" t="str">
        <f>IFERROR(INDEX('قائمة الوحدات'!$C$2:$C$41,MATCH($B509,'قائمة الوحدات'!$A$2:$A$41,0)),"")</f>
        <v>الجهاز العسكري</v>
      </c>
      <c r="E509" s="14" t="str">
        <f>IFERROR(INDEX('قائمة الوحدات'!$D$2:$D$41,MATCH($B509,'قائمة الوحدات'!$A$2:$A$41,0)),"")</f>
        <v>الإدارة العامة للقضاء العسكري</v>
      </c>
      <c r="F509" s="14" t="str">
        <f>IFERROR(INDEX('قائمة الوحدات'!$F$2:$F$41,MATCH($B509,'قائمة الوحدات'!$A$2:$A$41,0)),"")</f>
        <v>الإدارة العامة للقضاء العسكري</v>
      </c>
      <c r="G509" s="16" t="s">
        <v>65</v>
      </c>
      <c r="H509" s="14" t="str">
        <f>IFERROR(INDEX(المرجع!$A$2:$A$19,MATCH($G509,المرجع!$B$2:$B$19,0)),"")</f>
        <v>التشغيل</v>
      </c>
      <c r="I509" s="16" t="s">
        <v>56</v>
      </c>
      <c r="J509" s="14" t="str">
        <f>IFERROR(INDEX(المرجع!$D$2:$D$19,MATCH($I509,المرجع!$E$2:$E$19,0)),"")</f>
        <v>الموارد</v>
      </c>
      <c r="K509" s="16" t="s">
        <v>126</v>
      </c>
      <c r="L509" s="17" t="str">
        <f>IFERROR(INDEX('نقاط التحقق'!$G$2:$G$31,MATCH($K509,'نقاط التحقق'!$A$2:$A$31,0))&amp;"","")</f>
        <v>موارد مستكملة للحد الأدنى الذي يغطي كافة محاور سلسلة القيمة</v>
      </c>
      <c r="M509" s="13">
        <v>19</v>
      </c>
      <c r="N509" s="15" t="str">
        <f>IF($M509="","غير مقيّمة",IF($M509&gt;المرجع!$K$3,"مستوفاة بشكل متقدم",IF($M509&lt;=المرجع!$K$2,"مستوفاة بشكل أولي","مستوفاة بشكل جزئي")))</f>
        <v>مستوفاة بشكل أولي</v>
      </c>
      <c r="O509" s="18"/>
    </row>
    <row r="510" spans="1:15">
      <c r="A510" s="16" t="s">
        <v>1314</v>
      </c>
      <c r="B510" s="16" t="s">
        <v>222</v>
      </c>
      <c r="C510" s="15" t="str">
        <f>IFERROR(INDEX('قائمة الوحدات'!$B$2:$B$41,MATCH($B510,'قائمة الوحدات'!$A$2:$A$41,0)),"")</f>
        <v>MIL</v>
      </c>
      <c r="D510" s="14" t="str">
        <f>IFERROR(INDEX('قائمة الوحدات'!$C$2:$C$41,MATCH($B510,'قائمة الوحدات'!$A$2:$A$41,0)),"")</f>
        <v>الجهاز العسكري</v>
      </c>
      <c r="E510" s="14" t="str">
        <f>IFERROR(INDEX('قائمة الوحدات'!$D$2:$D$41,MATCH($B510,'قائمة الوحدات'!$A$2:$A$41,0)),"")</f>
        <v>الإدارة العامة للقضاء العسكري</v>
      </c>
      <c r="F510" s="14" t="str">
        <f>IFERROR(INDEX('قائمة الوحدات'!$F$2:$F$41,MATCH($B510,'قائمة الوحدات'!$A$2:$A$41,0)),"")</f>
        <v>الإدارة العامة للقضاء العسكري</v>
      </c>
      <c r="G510" s="16" t="s">
        <v>65</v>
      </c>
      <c r="H510" s="14" t="str">
        <f>IFERROR(INDEX(المرجع!$A$2:$A$19,MATCH($G510,المرجع!$B$2:$B$19,0)),"")</f>
        <v>التشغيل</v>
      </c>
      <c r="I510" s="16" t="s">
        <v>59</v>
      </c>
      <c r="J510" s="14" t="str">
        <f>IFERROR(INDEX(المرجع!$D$2:$D$19,MATCH($I510,المرجع!$E$2:$E$19,0)),"")</f>
        <v>الإجراءات</v>
      </c>
      <c r="K510" s="16" t="s">
        <v>128</v>
      </c>
      <c r="L510" s="17" t="str">
        <f>IFERROR(INDEX('نقاط التحقق'!$G$2:$G$31,MATCH($K510,'نقاط التحقق'!$A$2:$A$31,0))&amp;"","")</f>
        <v>تحقيق تقييم "مطبق بشكل كامل" من منهجية تقييم فعالية الإجراءات</v>
      </c>
      <c r="M510" s="13">
        <v>41</v>
      </c>
      <c r="N510" s="15" t="str">
        <f>IF($M510="","غير مقيّمة",IF($M510&gt;المرجع!$K$3,"مستوفاة بشكل متقدم",IF($M510&lt;=المرجع!$K$2,"مستوفاة بشكل أولي","مستوفاة بشكل جزئي")))</f>
        <v>مستوفاة بشكل جزئي</v>
      </c>
      <c r="O510" s="18"/>
    </row>
    <row r="511" spans="1:15">
      <c r="A511" s="16" t="s">
        <v>1315</v>
      </c>
      <c r="B511" s="16" t="s">
        <v>222</v>
      </c>
      <c r="C511" s="15" t="str">
        <f>IFERROR(INDEX('قائمة الوحدات'!$B$2:$B$41,MATCH($B511,'قائمة الوحدات'!$A$2:$A$41,0)),"")</f>
        <v>MIL</v>
      </c>
      <c r="D511" s="14" t="str">
        <f>IFERROR(INDEX('قائمة الوحدات'!$C$2:$C$41,MATCH($B511,'قائمة الوحدات'!$A$2:$A$41,0)),"")</f>
        <v>الجهاز العسكري</v>
      </c>
      <c r="E511" s="14" t="str">
        <f>IFERROR(INDEX('قائمة الوحدات'!$D$2:$D$41,MATCH($B511,'قائمة الوحدات'!$A$2:$A$41,0)),"")</f>
        <v>الإدارة العامة للقضاء العسكري</v>
      </c>
      <c r="F511" s="14" t="str">
        <f>IFERROR(INDEX('قائمة الوحدات'!$F$2:$F$41,MATCH($B511,'قائمة الوحدات'!$A$2:$A$41,0)),"")</f>
        <v>الإدارة العامة للقضاء العسكري</v>
      </c>
      <c r="G511" s="16" t="s">
        <v>65</v>
      </c>
      <c r="H511" s="14" t="str">
        <f>IFERROR(INDEX(المرجع!$A$2:$A$19,MATCH($G511,المرجع!$B$2:$B$19,0)),"")</f>
        <v>التشغيل</v>
      </c>
      <c r="I511" s="16" t="s">
        <v>67</v>
      </c>
      <c r="J511" s="14" t="str">
        <f>IFERROR(INDEX(المرجع!$D$2:$D$19,MATCH($I511,المرجع!$E$2:$E$19,0)),"")</f>
        <v>اكتمال المخرجات المستهدفة</v>
      </c>
      <c r="K511" s="16" t="s">
        <v>130</v>
      </c>
      <c r="L511" s="17" t="str">
        <f>IFERROR(INDEX('نقاط التحقق'!$G$2:$G$31,MATCH($K511,'نقاط التحقق'!$A$2:$A$31,0))&amp;"","")</f>
        <v>اكتمال مخرجات النموذج التشغيلي المستهدف للوحدة التنظيمية</v>
      </c>
      <c r="M511" s="13">
        <v>36</v>
      </c>
      <c r="N511" s="15" t="str">
        <f>IF($M511="","غير مقيّمة",IF($M511&gt;المرجع!$K$3,"مستوفاة بشكل متقدم",IF($M511&lt;=المرجع!$K$2,"مستوفاة بشكل أولي","مستوفاة بشكل جزئي")))</f>
        <v>مستوفاة بشكل جزئي</v>
      </c>
      <c r="O511" s="18"/>
    </row>
    <row r="512" spans="1:15">
      <c r="A512" s="16" t="s">
        <v>1316</v>
      </c>
      <c r="B512" s="16" t="s">
        <v>224</v>
      </c>
      <c r="C512" s="15" t="str">
        <f>IFERROR(INDEX('قائمة الوحدات'!$B$2:$B$41,MATCH($B512,'قائمة الوحدات'!$A$2:$A$41,0)),"")</f>
        <v>MIL</v>
      </c>
      <c r="D512" s="14" t="str">
        <f>IFERROR(INDEX('قائمة الوحدات'!$C$2:$C$41,MATCH($B512,'قائمة الوحدات'!$A$2:$A$41,0)),"")</f>
        <v>الجهاز العسكري</v>
      </c>
      <c r="E512" s="14" t="str">
        <f>IFERROR(INDEX('قائمة الوحدات'!$D$2:$D$41,MATCH($B512,'قائمة الوحدات'!$A$2:$A$41,0)),"")</f>
        <v>الإدارة العامة للأمن العسكري</v>
      </c>
      <c r="F512" s="14" t="str">
        <f>IFERROR(INDEX('قائمة الوحدات'!$F$2:$F$41,MATCH($B512,'قائمة الوحدات'!$A$2:$A$41,0)),"")</f>
        <v>الإدارة العامة للأمن العسكري</v>
      </c>
      <c r="G512" s="16" t="s">
        <v>43</v>
      </c>
      <c r="H512" s="14" t="str">
        <f>IFERROR(INDEX(المرجع!$A$2:$A$19,MATCH($G512,المرجع!$B$2:$B$19,0)),"")</f>
        <v>التصميم</v>
      </c>
      <c r="I512" s="16" t="s">
        <v>45</v>
      </c>
      <c r="J512" s="14" t="str">
        <f>IFERROR(INDEX(المرجع!$D$2:$D$19,MATCH($I512,المرجع!$E$2:$E$19,0)),"")</f>
        <v>الدور</v>
      </c>
      <c r="K512" s="16" t="s">
        <v>72</v>
      </c>
      <c r="L512" s="17" t="str">
        <f>IFERROR(INDEX('نقاط التحقق'!$G$2:$G$31,MATCH($K512,'نقاط التحقق'!$A$2:$A$31,0))&amp;"","")</f>
        <v>دور مفصل للوحدة التنظيمية</v>
      </c>
      <c r="M512" s="13">
        <v>82</v>
      </c>
      <c r="N512" s="15" t="str">
        <f>IF($M512="","غير مقيّمة",IF($M512&gt;المرجع!$K$3,"مستوفاة بشكل متقدم",IF($M512&lt;=المرجع!$K$2,"مستوفاة بشكل أولي","مستوفاة بشكل جزئي")))</f>
        <v>مستوفاة بشكل متقدم</v>
      </c>
      <c r="O512" s="18"/>
    </row>
    <row r="513" spans="1:15">
      <c r="A513" s="16" t="s">
        <v>1317</v>
      </c>
      <c r="B513" s="16" t="s">
        <v>224</v>
      </c>
      <c r="C513" s="15" t="str">
        <f>IFERROR(INDEX('قائمة الوحدات'!$B$2:$B$41,MATCH($B513,'قائمة الوحدات'!$A$2:$A$41,0)),"")</f>
        <v>MIL</v>
      </c>
      <c r="D513" s="14" t="str">
        <f>IFERROR(INDEX('قائمة الوحدات'!$C$2:$C$41,MATCH($B513,'قائمة الوحدات'!$A$2:$A$41,0)),"")</f>
        <v>الجهاز العسكري</v>
      </c>
      <c r="E513" s="14" t="str">
        <f>IFERROR(INDEX('قائمة الوحدات'!$D$2:$D$41,MATCH($B513,'قائمة الوحدات'!$A$2:$A$41,0)),"")</f>
        <v>الإدارة العامة للأمن العسكري</v>
      </c>
      <c r="F513" s="14" t="str">
        <f>IFERROR(INDEX('قائمة الوحدات'!$F$2:$F$41,MATCH($B513,'قائمة الوحدات'!$A$2:$A$41,0)),"")</f>
        <v>الإدارة العامة للأمن العسكري</v>
      </c>
      <c r="G513" s="16" t="s">
        <v>43</v>
      </c>
      <c r="H513" s="14" t="str">
        <f>IFERROR(INDEX(المرجع!$A$2:$A$19,MATCH($G513,المرجع!$B$2:$B$19,0)),"")</f>
        <v>التصميم</v>
      </c>
      <c r="I513" s="16" t="s">
        <v>48</v>
      </c>
      <c r="J513" s="14" t="str">
        <f>IFERROR(INDEX(المرجع!$D$2:$D$19,MATCH($I513,المرجع!$E$2:$E$19,0)),"")</f>
        <v>الأهداف ومؤشرات الأداء</v>
      </c>
      <c r="K513" s="16" t="s">
        <v>74</v>
      </c>
      <c r="L513" s="17" t="str">
        <f>IFERROR(INDEX('نقاط التحقق'!$G$2:$G$31,MATCH($K513,'نقاط التحقق'!$A$2:$A$31,0))&amp;"","")</f>
        <v>أهداف محددة للوحدة التنظيمية وربطها بمؤشرات أداء لقياسها</v>
      </c>
      <c r="M513" s="13">
        <v>75</v>
      </c>
      <c r="N513" s="15" t="str">
        <f>IF($M513="","غير مقيّمة",IF($M513&gt;المرجع!$K$3,"مستوفاة بشكل متقدم",IF($M513&lt;=المرجع!$K$2,"مستوفاة بشكل أولي","مستوفاة بشكل جزئي")))</f>
        <v>مستوفاة بشكل متقدم</v>
      </c>
      <c r="O513" s="18"/>
    </row>
    <row r="514" spans="1:15">
      <c r="A514" s="16" t="s">
        <v>1318</v>
      </c>
      <c r="B514" s="16" t="s">
        <v>224</v>
      </c>
      <c r="C514" s="15" t="str">
        <f>IFERROR(INDEX('قائمة الوحدات'!$B$2:$B$41,MATCH($B514,'قائمة الوحدات'!$A$2:$A$41,0)),"")</f>
        <v>MIL</v>
      </c>
      <c r="D514" s="14" t="str">
        <f>IFERROR(INDEX('قائمة الوحدات'!$C$2:$C$41,MATCH($B514,'قائمة الوحدات'!$A$2:$A$41,0)),"")</f>
        <v>الجهاز العسكري</v>
      </c>
      <c r="E514" s="14" t="str">
        <f>IFERROR(INDEX('قائمة الوحدات'!$D$2:$D$41,MATCH($B514,'قائمة الوحدات'!$A$2:$A$41,0)),"")</f>
        <v>الإدارة العامة للأمن العسكري</v>
      </c>
      <c r="F514" s="14" t="str">
        <f>IFERROR(INDEX('قائمة الوحدات'!$F$2:$F$41,MATCH($B514,'قائمة الوحدات'!$A$2:$A$41,0)),"")</f>
        <v>الإدارة العامة للأمن العسكري</v>
      </c>
      <c r="G514" s="16" t="s">
        <v>43</v>
      </c>
      <c r="H514" s="14" t="str">
        <f>IFERROR(INDEX(المرجع!$A$2:$A$19,MATCH($G514,المرجع!$B$2:$B$19,0)),"")</f>
        <v>التصميم</v>
      </c>
      <c r="I514" s="16" t="s">
        <v>48</v>
      </c>
      <c r="J514" s="14" t="str">
        <f>IFERROR(INDEX(المرجع!$D$2:$D$19,MATCH($I514,المرجع!$E$2:$E$19,0)),"")</f>
        <v>الأهداف ومؤشرات الأداء</v>
      </c>
      <c r="K514" s="16" t="s">
        <v>76</v>
      </c>
      <c r="L514" s="17" t="str">
        <f>IFERROR(INDEX('نقاط التحقق'!$G$2:$G$31,MATCH($K514,'نقاط التحقق'!$A$2:$A$31,0))&amp;"","")</f>
        <v>مؤشرات أداء الوحدة التنظيمية</v>
      </c>
      <c r="M514" s="13">
        <v>85</v>
      </c>
      <c r="N514" s="15" t="str">
        <f>IF($M514="","غير مقيّمة",IF($M514&gt;المرجع!$K$3,"مستوفاة بشكل متقدم",IF($M514&lt;=المرجع!$K$2,"مستوفاة بشكل أولي","مستوفاة بشكل جزئي")))</f>
        <v>مستوفاة بشكل متقدم</v>
      </c>
      <c r="O514" s="18"/>
    </row>
    <row r="515" spans="1:15">
      <c r="A515" s="16" t="s">
        <v>1319</v>
      </c>
      <c r="B515" s="16" t="s">
        <v>224</v>
      </c>
      <c r="C515" s="15" t="str">
        <f>IFERROR(INDEX('قائمة الوحدات'!$B$2:$B$41,MATCH($B515,'قائمة الوحدات'!$A$2:$A$41,0)),"")</f>
        <v>MIL</v>
      </c>
      <c r="D515" s="14" t="str">
        <f>IFERROR(INDEX('قائمة الوحدات'!$C$2:$C$41,MATCH($B515,'قائمة الوحدات'!$A$2:$A$41,0)),"")</f>
        <v>الجهاز العسكري</v>
      </c>
      <c r="E515" s="14" t="str">
        <f>IFERROR(INDEX('قائمة الوحدات'!$D$2:$D$41,MATCH($B515,'قائمة الوحدات'!$A$2:$A$41,0)),"")</f>
        <v>الإدارة العامة للأمن العسكري</v>
      </c>
      <c r="F515" s="14" t="str">
        <f>IFERROR(INDEX('قائمة الوحدات'!$F$2:$F$41,MATCH($B515,'قائمة الوحدات'!$A$2:$A$41,0)),"")</f>
        <v>الإدارة العامة للأمن العسكري</v>
      </c>
      <c r="G515" s="16" t="s">
        <v>43</v>
      </c>
      <c r="H515" s="14" t="str">
        <f>IFERROR(INDEX(المرجع!$A$2:$A$19,MATCH($G515,المرجع!$B$2:$B$19,0)),"")</f>
        <v>التصميم</v>
      </c>
      <c r="I515" s="16" t="s">
        <v>51</v>
      </c>
      <c r="J515" s="14" t="str">
        <f>IFERROR(INDEX(المرجع!$D$2:$D$19,MATCH($I515,المرجع!$E$2:$E$19,0)),"")</f>
        <v>الحوكمة</v>
      </c>
      <c r="K515" s="16" t="s">
        <v>78</v>
      </c>
      <c r="L515" s="17" t="str">
        <f>IFERROR(INDEX('نقاط التحقق'!$G$2:$G$31,MATCH($K515,'نقاط التحقق'!$A$2:$A$31,0))&amp;"","")</f>
        <v>تفصيل القرارات ومصفوفة الصلاحيات واللجان ذات العلاقة لاعتماد مخرجات الوحدة التنظيمية</v>
      </c>
      <c r="M515" s="13">
        <v>90</v>
      </c>
      <c r="N515" s="15" t="str">
        <f>IF($M515="","غير مقيّمة",IF($M515&gt;المرجع!$K$3,"مستوفاة بشكل متقدم",IF($M515&lt;=المرجع!$K$2,"مستوفاة بشكل أولي","مستوفاة بشكل جزئي")))</f>
        <v>مستوفاة بشكل متقدم</v>
      </c>
      <c r="O515" s="18"/>
    </row>
    <row r="516" spans="1:15">
      <c r="A516" s="16" t="s">
        <v>1320</v>
      </c>
      <c r="B516" s="16" t="s">
        <v>224</v>
      </c>
      <c r="C516" s="15" t="str">
        <f>IFERROR(INDEX('قائمة الوحدات'!$B$2:$B$41,MATCH($B516,'قائمة الوحدات'!$A$2:$A$41,0)),"")</f>
        <v>MIL</v>
      </c>
      <c r="D516" s="14" t="str">
        <f>IFERROR(INDEX('قائمة الوحدات'!$C$2:$C$41,MATCH($B516,'قائمة الوحدات'!$A$2:$A$41,0)),"")</f>
        <v>الجهاز العسكري</v>
      </c>
      <c r="E516" s="14" t="str">
        <f>IFERROR(INDEX('قائمة الوحدات'!$D$2:$D$41,MATCH($B516,'قائمة الوحدات'!$A$2:$A$41,0)),"")</f>
        <v>الإدارة العامة للأمن العسكري</v>
      </c>
      <c r="F516" s="14" t="str">
        <f>IFERROR(INDEX('قائمة الوحدات'!$F$2:$F$41,MATCH($B516,'قائمة الوحدات'!$A$2:$A$41,0)),"")</f>
        <v>الإدارة العامة للأمن العسكري</v>
      </c>
      <c r="G516" s="16" t="s">
        <v>43</v>
      </c>
      <c r="H516" s="14" t="str">
        <f>IFERROR(INDEX(المرجع!$A$2:$A$19,MATCH($G516,المرجع!$B$2:$B$19,0)),"")</f>
        <v>التصميم</v>
      </c>
      <c r="I516" s="16" t="s">
        <v>54</v>
      </c>
      <c r="J516" s="14" t="str">
        <f>IFERROR(INDEX(المرجع!$D$2:$D$19,MATCH($I516,المرجع!$E$2:$E$19,0)),"")</f>
        <v>التنظيم</v>
      </c>
      <c r="K516" s="16" t="s">
        <v>80</v>
      </c>
      <c r="L516" s="17" t="str">
        <f>IFERROR(INDEX('نقاط التحقق'!$G$2:$G$31,MATCH($K516,'نقاط التحقق'!$A$2:$A$31,0))&amp;"","")</f>
        <v>تطوير الأدوار والمسؤوليات للوحدة التنظيمية وتفصيل الهيكل التنظيمي</v>
      </c>
      <c r="M516" s="13">
        <v>97</v>
      </c>
      <c r="N516" s="15" t="str">
        <f>IF($M516="","غير مقيّمة",IF($M516&gt;المرجع!$K$3,"مستوفاة بشكل متقدم",IF($M516&lt;=المرجع!$K$2,"مستوفاة بشكل أولي","مستوفاة بشكل جزئي")))</f>
        <v>مستوفاة بشكل متقدم</v>
      </c>
      <c r="O516" s="18"/>
    </row>
    <row r="517" spans="1:15">
      <c r="A517" s="16" t="s">
        <v>1321</v>
      </c>
      <c r="B517" s="16" t="s">
        <v>224</v>
      </c>
      <c r="C517" s="15" t="str">
        <f>IFERROR(INDEX('قائمة الوحدات'!$B$2:$B$41,MATCH($B517,'قائمة الوحدات'!$A$2:$A$41,0)),"")</f>
        <v>MIL</v>
      </c>
      <c r="D517" s="14" t="str">
        <f>IFERROR(INDEX('قائمة الوحدات'!$C$2:$C$41,MATCH($B517,'قائمة الوحدات'!$A$2:$A$41,0)),"")</f>
        <v>الجهاز العسكري</v>
      </c>
      <c r="E517" s="14" t="str">
        <f>IFERROR(INDEX('قائمة الوحدات'!$D$2:$D$41,MATCH($B517,'قائمة الوحدات'!$A$2:$A$41,0)),"")</f>
        <v>الإدارة العامة للأمن العسكري</v>
      </c>
      <c r="F517" s="14" t="str">
        <f>IFERROR(INDEX('قائمة الوحدات'!$F$2:$F$41,MATCH($B517,'قائمة الوحدات'!$A$2:$A$41,0)),"")</f>
        <v>الإدارة العامة للأمن العسكري</v>
      </c>
      <c r="G517" s="16" t="s">
        <v>43</v>
      </c>
      <c r="H517" s="14" t="str">
        <f>IFERROR(INDEX(المرجع!$A$2:$A$19,MATCH($G517,المرجع!$B$2:$B$19,0)),"")</f>
        <v>التصميم</v>
      </c>
      <c r="I517" s="16" t="s">
        <v>56</v>
      </c>
      <c r="J517" s="14" t="str">
        <f>IFERROR(INDEX(المرجع!$D$2:$D$19,MATCH($I517,المرجع!$E$2:$E$19,0)),"")</f>
        <v>الموارد</v>
      </c>
      <c r="K517" s="16" t="s">
        <v>82</v>
      </c>
      <c r="L517" s="17" t="str">
        <f>IFERROR(INDEX('نقاط التحقق'!$G$2:$G$31,MATCH($K517,'نقاط التحقق'!$A$2:$A$31,0))&amp;"","")</f>
        <v>تفصيل احتياج الموارد البشرية للوحدة التنظيمية</v>
      </c>
      <c r="M517" s="13">
        <v>79</v>
      </c>
      <c r="N517" s="15" t="str">
        <f>IF($M517="","غير مقيّمة",IF($M517&gt;المرجع!$K$3,"مستوفاة بشكل متقدم",IF($M517&lt;=المرجع!$K$2,"مستوفاة بشكل أولي","مستوفاة بشكل جزئي")))</f>
        <v>مستوفاة بشكل متقدم</v>
      </c>
      <c r="O517" s="18"/>
    </row>
    <row r="518" spans="1:15">
      <c r="A518" s="16" t="s">
        <v>1322</v>
      </c>
      <c r="B518" s="16" t="s">
        <v>224</v>
      </c>
      <c r="C518" s="15" t="str">
        <f>IFERROR(INDEX('قائمة الوحدات'!$B$2:$B$41,MATCH($B518,'قائمة الوحدات'!$A$2:$A$41,0)),"")</f>
        <v>MIL</v>
      </c>
      <c r="D518" s="14" t="str">
        <f>IFERROR(INDEX('قائمة الوحدات'!$C$2:$C$41,MATCH($B518,'قائمة الوحدات'!$A$2:$A$41,0)),"")</f>
        <v>الجهاز العسكري</v>
      </c>
      <c r="E518" s="14" t="str">
        <f>IFERROR(INDEX('قائمة الوحدات'!$D$2:$D$41,MATCH($B518,'قائمة الوحدات'!$A$2:$A$41,0)),"")</f>
        <v>الإدارة العامة للأمن العسكري</v>
      </c>
      <c r="F518" s="14" t="str">
        <f>IFERROR(INDEX('قائمة الوحدات'!$F$2:$F$41,MATCH($B518,'قائمة الوحدات'!$A$2:$A$41,0)),"")</f>
        <v>الإدارة العامة للأمن العسكري</v>
      </c>
      <c r="G518" s="16" t="s">
        <v>43</v>
      </c>
      <c r="H518" s="14" t="str">
        <f>IFERROR(INDEX(المرجع!$A$2:$A$19,MATCH($G518,المرجع!$B$2:$B$19,0)),"")</f>
        <v>التصميم</v>
      </c>
      <c r="I518" s="16" t="s">
        <v>59</v>
      </c>
      <c r="J518" s="14" t="str">
        <f>IFERROR(INDEX(المرجع!$D$2:$D$19,MATCH($I518,المرجع!$E$2:$E$19,0)),"")</f>
        <v>الإجراءات</v>
      </c>
      <c r="K518" s="16" t="s">
        <v>84</v>
      </c>
      <c r="L518" s="17" t="str">
        <f>IFERROR(INDEX('نقاط التحقق'!$G$2:$G$31,MATCH($K518,'نقاط التحقق'!$A$2:$A$31,0))&amp;"","")</f>
        <v>تفصيل المخرجات إلى إجراءات عالية المستوى</v>
      </c>
      <c r="M518" s="13">
        <v>70</v>
      </c>
      <c r="N518" s="15" t="str">
        <f>IF($M518="","غير مقيّمة",IF($M518&gt;المرجع!$K$3,"مستوفاة بشكل متقدم",IF($M518&lt;=المرجع!$K$2,"مستوفاة بشكل أولي","مستوفاة بشكل جزئي")))</f>
        <v>مستوفاة بشكل جزئي</v>
      </c>
      <c r="O518" s="18"/>
    </row>
    <row r="519" spans="1:15">
      <c r="A519" s="16" t="s">
        <v>1323</v>
      </c>
      <c r="B519" s="16" t="s">
        <v>224</v>
      </c>
      <c r="C519" s="15" t="str">
        <f>IFERROR(INDEX('قائمة الوحدات'!$B$2:$B$41,MATCH($B519,'قائمة الوحدات'!$A$2:$A$41,0)),"")</f>
        <v>MIL</v>
      </c>
      <c r="D519" s="14" t="str">
        <f>IFERROR(INDEX('قائمة الوحدات'!$C$2:$C$41,MATCH($B519,'قائمة الوحدات'!$A$2:$A$41,0)),"")</f>
        <v>الجهاز العسكري</v>
      </c>
      <c r="E519" s="14" t="str">
        <f>IFERROR(INDEX('قائمة الوحدات'!$D$2:$D$41,MATCH($B519,'قائمة الوحدات'!$A$2:$A$41,0)),"")</f>
        <v>الإدارة العامة للأمن العسكري</v>
      </c>
      <c r="F519" s="14" t="str">
        <f>IFERROR(INDEX('قائمة الوحدات'!$F$2:$F$41,MATCH($B519,'قائمة الوحدات'!$A$2:$A$41,0)),"")</f>
        <v>الإدارة العامة للأمن العسكري</v>
      </c>
      <c r="G519" s="16" t="s">
        <v>61</v>
      </c>
      <c r="H519" s="14" t="str">
        <f>IFERROR(INDEX(المرجع!$A$2:$A$19,MATCH($G519,المرجع!$B$2:$B$19,0)),"")</f>
        <v>البناء المؤسسي</v>
      </c>
      <c r="I519" s="16" t="s">
        <v>45</v>
      </c>
      <c r="J519" s="14" t="str">
        <f>IFERROR(INDEX(المرجع!$D$2:$D$19,MATCH($I519,المرجع!$E$2:$E$19,0)),"")</f>
        <v>الدور</v>
      </c>
      <c r="K519" s="16" t="s">
        <v>86</v>
      </c>
      <c r="L519" s="17" t="str">
        <f>IFERROR(INDEX('نقاط التحقق'!$G$2:$G$31,MATCH($K519,'نقاط التحقق'!$A$2:$A$31,0))&amp;"","")</f>
        <v>دور معتمد للوحدة التنظيمية</v>
      </c>
      <c r="M519" s="13">
        <v>64</v>
      </c>
      <c r="N519" s="15" t="str">
        <f>IF($M519="","غير مقيّمة",IF($M519&gt;المرجع!$K$3,"مستوفاة بشكل متقدم",IF($M519&lt;=المرجع!$K$2,"مستوفاة بشكل أولي","مستوفاة بشكل جزئي")))</f>
        <v>مستوفاة بشكل جزئي</v>
      </c>
      <c r="O519" s="18"/>
    </row>
    <row r="520" spans="1:15">
      <c r="A520" s="16" t="s">
        <v>1324</v>
      </c>
      <c r="B520" s="16" t="s">
        <v>224</v>
      </c>
      <c r="C520" s="15" t="str">
        <f>IFERROR(INDEX('قائمة الوحدات'!$B$2:$B$41,MATCH($B520,'قائمة الوحدات'!$A$2:$A$41,0)),"")</f>
        <v>MIL</v>
      </c>
      <c r="D520" s="14" t="str">
        <f>IFERROR(INDEX('قائمة الوحدات'!$C$2:$C$41,MATCH($B520,'قائمة الوحدات'!$A$2:$A$41,0)),"")</f>
        <v>الجهاز العسكري</v>
      </c>
      <c r="E520" s="14" t="str">
        <f>IFERROR(INDEX('قائمة الوحدات'!$D$2:$D$41,MATCH($B520,'قائمة الوحدات'!$A$2:$A$41,0)),"")</f>
        <v>الإدارة العامة للأمن العسكري</v>
      </c>
      <c r="F520" s="14" t="str">
        <f>IFERROR(INDEX('قائمة الوحدات'!$F$2:$F$41,MATCH($B520,'قائمة الوحدات'!$A$2:$A$41,0)),"")</f>
        <v>الإدارة العامة للأمن العسكري</v>
      </c>
      <c r="G520" s="16" t="s">
        <v>61</v>
      </c>
      <c r="H520" s="14" t="str">
        <f>IFERROR(INDEX(المرجع!$A$2:$A$19,MATCH($G520,المرجع!$B$2:$B$19,0)),"")</f>
        <v>البناء المؤسسي</v>
      </c>
      <c r="I520" s="16" t="s">
        <v>48</v>
      </c>
      <c r="J520" s="14" t="str">
        <f>IFERROR(INDEX(المرجع!$D$2:$D$19,MATCH($I520,المرجع!$E$2:$E$19,0)),"")</f>
        <v>الأهداف ومؤشرات الأداء</v>
      </c>
      <c r="K520" s="16" t="s">
        <v>88</v>
      </c>
      <c r="L520" s="17" t="str">
        <f>IFERROR(INDEX('نقاط التحقق'!$G$2:$G$31,MATCH($K520,'نقاط التحقق'!$A$2:$A$31,0))&amp;"","")</f>
        <v>أهداف تشغيلية معتمدة من صاحب الصلاحية</v>
      </c>
      <c r="M520" s="13">
        <v>45</v>
      </c>
      <c r="N520" s="15" t="str">
        <f>IF($M520="","غير مقيّمة",IF($M520&gt;المرجع!$K$3,"مستوفاة بشكل متقدم",IF($M520&lt;=المرجع!$K$2,"مستوفاة بشكل أولي","مستوفاة بشكل جزئي")))</f>
        <v>مستوفاة بشكل جزئي</v>
      </c>
      <c r="O520" s="18"/>
    </row>
    <row r="521" spans="1:15">
      <c r="A521" s="16" t="s">
        <v>1325</v>
      </c>
      <c r="B521" s="16" t="s">
        <v>224</v>
      </c>
      <c r="C521" s="15" t="str">
        <f>IFERROR(INDEX('قائمة الوحدات'!$B$2:$B$41,MATCH($B521,'قائمة الوحدات'!$A$2:$A$41,0)),"")</f>
        <v>MIL</v>
      </c>
      <c r="D521" s="14" t="str">
        <f>IFERROR(INDEX('قائمة الوحدات'!$C$2:$C$41,MATCH($B521,'قائمة الوحدات'!$A$2:$A$41,0)),"")</f>
        <v>الجهاز العسكري</v>
      </c>
      <c r="E521" s="14" t="str">
        <f>IFERROR(INDEX('قائمة الوحدات'!$D$2:$D$41,MATCH($B521,'قائمة الوحدات'!$A$2:$A$41,0)),"")</f>
        <v>الإدارة العامة للأمن العسكري</v>
      </c>
      <c r="F521" s="14" t="str">
        <f>IFERROR(INDEX('قائمة الوحدات'!$F$2:$F$41,MATCH($B521,'قائمة الوحدات'!$A$2:$A$41,0)),"")</f>
        <v>الإدارة العامة للأمن العسكري</v>
      </c>
      <c r="G521" s="16" t="s">
        <v>61</v>
      </c>
      <c r="H521" s="14" t="str">
        <f>IFERROR(INDEX(المرجع!$A$2:$A$19,MATCH($G521,المرجع!$B$2:$B$19,0)),"")</f>
        <v>البناء المؤسسي</v>
      </c>
      <c r="I521" s="16" t="s">
        <v>48</v>
      </c>
      <c r="J521" s="14" t="str">
        <f>IFERROR(INDEX(المرجع!$D$2:$D$19,MATCH($I521,المرجع!$E$2:$E$19,0)),"")</f>
        <v>الأهداف ومؤشرات الأداء</v>
      </c>
      <c r="K521" s="16" t="s">
        <v>90</v>
      </c>
      <c r="L521" s="17" t="str">
        <f>IFERROR(INDEX('نقاط التحقق'!$G$2:$G$31,MATCH($K521,'نقاط التحقق'!$A$2:$A$31,0))&amp;"","")</f>
        <v>نشر الأهداف التشغيلية على موظفي الوحدة التنظيمية</v>
      </c>
      <c r="M521" s="13">
        <v>35</v>
      </c>
      <c r="N521" s="15" t="str">
        <f>IF($M521="","غير مقيّمة",IF($M521&gt;المرجع!$K$3,"مستوفاة بشكل متقدم",IF($M521&lt;=المرجع!$K$2,"مستوفاة بشكل أولي","مستوفاة بشكل جزئي")))</f>
        <v>مستوفاة بشكل جزئي</v>
      </c>
      <c r="O521" s="18"/>
    </row>
    <row r="522" spans="1:15">
      <c r="A522" s="16" t="s">
        <v>1326</v>
      </c>
      <c r="B522" s="16" t="s">
        <v>224</v>
      </c>
      <c r="C522" s="15" t="str">
        <f>IFERROR(INDEX('قائمة الوحدات'!$B$2:$B$41,MATCH($B522,'قائمة الوحدات'!$A$2:$A$41,0)),"")</f>
        <v>MIL</v>
      </c>
      <c r="D522" s="14" t="str">
        <f>IFERROR(INDEX('قائمة الوحدات'!$C$2:$C$41,MATCH($B522,'قائمة الوحدات'!$A$2:$A$41,0)),"")</f>
        <v>الجهاز العسكري</v>
      </c>
      <c r="E522" s="14" t="str">
        <f>IFERROR(INDEX('قائمة الوحدات'!$D$2:$D$41,MATCH($B522,'قائمة الوحدات'!$A$2:$A$41,0)),"")</f>
        <v>الإدارة العامة للأمن العسكري</v>
      </c>
      <c r="F522" s="14" t="str">
        <f>IFERROR(INDEX('قائمة الوحدات'!$F$2:$F$41,MATCH($B522,'قائمة الوحدات'!$A$2:$A$41,0)),"")</f>
        <v>الإدارة العامة للأمن العسكري</v>
      </c>
      <c r="G522" s="16" t="s">
        <v>61</v>
      </c>
      <c r="H522" s="14" t="str">
        <f>IFERROR(INDEX(المرجع!$A$2:$A$19,MATCH($G522,المرجع!$B$2:$B$19,0)),"")</f>
        <v>البناء المؤسسي</v>
      </c>
      <c r="I522" s="16" t="s">
        <v>51</v>
      </c>
      <c r="J522" s="14" t="str">
        <f>IFERROR(INDEX(المرجع!$D$2:$D$19,MATCH($I522,المرجع!$E$2:$E$19,0)),"")</f>
        <v>الحوكمة</v>
      </c>
      <c r="K522" s="16" t="s">
        <v>92</v>
      </c>
      <c r="L522" s="17" t="str">
        <f>IFERROR(INDEX('نقاط التحقق'!$G$2:$G$31,MATCH($K522,'نقاط التحقق'!$A$2:$A$31,0))&amp;"","")</f>
        <v>مصفوفة صلاحيات معتمدة ومعممة على أصحاب المصلحة</v>
      </c>
      <c r="M522" s="13">
        <v>75</v>
      </c>
      <c r="N522" s="15" t="str">
        <f>IF($M522="","غير مقيّمة",IF($M522&gt;المرجع!$K$3,"مستوفاة بشكل متقدم",IF($M522&lt;=المرجع!$K$2,"مستوفاة بشكل أولي","مستوفاة بشكل جزئي")))</f>
        <v>مستوفاة بشكل متقدم</v>
      </c>
      <c r="O522" s="18"/>
    </row>
    <row r="523" spans="1:15">
      <c r="A523" s="16" t="s">
        <v>1327</v>
      </c>
      <c r="B523" s="16" t="s">
        <v>224</v>
      </c>
      <c r="C523" s="15" t="str">
        <f>IFERROR(INDEX('قائمة الوحدات'!$B$2:$B$41,MATCH($B523,'قائمة الوحدات'!$A$2:$A$41,0)),"")</f>
        <v>MIL</v>
      </c>
      <c r="D523" s="14" t="str">
        <f>IFERROR(INDEX('قائمة الوحدات'!$C$2:$C$41,MATCH($B523,'قائمة الوحدات'!$A$2:$A$41,0)),"")</f>
        <v>الجهاز العسكري</v>
      </c>
      <c r="E523" s="14" t="str">
        <f>IFERROR(INDEX('قائمة الوحدات'!$D$2:$D$41,MATCH($B523,'قائمة الوحدات'!$A$2:$A$41,0)),"")</f>
        <v>الإدارة العامة للأمن العسكري</v>
      </c>
      <c r="F523" s="14" t="str">
        <f>IFERROR(INDEX('قائمة الوحدات'!$F$2:$F$41,MATCH($B523,'قائمة الوحدات'!$A$2:$A$41,0)),"")</f>
        <v>الإدارة العامة للأمن العسكري</v>
      </c>
      <c r="G523" s="16" t="s">
        <v>61</v>
      </c>
      <c r="H523" s="14" t="str">
        <f>IFERROR(INDEX(المرجع!$A$2:$A$19,MATCH($G523,المرجع!$B$2:$B$19,0)),"")</f>
        <v>البناء المؤسسي</v>
      </c>
      <c r="I523" s="16" t="s">
        <v>51</v>
      </c>
      <c r="J523" s="14" t="str">
        <f>IFERROR(INDEX(المرجع!$D$2:$D$19,MATCH($I523,المرجع!$E$2:$E$19,0)),"")</f>
        <v>الحوكمة</v>
      </c>
      <c r="K523" s="16" t="s">
        <v>94</v>
      </c>
      <c r="L523" s="17" t="str">
        <f>IFERROR(INDEX('نقاط التحقق'!$G$2:$G$31,MATCH($K523,'نقاط التحقق'!$A$2:$A$31,0))&amp;"","")</f>
        <v>سياسات معتمدة للتي تملكها الوحدة التنظيمية</v>
      </c>
      <c r="M523" s="13">
        <v>70</v>
      </c>
      <c r="N523" s="15" t="str">
        <f>IF($M523="","غير مقيّمة",IF($M523&gt;المرجع!$K$3,"مستوفاة بشكل متقدم",IF($M523&lt;=المرجع!$K$2,"مستوفاة بشكل أولي","مستوفاة بشكل جزئي")))</f>
        <v>مستوفاة بشكل جزئي</v>
      </c>
      <c r="O523" s="18"/>
    </row>
    <row r="524" spans="1:15">
      <c r="A524" s="16" t="s">
        <v>1328</v>
      </c>
      <c r="B524" s="16" t="s">
        <v>224</v>
      </c>
      <c r="C524" s="15" t="str">
        <f>IFERROR(INDEX('قائمة الوحدات'!$B$2:$B$41,MATCH($B524,'قائمة الوحدات'!$A$2:$A$41,0)),"")</f>
        <v>MIL</v>
      </c>
      <c r="D524" s="14" t="str">
        <f>IFERROR(INDEX('قائمة الوحدات'!$C$2:$C$41,MATCH($B524,'قائمة الوحدات'!$A$2:$A$41,0)),"")</f>
        <v>الجهاز العسكري</v>
      </c>
      <c r="E524" s="14" t="str">
        <f>IFERROR(INDEX('قائمة الوحدات'!$D$2:$D$41,MATCH($B524,'قائمة الوحدات'!$A$2:$A$41,0)),"")</f>
        <v>الإدارة العامة للأمن العسكري</v>
      </c>
      <c r="F524" s="14" t="str">
        <f>IFERROR(INDEX('قائمة الوحدات'!$F$2:$F$41,MATCH($B524,'قائمة الوحدات'!$A$2:$A$41,0)),"")</f>
        <v>الإدارة العامة للأمن العسكري</v>
      </c>
      <c r="G524" s="16" t="s">
        <v>61</v>
      </c>
      <c r="H524" s="14" t="str">
        <f>IFERROR(INDEX(المرجع!$A$2:$A$19,MATCH($G524,المرجع!$B$2:$B$19,0)),"")</f>
        <v>البناء المؤسسي</v>
      </c>
      <c r="I524" s="16" t="s">
        <v>51</v>
      </c>
      <c r="J524" s="14" t="str">
        <f>IFERROR(INDEX(المرجع!$D$2:$D$19,MATCH($I524,المرجع!$E$2:$E$19,0)),"")</f>
        <v>الحوكمة</v>
      </c>
      <c r="K524" s="16" t="s">
        <v>96</v>
      </c>
      <c r="L524" s="17" t="str">
        <f>IFERROR(INDEX('نقاط التحقق'!$G$2:$G$31,MATCH($K524,'نقاط التحقق'!$A$2:$A$31,0))&amp;"","")</f>
        <v>قرار تشكيل معتمد للجان ذات العلاقة</v>
      </c>
      <c r="M524" s="13">
        <v>80</v>
      </c>
      <c r="N524" s="15" t="str">
        <f>IF($M524="","غير مقيّمة",IF($M524&gt;المرجع!$K$3,"مستوفاة بشكل متقدم",IF($M524&lt;=المرجع!$K$2,"مستوفاة بشكل أولي","مستوفاة بشكل جزئي")))</f>
        <v>مستوفاة بشكل متقدم</v>
      </c>
      <c r="O524" s="18"/>
    </row>
    <row r="525" spans="1:15">
      <c r="A525" s="16" t="s">
        <v>1329</v>
      </c>
      <c r="B525" s="16" t="s">
        <v>224</v>
      </c>
      <c r="C525" s="15" t="str">
        <f>IFERROR(INDEX('قائمة الوحدات'!$B$2:$B$41,MATCH($B525,'قائمة الوحدات'!$A$2:$A$41,0)),"")</f>
        <v>MIL</v>
      </c>
      <c r="D525" s="14" t="str">
        <f>IFERROR(INDEX('قائمة الوحدات'!$C$2:$C$41,MATCH($B525,'قائمة الوحدات'!$A$2:$A$41,0)),"")</f>
        <v>الجهاز العسكري</v>
      </c>
      <c r="E525" s="14" t="str">
        <f>IFERROR(INDEX('قائمة الوحدات'!$D$2:$D$41,MATCH($B525,'قائمة الوحدات'!$A$2:$A$41,0)),"")</f>
        <v>الإدارة العامة للأمن العسكري</v>
      </c>
      <c r="F525" s="14" t="str">
        <f>IFERROR(INDEX('قائمة الوحدات'!$F$2:$F$41,MATCH($B525,'قائمة الوحدات'!$A$2:$A$41,0)),"")</f>
        <v>الإدارة العامة للأمن العسكري</v>
      </c>
      <c r="G525" s="16" t="s">
        <v>61</v>
      </c>
      <c r="H525" s="14" t="str">
        <f>IFERROR(INDEX(المرجع!$A$2:$A$19,MATCH($G525,المرجع!$B$2:$B$19,0)),"")</f>
        <v>البناء المؤسسي</v>
      </c>
      <c r="I525" s="16" t="s">
        <v>54</v>
      </c>
      <c r="J525" s="14" t="str">
        <f>IFERROR(INDEX(المرجع!$D$2:$D$19,MATCH($I525,المرجع!$E$2:$E$19,0)),"")</f>
        <v>التنظيم</v>
      </c>
      <c r="K525" s="16" t="s">
        <v>98</v>
      </c>
      <c r="L525" s="17" t="str">
        <f>IFERROR(INDEX('نقاط التحقق'!$G$2:$G$31,MATCH($K525,'نقاط التحقق'!$A$2:$A$31,0))&amp;"","")</f>
        <v>هيكل تنظيمي معتمد من صاحب الصلاحية</v>
      </c>
      <c r="M525" s="13">
        <v>80</v>
      </c>
      <c r="N525" s="15" t="str">
        <f>IF($M525="","غير مقيّمة",IF($M525&gt;المرجع!$K$3,"مستوفاة بشكل متقدم",IF($M525&lt;=المرجع!$K$2,"مستوفاة بشكل أولي","مستوفاة بشكل جزئي")))</f>
        <v>مستوفاة بشكل متقدم</v>
      </c>
      <c r="O525" s="18"/>
    </row>
    <row r="526" spans="1:15">
      <c r="A526" s="16" t="s">
        <v>1330</v>
      </c>
      <c r="B526" s="16" t="s">
        <v>224</v>
      </c>
      <c r="C526" s="15" t="str">
        <f>IFERROR(INDEX('قائمة الوحدات'!$B$2:$B$41,MATCH($B526,'قائمة الوحدات'!$A$2:$A$41,0)),"")</f>
        <v>MIL</v>
      </c>
      <c r="D526" s="14" t="str">
        <f>IFERROR(INDEX('قائمة الوحدات'!$C$2:$C$41,MATCH($B526,'قائمة الوحدات'!$A$2:$A$41,0)),"")</f>
        <v>الجهاز العسكري</v>
      </c>
      <c r="E526" s="14" t="str">
        <f>IFERROR(INDEX('قائمة الوحدات'!$D$2:$D$41,MATCH($B526,'قائمة الوحدات'!$A$2:$A$41,0)),"")</f>
        <v>الإدارة العامة للأمن العسكري</v>
      </c>
      <c r="F526" s="14" t="str">
        <f>IFERROR(INDEX('قائمة الوحدات'!$F$2:$F$41,MATCH($B526,'قائمة الوحدات'!$A$2:$A$41,0)),"")</f>
        <v>الإدارة العامة للأمن العسكري</v>
      </c>
      <c r="G526" s="16" t="s">
        <v>61</v>
      </c>
      <c r="H526" s="14" t="str">
        <f>IFERROR(INDEX(المرجع!$A$2:$A$19,MATCH($G526,المرجع!$B$2:$B$19,0)),"")</f>
        <v>البناء المؤسسي</v>
      </c>
      <c r="I526" s="16" t="s">
        <v>54</v>
      </c>
      <c r="J526" s="14" t="str">
        <f>IFERROR(INDEX(المرجع!$D$2:$D$19,MATCH($I526,المرجع!$E$2:$E$19,0)),"")</f>
        <v>التنظيم</v>
      </c>
      <c r="K526" s="16" t="s">
        <v>100</v>
      </c>
      <c r="L526" s="17" t="str">
        <f>IFERROR(INDEX('نقاط التحقق'!$G$2:$G$31,MATCH($K526,'نقاط التحقق'!$A$2:$A$31,0))&amp;"","")</f>
        <v>هيكل تنظيمي منشأ على نظام القوى العاملة</v>
      </c>
      <c r="M526" s="13">
        <v>80</v>
      </c>
      <c r="N526" s="15" t="str">
        <f>IF($M526="","غير مقيّمة",IF($M526&gt;المرجع!$K$3,"مستوفاة بشكل متقدم",IF($M526&lt;=المرجع!$K$2,"مستوفاة بشكل أولي","مستوفاة بشكل جزئي")))</f>
        <v>مستوفاة بشكل متقدم</v>
      </c>
      <c r="O526" s="18"/>
    </row>
    <row r="527" spans="1:15">
      <c r="A527" s="16" t="s">
        <v>1331</v>
      </c>
      <c r="B527" s="16" t="s">
        <v>224</v>
      </c>
      <c r="C527" s="15" t="str">
        <f>IFERROR(INDEX('قائمة الوحدات'!$B$2:$B$41,MATCH($B527,'قائمة الوحدات'!$A$2:$A$41,0)),"")</f>
        <v>MIL</v>
      </c>
      <c r="D527" s="14" t="str">
        <f>IFERROR(INDEX('قائمة الوحدات'!$C$2:$C$41,MATCH($B527,'قائمة الوحدات'!$A$2:$A$41,0)),"")</f>
        <v>الجهاز العسكري</v>
      </c>
      <c r="E527" s="14" t="str">
        <f>IFERROR(INDEX('قائمة الوحدات'!$D$2:$D$41,MATCH($B527,'قائمة الوحدات'!$A$2:$A$41,0)),"")</f>
        <v>الإدارة العامة للأمن العسكري</v>
      </c>
      <c r="F527" s="14" t="str">
        <f>IFERROR(INDEX('قائمة الوحدات'!$F$2:$F$41,MATCH($B527,'قائمة الوحدات'!$A$2:$A$41,0)),"")</f>
        <v>الإدارة العامة للأمن العسكري</v>
      </c>
      <c r="G527" s="16" t="s">
        <v>61</v>
      </c>
      <c r="H527" s="14" t="str">
        <f>IFERROR(INDEX(المرجع!$A$2:$A$19,MATCH($G527,المرجع!$B$2:$B$19,0)),"")</f>
        <v>البناء المؤسسي</v>
      </c>
      <c r="I527" s="16" t="s">
        <v>54</v>
      </c>
      <c r="J527" s="14" t="str">
        <f>IFERROR(INDEX(المرجع!$D$2:$D$19,MATCH($I527,المرجع!$E$2:$E$19,0)),"")</f>
        <v>التنظيم</v>
      </c>
      <c r="K527" s="16" t="s">
        <v>102</v>
      </c>
      <c r="L527" s="17" t="str">
        <f>IFERROR(INDEX('نقاط التحقق'!$G$2:$G$31,MATCH($K527,'نقاط التحقق'!$A$2:$A$31,0))&amp;"","")</f>
        <v>الموظفون المحددون مسكّنون على الهيكل التنظيمي المستهدف</v>
      </c>
      <c r="M527" s="13">
        <v>70</v>
      </c>
      <c r="N527" s="15" t="str">
        <f>IF($M527="","غير مقيّمة",IF($M527&gt;المرجع!$K$3,"مستوفاة بشكل متقدم",IF($M527&lt;=المرجع!$K$2,"مستوفاة بشكل أولي","مستوفاة بشكل جزئي")))</f>
        <v>مستوفاة بشكل جزئي</v>
      </c>
      <c r="O527" s="18"/>
    </row>
    <row r="528" spans="1:15">
      <c r="A528" s="16" t="s">
        <v>1332</v>
      </c>
      <c r="B528" s="16" t="s">
        <v>224</v>
      </c>
      <c r="C528" s="15" t="str">
        <f>IFERROR(INDEX('قائمة الوحدات'!$B$2:$B$41,MATCH($B528,'قائمة الوحدات'!$A$2:$A$41,0)),"")</f>
        <v>MIL</v>
      </c>
      <c r="D528" s="14" t="str">
        <f>IFERROR(INDEX('قائمة الوحدات'!$C$2:$C$41,MATCH($B528,'قائمة الوحدات'!$A$2:$A$41,0)),"")</f>
        <v>الجهاز العسكري</v>
      </c>
      <c r="E528" s="14" t="str">
        <f>IFERROR(INDEX('قائمة الوحدات'!$D$2:$D$41,MATCH($B528,'قائمة الوحدات'!$A$2:$A$41,0)),"")</f>
        <v>الإدارة العامة للأمن العسكري</v>
      </c>
      <c r="F528" s="14" t="str">
        <f>IFERROR(INDEX('قائمة الوحدات'!$F$2:$F$41,MATCH($B528,'قائمة الوحدات'!$A$2:$A$41,0)),"")</f>
        <v>الإدارة العامة للأمن العسكري</v>
      </c>
      <c r="G528" s="16" t="s">
        <v>61</v>
      </c>
      <c r="H528" s="14" t="str">
        <f>IFERROR(INDEX(المرجع!$A$2:$A$19,MATCH($G528,المرجع!$B$2:$B$19,0)),"")</f>
        <v>البناء المؤسسي</v>
      </c>
      <c r="I528" s="16" t="s">
        <v>56</v>
      </c>
      <c r="J528" s="14" t="str">
        <f>IFERROR(INDEX(المرجع!$D$2:$D$19,MATCH($I528,المرجع!$E$2:$E$19,0)),"")</f>
        <v>الموارد</v>
      </c>
      <c r="K528" s="16" t="s">
        <v>104</v>
      </c>
      <c r="L528" s="17" t="str">
        <f>IFERROR(INDEX('نقاط التحقق'!$G$2:$G$31,MATCH($K528,'نقاط التحقق'!$A$2:$A$31,0))&amp;"","")</f>
        <v>مدير الوحدة التنظيمية والموظفون الرئيسيون معينون/ملحقون</v>
      </c>
      <c r="M528" s="13">
        <v>55</v>
      </c>
      <c r="N528" s="15" t="str">
        <f>IF($M528="","غير مقيّمة",IF($M528&gt;المرجع!$K$3,"مستوفاة بشكل متقدم",IF($M528&lt;=المرجع!$K$2,"مستوفاة بشكل أولي","مستوفاة بشكل جزئي")))</f>
        <v>مستوفاة بشكل جزئي</v>
      </c>
      <c r="O528" s="18"/>
    </row>
    <row r="529" spans="1:15">
      <c r="A529" s="16" t="s">
        <v>1333</v>
      </c>
      <c r="B529" s="16" t="s">
        <v>224</v>
      </c>
      <c r="C529" s="15" t="str">
        <f>IFERROR(INDEX('قائمة الوحدات'!$B$2:$B$41,MATCH($B529,'قائمة الوحدات'!$A$2:$A$41,0)),"")</f>
        <v>MIL</v>
      </c>
      <c r="D529" s="14" t="str">
        <f>IFERROR(INDEX('قائمة الوحدات'!$C$2:$C$41,MATCH($B529,'قائمة الوحدات'!$A$2:$A$41,0)),"")</f>
        <v>الجهاز العسكري</v>
      </c>
      <c r="E529" s="14" t="str">
        <f>IFERROR(INDEX('قائمة الوحدات'!$D$2:$D$41,MATCH($B529,'قائمة الوحدات'!$A$2:$A$41,0)),"")</f>
        <v>الإدارة العامة للأمن العسكري</v>
      </c>
      <c r="F529" s="14" t="str">
        <f>IFERROR(INDEX('قائمة الوحدات'!$F$2:$F$41,MATCH($B529,'قائمة الوحدات'!$A$2:$A$41,0)),"")</f>
        <v>الإدارة العامة للأمن العسكري</v>
      </c>
      <c r="G529" s="16" t="s">
        <v>61</v>
      </c>
      <c r="H529" s="14" t="str">
        <f>IFERROR(INDEX(المرجع!$A$2:$A$19,MATCH($G529,المرجع!$B$2:$B$19,0)),"")</f>
        <v>البناء المؤسسي</v>
      </c>
      <c r="I529" s="16" t="s">
        <v>56</v>
      </c>
      <c r="J529" s="14" t="str">
        <f>IFERROR(INDEX(المرجع!$D$2:$D$19,MATCH($I529,المرجع!$E$2:$E$19,0)),"")</f>
        <v>الموارد</v>
      </c>
      <c r="K529" s="16" t="s">
        <v>106</v>
      </c>
      <c r="L529" s="17" t="str">
        <f>IFERROR(INDEX('نقاط التحقق'!$G$2:$G$31,MATCH($K529,'نقاط التحقق'!$A$2:$A$31,0))&amp;"","")</f>
        <v>خطة توظيف وتدريب مستكملة</v>
      </c>
      <c r="M529" s="13">
        <v>65</v>
      </c>
      <c r="N529" s="15" t="str">
        <f>IF($M529="","غير مقيّمة",IF($M529&gt;المرجع!$K$3,"مستوفاة بشكل متقدم",IF($M529&lt;=المرجع!$K$2,"مستوفاة بشكل أولي","مستوفاة بشكل جزئي")))</f>
        <v>مستوفاة بشكل جزئي</v>
      </c>
      <c r="O529" s="18"/>
    </row>
    <row r="530" spans="1:15">
      <c r="A530" s="16" t="s">
        <v>1334</v>
      </c>
      <c r="B530" s="16" t="s">
        <v>224</v>
      </c>
      <c r="C530" s="15" t="str">
        <f>IFERROR(INDEX('قائمة الوحدات'!$B$2:$B$41,MATCH($B530,'قائمة الوحدات'!$A$2:$A$41,0)),"")</f>
        <v>MIL</v>
      </c>
      <c r="D530" s="14" t="str">
        <f>IFERROR(INDEX('قائمة الوحدات'!$C$2:$C$41,MATCH($B530,'قائمة الوحدات'!$A$2:$A$41,0)),"")</f>
        <v>الجهاز العسكري</v>
      </c>
      <c r="E530" s="14" t="str">
        <f>IFERROR(INDEX('قائمة الوحدات'!$D$2:$D$41,MATCH($B530,'قائمة الوحدات'!$A$2:$A$41,0)),"")</f>
        <v>الإدارة العامة للأمن العسكري</v>
      </c>
      <c r="F530" s="14" t="str">
        <f>IFERROR(INDEX('قائمة الوحدات'!$F$2:$F$41,MATCH($B530,'قائمة الوحدات'!$A$2:$A$41,0)),"")</f>
        <v>الإدارة العامة للأمن العسكري</v>
      </c>
      <c r="G530" s="16" t="s">
        <v>61</v>
      </c>
      <c r="H530" s="14" t="str">
        <f>IFERROR(INDEX(المرجع!$A$2:$A$19,MATCH($G530,المرجع!$B$2:$B$19,0)),"")</f>
        <v>البناء المؤسسي</v>
      </c>
      <c r="I530" s="16" t="s">
        <v>56</v>
      </c>
      <c r="J530" s="14" t="str">
        <f>IFERROR(INDEX(المرجع!$D$2:$D$19,MATCH($I530,المرجع!$E$2:$E$19,0)),"")</f>
        <v>الموارد</v>
      </c>
      <c r="K530" s="16" t="s">
        <v>108</v>
      </c>
      <c r="L530" s="17" t="str">
        <f>IFERROR(INDEX('نقاط التحقق'!$G$2:$G$31,MATCH($K530,'نقاط التحقق'!$A$2:$A$31,0))&amp;"","")</f>
        <v>وجود مساحات مكتبية كافية</v>
      </c>
      <c r="M530" s="13">
        <v>60</v>
      </c>
      <c r="N530" s="15" t="str">
        <f>IF($M530="","غير مقيّمة",IF($M530&gt;المرجع!$K$3,"مستوفاة بشكل متقدم",IF($M530&lt;=المرجع!$K$2,"مستوفاة بشكل أولي","مستوفاة بشكل جزئي")))</f>
        <v>مستوفاة بشكل جزئي</v>
      </c>
      <c r="O530" s="18"/>
    </row>
    <row r="531" spans="1:15">
      <c r="A531" s="16" t="s">
        <v>1335</v>
      </c>
      <c r="B531" s="16" t="s">
        <v>224</v>
      </c>
      <c r="C531" s="15" t="str">
        <f>IFERROR(INDEX('قائمة الوحدات'!$B$2:$B$41,MATCH($B531,'قائمة الوحدات'!$A$2:$A$41,0)),"")</f>
        <v>MIL</v>
      </c>
      <c r="D531" s="14" t="str">
        <f>IFERROR(INDEX('قائمة الوحدات'!$C$2:$C$41,MATCH($B531,'قائمة الوحدات'!$A$2:$A$41,0)),"")</f>
        <v>الجهاز العسكري</v>
      </c>
      <c r="E531" s="14" t="str">
        <f>IFERROR(INDEX('قائمة الوحدات'!$D$2:$D$41,MATCH($B531,'قائمة الوحدات'!$A$2:$A$41,0)),"")</f>
        <v>الإدارة العامة للأمن العسكري</v>
      </c>
      <c r="F531" s="14" t="str">
        <f>IFERROR(INDEX('قائمة الوحدات'!$F$2:$F$41,MATCH($B531,'قائمة الوحدات'!$A$2:$A$41,0)),"")</f>
        <v>الإدارة العامة للأمن العسكري</v>
      </c>
      <c r="G531" s="16" t="s">
        <v>61</v>
      </c>
      <c r="H531" s="14" t="str">
        <f>IFERROR(INDEX(المرجع!$A$2:$A$19,MATCH($G531,المرجع!$B$2:$B$19,0)),"")</f>
        <v>البناء المؤسسي</v>
      </c>
      <c r="I531" s="16" t="s">
        <v>56</v>
      </c>
      <c r="J531" s="14" t="str">
        <f>IFERROR(INDEX(المرجع!$D$2:$D$19,MATCH($I531,المرجع!$E$2:$E$19,0)),"")</f>
        <v>الموارد</v>
      </c>
      <c r="K531" s="16" t="s">
        <v>110</v>
      </c>
      <c r="L531" s="17" t="str">
        <f>IFERROR(INDEX('نقاط التحقق'!$G$2:$G$31,MATCH($K531,'نقاط التحقق'!$A$2:$A$31,0))&amp;"","")</f>
        <v>وجود الاحتياجات التقنية الأساسية</v>
      </c>
      <c r="M531" s="13">
        <v>70</v>
      </c>
      <c r="N531" s="15" t="str">
        <f>IF($M531="","غير مقيّمة",IF($M531&gt;المرجع!$K$3,"مستوفاة بشكل متقدم",IF($M531&lt;=المرجع!$K$2,"مستوفاة بشكل أولي","مستوفاة بشكل جزئي")))</f>
        <v>مستوفاة بشكل جزئي</v>
      </c>
      <c r="O531" s="18"/>
    </row>
    <row r="532" spans="1:15">
      <c r="A532" s="16" t="s">
        <v>1336</v>
      </c>
      <c r="B532" s="16" t="s">
        <v>224</v>
      </c>
      <c r="C532" s="15" t="str">
        <f>IFERROR(INDEX('قائمة الوحدات'!$B$2:$B$41,MATCH($B532,'قائمة الوحدات'!$A$2:$A$41,0)),"")</f>
        <v>MIL</v>
      </c>
      <c r="D532" s="14" t="str">
        <f>IFERROR(INDEX('قائمة الوحدات'!$C$2:$C$41,MATCH($B532,'قائمة الوحدات'!$A$2:$A$41,0)),"")</f>
        <v>الجهاز العسكري</v>
      </c>
      <c r="E532" s="14" t="str">
        <f>IFERROR(INDEX('قائمة الوحدات'!$D$2:$D$41,MATCH($B532,'قائمة الوحدات'!$A$2:$A$41,0)),"")</f>
        <v>الإدارة العامة للأمن العسكري</v>
      </c>
      <c r="F532" s="14" t="str">
        <f>IFERROR(INDEX('قائمة الوحدات'!$F$2:$F$41,MATCH($B532,'قائمة الوحدات'!$A$2:$A$41,0)),"")</f>
        <v>الإدارة العامة للأمن العسكري</v>
      </c>
      <c r="G532" s="16" t="s">
        <v>61</v>
      </c>
      <c r="H532" s="14" t="str">
        <f>IFERROR(INDEX(المرجع!$A$2:$A$19,MATCH($G532,المرجع!$B$2:$B$19,0)),"")</f>
        <v>البناء المؤسسي</v>
      </c>
      <c r="I532" s="16" t="s">
        <v>59</v>
      </c>
      <c r="J532" s="14" t="str">
        <f>IFERROR(INDEX(المرجع!$D$2:$D$19,MATCH($I532,المرجع!$E$2:$E$19,0)),"")</f>
        <v>الإجراءات</v>
      </c>
      <c r="K532" s="16" t="s">
        <v>112</v>
      </c>
      <c r="L532" s="17" t="str">
        <f>IFERROR(INDEX('نقاط التحقق'!$G$2:$G$31,MATCH($K532,'نقاط التحقق'!$A$2:$A$31,0))&amp;"","")</f>
        <v>إجراءات معتمدة للوحدة التنظيمية</v>
      </c>
      <c r="M532" s="13">
        <v>81</v>
      </c>
      <c r="N532" s="15" t="str">
        <f>IF($M532="","غير مقيّمة",IF($M532&gt;المرجع!$K$3,"مستوفاة بشكل متقدم",IF($M532&lt;=المرجع!$K$2,"مستوفاة بشكل أولي","مستوفاة بشكل جزئي")))</f>
        <v>مستوفاة بشكل متقدم</v>
      </c>
      <c r="O532" s="18"/>
    </row>
    <row r="533" spans="1:15">
      <c r="A533" s="16" t="s">
        <v>1337</v>
      </c>
      <c r="B533" s="16" t="s">
        <v>224</v>
      </c>
      <c r="C533" s="15" t="str">
        <f>IFERROR(INDEX('قائمة الوحدات'!$B$2:$B$41,MATCH($B533,'قائمة الوحدات'!$A$2:$A$41,0)),"")</f>
        <v>MIL</v>
      </c>
      <c r="D533" s="14" t="str">
        <f>IFERROR(INDEX('قائمة الوحدات'!$C$2:$C$41,MATCH($B533,'قائمة الوحدات'!$A$2:$A$41,0)),"")</f>
        <v>الجهاز العسكري</v>
      </c>
      <c r="E533" s="14" t="str">
        <f>IFERROR(INDEX('قائمة الوحدات'!$D$2:$D$41,MATCH($B533,'قائمة الوحدات'!$A$2:$A$41,0)),"")</f>
        <v>الإدارة العامة للأمن العسكري</v>
      </c>
      <c r="F533" s="14" t="str">
        <f>IFERROR(INDEX('قائمة الوحدات'!$F$2:$F$41,MATCH($B533,'قائمة الوحدات'!$A$2:$A$41,0)),"")</f>
        <v>الإدارة العامة للأمن العسكري</v>
      </c>
      <c r="G533" s="16" t="s">
        <v>61</v>
      </c>
      <c r="H533" s="14" t="str">
        <f>IFERROR(INDEX(المرجع!$A$2:$A$19,MATCH($G533,المرجع!$B$2:$B$19,0)),"")</f>
        <v>البناء المؤسسي</v>
      </c>
      <c r="I533" s="16" t="s">
        <v>63</v>
      </c>
      <c r="J533" s="14" t="str">
        <f>IFERROR(INDEX(المرجع!$D$2:$D$19,MATCH($I533,المرجع!$E$2:$E$19,0)),"")</f>
        <v>إنتاج المخرج الأول</v>
      </c>
      <c r="K533" s="16" t="s">
        <v>114</v>
      </c>
      <c r="L533" s="17" t="str">
        <f>IFERROR(INDEX('نقاط التحقق'!$G$2:$G$31,MATCH($K533,'نقاط التحقق'!$A$2:$A$31,0))&amp;"","")</f>
        <v>إنتاج المخرج الأول من قبل الوحدة التنظيمية</v>
      </c>
      <c r="M533" s="13">
        <v>61</v>
      </c>
      <c r="N533" s="15" t="str">
        <f>IF($M533="","غير مقيّمة",IF($M533&gt;المرجع!$K$3,"مستوفاة بشكل متقدم",IF($M533&lt;=المرجع!$K$2,"مستوفاة بشكل أولي","مستوفاة بشكل جزئي")))</f>
        <v>مستوفاة بشكل جزئي</v>
      </c>
      <c r="O533" s="18"/>
    </row>
    <row r="534" spans="1:15">
      <c r="A534" s="16" t="s">
        <v>1338</v>
      </c>
      <c r="B534" s="16" t="s">
        <v>224</v>
      </c>
      <c r="C534" s="15" t="str">
        <f>IFERROR(INDEX('قائمة الوحدات'!$B$2:$B$41,MATCH($B534,'قائمة الوحدات'!$A$2:$A$41,0)),"")</f>
        <v>MIL</v>
      </c>
      <c r="D534" s="14" t="str">
        <f>IFERROR(INDEX('قائمة الوحدات'!$C$2:$C$41,MATCH($B534,'قائمة الوحدات'!$A$2:$A$41,0)),"")</f>
        <v>الجهاز العسكري</v>
      </c>
      <c r="E534" s="14" t="str">
        <f>IFERROR(INDEX('قائمة الوحدات'!$D$2:$D$41,MATCH($B534,'قائمة الوحدات'!$A$2:$A$41,0)),"")</f>
        <v>الإدارة العامة للأمن العسكري</v>
      </c>
      <c r="F534" s="14" t="str">
        <f>IFERROR(INDEX('قائمة الوحدات'!$F$2:$F$41,MATCH($B534,'قائمة الوحدات'!$A$2:$A$41,0)),"")</f>
        <v>الإدارة العامة للأمن العسكري</v>
      </c>
      <c r="G534" s="16" t="s">
        <v>65</v>
      </c>
      <c r="H534" s="14" t="str">
        <f>IFERROR(INDEX(المرجع!$A$2:$A$19,MATCH($G534,المرجع!$B$2:$B$19,0)),"")</f>
        <v>التشغيل</v>
      </c>
      <c r="I534" s="16" t="s">
        <v>48</v>
      </c>
      <c r="J534" s="14" t="str">
        <f>IFERROR(INDEX(المرجع!$D$2:$D$19,MATCH($I534,المرجع!$E$2:$E$19,0)),"")</f>
        <v>الأهداف ومؤشرات الأداء</v>
      </c>
      <c r="K534" s="16" t="s">
        <v>116</v>
      </c>
      <c r="L534" s="17" t="str">
        <f>IFERROR(INDEX('نقاط التحقق'!$G$2:$G$31,MATCH($K534,'نقاط التحقق'!$A$2:$A$31,0))&amp;"","")</f>
        <v>تحرك مؤشرات الأداء التشغيلي للوحدة التنظيمية بشكل إيجابي</v>
      </c>
      <c r="M534" s="13">
        <v>60</v>
      </c>
      <c r="N534" s="15" t="str">
        <f>IF($M534="","غير مقيّمة",IF($M534&gt;المرجع!$K$3,"مستوفاة بشكل متقدم",IF($M534&lt;=المرجع!$K$2,"مستوفاة بشكل أولي","مستوفاة بشكل جزئي")))</f>
        <v>مستوفاة بشكل جزئي</v>
      </c>
      <c r="O534" s="18"/>
    </row>
    <row r="535" spans="1:15">
      <c r="A535" s="16" t="s">
        <v>1339</v>
      </c>
      <c r="B535" s="16" t="s">
        <v>224</v>
      </c>
      <c r="C535" s="15" t="str">
        <f>IFERROR(INDEX('قائمة الوحدات'!$B$2:$B$41,MATCH($B535,'قائمة الوحدات'!$A$2:$A$41,0)),"")</f>
        <v>MIL</v>
      </c>
      <c r="D535" s="14" t="str">
        <f>IFERROR(INDEX('قائمة الوحدات'!$C$2:$C$41,MATCH($B535,'قائمة الوحدات'!$A$2:$A$41,0)),"")</f>
        <v>الجهاز العسكري</v>
      </c>
      <c r="E535" s="14" t="str">
        <f>IFERROR(INDEX('قائمة الوحدات'!$D$2:$D$41,MATCH($B535,'قائمة الوحدات'!$A$2:$A$41,0)),"")</f>
        <v>الإدارة العامة للأمن العسكري</v>
      </c>
      <c r="F535" s="14" t="str">
        <f>IFERROR(INDEX('قائمة الوحدات'!$F$2:$F$41,MATCH($B535,'قائمة الوحدات'!$A$2:$A$41,0)),"")</f>
        <v>الإدارة العامة للأمن العسكري</v>
      </c>
      <c r="G535" s="16" t="s">
        <v>65</v>
      </c>
      <c r="H535" s="14" t="str">
        <f>IFERROR(INDEX(المرجع!$A$2:$A$19,MATCH($G535,المرجع!$B$2:$B$19,0)),"")</f>
        <v>التشغيل</v>
      </c>
      <c r="I535" s="16" t="s">
        <v>48</v>
      </c>
      <c r="J535" s="14" t="str">
        <f>IFERROR(INDEX(المرجع!$D$2:$D$19,MATCH($I535,المرجع!$E$2:$E$19,0)),"")</f>
        <v>الأهداف ومؤشرات الأداء</v>
      </c>
      <c r="K535" s="16" t="s">
        <v>118</v>
      </c>
      <c r="L535" s="17" t="str">
        <f>IFERROR(INDEX('نقاط التحقق'!$G$2:$G$31,MATCH($K535,'نقاط التحقق'!$A$2:$A$31,0))&amp;"","")</f>
        <v>خطة سنوية معتمدة للوحدة التنظيمية</v>
      </c>
      <c r="M535" s="13">
        <v>50</v>
      </c>
      <c r="N535" s="15" t="str">
        <f>IF($M535="","غير مقيّمة",IF($M535&gt;المرجع!$K$3,"مستوفاة بشكل متقدم",IF($M535&lt;=المرجع!$K$2,"مستوفاة بشكل أولي","مستوفاة بشكل جزئي")))</f>
        <v>مستوفاة بشكل جزئي</v>
      </c>
      <c r="O535" s="18"/>
    </row>
    <row r="536" spans="1:15">
      <c r="A536" s="16" t="s">
        <v>1340</v>
      </c>
      <c r="B536" s="16" t="s">
        <v>224</v>
      </c>
      <c r="C536" s="15" t="str">
        <f>IFERROR(INDEX('قائمة الوحدات'!$B$2:$B$41,MATCH($B536,'قائمة الوحدات'!$A$2:$A$41,0)),"")</f>
        <v>MIL</v>
      </c>
      <c r="D536" s="14" t="str">
        <f>IFERROR(INDEX('قائمة الوحدات'!$C$2:$C$41,MATCH($B536,'قائمة الوحدات'!$A$2:$A$41,0)),"")</f>
        <v>الجهاز العسكري</v>
      </c>
      <c r="E536" s="14" t="str">
        <f>IFERROR(INDEX('قائمة الوحدات'!$D$2:$D$41,MATCH($B536,'قائمة الوحدات'!$A$2:$A$41,0)),"")</f>
        <v>الإدارة العامة للأمن العسكري</v>
      </c>
      <c r="F536" s="14" t="str">
        <f>IFERROR(INDEX('قائمة الوحدات'!$F$2:$F$41,MATCH($B536,'قائمة الوحدات'!$A$2:$A$41,0)),"")</f>
        <v>الإدارة العامة للأمن العسكري</v>
      </c>
      <c r="G536" s="16" t="s">
        <v>65</v>
      </c>
      <c r="H536" s="14" t="str">
        <f>IFERROR(INDEX(المرجع!$A$2:$A$19,MATCH($G536,المرجع!$B$2:$B$19,0)),"")</f>
        <v>التشغيل</v>
      </c>
      <c r="I536" s="16" t="s">
        <v>51</v>
      </c>
      <c r="J536" s="14" t="str">
        <f>IFERROR(INDEX(المرجع!$D$2:$D$19,MATCH($I536,المرجع!$E$2:$E$19,0)),"")</f>
        <v>الحوكمة</v>
      </c>
      <c r="K536" s="16" t="s">
        <v>120</v>
      </c>
      <c r="L536" s="17" t="str">
        <f>IFERROR(INDEX('نقاط التحقق'!$G$2:$G$31,MATCH($K536,'نقاط التحقق'!$A$2:$A$31,0))&amp;"","")</f>
        <v>محاضر لجان موثقة</v>
      </c>
      <c r="M536" s="13">
        <v>20</v>
      </c>
      <c r="N536" s="15" t="str">
        <f>IF($M536="","غير مقيّمة",IF($M536&gt;المرجع!$K$3,"مستوفاة بشكل متقدم",IF($M536&lt;=المرجع!$K$2,"مستوفاة بشكل أولي","مستوفاة بشكل جزئي")))</f>
        <v>مستوفاة بشكل أولي</v>
      </c>
      <c r="O536" s="18"/>
    </row>
    <row r="537" spans="1:15">
      <c r="A537" s="16" t="s">
        <v>1341</v>
      </c>
      <c r="B537" s="16" t="s">
        <v>224</v>
      </c>
      <c r="C537" s="15" t="str">
        <f>IFERROR(INDEX('قائمة الوحدات'!$B$2:$B$41,MATCH($B537,'قائمة الوحدات'!$A$2:$A$41,0)),"")</f>
        <v>MIL</v>
      </c>
      <c r="D537" s="14" t="str">
        <f>IFERROR(INDEX('قائمة الوحدات'!$C$2:$C$41,MATCH($B537,'قائمة الوحدات'!$A$2:$A$41,0)),"")</f>
        <v>الجهاز العسكري</v>
      </c>
      <c r="E537" s="14" t="str">
        <f>IFERROR(INDEX('قائمة الوحدات'!$D$2:$D$41,MATCH($B537,'قائمة الوحدات'!$A$2:$A$41,0)),"")</f>
        <v>الإدارة العامة للأمن العسكري</v>
      </c>
      <c r="F537" s="14" t="str">
        <f>IFERROR(INDEX('قائمة الوحدات'!$F$2:$F$41,MATCH($B537,'قائمة الوحدات'!$A$2:$A$41,0)),"")</f>
        <v>الإدارة العامة للأمن العسكري</v>
      </c>
      <c r="G537" s="16" t="s">
        <v>65</v>
      </c>
      <c r="H537" s="14" t="str">
        <f>IFERROR(INDEX(المرجع!$A$2:$A$19,MATCH($G537,المرجع!$B$2:$B$19,0)),"")</f>
        <v>التشغيل</v>
      </c>
      <c r="I537" s="16" t="s">
        <v>51</v>
      </c>
      <c r="J537" s="14" t="str">
        <f>IFERROR(INDEX(المرجع!$D$2:$D$19,MATCH($I537,المرجع!$E$2:$E$19,0)),"")</f>
        <v>الحوكمة</v>
      </c>
      <c r="K537" s="16" t="s">
        <v>122</v>
      </c>
      <c r="L537" s="17" t="str">
        <f>IFERROR(INDEX('نقاط التحقق'!$G$2:$G$31,MATCH($K537,'نقاط التحقق'!$A$2:$A$31,0))&amp;"","")</f>
        <v>نشر السياسات التي تملكها الوحدة التنظيمية</v>
      </c>
      <c r="M537" s="13">
        <v>35</v>
      </c>
      <c r="N537" s="15" t="str">
        <f>IF($M537="","غير مقيّمة",IF($M537&gt;المرجع!$K$3,"مستوفاة بشكل متقدم",IF($M537&lt;=المرجع!$K$2,"مستوفاة بشكل أولي","مستوفاة بشكل جزئي")))</f>
        <v>مستوفاة بشكل جزئي</v>
      </c>
      <c r="O537" s="18"/>
    </row>
    <row r="538" spans="1:15">
      <c r="A538" s="16" t="s">
        <v>1342</v>
      </c>
      <c r="B538" s="16" t="s">
        <v>224</v>
      </c>
      <c r="C538" s="15" t="str">
        <f>IFERROR(INDEX('قائمة الوحدات'!$B$2:$B$41,MATCH($B538,'قائمة الوحدات'!$A$2:$A$41,0)),"")</f>
        <v>MIL</v>
      </c>
      <c r="D538" s="14" t="str">
        <f>IFERROR(INDEX('قائمة الوحدات'!$C$2:$C$41,MATCH($B538,'قائمة الوحدات'!$A$2:$A$41,0)),"")</f>
        <v>الجهاز العسكري</v>
      </c>
      <c r="E538" s="14" t="str">
        <f>IFERROR(INDEX('قائمة الوحدات'!$D$2:$D$41,MATCH($B538,'قائمة الوحدات'!$A$2:$A$41,0)),"")</f>
        <v>الإدارة العامة للأمن العسكري</v>
      </c>
      <c r="F538" s="14" t="str">
        <f>IFERROR(INDEX('قائمة الوحدات'!$F$2:$F$41,MATCH($B538,'قائمة الوحدات'!$A$2:$A$41,0)),"")</f>
        <v>الإدارة العامة للأمن العسكري</v>
      </c>
      <c r="G538" s="16" t="s">
        <v>65</v>
      </c>
      <c r="H538" s="14" t="str">
        <f>IFERROR(INDEX(المرجع!$A$2:$A$19,MATCH($G538,المرجع!$B$2:$B$19,0)),"")</f>
        <v>التشغيل</v>
      </c>
      <c r="I538" s="16" t="s">
        <v>51</v>
      </c>
      <c r="J538" s="14" t="str">
        <f>IFERROR(INDEX(المرجع!$D$2:$D$19,MATCH($I538,المرجع!$E$2:$E$19,0)),"")</f>
        <v>الحوكمة</v>
      </c>
      <c r="K538" s="16" t="s">
        <v>124</v>
      </c>
      <c r="L538" s="17" t="str">
        <f>IFERROR(INDEX('نقاط التحقق'!$G$2:$G$31,MATCH($K538,'نقاط التحقق'!$A$2:$A$31,0))&amp;"","")</f>
        <v>اتخاذ القرارات في نطاق الصلاحيات (وجود شواهد)</v>
      </c>
      <c r="M538" s="13">
        <v>35</v>
      </c>
      <c r="N538" s="15" t="str">
        <f>IF($M538="","غير مقيّمة",IF($M538&gt;المرجع!$K$3,"مستوفاة بشكل متقدم",IF($M538&lt;=المرجع!$K$2,"مستوفاة بشكل أولي","مستوفاة بشكل جزئي")))</f>
        <v>مستوفاة بشكل جزئي</v>
      </c>
      <c r="O538" s="18"/>
    </row>
    <row r="539" spans="1:15">
      <c r="A539" s="16" t="s">
        <v>1343</v>
      </c>
      <c r="B539" s="16" t="s">
        <v>224</v>
      </c>
      <c r="C539" s="15" t="str">
        <f>IFERROR(INDEX('قائمة الوحدات'!$B$2:$B$41,MATCH($B539,'قائمة الوحدات'!$A$2:$A$41,0)),"")</f>
        <v>MIL</v>
      </c>
      <c r="D539" s="14" t="str">
        <f>IFERROR(INDEX('قائمة الوحدات'!$C$2:$C$41,MATCH($B539,'قائمة الوحدات'!$A$2:$A$41,0)),"")</f>
        <v>الجهاز العسكري</v>
      </c>
      <c r="E539" s="14" t="str">
        <f>IFERROR(INDEX('قائمة الوحدات'!$D$2:$D$41,MATCH($B539,'قائمة الوحدات'!$A$2:$A$41,0)),"")</f>
        <v>الإدارة العامة للأمن العسكري</v>
      </c>
      <c r="F539" s="14" t="str">
        <f>IFERROR(INDEX('قائمة الوحدات'!$F$2:$F$41,MATCH($B539,'قائمة الوحدات'!$A$2:$A$41,0)),"")</f>
        <v>الإدارة العامة للأمن العسكري</v>
      </c>
      <c r="G539" s="16" t="s">
        <v>65</v>
      </c>
      <c r="H539" s="14" t="str">
        <f>IFERROR(INDEX(المرجع!$A$2:$A$19,MATCH($G539,المرجع!$B$2:$B$19,0)),"")</f>
        <v>التشغيل</v>
      </c>
      <c r="I539" s="16" t="s">
        <v>56</v>
      </c>
      <c r="J539" s="14" t="str">
        <f>IFERROR(INDEX(المرجع!$D$2:$D$19,MATCH($I539,المرجع!$E$2:$E$19,0)),"")</f>
        <v>الموارد</v>
      </c>
      <c r="K539" s="16" t="s">
        <v>126</v>
      </c>
      <c r="L539" s="17" t="str">
        <f>IFERROR(INDEX('نقاط التحقق'!$G$2:$G$31,MATCH($K539,'نقاط التحقق'!$A$2:$A$31,0))&amp;"","")</f>
        <v>موارد مستكملة للحد الأدنى الذي يغطي كافة محاور سلسلة القيمة</v>
      </c>
      <c r="M539" s="13">
        <v>34</v>
      </c>
      <c r="N539" s="15" t="str">
        <f>IF($M539="","غير مقيّمة",IF($M539&gt;المرجع!$K$3,"مستوفاة بشكل متقدم",IF($M539&lt;=المرجع!$K$2,"مستوفاة بشكل أولي","مستوفاة بشكل جزئي")))</f>
        <v>مستوفاة بشكل جزئي</v>
      </c>
      <c r="O539" s="18"/>
    </row>
    <row r="540" spans="1:15">
      <c r="A540" s="16" t="s">
        <v>1344</v>
      </c>
      <c r="B540" s="16" t="s">
        <v>224</v>
      </c>
      <c r="C540" s="15" t="str">
        <f>IFERROR(INDEX('قائمة الوحدات'!$B$2:$B$41,MATCH($B540,'قائمة الوحدات'!$A$2:$A$41,0)),"")</f>
        <v>MIL</v>
      </c>
      <c r="D540" s="14" t="str">
        <f>IFERROR(INDEX('قائمة الوحدات'!$C$2:$C$41,MATCH($B540,'قائمة الوحدات'!$A$2:$A$41,0)),"")</f>
        <v>الجهاز العسكري</v>
      </c>
      <c r="E540" s="14" t="str">
        <f>IFERROR(INDEX('قائمة الوحدات'!$D$2:$D$41,MATCH($B540,'قائمة الوحدات'!$A$2:$A$41,0)),"")</f>
        <v>الإدارة العامة للأمن العسكري</v>
      </c>
      <c r="F540" s="14" t="str">
        <f>IFERROR(INDEX('قائمة الوحدات'!$F$2:$F$41,MATCH($B540,'قائمة الوحدات'!$A$2:$A$41,0)),"")</f>
        <v>الإدارة العامة للأمن العسكري</v>
      </c>
      <c r="G540" s="16" t="s">
        <v>65</v>
      </c>
      <c r="H540" s="14" t="str">
        <f>IFERROR(INDEX(المرجع!$A$2:$A$19,MATCH($G540,المرجع!$B$2:$B$19,0)),"")</f>
        <v>التشغيل</v>
      </c>
      <c r="I540" s="16" t="s">
        <v>59</v>
      </c>
      <c r="J540" s="14" t="str">
        <f>IFERROR(INDEX(المرجع!$D$2:$D$19,MATCH($I540,المرجع!$E$2:$E$19,0)),"")</f>
        <v>الإجراءات</v>
      </c>
      <c r="K540" s="16" t="s">
        <v>128</v>
      </c>
      <c r="L540" s="17" t="str">
        <f>IFERROR(INDEX('نقاط التحقق'!$G$2:$G$31,MATCH($K540,'نقاط التحقق'!$A$2:$A$31,0))&amp;"","")</f>
        <v>تحقيق تقييم "مطبق بشكل كامل" من منهجية تقييم فعالية الإجراءات</v>
      </c>
      <c r="M540" s="13">
        <v>36</v>
      </c>
      <c r="N540" s="15" t="str">
        <f>IF($M540="","غير مقيّمة",IF($M540&gt;المرجع!$K$3,"مستوفاة بشكل متقدم",IF($M540&lt;=المرجع!$K$2,"مستوفاة بشكل أولي","مستوفاة بشكل جزئي")))</f>
        <v>مستوفاة بشكل جزئي</v>
      </c>
      <c r="O540" s="18"/>
    </row>
    <row r="541" spans="1:15">
      <c r="A541" s="16" t="s">
        <v>1345</v>
      </c>
      <c r="B541" s="16" t="s">
        <v>224</v>
      </c>
      <c r="C541" s="15" t="str">
        <f>IFERROR(INDEX('قائمة الوحدات'!$B$2:$B$41,MATCH($B541,'قائمة الوحدات'!$A$2:$A$41,0)),"")</f>
        <v>MIL</v>
      </c>
      <c r="D541" s="14" t="str">
        <f>IFERROR(INDEX('قائمة الوحدات'!$C$2:$C$41,MATCH($B541,'قائمة الوحدات'!$A$2:$A$41,0)),"")</f>
        <v>الجهاز العسكري</v>
      </c>
      <c r="E541" s="14" t="str">
        <f>IFERROR(INDEX('قائمة الوحدات'!$D$2:$D$41,MATCH($B541,'قائمة الوحدات'!$A$2:$A$41,0)),"")</f>
        <v>الإدارة العامة للأمن العسكري</v>
      </c>
      <c r="F541" s="14" t="str">
        <f>IFERROR(INDEX('قائمة الوحدات'!$F$2:$F$41,MATCH($B541,'قائمة الوحدات'!$A$2:$A$41,0)),"")</f>
        <v>الإدارة العامة للأمن العسكري</v>
      </c>
      <c r="G541" s="16" t="s">
        <v>65</v>
      </c>
      <c r="H541" s="14" t="str">
        <f>IFERROR(INDEX(المرجع!$A$2:$A$19,MATCH($G541,المرجع!$B$2:$B$19,0)),"")</f>
        <v>التشغيل</v>
      </c>
      <c r="I541" s="16" t="s">
        <v>67</v>
      </c>
      <c r="J541" s="14" t="str">
        <f>IFERROR(INDEX(المرجع!$D$2:$D$19,MATCH($I541,المرجع!$E$2:$E$19,0)),"")</f>
        <v>اكتمال المخرجات المستهدفة</v>
      </c>
      <c r="K541" s="16" t="s">
        <v>130</v>
      </c>
      <c r="L541" s="17" t="str">
        <f>IFERROR(INDEX('نقاط التحقق'!$G$2:$G$31,MATCH($K541,'نقاط التحقق'!$A$2:$A$31,0))&amp;"","")</f>
        <v>اكتمال مخرجات النموذج التشغيلي المستهدف للوحدة التنظيمية</v>
      </c>
      <c r="M541" s="13">
        <v>23</v>
      </c>
      <c r="N541" s="15" t="str">
        <f>IF($M541="","غير مقيّمة",IF($M541&gt;المرجع!$K$3,"مستوفاة بشكل متقدم",IF($M541&lt;=المرجع!$K$2,"مستوفاة بشكل أولي","مستوفاة بشكل جزئي")))</f>
        <v>مستوفاة بشكل أولي</v>
      </c>
      <c r="O541" s="18"/>
    </row>
    <row r="542" spans="1:15">
      <c r="A542" s="16" t="s">
        <v>1346</v>
      </c>
      <c r="B542" s="16" t="s">
        <v>226</v>
      </c>
      <c r="C542" s="15" t="str">
        <f>IFERROR(INDEX('قائمة الوحدات'!$B$2:$B$41,MATCH($B542,'قائمة الوحدات'!$A$2:$A$41,0)),"")</f>
        <v>MIL</v>
      </c>
      <c r="D542" s="14" t="str">
        <f>IFERROR(INDEX('قائمة الوحدات'!$C$2:$C$41,MATCH($B542,'قائمة الوحدات'!$A$2:$A$41,0)),"")</f>
        <v>الجهاز العسكري</v>
      </c>
      <c r="E542" s="14" t="str">
        <f>IFERROR(INDEX('قائمة الوحدات'!$D$2:$D$41,MATCH($B542,'قائمة الوحدات'!$A$2:$A$41,0)),"")</f>
        <v>الإدارة العامة للمالية والميزانية العسكرية</v>
      </c>
      <c r="F542" s="14" t="str">
        <f>IFERROR(INDEX('قائمة الوحدات'!$F$2:$F$41,MATCH($B542,'قائمة الوحدات'!$A$2:$A$41,0)),"")</f>
        <v>الإدارة العامة للمالية والميزانية العسكرية</v>
      </c>
      <c r="G542" s="16" t="s">
        <v>43</v>
      </c>
      <c r="H542" s="14" t="str">
        <f>IFERROR(INDEX(المرجع!$A$2:$A$19,MATCH($G542,المرجع!$B$2:$B$19,0)),"")</f>
        <v>التصميم</v>
      </c>
      <c r="I542" s="16" t="s">
        <v>45</v>
      </c>
      <c r="J542" s="14" t="str">
        <f>IFERROR(INDEX(المرجع!$D$2:$D$19,MATCH($I542,المرجع!$E$2:$E$19,0)),"")</f>
        <v>الدور</v>
      </c>
      <c r="K542" s="16" t="s">
        <v>72</v>
      </c>
      <c r="L542" s="17" t="str">
        <f>IFERROR(INDEX('نقاط التحقق'!$G$2:$G$31,MATCH($K542,'نقاط التحقق'!$A$2:$A$31,0))&amp;"","")</f>
        <v>دور مفصل للوحدة التنظيمية</v>
      </c>
      <c r="M542" s="13">
        <v>78</v>
      </c>
      <c r="N542" s="15" t="str">
        <f>IF($M542="","غير مقيّمة",IF($M542&gt;المرجع!$K$3,"مستوفاة بشكل متقدم",IF($M542&lt;=المرجع!$K$2,"مستوفاة بشكل أولي","مستوفاة بشكل جزئي")))</f>
        <v>مستوفاة بشكل متقدم</v>
      </c>
      <c r="O542" s="18"/>
    </row>
    <row r="543" spans="1:15">
      <c r="A543" s="16" t="s">
        <v>1347</v>
      </c>
      <c r="B543" s="16" t="s">
        <v>226</v>
      </c>
      <c r="C543" s="15" t="str">
        <f>IFERROR(INDEX('قائمة الوحدات'!$B$2:$B$41,MATCH($B543,'قائمة الوحدات'!$A$2:$A$41,0)),"")</f>
        <v>MIL</v>
      </c>
      <c r="D543" s="14" t="str">
        <f>IFERROR(INDEX('قائمة الوحدات'!$C$2:$C$41,MATCH($B543,'قائمة الوحدات'!$A$2:$A$41,0)),"")</f>
        <v>الجهاز العسكري</v>
      </c>
      <c r="E543" s="14" t="str">
        <f>IFERROR(INDEX('قائمة الوحدات'!$D$2:$D$41,MATCH($B543,'قائمة الوحدات'!$A$2:$A$41,0)),"")</f>
        <v>الإدارة العامة للمالية والميزانية العسكرية</v>
      </c>
      <c r="F543" s="14" t="str">
        <f>IFERROR(INDEX('قائمة الوحدات'!$F$2:$F$41,MATCH($B543,'قائمة الوحدات'!$A$2:$A$41,0)),"")</f>
        <v>الإدارة العامة للمالية والميزانية العسكرية</v>
      </c>
      <c r="G543" s="16" t="s">
        <v>43</v>
      </c>
      <c r="H543" s="14" t="str">
        <f>IFERROR(INDEX(المرجع!$A$2:$A$19,MATCH($G543,المرجع!$B$2:$B$19,0)),"")</f>
        <v>التصميم</v>
      </c>
      <c r="I543" s="16" t="s">
        <v>48</v>
      </c>
      <c r="J543" s="14" t="str">
        <f>IFERROR(INDEX(المرجع!$D$2:$D$19,MATCH($I543,المرجع!$E$2:$E$19,0)),"")</f>
        <v>الأهداف ومؤشرات الأداء</v>
      </c>
      <c r="K543" s="16" t="s">
        <v>74</v>
      </c>
      <c r="L543" s="17" t="str">
        <f>IFERROR(INDEX('نقاط التحقق'!$G$2:$G$31,MATCH($K543,'نقاط التحقق'!$A$2:$A$31,0))&amp;"","")</f>
        <v>أهداف محددة للوحدة التنظيمية وربطها بمؤشرات أداء لقياسها</v>
      </c>
      <c r="M543" s="13">
        <v>75</v>
      </c>
      <c r="N543" s="15" t="str">
        <f>IF($M543="","غير مقيّمة",IF($M543&gt;المرجع!$K$3,"مستوفاة بشكل متقدم",IF($M543&lt;=المرجع!$K$2,"مستوفاة بشكل أولي","مستوفاة بشكل جزئي")))</f>
        <v>مستوفاة بشكل متقدم</v>
      </c>
      <c r="O543" s="18"/>
    </row>
    <row r="544" spans="1:15">
      <c r="A544" s="16" t="s">
        <v>1348</v>
      </c>
      <c r="B544" s="16" t="s">
        <v>226</v>
      </c>
      <c r="C544" s="15" t="str">
        <f>IFERROR(INDEX('قائمة الوحدات'!$B$2:$B$41,MATCH($B544,'قائمة الوحدات'!$A$2:$A$41,0)),"")</f>
        <v>MIL</v>
      </c>
      <c r="D544" s="14" t="str">
        <f>IFERROR(INDEX('قائمة الوحدات'!$C$2:$C$41,MATCH($B544,'قائمة الوحدات'!$A$2:$A$41,0)),"")</f>
        <v>الجهاز العسكري</v>
      </c>
      <c r="E544" s="14" t="str">
        <f>IFERROR(INDEX('قائمة الوحدات'!$D$2:$D$41,MATCH($B544,'قائمة الوحدات'!$A$2:$A$41,0)),"")</f>
        <v>الإدارة العامة للمالية والميزانية العسكرية</v>
      </c>
      <c r="F544" s="14" t="str">
        <f>IFERROR(INDEX('قائمة الوحدات'!$F$2:$F$41,MATCH($B544,'قائمة الوحدات'!$A$2:$A$41,0)),"")</f>
        <v>الإدارة العامة للمالية والميزانية العسكرية</v>
      </c>
      <c r="G544" s="16" t="s">
        <v>43</v>
      </c>
      <c r="H544" s="14" t="str">
        <f>IFERROR(INDEX(المرجع!$A$2:$A$19,MATCH($G544,المرجع!$B$2:$B$19,0)),"")</f>
        <v>التصميم</v>
      </c>
      <c r="I544" s="16" t="s">
        <v>48</v>
      </c>
      <c r="J544" s="14" t="str">
        <f>IFERROR(INDEX(المرجع!$D$2:$D$19,MATCH($I544,المرجع!$E$2:$E$19,0)),"")</f>
        <v>الأهداف ومؤشرات الأداء</v>
      </c>
      <c r="K544" s="16" t="s">
        <v>76</v>
      </c>
      <c r="L544" s="17" t="str">
        <f>IFERROR(INDEX('نقاط التحقق'!$G$2:$G$31,MATCH($K544,'نقاط التحقق'!$A$2:$A$31,0))&amp;"","")</f>
        <v>مؤشرات أداء الوحدة التنظيمية</v>
      </c>
      <c r="M544" s="13">
        <v>85</v>
      </c>
      <c r="N544" s="15" t="str">
        <f>IF($M544="","غير مقيّمة",IF($M544&gt;المرجع!$K$3,"مستوفاة بشكل متقدم",IF($M544&lt;=المرجع!$K$2,"مستوفاة بشكل أولي","مستوفاة بشكل جزئي")))</f>
        <v>مستوفاة بشكل متقدم</v>
      </c>
      <c r="O544" s="18"/>
    </row>
    <row r="545" spans="1:15">
      <c r="A545" s="16" t="s">
        <v>1349</v>
      </c>
      <c r="B545" s="16" t="s">
        <v>226</v>
      </c>
      <c r="C545" s="15" t="str">
        <f>IFERROR(INDEX('قائمة الوحدات'!$B$2:$B$41,MATCH($B545,'قائمة الوحدات'!$A$2:$A$41,0)),"")</f>
        <v>MIL</v>
      </c>
      <c r="D545" s="14" t="str">
        <f>IFERROR(INDEX('قائمة الوحدات'!$C$2:$C$41,MATCH($B545,'قائمة الوحدات'!$A$2:$A$41,0)),"")</f>
        <v>الجهاز العسكري</v>
      </c>
      <c r="E545" s="14" t="str">
        <f>IFERROR(INDEX('قائمة الوحدات'!$D$2:$D$41,MATCH($B545,'قائمة الوحدات'!$A$2:$A$41,0)),"")</f>
        <v>الإدارة العامة للمالية والميزانية العسكرية</v>
      </c>
      <c r="F545" s="14" t="str">
        <f>IFERROR(INDEX('قائمة الوحدات'!$F$2:$F$41,MATCH($B545,'قائمة الوحدات'!$A$2:$A$41,0)),"")</f>
        <v>الإدارة العامة للمالية والميزانية العسكرية</v>
      </c>
      <c r="G545" s="16" t="s">
        <v>43</v>
      </c>
      <c r="H545" s="14" t="str">
        <f>IFERROR(INDEX(المرجع!$A$2:$A$19,MATCH($G545,المرجع!$B$2:$B$19,0)),"")</f>
        <v>التصميم</v>
      </c>
      <c r="I545" s="16" t="s">
        <v>51</v>
      </c>
      <c r="J545" s="14" t="str">
        <f>IFERROR(INDEX(المرجع!$D$2:$D$19,MATCH($I545,المرجع!$E$2:$E$19,0)),"")</f>
        <v>الحوكمة</v>
      </c>
      <c r="K545" s="16" t="s">
        <v>78</v>
      </c>
      <c r="L545" s="17" t="str">
        <f>IFERROR(INDEX('نقاط التحقق'!$G$2:$G$31,MATCH($K545,'نقاط التحقق'!$A$2:$A$31,0))&amp;"","")</f>
        <v>تفصيل القرارات ومصفوفة الصلاحيات واللجان ذات العلاقة لاعتماد مخرجات الوحدة التنظيمية</v>
      </c>
      <c r="M545" s="13">
        <v>72</v>
      </c>
      <c r="N545" s="15" t="str">
        <f>IF($M545="","غير مقيّمة",IF($M545&gt;المرجع!$K$3,"مستوفاة بشكل متقدم",IF($M545&lt;=المرجع!$K$2,"مستوفاة بشكل أولي","مستوفاة بشكل جزئي")))</f>
        <v>مستوفاة بشكل متقدم</v>
      </c>
      <c r="O545" s="18"/>
    </row>
    <row r="546" spans="1:15">
      <c r="A546" s="16" t="s">
        <v>1350</v>
      </c>
      <c r="B546" s="16" t="s">
        <v>226</v>
      </c>
      <c r="C546" s="15" t="str">
        <f>IFERROR(INDEX('قائمة الوحدات'!$B$2:$B$41,MATCH($B546,'قائمة الوحدات'!$A$2:$A$41,0)),"")</f>
        <v>MIL</v>
      </c>
      <c r="D546" s="14" t="str">
        <f>IFERROR(INDEX('قائمة الوحدات'!$C$2:$C$41,MATCH($B546,'قائمة الوحدات'!$A$2:$A$41,0)),"")</f>
        <v>الجهاز العسكري</v>
      </c>
      <c r="E546" s="14" t="str">
        <f>IFERROR(INDEX('قائمة الوحدات'!$D$2:$D$41,MATCH($B546,'قائمة الوحدات'!$A$2:$A$41,0)),"")</f>
        <v>الإدارة العامة للمالية والميزانية العسكرية</v>
      </c>
      <c r="F546" s="14" t="str">
        <f>IFERROR(INDEX('قائمة الوحدات'!$F$2:$F$41,MATCH($B546,'قائمة الوحدات'!$A$2:$A$41,0)),"")</f>
        <v>الإدارة العامة للمالية والميزانية العسكرية</v>
      </c>
      <c r="G546" s="16" t="s">
        <v>43</v>
      </c>
      <c r="H546" s="14" t="str">
        <f>IFERROR(INDEX(المرجع!$A$2:$A$19,MATCH($G546,المرجع!$B$2:$B$19,0)),"")</f>
        <v>التصميم</v>
      </c>
      <c r="I546" s="16" t="s">
        <v>54</v>
      </c>
      <c r="J546" s="14" t="str">
        <f>IFERROR(INDEX(المرجع!$D$2:$D$19,MATCH($I546,المرجع!$E$2:$E$19,0)),"")</f>
        <v>التنظيم</v>
      </c>
      <c r="K546" s="16" t="s">
        <v>80</v>
      </c>
      <c r="L546" s="17" t="str">
        <f>IFERROR(INDEX('نقاط التحقق'!$G$2:$G$31,MATCH($K546,'نقاط التحقق'!$A$2:$A$31,0))&amp;"","")</f>
        <v>تطوير الأدوار والمسؤوليات للوحدة التنظيمية وتفصيل الهيكل التنظيمي</v>
      </c>
      <c r="M546" s="13">
        <v>89</v>
      </c>
      <c r="N546" s="15" t="str">
        <f>IF($M546="","غير مقيّمة",IF($M546&gt;المرجع!$K$3,"مستوفاة بشكل متقدم",IF($M546&lt;=المرجع!$K$2,"مستوفاة بشكل أولي","مستوفاة بشكل جزئي")))</f>
        <v>مستوفاة بشكل متقدم</v>
      </c>
      <c r="O546" s="18"/>
    </row>
    <row r="547" spans="1:15">
      <c r="A547" s="16" t="s">
        <v>1351</v>
      </c>
      <c r="B547" s="16" t="s">
        <v>226</v>
      </c>
      <c r="C547" s="15" t="str">
        <f>IFERROR(INDEX('قائمة الوحدات'!$B$2:$B$41,MATCH($B547,'قائمة الوحدات'!$A$2:$A$41,0)),"")</f>
        <v>MIL</v>
      </c>
      <c r="D547" s="14" t="str">
        <f>IFERROR(INDEX('قائمة الوحدات'!$C$2:$C$41,MATCH($B547,'قائمة الوحدات'!$A$2:$A$41,0)),"")</f>
        <v>الجهاز العسكري</v>
      </c>
      <c r="E547" s="14" t="str">
        <f>IFERROR(INDEX('قائمة الوحدات'!$D$2:$D$41,MATCH($B547,'قائمة الوحدات'!$A$2:$A$41,0)),"")</f>
        <v>الإدارة العامة للمالية والميزانية العسكرية</v>
      </c>
      <c r="F547" s="14" t="str">
        <f>IFERROR(INDEX('قائمة الوحدات'!$F$2:$F$41,MATCH($B547,'قائمة الوحدات'!$A$2:$A$41,0)),"")</f>
        <v>الإدارة العامة للمالية والميزانية العسكرية</v>
      </c>
      <c r="G547" s="16" t="s">
        <v>43</v>
      </c>
      <c r="H547" s="14" t="str">
        <f>IFERROR(INDEX(المرجع!$A$2:$A$19,MATCH($G547,المرجع!$B$2:$B$19,0)),"")</f>
        <v>التصميم</v>
      </c>
      <c r="I547" s="16" t="s">
        <v>56</v>
      </c>
      <c r="J547" s="14" t="str">
        <f>IFERROR(INDEX(المرجع!$D$2:$D$19,MATCH($I547,المرجع!$E$2:$E$19,0)),"")</f>
        <v>الموارد</v>
      </c>
      <c r="K547" s="16" t="s">
        <v>82</v>
      </c>
      <c r="L547" s="17" t="str">
        <f>IFERROR(INDEX('نقاط التحقق'!$G$2:$G$31,MATCH($K547,'نقاط التحقق'!$A$2:$A$31,0))&amp;"","")</f>
        <v>تفصيل احتياج الموارد البشرية للوحدة التنظيمية</v>
      </c>
      <c r="M547" s="13">
        <v>89</v>
      </c>
      <c r="N547" s="15" t="str">
        <f>IF($M547="","غير مقيّمة",IF($M547&gt;المرجع!$K$3,"مستوفاة بشكل متقدم",IF($M547&lt;=المرجع!$K$2,"مستوفاة بشكل أولي","مستوفاة بشكل جزئي")))</f>
        <v>مستوفاة بشكل متقدم</v>
      </c>
      <c r="O547" s="18"/>
    </row>
    <row r="548" spans="1:15">
      <c r="A548" s="16" t="s">
        <v>1352</v>
      </c>
      <c r="B548" s="16" t="s">
        <v>226</v>
      </c>
      <c r="C548" s="15" t="str">
        <f>IFERROR(INDEX('قائمة الوحدات'!$B$2:$B$41,MATCH($B548,'قائمة الوحدات'!$A$2:$A$41,0)),"")</f>
        <v>MIL</v>
      </c>
      <c r="D548" s="14" t="str">
        <f>IFERROR(INDEX('قائمة الوحدات'!$C$2:$C$41,MATCH($B548,'قائمة الوحدات'!$A$2:$A$41,0)),"")</f>
        <v>الجهاز العسكري</v>
      </c>
      <c r="E548" s="14" t="str">
        <f>IFERROR(INDEX('قائمة الوحدات'!$D$2:$D$41,MATCH($B548,'قائمة الوحدات'!$A$2:$A$41,0)),"")</f>
        <v>الإدارة العامة للمالية والميزانية العسكرية</v>
      </c>
      <c r="F548" s="14" t="str">
        <f>IFERROR(INDEX('قائمة الوحدات'!$F$2:$F$41,MATCH($B548,'قائمة الوحدات'!$A$2:$A$41,0)),"")</f>
        <v>الإدارة العامة للمالية والميزانية العسكرية</v>
      </c>
      <c r="G548" s="16" t="s">
        <v>43</v>
      </c>
      <c r="H548" s="14" t="str">
        <f>IFERROR(INDEX(المرجع!$A$2:$A$19,MATCH($G548,المرجع!$B$2:$B$19,0)),"")</f>
        <v>التصميم</v>
      </c>
      <c r="I548" s="16" t="s">
        <v>59</v>
      </c>
      <c r="J548" s="14" t="str">
        <f>IFERROR(INDEX(المرجع!$D$2:$D$19,MATCH($I548,المرجع!$E$2:$E$19,0)),"")</f>
        <v>الإجراءات</v>
      </c>
      <c r="K548" s="16" t="s">
        <v>84</v>
      </c>
      <c r="L548" s="17" t="str">
        <f>IFERROR(INDEX('نقاط التحقق'!$G$2:$G$31,MATCH($K548,'نقاط التحقق'!$A$2:$A$31,0))&amp;"","")</f>
        <v>تفصيل المخرجات إلى إجراءات عالية المستوى</v>
      </c>
      <c r="M548" s="13">
        <v>68</v>
      </c>
      <c r="N548" s="15" t="str">
        <f>IF($M548="","غير مقيّمة",IF($M548&gt;المرجع!$K$3,"مستوفاة بشكل متقدم",IF($M548&lt;=المرجع!$K$2,"مستوفاة بشكل أولي","مستوفاة بشكل جزئي")))</f>
        <v>مستوفاة بشكل جزئي</v>
      </c>
      <c r="O548" s="18"/>
    </row>
    <row r="549" spans="1:15">
      <c r="A549" s="16" t="s">
        <v>1353</v>
      </c>
      <c r="B549" s="16" t="s">
        <v>226</v>
      </c>
      <c r="C549" s="15" t="str">
        <f>IFERROR(INDEX('قائمة الوحدات'!$B$2:$B$41,MATCH($B549,'قائمة الوحدات'!$A$2:$A$41,0)),"")</f>
        <v>MIL</v>
      </c>
      <c r="D549" s="14" t="str">
        <f>IFERROR(INDEX('قائمة الوحدات'!$C$2:$C$41,MATCH($B549,'قائمة الوحدات'!$A$2:$A$41,0)),"")</f>
        <v>الجهاز العسكري</v>
      </c>
      <c r="E549" s="14" t="str">
        <f>IFERROR(INDEX('قائمة الوحدات'!$D$2:$D$41,MATCH($B549,'قائمة الوحدات'!$A$2:$A$41,0)),"")</f>
        <v>الإدارة العامة للمالية والميزانية العسكرية</v>
      </c>
      <c r="F549" s="14" t="str">
        <f>IFERROR(INDEX('قائمة الوحدات'!$F$2:$F$41,MATCH($B549,'قائمة الوحدات'!$A$2:$A$41,0)),"")</f>
        <v>الإدارة العامة للمالية والميزانية العسكرية</v>
      </c>
      <c r="G549" s="16" t="s">
        <v>61</v>
      </c>
      <c r="H549" s="14" t="str">
        <f>IFERROR(INDEX(المرجع!$A$2:$A$19,MATCH($G549,المرجع!$B$2:$B$19,0)),"")</f>
        <v>البناء المؤسسي</v>
      </c>
      <c r="I549" s="16" t="s">
        <v>45</v>
      </c>
      <c r="J549" s="14" t="str">
        <f>IFERROR(INDEX(المرجع!$D$2:$D$19,MATCH($I549,المرجع!$E$2:$E$19,0)),"")</f>
        <v>الدور</v>
      </c>
      <c r="K549" s="16" t="s">
        <v>86</v>
      </c>
      <c r="L549" s="17" t="str">
        <f>IFERROR(INDEX('نقاط التحقق'!$G$2:$G$31,MATCH($K549,'نقاط التحقق'!$A$2:$A$31,0))&amp;"","")</f>
        <v>دور معتمد للوحدة التنظيمية</v>
      </c>
      <c r="M549" s="13">
        <v>87</v>
      </c>
      <c r="N549" s="15" t="str">
        <f>IF($M549="","غير مقيّمة",IF($M549&gt;المرجع!$K$3,"مستوفاة بشكل متقدم",IF($M549&lt;=المرجع!$K$2,"مستوفاة بشكل أولي","مستوفاة بشكل جزئي")))</f>
        <v>مستوفاة بشكل متقدم</v>
      </c>
      <c r="O549" s="18"/>
    </row>
    <row r="550" spans="1:15">
      <c r="A550" s="16" t="s">
        <v>1354</v>
      </c>
      <c r="B550" s="16" t="s">
        <v>226</v>
      </c>
      <c r="C550" s="15" t="str">
        <f>IFERROR(INDEX('قائمة الوحدات'!$B$2:$B$41,MATCH($B550,'قائمة الوحدات'!$A$2:$A$41,0)),"")</f>
        <v>MIL</v>
      </c>
      <c r="D550" s="14" t="str">
        <f>IFERROR(INDEX('قائمة الوحدات'!$C$2:$C$41,MATCH($B550,'قائمة الوحدات'!$A$2:$A$41,0)),"")</f>
        <v>الجهاز العسكري</v>
      </c>
      <c r="E550" s="14" t="str">
        <f>IFERROR(INDEX('قائمة الوحدات'!$D$2:$D$41,MATCH($B550,'قائمة الوحدات'!$A$2:$A$41,0)),"")</f>
        <v>الإدارة العامة للمالية والميزانية العسكرية</v>
      </c>
      <c r="F550" s="14" t="str">
        <f>IFERROR(INDEX('قائمة الوحدات'!$F$2:$F$41,MATCH($B550,'قائمة الوحدات'!$A$2:$A$41,0)),"")</f>
        <v>الإدارة العامة للمالية والميزانية العسكرية</v>
      </c>
      <c r="G550" s="16" t="s">
        <v>61</v>
      </c>
      <c r="H550" s="14" t="str">
        <f>IFERROR(INDEX(المرجع!$A$2:$A$19,MATCH($G550,المرجع!$B$2:$B$19,0)),"")</f>
        <v>البناء المؤسسي</v>
      </c>
      <c r="I550" s="16" t="s">
        <v>48</v>
      </c>
      <c r="J550" s="14" t="str">
        <f>IFERROR(INDEX(المرجع!$D$2:$D$19,MATCH($I550,المرجع!$E$2:$E$19,0)),"")</f>
        <v>الأهداف ومؤشرات الأداء</v>
      </c>
      <c r="K550" s="16" t="s">
        <v>88</v>
      </c>
      <c r="L550" s="17" t="str">
        <f>IFERROR(INDEX('نقاط التحقق'!$G$2:$G$31,MATCH($K550,'نقاط التحقق'!$A$2:$A$31,0))&amp;"","")</f>
        <v>أهداف تشغيلية معتمدة من صاحب الصلاحية</v>
      </c>
      <c r="M550" s="13">
        <v>50</v>
      </c>
      <c r="N550" s="15" t="str">
        <f>IF($M550="","غير مقيّمة",IF($M550&gt;المرجع!$K$3,"مستوفاة بشكل متقدم",IF($M550&lt;=المرجع!$K$2,"مستوفاة بشكل أولي","مستوفاة بشكل جزئي")))</f>
        <v>مستوفاة بشكل جزئي</v>
      </c>
      <c r="O550" s="18"/>
    </row>
    <row r="551" spans="1:15">
      <c r="A551" s="16" t="s">
        <v>1355</v>
      </c>
      <c r="B551" s="16" t="s">
        <v>226</v>
      </c>
      <c r="C551" s="15" t="str">
        <f>IFERROR(INDEX('قائمة الوحدات'!$B$2:$B$41,MATCH($B551,'قائمة الوحدات'!$A$2:$A$41,0)),"")</f>
        <v>MIL</v>
      </c>
      <c r="D551" s="14" t="str">
        <f>IFERROR(INDEX('قائمة الوحدات'!$C$2:$C$41,MATCH($B551,'قائمة الوحدات'!$A$2:$A$41,0)),"")</f>
        <v>الجهاز العسكري</v>
      </c>
      <c r="E551" s="14" t="str">
        <f>IFERROR(INDEX('قائمة الوحدات'!$D$2:$D$41,MATCH($B551,'قائمة الوحدات'!$A$2:$A$41,0)),"")</f>
        <v>الإدارة العامة للمالية والميزانية العسكرية</v>
      </c>
      <c r="F551" s="14" t="str">
        <f>IFERROR(INDEX('قائمة الوحدات'!$F$2:$F$41,MATCH($B551,'قائمة الوحدات'!$A$2:$A$41,0)),"")</f>
        <v>الإدارة العامة للمالية والميزانية العسكرية</v>
      </c>
      <c r="G551" s="16" t="s">
        <v>61</v>
      </c>
      <c r="H551" s="14" t="str">
        <f>IFERROR(INDEX(المرجع!$A$2:$A$19,MATCH($G551,المرجع!$B$2:$B$19,0)),"")</f>
        <v>البناء المؤسسي</v>
      </c>
      <c r="I551" s="16" t="s">
        <v>48</v>
      </c>
      <c r="J551" s="14" t="str">
        <f>IFERROR(INDEX(المرجع!$D$2:$D$19,MATCH($I551,المرجع!$E$2:$E$19,0)),"")</f>
        <v>الأهداف ومؤشرات الأداء</v>
      </c>
      <c r="K551" s="16" t="s">
        <v>90</v>
      </c>
      <c r="L551" s="17" t="str">
        <f>IFERROR(INDEX('نقاط التحقق'!$G$2:$G$31,MATCH($K551,'نقاط التحقق'!$A$2:$A$31,0))&amp;"","")</f>
        <v>نشر الأهداف التشغيلية على موظفي الوحدة التنظيمية</v>
      </c>
      <c r="M551" s="13">
        <v>70</v>
      </c>
      <c r="N551" s="15" t="str">
        <f>IF($M551="","غير مقيّمة",IF($M551&gt;المرجع!$K$3,"مستوفاة بشكل متقدم",IF($M551&lt;=المرجع!$K$2,"مستوفاة بشكل أولي","مستوفاة بشكل جزئي")))</f>
        <v>مستوفاة بشكل جزئي</v>
      </c>
      <c r="O551" s="18"/>
    </row>
    <row r="552" spans="1:15">
      <c r="A552" s="16" t="s">
        <v>1356</v>
      </c>
      <c r="B552" s="16" t="s">
        <v>226</v>
      </c>
      <c r="C552" s="15" t="str">
        <f>IFERROR(INDEX('قائمة الوحدات'!$B$2:$B$41,MATCH($B552,'قائمة الوحدات'!$A$2:$A$41,0)),"")</f>
        <v>MIL</v>
      </c>
      <c r="D552" s="14" t="str">
        <f>IFERROR(INDEX('قائمة الوحدات'!$C$2:$C$41,MATCH($B552,'قائمة الوحدات'!$A$2:$A$41,0)),"")</f>
        <v>الجهاز العسكري</v>
      </c>
      <c r="E552" s="14" t="str">
        <f>IFERROR(INDEX('قائمة الوحدات'!$D$2:$D$41,MATCH($B552,'قائمة الوحدات'!$A$2:$A$41,0)),"")</f>
        <v>الإدارة العامة للمالية والميزانية العسكرية</v>
      </c>
      <c r="F552" s="14" t="str">
        <f>IFERROR(INDEX('قائمة الوحدات'!$F$2:$F$41,MATCH($B552,'قائمة الوحدات'!$A$2:$A$41,0)),"")</f>
        <v>الإدارة العامة للمالية والميزانية العسكرية</v>
      </c>
      <c r="G552" s="16" t="s">
        <v>61</v>
      </c>
      <c r="H552" s="14" t="str">
        <f>IFERROR(INDEX(المرجع!$A$2:$A$19,MATCH($G552,المرجع!$B$2:$B$19,0)),"")</f>
        <v>البناء المؤسسي</v>
      </c>
      <c r="I552" s="16" t="s">
        <v>51</v>
      </c>
      <c r="J552" s="14" t="str">
        <f>IFERROR(INDEX(المرجع!$D$2:$D$19,MATCH($I552,المرجع!$E$2:$E$19,0)),"")</f>
        <v>الحوكمة</v>
      </c>
      <c r="K552" s="16" t="s">
        <v>92</v>
      </c>
      <c r="L552" s="17" t="str">
        <f>IFERROR(INDEX('نقاط التحقق'!$G$2:$G$31,MATCH($K552,'نقاط التحقق'!$A$2:$A$31,0))&amp;"","")</f>
        <v>مصفوفة صلاحيات معتمدة ومعممة على أصحاب المصلحة</v>
      </c>
      <c r="M552" s="13">
        <v>65</v>
      </c>
      <c r="N552" s="15" t="str">
        <f>IF($M552="","غير مقيّمة",IF($M552&gt;المرجع!$K$3,"مستوفاة بشكل متقدم",IF($M552&lt;=المرجع!$K$2,"مستوفاة بشكل أولي","مستوفاة بشكل جزئي")))</f>
        <v>مستوفاة بشكل جزئي</v>
      </c>
      <c r="O552" s="18"/>
    </row>
    <row r="553" spans="1:15">
      <c r="A553" s="16" t="s">
        <v>1357</v>
      </c>
      <c r="B553" s="16" t="s">
        <v>226</v>
      </c>
      <c r="C553" s="15" t="str">
        <f>IFERROR(INDEX('قائمة الوحدات'!$B$2:$B$41,MATCH($B553,'قائمة الوحدات'!$A$2:$A$41,0)),"")</f>
        <v>MIL</v>
      </c>
      <c r="D553" s="14" t="str">
        <f>IFERROR(INDEX('قائمة الوحدات'!$C$2:$C$41,MATCH($B553,'قائمة الوحدات'!$A$2:$A$41,0)),"")</f>
        <v>الجهاز العسكري</v>
      </c>
      <c r="E553" s="14" t="str">
        <f>IFERROR(INDEX('قائمة الوحدات'!$D$2:$D$41,MATCH($B553,'قائمة الوحدات'!$A$2:$A$41,0)),"")</f>
        <v>الإدارة العامة للمالية والميزانية العسكرية</v>
      </c>
      <c r="F553" s="14" t="str">
        <f>IFERROR(INDEX('قائمة الوحدات'!$F$2:$F$41,MATCH($B553,'قائمة الوحدات'!$A$2:$A$41,0)),"")</f>
        <v>الإدارة العامة للمالية والميزانية العسكرية</v>
      </c>
      <c r="G553" s="16" t="s">
        <v>61</v>
      </c>
      <c r="H553" s="14" t="str">
        <f>IFERROR(INDEX(المرجع!$A$2:$A$19,MATCH($G553,المرجع!$B$2:$B$19,0)),"")</f>
        <v>البناء المؤسسي</v>
      </c>
      <c r="I553" s="16" t="s">
        <v>51</v>
      </c>
      <c r="J553" s="14" t="str">
        <f>IFERROR(INDEX(المرجع!$D$2:$D$19,MATCH($I553,المرجع!$E$2:$E$19,0)),"")</f>
        <v>الحوكمة</v>
      </c>
      <c r="K553" s="16" t="s">
        <v>94</v>
      </c>
      <c r="L553" s="17" t="str">
        <f>IFERROR(INDEX('نقاط التحقق'!$G$2:$G$31,MATCH($K553,'نقاط التحقق'!$A$2:$A$31,0))&amp;"","")</f>
        <v>سياسات معتمدة للتي تملكها الوحدة التنظيمية</v>
      </c>
      <c r="M553" s="13">
        <v>75</v>
      </c>
      <c r="N553" s="15" t="str">
        <f>IF($M553="","غير مقيّمة",IF($M553&gt;المرجع!$K$3,"مستوفاة بشكل متقدم",IF($M553&lt;=المرجع!$K$2,"مستوفاة بشكل أولي","مستوفاة بشكل جزئي")))</f>
        <v>مستوفاة بشكل متقدم</v>
      </c>
      <c r="O553" s="18"/>
    </row>
    <row r="554" spans="1:15">
      <c r="A554" s="16" t="s">
        <v>1358</v>
      </c>
      <c r="B554" s="16" t="s">
        <v>226</v>
      </c>
      <c r="C554" s="15" t="str">
        <f>IFERROR(INDEX('قائمة الوحدات'!$B$2:$B$41,MATCH($B554,'قائمة الوحدات'!$A$2:$A$41,0)),"")</f>
        <v>MIL</v>
      </c>
      <c r="D554" s="14" t="str">
        <f>IFERROR(INDEX('قائمة الوحدات'!$C$2:$C$41,MATCH($B554,'قائمة الوحدات'!$A$2:$A$41,0)),"")</f>
        <v>الجهاز العسكري</v>
      </c>
      <c r="E554" s="14" t="str">
        <f>IFERROR(INDEX('قائمة الوحدات'!$D$2:$D$41,MATCH($B554,'قائمة الوحدات'!$A$2:$A$41,0)),"")</f>
        <v>الإدارة العامة للمالية والميزانية العسكرية</v>
      </c>
      <c r="F554" s="14" t="str">
        <f>IFERROR(INDEX('قائمة الوحدات'!$F$2:$F$41,MATCH($B554,'قائمة الوحدات'!$A$2:$A$41,0)),"")</f>
        <v>الإدارة العامة للمالية والميزانية العسكرية</v>
      </c>
      <c r="G554" s="16" t="s">
        <v>61</v>
      </c>
      <c r="H554" s="14" t="str">
        <f>IFERROR(INDEX(المرجع!$A$2:$A$19,MATCH($G554,المرجع!$B$2:$B$19,0)),"")</f>
        <v>البناء المؤسسي</v>
      </c>
      <c r="I554" s="16" t="s">
        <v>51</v>
      </c>
      <c r="J554" s="14" t="str">
        <f>IFERROR(INDEX(المرجع!$D$2:$D$19,MATCH($I554,المرجع!$E$2:$E$19,0)),"")</f>
        <v>الحوكمة</v>
      </c>
      <c r="K554" s="16" t="s">
        <v>96</v>
      </c>
      <c r="L554" s="17" t="str">
        <f>IFERROR(INDEX('نقاط التحقق'!$G$2:$G$31,MATCH($K554,'نقاط التحقق'!$A$2:$A$31,0))&amp;"","")</f>
        <v>قرار تشكيل معتمد للجان ذات العلاقة</v>
      </c>
      <c r="M554" s="13">
        <v>45</v>
      </c>
      <c r="N554" s="15" t="str">
        <f>IF($M554="","غير مقيّمة",IF($M554&gt;المرجع!$K$3,"مستوفاة بشكل متقدم",IF($M554&lt;=المرجع!$K$2,"مستوفاة بشكل أولي","مستوفاة بشكل جزئي")))</f>
        <v>مستوفاة بشكل جزئي</v>
      </c>
      <c r="O554" s="18"/>
    </row>
    <row r="555" spans="1:15">
      <c r="A555" s="16" t="s">
        <v>1359</v>
      </c>
      <c r="B555" s="16" t="s">
        <v>226</v>
      </c>
      <c r="C555" s="15" t="str">
        <f>IFERROR(INDEX('قائمة الوحدات'!$B$2:$B$41,MATCH($B555,'قائمة الوحدات'!$A$2:$A$41,0)),"")</f>
        <v>MIL</v>
      </c>
      <c r="D555" s="14" t="str">
        <f>IFERROR(INDEX('قائمة الوحدات'!$C$2:$C$41,MATCH($B555,'قائمة الوحدات'!$A$2:$A$41,0)),"")</f>
        <v>الجهاز العسكري</v>
      </c>
      <c r="E555" s="14" t="str">
        <f>IFERROR(INDEX('قائمة الوحدات'!$D$2:$D$41,MATCH($B555,'قائمة الوحدات'!$A$2:$A$41,0)),"")</f>
        <v>الإدارة العامة للمالية والميزانية العسكرية</v>
      </c>
      <c r="F555" s="14" t="str">
        <f>IFERROR(INDEX('قائمة الوحدات'!$F$2:$F$41,MATCH($B555,'قائمة الوحدات'!$A$2:$A$41,0)),"")</f>
        <v>الإدارة العامة للمالية والميزانية العسكرية</v>
      </c>
      <c r="G555" s="16" t="s">
        <v>61</v>
      </c>
      <c r="H555" s="14" t="str">
        <f>IFERROR(INDEX(المرجع!$A$2:$A$19,MATCH($G555,المرجع!$B$2:$B$19,0)),"")</f>
        <v>البناء المؤسسي</v>
      </c>
      <c r="I555" s="16" t="s">
        <v>54</v>
      </c>
      <c r="J555" s="14" t="str">
        <f>IFERROR(INDEX(المرجع!$D$2:$D$19,MATCH($I555,المرجع!$E$2:$E$19,0)),"")</f>
        <v>التنظيم</v>
      </c>
      <c r="K555" s="16" t="s">
        <v>98</v>
      </c>
      <c r="L555" s="17" t="str">
        <f>IFERROR(INDEX('نقاط التحقق'!$G$2:$G$31,MATCH($K555,'نقاط التحقق'!$A$2:$A$31,0))&amp;"","")</f>
        <v>هيكل تنظيمي معتمد من صاحب الصلاحية</v>
      </c>
      <c r="M555" s="13">
        <v>90</v>
      </c>
      <c r="N555" s="15" t="str">
        <f>IF($M555="","غير مقيّمة",IF($M555&gt;المرجع!$K$3,"مستوفاة بشكل متقدم",IF($M555&lt;=المرجع!$K$2,"مستوفاة بشكل أولي","مستوفاة بشكل جزئي")))</f>
        <v>مستوفاة بشكل متقدم</v>
      </c>
      <c r="O555" s="18"/>
    </row>
    <row r="556" spans="1:15">
      <c r="A556" s="16" t="s">
        <v>1360</v>
      </c>
      <c r="B556" s="16" t="s">
        <v>226</v>
      </c>
      <c r="C556" s="15" t="str">
        <f>IFERROR(INDEX('قائمة الوحدات'!$B$2:$B$41,MATCH($B556,'قائمة الوحدات'!$A$2:$A$41,0)),"")</f>
        <v>MIL</v>
      </c>
      <c r="D556" s="14" t="str">
        <f>IFERROR(INDEX('قائمة الوحدات'!$C$2:$C$41,MATCH($B556,'قائمة الوحدات'!$A$2:$A$41,0)),"")</f>
        <v>الجهاز العسكري</v>
      </c>
      <c r="E556" s="14" t="str">
        <f>IFERROR(INDEX('قائمة الوحدات'!$D$2:$D$41,MATCH($B556,'قائمة الوحدات'!$A$2:$A$41,0)),"")</f>
        <v>الإدارة العامة للمالية والميزانية العسكرية</v>
      </c>
      <c r="F556" s="14" t="str">
        <f>IFERROR(INDEX('قائمة الوحدات'!$F$2:$F$41,MATCH($B556,'قائمة الوحدات'!$A$2:$A$41,0)),"")</f>
        <v>الإدارة العامة للمالية والميزانية العسكرية</v>
      </c>
      <c r="G556" s="16" t="s">
        <v>61</v>
      </c>
      <c r="H556" s="14" t="str">
        <f>IFERROR(INDEX(المرجع!$A$2:$A$19,MATCH($G556,المرجع!$B$2:$B$19,0)),"")</f>
        <v>البناء المؤسسي</v>
      </c>
      <c r="I556" s="16" t="s">
        <v>54</v>
      </c>
      <c r="J556" s="14" t="str">
        <f>IFERROR(INDEX(المرجع!$D$2:$D$19,MATCH($I556,المرجع!$E$2:$E$19,0)),"")</f>
        <v>التنظيم</v>
      </c>
      <c r="K556" s="16" t="s">
        <v>100</v>
      </c>
      <c r="L556" s="17" t="str">
        <f>IFERROR(INDEX('نقاط التحقق'!$G$2:$G$31,MATCH($K556,'نقاط التحقق'!$A$2:$A$31,0))&amp;"","")</f>
        <v>هيكل تنظيمي منشأ على نظام القوى العاملة</v>
      </c>
      <c r="M556" s="13">
        <v>95</v>
      </c>
      <c r="N556" s="15" t="str">
        <f>IF($M556="","غير مقيّمة",IF($M556&gt;المرجع!$K$3,"مستوفاة بشكل متقدم",IF($M556&lt;=المرجع!$K$2,"مستوفاة بشكل أولي","مستوفاة بشكل جزئي")))</f>
        <v>مستوفاة بشكل متقدم</v>
      </c>
      <c r="O556" s="18"/>
    </row>
    <row r="557" spans="1:15">
      <c r="A557" s="16" t="s">
        <v>1361</v>
      </c>
      <c r="B557" s="16" t="s">
        <v>226</v>
      </c>
      <c r="C557" s="15" t="str">
        <f>IFERROR(INDEX('قائمة الوحدات'!$B$2:$B$41,MATCH($B557,'قائمة الوحدات'!$A$2:$A$41,0)),"")</f>
        <v>MIL</v>
      </c>
      <c r="D557" s="14" t="str">
        <f>IFERROR(INDEX('قائمة الوحدات'!$C$2:$C$41,MATCH($B557,'قائمة الوحدات'!$A$2:$A$41,0)),"")</f>
        <v>الجهاز العسكري</v>
      </c>
      <c r="E557" s="14" t="str">
        <f>IFERROR(INDEX('قائمة الوحدات'!$D$2:$D$41,MATCH($B557,'قائمة الوحدات'!$A$2:$A$41,0)),"")</f>
        <v>الإدارة العامة للمالية والميزانية العسكرية</v>
      </c>
      <c r="F557" s="14" t="str">
        <f>IFERROR(INDEX('قائمة الوحدات'!$F$2:$F$41,MATCH($B557,'قائمة الوحدات'!$A$2:$A$41,0)),"")</f>
        <v>الإدارة العامة للمالية والميزانية العسكرية</v>
      </c>
      <c r="G557" s="16" t="s">
        <v>61</v>
      </c>
      <c r="H557" s="14" t="str">
        <f>IFERROR(INDEX(المرجع!$A$2:$A$19,MATCH($G557,المرجع!$B$2:$B$19,0)),"")</f>
        <v>البناء المؤسسي</v>
      </c>
      <c r="I557" s="16" t="s">
        <v>54</v>
      </c>
      <c r="J557" s="14" t="str">
        <f>IFERROR(INDEX(المرجع!$D$2:$D$19,MATCH($I557,المرجع!$E$2:$E$19,0)),"")</f>
        <v>التنظيم</v>
      </c>
      <c r="K557" s="16" t="s">
        <v>102</v>
      </c>
      <c r="L557" s="17" t="str">
        <f>IFERROR(INDEX('نقاط التحقق'!$G$2:$G$31,MATCH($K557,'نقاط التحقق'!$A$2:$A$31,0))&amp;"","")</f>
        <v>الموظفون المحددون مسكّنون على الهيكل التنظيمي المستهدف</v>
      </c>
      <c r="M557" s="13">
        <v>100</v>
      </c>
      <c r="N557" s="15" t="str">
        <f>IF($M557="","غير مقيّمة",IF($M557&gt;المرجع!$K$3,"مستوفاة بشكل متقدم",IF($M557&lt;=المرجع!$K$2,"مستوفاة بشكل أولي","مستوفاة بشكل جزئي")))</f>
        <v>مستوفاة بشكل متقدم</v>
      </c>
      <c r="O557" s="18"/>
    </row>
    <row r="558" spans="1:15">
      <c r="A558" s="16" t="s">
        <v>1362</v>
      </c>
      <c r="B558" s="16" t="s">
        <v>226</v>
      </c>
      <c r="C558" s="15" t="str">
        <f>IFERROR(INDEX('قائمة الوحدات'!$B$2:$B$41,MATCH($B558,'قائمة الوحدات'!$A$2:$A$41,0)),"")</f>
        <v>MIL</v>
      </c>
      <c r="D558" s="14" t="str">
        <f>IFERROR(INDEX('قائمة الوحدات'!$C$2:$C$41,MATCH($B558,'قائمة الوحدات'!$A$2:$A$41,0)),"")</f>
        <v>الجهاز العسكري</v>
      </c>
      <c r="E558" s="14" t="str">
        <f>IFERROR(INDEX('قائمة الوحدات'!$D$2:$D$41,MATCH($B558,'قائمة الوحدات'!$A$2:$A$41,0)),"")</f>
        <v>الإدارة العامة للمالية والميزانية العسكرية</v>
      </c>
      <c r="F558" s="14" t="str">
        <f>IFERROR(INDEX('قائمة الوحدات'!$F$2:$F$41,MATCH($B558,'قائمة الوحدات'!$A$2:$A$41,0)),"")</f>
        <v>الإدارة العامة للمالية والميزانية العسكرية</v>
      </c>
      <c r="G558" s="16" t="s">
        <v>61</v>
      </c>
      <c r="H558" s="14" t="str">
        <f>IFERROR(INDEX(المرجع!$A$2:$A$19,MATCH($G558,المرجع!$B$2:$B$19,0)),"")</f>
        <v>البناء المؤسسي</v>
      </c>
      <c r="I558" s="16" t="s">
        <v>56</v>
      </c>
      <c r="J558" s="14" t="str">
        <f>IFERROR(INDEX(المرجع!$D$2:$D$19,MATCH($I558,المرجع!$E$2:$E$19,0)),"")</f>
        <v>الموارد</v>
      </c>
      <c r="K558" s="16" t="s">
        <v>104</v>
      </c>
      <c r="L558" s="17" t="str">
        <f>IFERROR(INDEX('نقاط التحقق'!$G$2:$G$31,MATCH($K558,'نقاط التحقق'!$A$2:$A$31,0))&amp;"","")</f>
        <v>مدير الوحدة التنظيمية والموظفون الرئيسيون معينون/ملحقون</v>
      </c>
      <c r="M558" s="13">
        <v>40</v>
      </c>
      <c r="N558" s="15" t="str">
        <f>IF($M558="","غير مقيّمة",IF($M558&gt;المرجع!$K$3,"مستوفاة بشكل متقدم",IF($M558&lt;=المرجع!$K$2,"مستوفاة بشكل أولي","مستوفاة بشكل جزئي")))</f>
        <v>مستوفاة بشكل جزئي</v>
      </c>
      <c r="O558" s="18"/>
    </row>
    <row r="559" spans="1:15">
      <c r="A559" s="16" t="s">
        <v>1363</v>
      </c>
      <c r="B559" s="16" t="s">
        <v>226</v>
      </c>
      <c r="C559" s="15" t="str">
        <f>IFERROR(INDEX('قائمة الوحدات'!$B$2:$B$41,MATCH($B559,'قائمة الوحدات'!$A$2:$A$41,0)),"")</f>
        <v>MIL</v>
      </c>
      <c r="D559" s="14" t="str">
        <f>IFERROR(INDEX('قائمة الوحدات'!$C$2:$C$41,MATCH($B559,'قائمة الوحدات'!$A$2:$A$41,0)),"")</f>
        <v>الجهاز العسكري</v>
      </c>
      <c r="E559" s="14" t="str">
        <f>IFERROR(INDEX('قائمة الوحدات'!$D$2:$D$41,MATCH($B559,'قائمة الوحدات'!$A$2:$A$41,0)),"")</f>
        <v>الإدارة العامة للمالية والميزانية العسكرية</v>
      </c>
      <c r="F559" s="14" t="str">
        <f>IFERROR(INDEX('قائمة الوحدات'!$F$2:$F$41,MATCH($B559,'قائمة الوحدات'!$A$2:$A$41,0)),"")</f>
        <v>الإدارة العامة للمالية والميزانية العسكرية</v>
      </c>
      <c r="G559" s="16" t="s">
        <v>61</v>
      </c>
      <c r="H559" s="14" t="str">
        <f>IFERROR(INDEX(المرجع!$A$2:$A$19,MATCH($G559,المرجع!$B$2:$B$19,0)),"")</f>
        <v>البناء المؤسسي</v>
      </c>
      <c r="I559" s="16" t="s">
        <v>56</v>
      </c>
      <c r="J559" s="14" t="str">
        <f>IFERROR(INDEX(المرجع!$D$2:$D$19,MATCH($I559,المرجع!$E$2:$E$19,0)),"")</f>
        <v>الموارد</v>
      </c>
      <c r="K559" s="16" t="s">
        <v>106</v>
      </c>
      <c r="L559" s="17" t="str">
        <f>IFERROR(INDEX('نقاط التحقق'!$G$2:$G$31,MATCH($K559,'نقاط التحقق'!$A$2:$A$31,0))&amp;"","")</f>
        <v>خطة توظيف وتدريب مستكملة</v>
      </c>
      <c r="M559" s="13">
        <v>40</v>
      </c>
      <c r="N559" s="15" t="str">
        <f>IF($M559="","غير مقيّمة",IF($M559&gt;المرجع!$K$3,"مستوفاة بشكل متقدم",IF($M559&lt;=المرجع!$K$2,"مستوفاة بشكل أولي","مستوفاة بشكل جزئي")))</f>
        <v>مستوفاة بشكل جزئي</v>
      </c>
      <c r="O559" s="18"/>
    </row>
    <row r="560" spans="1:15">
      <c r="A560" s="16" t="s">
        <v>1364</v>
      </c>
      <c r="B560" s="16" t="s">
        <v>226</v>
      </c>
      <c r="C560" s="15" t="str">
        <f>IFERROR(INDEX('قائمة الوحدات'!$B$2:$B$41,MATCH($B560,'قائمة الوحدات'!$A$2:$A$41,0)),"")</f>
        <v>MIL</v>
      </c>
      <c r="D560" s="14" t="str">
        <f>IFERROR(INDEX('قائمة الوحدات'!$C$2:$C$41,MATCH($B560,'قائمة الوحدات'!$A$2:$A$41,0)),"")</f>
        <v>الجهاز العسكري</v>
      </c>
      <c r="E560" s="14" t="str">
        <f>IFERROR(INDEX('قائمة الوحدات'!$D$2:$D$41,MATCH($B560,'قائمة الوحدات'!$A$2:$A$41,0)),"")</f>
        <v>الإدارة العامة للمالية والميزانية العسكرية</v>
      </c>
      <c r="F560" s="14" t="str">
        <f>IFERROR(INDEX('قائمة الوحدات'!$F$2:$F$41,MATCH($B560,'قائمة الوحدات'!$A$2:$A$41,0)),"")</f>
        <v>الإدارة العامة للمالية والميزانية العسكرية</v>
      </c>
      <c r="G560" s="16" t="s">
        <v>61</v>
      </c>
      <c r="H560" s="14" t="str">
        <f>IFERROR(INDEX(المرجع!$A$2:$A$19,MATCH($G560,المرجع!$B$2:$B$19,0)),"")</f>
        <v>البناء المؤسسي</v>
      </c>
      <c r="I560" s="16" t="s">
        <v>56</v>
      </c>
      <c r="J560" s="14" t="str">
        <f>IFERROR(INDEX(المرجع!$D$2:$D$19,MATCH($I560,المرجع!$E$2:$E$19,0)),"")</f>
        <v>الموارد</v>
      </c>
      <c r="K560" s="16" t="s">
        <v>108</v>
      </c>
      <c r="L560" s="17" t="str">
        <f>IFERROR(INDEX('نقاط التحقق'!$G$2:$G$31,MATCH($K560,'نقاط التحقق'!$A$2:$A$31,0))&amp;"","")</f>
        <v>وجود مساحات مكتبية كافية</v>
      </c>
      <c r="M560" s="13">
        <v>60</v>
      </c>
      <c r="N560" s="15" t="str">
        <f>IF($M560="","غير مقيّمة",IF($M560&gt;المرجع!$K$3,"مستوفاة بشكل متقدم",IF($M560&lt;=المرجع!$K$2,"مستوفاة بشكل أولي","مستوفاة بشكل جزئي")))</f>
        <v>مستوفاة بشكل جزئي</v>
      </c>
      <c r="O560" s="18"/>
    </row>
    <row r="561" spans="1:15">
      <c r="A561" s="16" t="s">
        <v>1365</v>
      </c>
      <c r="B561" s="16" t="s">
        <v>226</v>
      </c>
      <c r="C561" s="15" t="str">
        <f>IFERROR(INDEX('قائمة الوحدات'!$B$2:$B$41,MATCH($B561,'قائمة الوحدات'!$A$2:$A$41,0)),"")</f>
        <v>MIL</v>
      </c>
      <c r="D561" s="14" t="str">
        <f>IFERROR(INDEX('قائمة الوحدات'!$C$2:$C$41,MATCH($B561,'قائمة الوحدات'!$A$2:$A$41,0)),"")</f>
        <v>الجهاز العسكري</v>
      </c>
      <c r="E561" s="14" t="str">
        <f>IFERROR(INDEX('قائمة الوحدات'!$D$2:$D$41,MATCH($B561,'قائمة الوحدات'!$A$2:$A$41,0)),"")</f>
        <v>الإدارة العامة للمالية والميزانية العسكرية</v>
      </c>
      <c r="F561" s="14" t="str">
        <f>IFERROR(INDEX('قائمة الوحدات'!$F$2:$F$41,MATCH($B561,'قائمة الوحدات'!$A$2:$A$41,0)),"")</f>
        <v>الإدارة العامة للمالية والميزانية العسكرية</v>
      </c>
      <c r="G561" s="16" t="s">
        <v>61</v>
      </c>
      <c r="H561" s="14" t="str">
        <f>IFERROR(INDEX(المرجع!$A$2:$A$19,MATCH($G561,المرجع!$B$2:$B$19,0)),"")</f>
        <v>البناء المؤسسي</v>
      </c>
      <c r="I561" s="16" t="s">
        <v>56</v>
      </c>
      <c r="J561" s="14" t="str">
        <f>IFERROR(INDEX(المرجع!$D$2:$D$19,MATCH($I561,المرجع!$E$2:$E$19,0)),"")</f>
        <v>الموارد</v>
      </c>
      <c r="K561" s="16" t="s">
        <v>110</v>
      </c>
      <c r="L561" s="17" t="str">
        <f>IFERROR(INDEX('نقاط التحقق'!$G$2:$G$31,MATCH($K561,'نقاط التحقق'!$A$2:$A$31,0))&amp;"","")</f>
        <v>وجود الاحتياجات التقنية الأساسية</v>
      </c>
      <c r="M561" s="13">
        <v>70</v>
      </c>
      <c r="N561" s="15" t="str">
        <f>IF($M561="","غير مقيّمة",IF($M561&gt;المرجع!$K$3,"مستوفاة بشكل متقدم",IF($M561&lt;=المرجع!$K$2,"مستوفاة بشكل أولي","مستوفاة بشكل جزئي")))</f>
        <v>مستوفاة بشكل جزئي</v>
      </c>
      <c r="O561" s="18"/>
    </row>
    <row r="562" spans="1:15">
      <c r="A562" s="16" t="s">
        <v>1366</v>
      </c>
      <c r="B562" s="16" t="s">
        <v>226</v>
      </c>
      <c r="C562" s="15" t="str">
        <f>IFERROR(INDEX('قائمة الوحدات'!$B$2:$B$41,MATCH($B562,'قائمة الوحدات'!$A$2:$A$41,0)),"")</f>
        <v>MIL</v>
      </c>
      <c r="D562" s="14" t="str">
        <f>IFERROR(INDEX('قائمة الوحدات'!$C$2:$C$41,MATCH($B562,'قائمة الوحدات'!$A$2:$A$41,0)),"")</f>
        <v>الجهاز العسكري</v>
      </c>
      <c r="E562" s="14" t="str">
        <f>IFERROR(INDEX('قائمة الوحدات'!$D$2:$D$41,MATCH($B562,'قائمة الوحدات'!$A$2:$A$41,0)),"")</f>
        <v>الإدارة العامة للمالية والميزانية العسكرية</v>
      </c>
      <c r="F562" s="14" t="str">
        <f>IFERROR(INDEX('قائمة الوحدات'!$F$2:$F$41,MATCH($B562,'قائمة الوحدات'!$A$2:$A$41,0)),"")</f>
        <v>الإدارة العامة للمالية والميزانية العسكرية</v>
      </c>
      <c r="G562" s="16" t="s">
        <v>61</v>
      </c>
      <c r="H562" s="14" t="str">
        <f>IFERROR(INDEX(المرجع!$A$2:$A$19,MATCH($G562,المرجع!$B$2:$B$19,0)),"")</f>
        <v>البناء المؤسسي</v>
      </c>
      <c r="I562" s="16" t="s">
        <v>59</v>
      </c>
      <c r="J562" s="14" t="str">
        <f>IFERROR(INDEX(المرجع!$D$2:$D$19,MATCH($I562,المرجع!$E$2:$E$19,0)),"")</f>
        <v>الإجراءات</v>
      </c>
      <c r="K562" s="16" t="s">
        <v>112</v>
      </c>
      <c r="L562" s="17" t="str">
        <f>IFERROR(INDEX('نقاط التحقق'!$G$2:$G$31,MATCH($K562,'نقاط التحقق'!$A$2:$A$31,0))&amp;"","")</f>
        <v>إجراءات معتمدة للوحدة التنظيمية</v>
      </c>
      <c r="M562" s="13">
        <v>56</v>
      </c>
      <c r="N562" s="15" t="str">
        <f>IF($M562="","غير مقيّمة",IF($M562&gt;المرجع!$K$3,"مستوفاة بشكل متقدم",IF($M562&lt;=المرجع!$K$2,"مستوفاة بشكل أولي","مستوفاة بشكل جزئي")))</f>
        <v>مستوفاة بشكل جزئي</v>
      </c>
      <c r="O562" s="18"/>
    </row>
    <row r="563" spans="1:15">
      <c r="A563" s="16" t="s">
        <v>1367</v>
      </c>
      <c r="B563" s="16" t="s">
        <v>226</v>
      </c>
      <c r="C563" s="15" t="str">
        <f>IFERROR(INDEX('قائمة الوحدات'!$B$2:$B$41,MATCH($B563,'قائمة الوحدات'!$A$2:$A$41,0)),"")</f>
        <v>MIL</v>
      </c>
      <c r="D563" s="14" t="str">
        <f>IFERROR(INDEX('قائمة الوحدات'!$C$2:$C$41,MATCH($B563,'قائمة الوحدات'!$A$2:$A$41,0)),"")</f>
        <v>الجهاز العسكري</v>
      </c>
      <c r="E563" s="14" t="str">
        <f>IFERROR(INDEX('قائمة الوحدات'!$D$2:$D$41,MATCH($B563,'قائمة الوحدات'!$A$2:$A$41,0)),"")</f>
        <v>الإدارة العامة للمالية والميزانية العسكرية</v>
      </c>
      <c r="F563" s="14" t="str">
        <f>IFERROR(INDEX('قائمة الوحدات'!$F$2:$F$41,MATCH($B563,'قائمة الوحدات'!$A$2:$A$41,0)),"")</f>
        <v>الإدارة العامة للمالية والميزانية العسكرية</v>
      </c>
      <c r="G563" s="16" t="s">
        <v>61</v>
      </c>
      <c r="H563" s="14" t="str">
        <f>IFERROR(INDEX(المرجع!$A$2:$A$19,MATCH($G563,المرجع!$B$2:$B$19,0)),"")</f>
        <v>البناء المؤسسي</v>
      </c>
      <c r="I563" s="16" t="s">
        <v>63</v>
      </c>
      <c r="J563" s="14" t="str">
        <f>IFERROR(INDEX(المرجع!$D$2:$D$19,MATCH($I563,المرجع!$E$2:$E$19,0)),"")</f>
        <v>إنتاج المخرج الأول</v>
      </c>
      <c r="K563" s="16" t="s">
        <v>114</v>
      </c>
      <c r="L563" s="17" t="str">
        <f>IFERROR(INDEX('نقاط التحقق'!$G$2:$G$31,MATCH($K563,'نقاط التحقق'!$A$2:$A$31,0))&amp;"","")</f>
        <v>إنتاج المخرج الأول من قبل الوحدة التنظيمية</v>
      </c>
      <c r="M563" s="13">
        <v>51</v>
      </c>
      <c r="N563" s="15" t="str">
        <f>IF($M563="","غير مقيّمة",IF($M563&gt;المرجع!$K$3,"مستوفاة بشكل متقدم",IF($M563&lt;=المرجع!$K$2,"مستوفاة بشكل أولي","مستوفاة بشكل جزئي")))</f>
        <v>مستوفاة بشكل جزئي</v>
      </c>
      <c r="O563" s="18"/>
    </row>
    <row r="564" spans="1:15">
      <c r="A564" s="16" t="s">
        <v>1368</v>
      </c>
      <c r="B564" s="16" t="s">
        <v>226</v>
      </c>
      <c r="C564" s="15" t="str">
        <f>IFERROR(INDEX('قائمة الوحدات'!$B$2:$B$41,MATCH($B564,'قائمة الوحدات'!$A$2:$A$41,0)),"")</f>
        <v>MIL</v>
      </c>
      <c r="D564" s="14" t="str">
        <f>IFERROR(INDEX('قائمة الوحدات'!$C$2:$C$41,MATCH($B564,'قائمة الوحدات'!$A$2:$A$41,0)),"")</f>
        <v>الجهاز العسكري</v>
      </c>
      <c r="E564" s="14" t="str">
        <f>IFERROR(INDEX('قائمة الوحدات'!$D$2:$D$41,MATCH($B564,'قائمة الوحدات'!$A$2:$A$41,0)),"")</f>
        <v>الإدارة العامة للمالية والميزانية العسكرية</v>
      </c>
      <c r="F564" s="14" t="str">
        <f>IFERROR(INDEX('قائمة الوحدات'!$F$2:$F$41,MATCH($B564,'قائمة الوحدات'!$A$2:$A$41,0)),"")</f>
        <v>الإدارة العامة للمالية والميزانية العسكرية</v>
      </c>
      <c r="G564" s="16" t="s">
        <v>65</v>
      </c>
      <c r="H564" s="14" t="str">
        <f>IFERROR(INDEX(المرجع!$A$2:$A$19,MATCH($G564,المرجع!$B$2:$B$19,0)),"")</f>
        <v>التشغيل</v>
      </c>
      <c r="I564" s="16" t="s">
        <v>48</v>
      </c>
      <c r="J564" s="14" t="str">
        <f>IFERROR(INDEX(المرجع!$D$2:$D$19,MATCH($I564,المرجع!$E$2:$E$19,0)),"")</f>
        <v>الأهداف ومؤشرات الأداء</v>
      </c>
      <c r="K564" s="16" t="s">
        <v>116</v>
      </c>
      <c r="L564" s="17" t="str">
        <f>IFERROR(INDEX('نقاط التحقق'!$G$2:$G$31,MATCH($K564,'نقاط التحقق'!$A$2:$A$31,0))&amp;"","")</f>
        <v>تحرك مؤشرات الأداء التشغيلي للوحدة التنظيمية بشكل إيجابي</v>
      </c>
      <c r="M564" s="13">
        <v>25</v>
      </c>
      <c r="N564" s="15" t="str">
        <f>IF($M564="","غير مقيّمة",IF($M564&gt;المرجع!$K$3,"مستوفاة بشكل متقدم",IF($M564&lt;=المرجع!$K$2,"مستوفاة بشكل أولي","مستوفاة بشكل جزئي")))</f>
        <v>مستوفاة بشكل أولي</v>
      </c>
      <c r="O564" s="18"/>
    </row>
    <row r="565" spans="1:15">
      <c r="A565" s="16" t="s">
        <v>1369</v>
      </c>
      <c r="B565" s="16" t="s">
        <v>226</v>
      </c>
      <c r="C565" s="15" t="str">
        <f>IFERROR(INDEX('قائمة الوحدات'!$B$2:$B$41,MATCH($B565,'قائمة الوحدات'!$A$2:$A$41,0)),"")</f>
        <v>MIL</v>
      </c>
      <c r="D565" s="14" t="str">
        <f>IFERROR(INDEX('قائمة الوحدات'!$C$2:$C$41,MATCH($B565,'قائمة الوحدات'!$A$2:$A$41,0)),"")</f>
        <v>الجهاز العسكري</v>
      </c>
      <c r="E565" s="14" t="str">
        <f>IFERROR(INDEX('قائمة الوحدات'!$D$2:$D$41,MATCH($B565,'قائمة الوحدات'!$A$2:$A$41,0)),"")</f>
        <v>الإدارة العامة للمالية والميزانية العسكرية</v>
      </c>
      <c r="F565" s="14" t="str">
        <f>IFERROR(INDEX('قائمة الوحدات'!$F$2:$F$41,MATCH($B565,'قائمة الوحدات'!$A$2:$A$41,0)),"")</f>
        <v>الإدارة العامة للمالية والميزانية العسكرية</v>
      </c>
      <c r="G565" s="16" t="s">
        <v>65</v>
      </c>
      <c r="H565" s="14" t="str">
        <f>IFERROR(INDEX(المرجع!$A$2:$A$19,MATCH($G565,المرجع!$B$2:$B$19,0)),"")</f>
        <v>التشغيل</v>
      </c>
      <c r="I565" s="16" t="s">
        <v>48</v>
      </c>
      <c r="J565" s="14" t="str">
        <f>IFERROR(INDEX(المرجع!$D$2:$D$19,MATCH($I565,المرجع!$E$2:$E$19,0)),"")</f>
        <v>الأهداف ومؤشرات الأداء</v>
      </c>
      <c r="K565" s="16" t="s">
        <v>118</v>
      </c>
      <c r="L565" s="17" t="str">
        <f>IFERROR(INDEX('نقاط التحقق'!$G$2:$G$31,MATCH($K565,'نقاط التحقق'!$A$2:$A$31,0))&amp;"","")</f>
        <v>خطة سنوية معتمدة للوحدة التنظيمية</v>
      </c>
      <c r="M565" s="13">
        <v>5</v>
      </c>
      <c r="N565" s="15" t="str">
        <f>IF($M565="","غير مقيّمة",IF($M565&gt;المرجع!$K$3,"مستوفاة بشكل متقدم",IF($M565&lt;=المرجع!$K$2,"مستوفاة بشكل أولي","مستوفاة بشكل جزئي")))</f>
        <v>مستوفاة بشكل أولي</v>
      </c>
      <c r="O565" s="18"/>
    </row>
    <row r="566" spans="1:15">
      <c r="A566" s="16" t="s">
        <v>1370</v>
      </c>
      <c r="B566" s="16" t="s">
        <v>226</v>
      </c>
      <c r="C566" s="15" t="str">
        <f>IFERROR(INDEX('قائمة الوحدات'!$B$2:$B$41,MATCH($B566,'قائمة الوحدات'!$A$2:$A$41,0)),"")</f>
        <v>MIL</v>
      </c>
      <c r="D566" s="14" t="str">
        <f>IFERROR(INDEX('قائمة الوحدات'!$C$2:$C$41,MATCH($B566,'قائمة الوحدات'!$A$2:$A$41,0)),"")</f>
        <v>الجهاز العسكري</v>
      </c>
      <c r="E566" s="14" t="str">
        <f>IFERROR(INDEX('قائمة الوحدات'!$D$2:$D$41,MATCH($B566,'قائمة الوحدات'!$A$2:$A$41,0)),"")</f>
        <v>الإدارة العامة للمالية والميزانية العسكرية</v>
      </c>
      <c r="F566" s="14" t="str">
        <f>IFERROR(INDEX('قائمة الوحدات'!$F$2:$F$41,MATCH($B566,'قائمة الوحدات'!$A$2:$A$41,0)),"")</f>
        <v>الإدارة العامة للمالية والميزانية العسكرية</v>
      </c>
      <c r="G566" s="16" t="s">
        <v>65</v>
      </c>
      <c r="H566" s="14" t="str">
        <f>IFERROR(INDEX(المرجع!$A$2:$A$19,MATCH($G566,المرجع!$B$2:$B$19,0)),"")</f>
        <v>التشغيل</v>
      </c>
      <c r="I566" s="16" t="s">
        <v>51</v>
      </c>
      <c r="J566" s="14" t="str">
        <f>IFERROR(INDEX(المرجع!$D$2:$D$19,MATCH($I566,المرجع!$E$2:$E$19,0)),"")</f>
        <v>الحوكمة</v>
      </c>
      <c r="K566" s="16" t="s">
        <v>120</v>
      </c>
      <c r="L566" s="17" t="str">
        <f>IFERROR(INDEX('نقاط التحقق'!$G$2:$G$31,MATCH($K566,'نقاط التحقق'!$A$2:$A$31,0))&amp;"","")</f>
        <v>محاضر لجان موثقة</v>
      </c>
      <c r="M566" s="13">
        <v>70</v>
      </c>
      <c r="N566" s="15" t="str">
        <f>IF($M566="","غير مقيّمة",IF($M566&gt;المرجع!$K$3,"مستوفاة بشكل متقدم",IF($M566&lt;=المرجع!$K$2,"مستوفاة بشكل أولي","مستوفاة بشكل جزئي")))</f>
        <v>مستوفاة بشكل جزئي</v>
      </c>
      <c r="O566" s="18"/>
    </row>
    <row r="567" spans="1:15">
      <c r="A567" s="16" t="s">
        <v>1371</v>
      </c>
      <c r="B567" s="16" t="s">
        <v>226</v>
      </c>
      <c r="C567" s="15" t="str">
        <f>IFERROR(INDEX('قائمة الوحدات'!$B$2:$B$41,MATCH($B567,'قائمة الوحدات'!$A$2:$A$41,0)),"")</f>
        <v>MIL</v>
      </c>
      <c r="D567" s="14" t="str">
        <f>IFERROR(INDEX('قائمة الوحدات'!$C$2:$C$41,MATCH($B567,'قائمة الوحدات'!$A$2:$A$41,0)),"")</f>
        <v>الجهاز العسكري</v>
      </c>
      <c r="E567" s="14" t="str">
        <f>IFERROR(INDEX('قائمة الوحدات'!$D$2:$D$41,MATCH($B567,'قائمة الوحدات'!$A$2:$A$41,0)),"")</f>
        <v>الإدارة العامة للمالية والميزانية العسكرية</v>
      </c>
      <c r="F567" s="14" t="str">
        <f>IFERROR(INDEX('قائمة الوحدات'!$F$2:$F$41,MATCH($B567,'قائمة الوحدات'!$A$2:$A$41,0)),"")</f>
        <v>الإدارة العامة للمالية والميزانية العسكرية</v>
      </c>
      <c r="G567" s="16" t="s">
        <v>65</v>
      </c>
      <c r="H567" s="14" t="str">
        <f>IFERROR(INDEX(المرجع!$A$2:$A$19,MATCH($G567,المرجع!$B$2:$B$19,0)),"")</f>
        <v>التشغيل</v>
      </c>
      <c r="I567" s="16" t="s">
        <v>51</v>
      </c>
      <c r="J567" s="14" t="str">
        <f>IFERROR(INDEX(المرجع!$D$2:$D$19,MATCH($I567,المرجع!$E$2:$E$19,0)),"")</f>
        <v>الحوكمة</v>
      </c>
      <c r="K567" s="16" t="s">
        <v>122</v>
      </c>
      <c r="L567" s="17" t="str">
        <f>IFERROR(INDEX('نقاط التحقق'!$G$2:$G$31,MATCH($K567,'نقاط التحقق'!$A$2:$A$31,0))&amp;"","")</f>
        <v>نشر السياسات التي تملكها الوحدة التنظيمية</v>
      </c>
      <c r="M567" s="13">
        <v>50</v>
      </c>
      <c r="N567" s="15" t="str">
        <f>IF($M567="","غير مقيّمة",IF($M567&gt;المرجع!$K$3,"مستوفاة بشكل متقدم",IF($M567&lt;=المرجع!$K$2,"مستوفاة بشكل أولي","مستوفاة بشكل جزئي")))</f>
        <v>مستوفاة بشكل جزئي</v>
      </c>
      <c r="O567" s="18"/>
    </row>
    <row r="568" spans="1:15">
      <c r="A568" s="16" t="s">
        <v>1372</v>
      </c>
      <c r="B568" s="16" t="s">
        <v>226</v>
      </c>
      <c r="C568" s="15" t="str">
        <f>IFERROR(INDEX('قائمة الوحدات'!$B$2:$B$41,MATCH($B568,'قائمة الوحدات'!$A$2:$A$41,0)),"")</f>
        <v>MIL</v>
      </c>
      <c r="D568" s="14" t="str">
        <f>IFERROR(INDEX('قائمة الوحدات'!$C$2:$C$41,MATCH($B568,'قائمة الوحدات'!$A$2:$A$41,0)),"")</f>
        <v>الجهاز العسكري</v>
      </c>
      <c r="E568" s="14" t="str">
        <f>IFERROR(INDEX('قائمة الوحدات'!$D$2:$D$41,MATCH($B568,'قائمة الوحدات'!$A$2:$A$41,0)),"")</f>
        <v>الإدارة العامة للمالية والميزانية العسكرية</v>
      </c>
      <c r="F568" s="14" t="str">
        <f>IFERROR(INDEX('قائمة الوحدات'!$F$2:$F$41,MATCH($B568,'قائمة الوحدات'!$A$2:$A$41,0)),"")</f>
        <v>الإدارة العامة للمالية والميزانية العسكرية</v>
      </c>
      <c r="G568" s="16" t="s">
        <v>65</v>
      </c>
      <c r="H568" s="14" t="str">
        <f>IFERROR(INDEX(المرجع!$A$2:$A$19,MATCH($G568,المرجع!$B$2:$B$19,0)),"")</f>
        <v>التشغيل</v>
      </c>
      <c r="I568" s="16" t="s">
        <v>51</v>
      </c>
      <c r="J568" s="14" t="str">
        <f>IFERROR(INDEX(المرجع!$D$2:$D$19,MATCH($I568,المرجع!$E$2:$E$19,0)),"")</f>
        <v>الحوكمة</v>
      </c>
      <c r="K568" s="16" t="s">
        <v>124</v>
      </c>
      <c r="L568" s="17" t="str">
        <f>IFERROR(INDEX('نقاط التحقق'!$G$2:$G$31,MATCH($K568,'نقاط التحقق'!$A$2:$A$31,0))&amp;"","")</f>
        <v>اتخاذ القرارات في نطاق الصلاحيات (وجود شواهد)</v>
      </c>
      <c r="M568" s="13">
        <v>60</v>
      </c>
      <c r="N568" s="15" t="str">
        <f>IF($M568="","غير مقيّمة",IF($M568&gt;المرجع!$K$3,"مستوفاة بشكل متقدم",IF($M568&lt;=المرجع!$K$2,"مستوفاة بشكل أولي","مستوفاة بشكل جزئي")))</f>
        <v>مستوفاة بشكل جزئي</v>
      </c>
      <c r="O568" s="18"/>
    </row>
    <row r="569" spans="1:15">
      <c r="A569" s="16" t="s">
        <v>1373</v>
      </c>
      <c r="B569" s="16" t="s">
        <v>226</v>
      </c>
      <c r="C569" s="15" t="str">
        <f>IFERROR(INDEX('قائمة الوحدات'!$B$2:$B$41,MATCH($B569,'قائمة الوحدات'!$A$2:$A$41,0)),"")</f>
        <v>MIL</v>
      </c>
      <c r="D569" s="14" t="str">
        <f>IFERROR(INDEX('قائمة الوحدات'!$C$2:$C$41,MATCH($B569,'قائمة الوحدات'!$A$2:$A$41,0)),"")</f>
        <v>الجهاز العسكري</v>
      </c>
      <c r="E569" s="14" t="str">
        <f>IFERROR(INDEX('قائمة الوحدات'!$D$2:$D$41,MATCH($B569,'قائمة الوحدات'!$A$2:$A$41,0)),"")</f>
        <v>الإدارة العامة للمالية والميزانية العسكرية</v>
      </c>
      <c r="F569" s="14" t="str">
        <f>IFERROR(INDEX('قائمة الوحدات'!$F$2:$F$41,MATCH($B569,'قائمة الوحدات'!$A$2:$A$41,0)),"")</f>
        <v>الإدارة العامة للمالية والميزانية العسكرية</v>
      </c>
      <c r="G569" s="16" t="s">
        <v>65</v>
      </c>
      <c r="H569" s="14" t="str">
        <f>IFERROR(INDEX(المرجع!$A$2:$A$19,MATCH($G569,المرجع!$B$2:$B$19,0)),"")</f>
        <v>التشغيل</v>
      </c>
      <c r="I569" s="16" t="s">
        <v>56</v>
      </c>
      <c r="J569" s="14" t="str">
        <f>IFERROR(INDEX(المرجع!$D$2:$D$19,MATCH($I569,المرجع!$E$2:$E$19,0)),"")</f>
        <v>الموارد</v>
      </c>
      <c r="K569" s="16" t="s">
        <v>126</v>
      </c>
      <c r="L569" s="17" t="str">
        <f>IFERROR(INDEX('نقاط التحقق'!$G$2:$G$31,MATCH($K569,'نقاط التحقق'!$A$2:$A$31,0))&amp;"","")</f>
        <v>موارد مستكملة للحد الأدنى الذي يغطي كافة محاور سلسلة القيمة</v>
      </c>
      <c r="M569" s="13">
        <v>37</v>
      </c>
      <c r="N569" s="15" t="str">
        <f>IF($M569="","غير مقيّمة",IF($M569&gt;المرجع!$K$3,"مستوفاة بشكل متقدم",IF($M569&lt;=المرجع!$K$2,"مستوفاة بشكل أولي","مستوفاة بشكل جزئي")))</f>
        <v>مستوفاة بشكل جزئي</v>
      </c>
      <c r="O569" s="18"/>
    </row>
    <row r="570" spans="1:15">
      <c r="A570" s="16" t="s">
        <v>1374</v>
      </c>
      <c r="B570" s="16" t="s">
        <v>226</v>
      </c>
      <c r="C570" s="15" t="str">
        <f>IFERROR(INDEX('قائمة الوحدات'!$B$2:$B$41,MATCH($B570,'قائمة الوحدات'!$A$2:$A$41,0)),"")</f>
        <v>MIL</v>
      </c>
      <c r="D570" s="14" t="str">
        <f>IFERROR(INDEX('قائمة الوحدات'!$C$2:$C$41,MATCH($B570,'قائمة الوحدات'!$A$2:$A$41,0)),"")</f>
        <v>الجهاز العسكري</v>
      </c>
      <c r="E570" s="14" t="str">
        <f>IFERROR(INDEX('قائمة الوحدات'!$D$2:$D$41,MATCH($B570,'قائمة الوحدات'!$A$2:$A$41,0)),"")</f>
        <v>الإدارة العامة للمالية والميزانية العسكرية</v>
      </c>
      <c r="F570" s="14" t="str">
        <f>IFERROR(INDEX('قائمة الوحدات'!$F$2:$F$41,MATCH($B570,'قائمة الوحدات'!$A$2:$A$41,0)),"")</f>
        <v>الإدارة العامة للمالية والميزانية العسكرية</v>
      </c>
      <c r="G570" s="16" t="s">
        <v>65</v>
      </c>
      <c r="H570" s="14" t="str">
        <f>IFERROR(INDEX(المرجع!$A$2:$A$19,MATCH($G570,المرجع!$B$2:$B$19,0)),"")</f>
        <v>التشغيل</v>
      </c>
      <c r="I570" s="16" t="s">
        <v>59</v>
      </c>
      <c r="J570" s="14" t="str">
        <f>IFERROR(INDEX(المرجع!$D$2:$D$19,MATCH($I570,المرجع!$E$2:$E$19,0)),"")</f>
        <v>الإجراءات</v>
      </c>
      <c r="K570" s="16" t="s">
        <v>128</v>
      </c>
      <c r="L570" s="17" t="str">
        <f>IFERROR(INDEX('نقاط التحقق'!$G$2:$G$31,MATCH($K570,'نقاط التحقق'!$A$2:$A$31,0))&amp;"","")</f>
        <v>تحقيق تقييم "مطبق بشكل كامل" من منهجية تقييم فعالية الإجراءات</v>
      </c>
      <c r="M570" s="13">
        <v>34</v>
      </c>
      <c r="N570" s="15" t="str">
        <f>IF($M570="","غير مقيّمة",IF($M570&gt;المرجع!$K$3,"مستوفاة بشكل متقدم",IF($M570&lt;=المرجع!$K$2,"مستوفاة بشكل أولي","مستوفاة بشكل جزئي")))</f>
        <v>مستوفاة بشكل جزئي</v>
      </c>
      <c r="O570" s="18"/>
    </row>
    <row r="571" spans="1:15">
      <c r="A571" s="16" t="s">
        <v>1375</v>
      </c>
      <c r="B571" s="16" t="s">
        <v>226</v>
      </c>
      <c r="C571" s="15" t="str">
        <f>IFERROR(INDEX('قائمة الوحدات'!$B$2:$B$41,MATCH($B571,'قائمة الوحدات'!$A$2:$A$41,0)),"")</f>
        <v>MIL</v>
      </c>
      <c r="D571" s="14" t="str">
        <f>IFERROR(INDEX('قائمة الوحدات'!$C$2:$C$41,MATCH($B571,'قائمة الوحدات'!$A$2:$A$41,0)),"")</f>
        <v>الجهاز العسكري</v>
      </c>
      <c r="E571" s="14" t="str">
        <f>IFERROR(INDEX('قائمة الوحدات'!$D$2:$D$41,MATCH($B571,'قائمة الوحدات'!$A$2:$A$41,0)),"")</f>
        <v>الإدارة العامة للمالية والميزانية العسكرية</v>
      </c>
      <c r="F571" s="14" t="str">
        <f>IFERROR(INDEX('قائمة الوحدات'!$F$2:$F$41,MATCH($B571,'قائمة الوحدات'!$A$2:$A$41,0)),"")</f>
        <v>الإدارة العامة للمالية والميزانية العسكرية</v>
      </c>
      <c r="G571" s="16" t="s">
        <v>65</v>
      </c>
      <c r="H571" s="14" t="str">
        <f>IFERROR(INDEX(المرجع!$A$2:$A$19,MATCH($G571,المرجع!$B$2:$B$19,0)),"")</f>
        <v>التشغيل</v>
      </c>
      <c r="I571" s="16" t="s">
        <v>67</v>
      </c>
      <c r="J571" s="14" t="str">
        <f>IFERROR(INDEX(المرجع!$D$2:$D$19,MATCH($I571,المرجع!$E$2:$E$19,0)),"")</f>
        <v>اكتمال المخرجات المستهدفة</v>
      </c>
      <c r="K571" s="16" t="s">
        <v>130</v>
      </c>
      <c r="L571" s="17" t="str">
        <f>IFERROR(INDEX('نقاط التحقق'!$G$2:$G$31,MATCH($K571,'نقاط التحقق'!$A$2:$A$31,0))&amp;"","")</f>
        <v>اكتمال مخرجات النموذج التشغيلي المستهدف للوحدة التنظيمية</v>
      </c>
      <c r="M571" s="13">
        <v>32</v>
      </c>
      <c r="N571" s="15" t="str">
        <f>IF($M571="","غير مقيّمة",IF($M571&gt;المرجع!$K$3,"مستوفاة بشكل متقدم",IF($M571&lt;=المرجع!$K$2,"مستوفاة بشكل أولي","مستوفاة بشكل جزئي")))</f>
        <v>مستوفاة بشكل جزئي</v>
      </c>
      <c r="O571" s="18"/>
    </row>
    <row r="572" spans="1:15">
      <c r="A572" s="16" t="s">
        <v>1376</v>
      </c>
      <c r="B572" s="16" t="s">
        <v>228</v>
      </c>
      <c r="C572" s="15" t="str">
        <f>IFERROR(INDEX('قائمة الوحدات'!$B$2:$B$41,MATCH($B572,'قائمة الوحدات'!$A$2:$A$41,0)),"")</f>
        <v>MIL</v>
      </c>
      <c r="D572" s="14" t="str">
        <f>IFERROR(INDEX('قائمة الوحدات'!$C$2:$C$41,MATCH($B572,'قائمة الوحدات'!$A$2:$A$41,0)),"")</f>
        <v>الجهاز العسكري</v>
      </c>
      <c r="E572" s="14" t="str">
        <f>IFERROR(INDEX('قائمة الوحدات'!$D$2:$D$41,MATCH($B572,'قائمة الوحدات'!$A$2:$A$41,0)),"")</f>
        <v>الإدارة العامة للعلاقات العامة والإعلام العسكري</v>
      </c>
      <c r="F572" s="14" t="str">
        <f>IFERROR(INDEX('قائمة الوحدات'!$F$2:$F$41,MATCH($B572,'قائمة الوحدات'!$A$2:$A$41,0)),"")</f>
        <v>الإدارة العامة للعلاقات العامة والإعلام العسكري</v>
      </c>
      <c r="G572" s="16" t="s">
        <v>43</v>
      </c>
      <c r="H572" s="14" t="str">
        <f>IFERROR(INDEX(المرجع!$A$2:$A$19,MATCH($G572,المرجع!$B$2:$B$19,0)),"")</f>
        <v>التصميم</v>
      </c>
      <c r="I572" s="16" t="s">
        <v>45</v>
      </c>
      <c r="J572" s="14" t="str">
        <f>IFERROR(INDEX(المرجع!$D$2:$D$19,MATCH($I572,المرجع!$E$2:$E$19,0)),"")</f>
        <v>الدور</v>
      </c>
      <c r="K572" s="16" t="s">
        <v>72</v>
      </c>
      <c r="L572" s="17" t="str">
        <f>IFERROR(INDEX('نقاط التحقق'!$G$2:$G$31,MATCH($K572,'نقاط التحقق'!$A$2:$A$31,0))&amp;"","")</f>
        <v>دور مفصل للوحدة التنظيمية</v>
      </c>
      <c r="M572" s="13">
        <v>71</v>
      </c>
      <c r="N572" s="15" t="str">
        <f>IF($M572="","غير مقيّمة",IF($M572&gt;المرجع!$K$3,"مستوفاة بشكل متقدم",IF($M572&lt;=المرجع!$K$2,"مستوفاة بشكل أولي","مستوفاة بشكل جزئي")))</f>
        <v>مستوفاة بشكل متقدم</v>
      </c>
      <c r="O572" s="18"/>
    </row>
    <row r="573" spans="1:15">
      <c r="A573" s="16" t="s">
        <v>1377</v>
      </c>
      <c r="B573" s="16" t="s">
        <v>228</v>
      </c>
      <c r="C573" s="15" t="str">
        <f>IFERROR(INDEX('قائمة الوحدات'!$B$2:$B$41,MATCH($B573,'قائمة الوحدات'!$A$2:$A$41,0)),"")</f>
        <v>MIL</v>
      </c>
      <c r="D573" s="14" t="str">
        <f>IFERROR(INDEX('قائمة الوحدات'!$C$2:$C$41,MATCH($B573,'قائمة الوحدات'!$A$2:$A$41,0)),"")</f>
        <v>الجهاز العسكري</v>
      </c>
      <c r="E573" s="14" t="str">
        <f>IFERROR(INDEX('قائمة الوحدات'!$D$2:$D$41,MATCH($B573,'قائمة الوحدات'!$A$2:$A$41,0)),"")</f>
        <v>الإدارة العامة للعلاقات العامة والإعلام العسكري</v>
      </c>
      <c r="F573" s="14" t="str">
        <f>IFERROR(INDEX('قائمة الوحدات'!$F$2:$F$41,MATCH($B573,'قائمة الوحدات'!$A$2:$A$41,0)),"")</f>
        <v>الإدارة العامة للعلاقات العامة والإعلام العسكري</v>
      </c>
      <c r="G573" s="16" t="s">
        <v>43</v>
      </c>
      <c r="H573" s="14" t="str">
        <f>IFERROR(INDEX(المرجع!$A$2:$A$19,MATCH($G573,المرجع!$B$2:$B$19,0)),"")</f>
        <v>التصميم</v>
      </c>
      <c r="I573" s="16" t="s">
        <v>48</v>
      </c>
      <c r="J573" s="14" t="str">
        <f>IFERROR(INDEX(المرجع!$D$2:$D$19,MATCH($I573,المرجع!$E$2:$E$19,0)),"")</f>
        <v>الأهداف ومؤشرات الأداء</v>
      </c>
      <c r="K573" s="16" t="s">
        <v>74</v>
      </c>
      <c r="L573" s="17" t="str">
        <f>IFERROR(INDEX('نقاط التحقق'!$G$2:$G$31,MATCH($K573,'نقاط التحقق'!$A$2:$A$31,0))&amp;"","")</f>
        <v>أهداف محددة للوحدة التنظيمية وربطها بمؤشرات أداء لقياسها</v>
      </c>
      <c r="M573" s="13">
        <v>70</v>
      </c>
      <c r="N573" s="15" t="str">
        <f>IF($M573="","غير مقيّمة",IF($M573&gt;المرجع!$K$3,"مستوفاة بشكل متقدم",IF($M573&lt;=المرجع!$K$2,"مستوفاة بشكل أولي","مستوفاة بشكل جزئي")))</f>
        <v>مستوفاة بشكل جزئي</v>
      </c>
      <c r="O573" s="18"/>
    </row>
    <row r="574" spans="1:15">
      <c r="A574" s="16" t="s">
        <v>1378</v>
      </c>
      <c r="B574" s="16" t="s">
        <v>228</v>
      </c>
      <c r="C574" s="15" t="str">
        <f>IFERROR(INDEX('قائمة الوحدات'!$B$2:$B$41,MATCH($B574,'قائمة الوحدات'!$A$2:$A$41,0)),"")</f>
        <v>MIL</v>
      </c>
      <c r="D574" s="14" t="str">
        <f>IFERROR(INDEX('قائمة الوحدات'!$C$2:$C$41,MATCH($B574,'قائمة الوحدات'!$A$2:$A$41,0)),"")</f>
        <v>الجهاز العسكري</v>
      </c>
      <c r="E574" s="14" t="str">
        <f>IFERROR(INDEX('قائمة الوحدات'!$D$2:$D$41,MATCH($B574,'قائمة الوحدات'!$A$2:$A$41,0)),"")</f>
        <v>الإدارة العامة للعلاقات العامة والإعلام العسكري</v>
      </c>
      <c r="F574" s="14" t="str">
        <f>IFERROR(INDEX('قائمة الوحدات'!$F$2:$F$41,MATCH($B574,'قائمة الوحدات'!$A$2:$A$41,0)),"")</f>
        <v>الإدارة العامة للعلاقات العامة والإعلام العسكري</v>
      </c>
      <c r="G574" s="16" t="s">
        <v>43</v>
      </c>
      <c r="H574" s="14" t="str">
        <f>IFERROR(INDEX(المرجع!$A$2:$A$19,MATCH($G574,المرجع!$B$2:$B$19,0)),"")</f>
        <v>التصميم</v>
      </c>
      <c r="I574" s="16" t="s">
        <v>48</v>
      </c>
      <c r="J574" s="14" t="str">
        <f>IFERROR(INDEX(المرجع!$D$2:$D$19,MATCH($I574,المرجع!$E$2:$E$19,0)),"")</f>
        <v>الأهداف ومؤشرات الأداء</v>
      </c>
      <c r="K574" s="16" t="s">
        <v>76</v>
      </c>
      <c r="L574" s="17" t="str">
        <f>IFERROR(INDEX('نقاط التحقق'!$G$2:$G$31,MATCH($K574,'نقاط التحقق'!$A$2:$A$31,0))&amp;"","")</f>
        <v>مؤشرات أداء الوحدة التنظيمية</v>
      </c>
      <c r="M574" s="13">
        <v>70</v>
      </c>
      <c r="N574" s="15" t="str">
        <f>IF($M574="","غير مقيّمة",IF($M574&gt;المرجع!$K$3,"مستوفاة بشكل متقدم",IF($M574&lt;=المرجع!$K$2,"مستوفاة بشكل أولي","مستوفاة بشكل جزئي")))</f>
        <v>مستوفاة بشكل جزئي</v>
      </c>
      <c r="O574" s="18"/>
    </row>
    <row r="575" spans="1:15">
      <c r="A575" s="16" t="s">
        <v>1379</v>
      </c>
      <c r="B575" s="16" t="s">
        <v>228</v>
      </c>
      <c r="C575" s="15" t="str">
        <f>IFERROR(INDEX('قائمة الوحدات'!$B$2:$B$41,MATCH($B575,'قائمة الوحدات'!$A$2:$A$41,0)),"")</f>
        <v>MIL</v>
      </c>
      <c r="D575" s="14" t="str">
        <f>IFERROR(INDEX('قائمة الوحدات'!$C$2:$C$41,MATCH($B575,'قائمة الوحدات'!$A$2:$A$41,0)),"")</f>
        <v>الجهاز العسكري</v>
      </c>
      <c r="E575" s="14" t="str">
        <f>IFERROR(INDEX('قائمة الوحدات'!$D$2:$D$41,MATCH($B575,'قائمة الوحدات'!$A$2:$A$41,0)),"")</f>
        <v>الإدارة العامة للعلاقات العامة والإعلام العسكري</v>
      </c>
      <c r="F575" s="14" t="str">
        <f>IFERROR(INDEX('قائمة الوحدات'!$F$2:$F$41,MATCH($B575,'قائمة الوحدات'!$A$2:$A$41,0)),"")</f>
        <v>الإدارة العامة للعلاقات العامة والإعلام العسكري</v>
      </c>
      <c r="G575" s="16" t="s">
        <v>43</v>
      </c>
      <c r="H575" s="14" t="str">
        <f>IFERROR(INDEX(المرجع!$A$2:$A$19,MATCH($G575,المرجع!$B$2:$B$19,0)),"")</f>
        <v>التصميم</v>
      </c>
      <c r="I575" s="16" t="s">
        <v>51</v>
      </c>
      <c r="J575" s="14" t="str">
        <f>IFERROR(INDEX(المرجع!$D$2:$D$19,MATCH($I575,المرجع!$E$2:$E$19,0)),"")</f>
        <v>الحوكمة</v>
      </c>
      <c r="K575" s="16" t="s">
        <v>78</v>
      </c>
      <c r="L575" s="17" t="str">
        <f>IFERROR(INDEX('نقاط التحقق'!$G$2:$G$31,MATCH($K575,'نقاط التحقق'!$A$2:$A$31,0))&amp;"","")</f>
        <v>تفصيل القرارات ومصفوفة الصلاحيات واللجان ذات العلاقة لاعتماد مخرجات الوحدة التنظيمية</v>
      </c>
      <c r="M575" s="13">
        <v>81</v>
      </c>
      <c r="N575" s="15" t="str">
        <f>IF($M575="","غير مقيّمة",IF($M575&gt;المرجع!$K$3,"مستوفاة بشكل متقدم",IF($M575&lt;=المرجع!$K$2,"مستوفاة بشكل أولي","مستوفاة بشكل جزئي")))</f>
        <v>مستوفاة بشكل متقدم</v>
      </c>
      <c r="O575" s="18"/>
    </row>
    <row r="576" spans="1:15">
      <c r="A576" s="16" t="s">
        <v>1380</v>
      </c>
      <c r="B576" s="16" t="s">
        <v>228</v>
      </c>
      <c r="C576" s="15" t="str">
        <f>IFERROR(INDEX('قائمة الوحدات'!$B$2:$B$41,MATCH($B576,'قائمة الوحدات'!$A$2:$A$41,0)),"")</f>
        <v>MIL</v>
      </c>
      <c r="D576" s="14" t="str">
        <f>IFERROR(INDEX('قائمة الوحدات'!$C$2:$C$41,MATCH($B576,'قائمة الوحدات'!$A$2:$A$41,0)),"")</f>
        <v>الجهاز العسكري</v>
      </c>
      <c r="E576" s="14" t="str">
        <f>IFERROR(INDEX('قائمة الوحدات'!$D$2:$D$41,MATCH($B576,'قائمة الوحدات'!$A$2:$A$41,0)),"")</f>
        <v>الإدارة العامة للعلاقات العامة والإعلام العسكري</v>
      </c>
      <c r="F576" s="14" t="str">
        <f>IFERROR(INDEX('قائمة الوحدات'!$F$2:$F$41,MATCH($B576,'قائمة الوحدات'!$A$2:$A$41,0)),"")</f>
        <v>الإدارة العامة للعلاقات العامة والإعلام العسكري</v>
      </c>
      <c r="G576" s="16" t="s">
        <v>43</v>
      </c>
      <c r="H576" s="14" t="str">
        <f>IFERROR(INDEX(المرجع!$A$2:$A$19,MATCH($G576,المرجع!$B$2:$B$19,0)),"")</f>
        <v>التصميم</v>
      </c>
      <c r="I576" s="16" t="s">
        <v>54</v>
      </c>
      <c r="J576" s="14" t="str">
        <f>IFERROR(INDEX(المرجع!$D$2:$D$19,MATCH($I576,المرجع!$E$2:$E$19,0)),"")</f>
        <v>التنظيم</v>
      </c>
      <c r="K576" s="16" t="s">
        <v>80</v>
      </c>
      <c r="L576" s="17" t="str">
        <f>IFERROR(INDEX('نقاط التحقق'!$G$2:$G$31,MATCH($K576,'نقاط التحقق'!$A$2:$A$31,0))&amp;"","")</f>
        <v>تطوير الأدوار والمسؤوليات للوحدة التنظيمية وتفصيل الهيكل التنظيمي</v>
      </c>
      <c r="M576" s="13">
        <v>77</v>
      </c>
      <c r="N576" s="15" t="str">
        <f>IF($M576="","غير مقيّمة",IF($M576&gt;المرجع!$K$3,"مستوفاة بشكل متقدم",IF($M576&lt;=المرجع!$K$2,"مستوفاة بشكل أولي","مستوفاة بشكل جزئي")))</f>
        <v>مستوفاة بشكل متقدم</v>
      </c>
      <c r="O576" s="18"/>
    </row>
    <row r="577" spans="1:15">
      <c r="A577" s="16" t="s">
        <v>1381</v>
      </c>
      <c r="B577" s="16" t="s">
        <v>228</v>
      </c>
      <c r="C577" s="15" t="str">
        <f>IFERROR(INDEX('قائمة الوحدات'!$B$2:$B$41,MATCH($B577,'قائمة الوحدات'!$A$2:$A$41,0)),"")</f>
        <v>MIL</v>
      </c>
      <c r="D577" s="14" t="str">
        <f>IFERROR(INDEX('قائمة الوحدات'!$C$2:$C$41,MATCH($B577,'قائمة الوحدات'!$A$2:$A$41,0)),"")</f>
        <v>الجهاز العسكري</v>
      </c>
      <c r="E577" s="14" t="str">
        <f>IFERROR(INDEX('قائمة الوحدات'!$D$2:$D$41,MATCH($B577,'قائمة الوحدات'!$A$2:$A$41,0)),"")</f>
        <v>الإدارة العامة للعلاقات العامة والإعلام العسكري</v>
      </c>
      <c r="F577" s="14" t="str">
        <f>IFERROR(INDEX('قائمة الوحدات'!$F$2:$F$41,MATCH($B577,'قائمة الوحدات'!$A$2:$A$41,0)),"")</f>
        <v>الإدارة العامة للعلاقات العامة والإعلام العسكري</v>
      </c>
      <c r="G577" s="16" t="s">
        <v>43</v>
      </c>
      <c r="H577" s="14" t="str">
        <f>IFERROR(INDEX(المرجع!$A$2:$A$19,MATCH($G577,المرجع!$B$2:$B$19,0)),"")</f>
        <v>التصميم</v>
      </c>
      <c r="I577" s="16" t="s">
        <v>56</v>
      </c>
      <c r="J577" s="14" t="str">
        <f>IFERROR(INDEX(المرجع!$D$2:$D$19,MATCH($I577,المرجع!$E$2:$E$19,0)),"")</f>
        <v>الموارد</v>
      </c>
      <c r="K577" s="16" t="s">
        <v>82</v>
      </c>
      <c r="L577" s="17" t="str">
        <f>IFERROR(INDEX('نقاط التحقق'!$G$2:$G$31,MATCH($K577,'نقاط التحقق'!$A$2:$A$31,0))&amp;"","")</f>
        <v>تفصيل احتياج الموارد البشرية للوحدة التنظيمية</v>
      </c>
      <c r="M577" s="13">
        <v>97</v>
      </c>
      <c r="N577" s="15" t="str">
        <f>IF($M577="","غير مقيّمة",IF($M577&gt;المرجع!$K$3,"مستوفاة بشكل متقدم",IF($M577&lt;=المرجع!$K$2,"مستوفاة بشكل أولي","مستوفاة بشكل جزئي")))</f>
        <v>مستوفاة بشكل متقدم</v>
      </c>
      <c r="O577" s="18"/>
    </row>
    <row r="578" spans="1:15">
      <c r="A578" s="16" t="s">
        <v>1382</v>
      </c>
      <c r="B578" s="16" t="s">
        <v>228</v>
      </c>
      <c r="C578" s="15" t="str">
        <f>IFERROR(INDEX('قائمة الوحدات'!$B$2:$B$41,MATCH($B578,'قائمة الوحدات'!$A$2:$A$41,0)),"")</f>
        <v>MIL</v>
      </c>
      <c r="D578" s="14" t="str">
        <f>IFERROR(INDEX('قائمة الوحدات'!$C$2:$C$41,MATCH($B578,'قائمة الوحدات'!$A$2:$A$41,0)),"")</f>
        <v>الجهاز العسكري</v>
      </c>
      <c r="E578" s="14" t="str">
        <f>IFERROR(INDEX('قائمة الوحدات'!$D$2:$D$41,MATCH($B578,'قائمة الوحدات'!$A$2:$A$41,0)),"")</f>
        <v>الإدارة العامة للعلاقات العامة والإعلام العسكري</v>
      </c>
      <c r="F578" s="14" t="str">
        <f>IFERROR(INDEX('قائمة الوحدات'!$F$2:$F$41,MATCH($B578,'قائمة الوحدات'!$A$2:$A$41,0)),"")</f>
        <v>الإدارة العامة للعلاقات العامة والإعلام العسكري</v>
      </c>
      <c r="G578" s="16" t="s">
        <v>43</v>
      </c>
      <c r="H578" s="14" t="str">
        <f>IFERROR(INDEX(المرجع!$A$2:$A$19,MATCH($G578,المرجع!$B$2:$B$19,0)),"")</f>
        <v>التصميم</v>
      </c>
      <c r="I578" s="16" t="s">
        <v>59</v>
      </c>
      <c r="J578" s="14" t="str">
        <f>IFERROR(INDEX(المرجع!$D$2:$D$19,MATCH($I578,المرجع!$E$2:$E$19,0)),"")</f>
        <v>الإجراءات</v>
      </c>
      <c r="K578" s="16" t="s">
        <v>84</v>
      </c>
      <c r="L578" s="17" t="str">
        <f>IFERROR(INDEX('نقاط التحقق'!$G$2:$G$31,MATCH($K578,'نقاط التحقق'!$A$2:$A$31,0))&amp;"","")</f>
        <v>تفصيل المخرجات إلى إجراءات عالية المستوى</v>
      </c>
      <c r="M578" s="13">
        <v>83</v>
      </c>
      <c r="N578" s="15" t="str">
        <f>IF($M578="","غير مقيّمة",IF($M578&gt;المرجع!$K$3,"مستوفاة بشكل متقدم",IF($M578&lt;=المرجع!$K$2,"مستوفاة بشكل أولي","مستوفاة بشكل جزئي")))</f>
        <v>مستوفاة بشكل متقدم</v>
      </c>
      <c r="O578" s="18"/>
    </row>
    <row r="579" spans="1:15">
      <c r="A579" s="16" t="s">
        <v>1383</v>
      </c>
      <c r="B579" s="16" t="s">
        <v>228</v>
      </c>
      <c r="C579" s="15" t="str">
        <f>IFERROR(INDEX('قائمة الوحدات'!$B$2:$B$41,MATCH($B579,'قائمة الوحدات'!$A$2:$A$41,0)),"")</f>
        <v>MIL</v>
      </c>
      <c r="D579" s="14" t="str">
        <f>IFERROR(INDEX('قائمة الوحدات'!$C$2:$C$41,MATCH($B579,'قائمة الوحدات'!$A$2:$A$41,0)),"")</f>
        <v>الجهاز العسكري</v>
      </c>
      <c r="E579" s="14" t="str">
        <f>IFERROR(INDEX('قائمة الوحدات'!$D$2:$D$41,MATCH($B579,'قائمة الوحدات'!$A$2:$A$41,0)),"")</f>
        <v>الإدارة العامة للعلاقات العامة والإعلام العسكري</v>
      </c>
      <c r="F579" s="14" t="str">
        <f>IFERROR(INDEX('قائمة الوحدات'!$F$2:$F$41,MATCH($B579,'قائمة الوحدات'!$A$2:$A$41,0)),"")</f>
        <v>الإدارة العامة للعلاقات العامة والإعلام العسكري</v>
      </c>
      <c r="G579" s="16" t="s">
        <v>61</v>
      </c>
      <c r="H579" s="14" t="str">
        <f>IFERROR(INDEX(المرجع!$A$2:$A$19,MATCH($G579,المرجع!$B$2:$B$19,0)),"")</f>
        <v>البناء المؤسسي</v>
      </c>
      <c r="I579" s="16" t="s">
        <v>45</v>
      </c>
      <c r="J579" s="14" t="str">
        <f>IFERROR(INDEX(المرجع!$D$2:$D$19,MATCH($I579,المرجع!$E$2:$E$19,0)),"")</f>
        <v>الدور</v>
      </c>
      <c r="K579" s="16" t="s">
        <v>86</v>
      </c>
      <c r="L579" s="17" t="str">
        <f>IFERROR(INDEX('نقاط التحقق'!$G$2:$G$31,MATCH($K579,'نقاط التحقق'!$A$2:$A$31,0))&amp;"","")</f>
        <v>دور معتمد للوحدة التنظيمية</v>
      </c>
      <c r="M579" s="13">
        <v>79</v>
      </c>
      <c r="N579" s="15" t="str">
        <f>IF($M579="","غير مقيّمة",IF($M579&gt;المرجع!$K$3,"مستوفاة بشكل متقدم",IF($M579&lt;=المرجع!$K$2,"مستوفاة بشكل أولي","مستوفاة بشكل جزئي")))</f>
        <v>مستوفاة بشكل متقدم</v>
      </c>
      <c r="O579" s="18"/>
    </row>
    <row r="580" spans="1:15">
      <c r="A580" s="16" t="s">
        <v>1384</v>
      </c>
      <c r="B580" s="16" t="s">
        <v>228</v>
      </c>
      <c r="C580" s="15" t="str">
        <f>IFERROR(INDEX('قائمة الوحدات'!$B$2:$B$41,MATCH($B580,'قائمة الوحدات'!$A$2:$A$41,0)),"")</f>
        <v>MIL</v>
      </c>
      <c r="D580" s="14" t="str">
        <f>IFERROR(INDEX('قائمة الوحدات'!$C$2:$C$41,MATCH($B580,'قائمة الوحدات'!$A$2:$A$41,0)),"")</f>
        <v>الجهاز العسكري</v>
      </c>
      <c r="E580" s="14" t="str">
        <f>IFERROR(INDEX('قائمة الوحدات'!$D$2:$D$41,MATCH($B580,'قائمة الوحدات'!$A$2:$A$41,0)),"")</f>
        <v>الإدارة العامة للعلاقات العامة والإعلام العسكري</v>
      </c>
      <c r="F580" s="14" t="str">
        <f>IFERROR(INDEX('قائمة الوحدات'!$F$2:$F$41,MATCH($B580,'قائمة الوحدات'!$A$2:$A$41,0)),"")</f>
        <v>الإدارة العامة للعلاقات العامة والإعلام العسكري</v>
      </c>
      <c r="G580" s="16" t="s">
        <v>61</v>
      </c>
      <c r="H580" s="14" t="str">
        <f>IFERROR(INDEX(المرجع!$A$2:$A$19,MATCH($G580,المرجع!$B$2:$B$19,0)),"")</f>
        <v>البناء المؤسسي</v>
      </c>
      <c r="I580" s="16" t="s">
        <v>48</v>
      </c>
      <c r="J580" s="14" t="str">
        <f>IFERROR(INDEX(المرجع!$D$2:$D$19,MATCH($I580,المرجع!$E$2:$E$19,0)),"")</f>
        <v>الأهداف ومؤشرات الأداء</v>
      </c>
      <c r="K580" s="16" t="s">
        <v>88</v>
      </c>
      <c r="L580" s="17" t="str">
        <f>IFERROR(INDEX('نقاط التحقق'!$G$2:$G$31,MATCH($K580,'نقاط التحقق'!$A$2:$A$31,0))&amp;"","")</f>
        <v>أهداف تشغيلية معتمدة من صاحب الصلاحية</v>
      </c>
      <c r="M580" s="13">
        <v>70</v>
      </c>
      <c r="N580" s="15" t="str">
        <f>IF($M580="","غير مقيّمة",IF($M580&gt;المرجع!$K$3,"مستوفاة بشكل متقدم",IF($M580&lt;=المرجع!$K$2,"مستوفاة بشكل أولي","مستوفاة بشكل جزئي")))</f>
        <v>مستوفاة بشكل جزئي</v>
      </c>
      <c r="O580" s="18"/>
    </row>
    <row r="581" spans="1:15">
      <c r="A581" s="16" t="s">
        <v>1385</v>
      </c>
      <c r="B581" s="16" t="s">
        <v>228</v>
      </c>
      <c r="C581" s="15" t="str">
        <f>IFERROR(INDEX('قائمة الوحدات'!$B$2:$B$41,MATCH($B581,'قائمة الوحدات'!$A$2:$A$41,0)),"")</f>
        <v>MIL</v>
      </c>
      <c r="D581" s="14" t="str">
        <f>IFERROR(INDEX('قائمة الوحدات'!$C$2:$C$41,MATCH($B581,'قائمة الوحدات'!$A$2:$A$41,0)),"")</f>
        <v>الجهاز العسكري</v>
      </c>
      <c r="E581" s="14" t="str">
        <f>IFERROR(INDEX('قائمة الوحدات'!$D$2:$D$41,MATCH($B581,'قائمة الوحدات'!$A$2:$A$41,0)),"")</f>
        <v>الإدارة العامة للعلاقات العامة والإعلام العسكري</v>
      </c>
      <c r="F581" s="14" t="str">
        <f>IFERROR(INDEX('قائمة الوحدات'!$F$2:$F$41,MATCH($B581,'قائمة الوحدات'!$A$2:$A$41,0)),"")</f>
        <v>الإدارة العامة للعلاقات العامة والإعلام العسكري</v>
      </c>
      <c r="G581" s="16" t="s">
        <v>61</v>
      </c>
      <c r="H581" s="14" t="str">
        <f>IFERROR(INDEX(المرجع!$A$2:$A$19,MATCH($G581,المرجع!$B$2:$B$19,0)),"")</f>
        <v>البناء المؤسسي</v>
      </c>
      <c r="I581" s="16" t="s">
        <v>48</v>
      </c>
      <c r="J581" s="14" t="str">
        <f>IFERROR(INDEX(المرجع!$D$2:$D$19,MATCH($I581,المرجع!$E$2:$E$19,0)),"")</f>
        <v>الأهداف ومؤشرات الأداء</v>
      </c>
      <c r="K581" s="16" t="s">
        <v>90</v>
      </c>
      <c r="L581" s="17" t="str">
        <f>IFERROR(INDEX('نقاط التحقق'!$G$2:$G$31,MATCH($K581,'نقاط التحقق'!$A$2:$A$31,0))&amp;"","")</f>
        <v>نشر الأهداف التشغيلية على موظفي الوحدة التنظيمية</v>
      </c>
      <c r="M581" s="13">
        <v>70</v>
      </c>
      <c r="N581" s="15" t="str">
        <f>IF($M581="","غير مقيّمة",IF($M581&gt;المرجع!$K$3,"مستوفاة بشكل متقدم",IF($M581&lt;=المرجع!$K$2,"مستوفاة بشكل أولي","مستوفاة بشكل جزئي")))</f>
        <v>مستوفاة بشكل جزئي</v>
      </c>
      <c r="O581" s="18"/>
    </row>
    <row r="582" spans="1:15">
      <c r="A582" s="16" t="s">
        <v>1386</v>
      </c>
      <c r="B582" s="16" t="s">
        <v>228</v>
      </c>
      <c r="C582" s="15" t="str">
        <f>IFERROR(INDEX('قائمة الوحدات'!$B$2:$B$41,MATCH($B582,'قائمة الوحدات'!$A$2:$A$41,0)),"")</f>
        <v>MIL</v>
      </c>
      <c r="D582" s="14" t="str">
        <f>IFERROR(INDEX('قائمة الوحدات'!$C$2:$C$41,MATCH($B582,'قائمة الوحدات'!$A$2:$A$41,0)),"")</f>
        <v>الجهاز العسكري</v>
      </c>
      <c r="E582" s="14" t="str">
        <f>IFERROR(INDEX('قائمة الوحدات'!$D$2:$D$41,MATCH($B582,'قائمة الوحدات'!$A$2:$A$41,0)),"")</f>
        <v>الإدارة العامة للعلاقات العامة والإعلام العسكري</v>
      </c>
      <c r="F582" s="14" t="str">
        <f>IFERROR(INDEX('قائمة الوحدات'!$F$2:$F$41,MATCH($B582,'قائمة الوحدات'!$A$2:$A$41,0)),"")</f>
        <v>الإدارة العامة للعلاقات العامة والإعلام العسكري</v>
      </c>
      <c r="G582" s="16" t="s">
        <v>61</v>
      </c>
      <c r="H582" s="14" t="str">
        <f>IFERROR(INDEX(المرجع!$A$2:$A$19,MATCH($G582,المرجع!$B$2:$B$19,0)),"")</f>
        <v>البناء المؤسسي</v>
      </c>
      <c r="I582" s="16" t="s">
        <v>51</v>
      </c>
      <c r="J582" s="14" t="str">
        <f>IFERROR(INDEX(المرجع!$D$2:$D$19,MATCH($I582,المرجع!$E$2:$E$19,0)),"")</f>
        <v>الحوكمة</v>
      </c>
      <c r="K582" s="16" t="s">
        <v>92</v>
      </c>
      <c r="L582" s="17" t="str">
        <f>IFERROR(INDEX('نقاط التحقق'!$G$2:$G$31,MATCH($K582,'نقاط التحقق'!$A$2:$A$31,0))&amp;"","")</f>
        <v>مصفوفة صلاحيات معتمدة ومعممة على أصحاب المصلحة</v>
      </c>
      <c r="M582" s="13">
        <v>75</v>
      </c>
      <c r="N582" s="15" t="str">
        <f>IF($M582="","غير مقيّمة",IF($M582&gt;المرجع!$K$3,"مستوفاة بشكل متقدم",IF($M582&lt;=المرجع!$K$2,"مستوفاة بشكل أولي","مستوفاة بشكل جزئي")))</f>
        <v>مستوفاة بشكل متقدم</v>
      </c>
      <c r="O582" s="18"/>
    </row>
    <row r="583" spans="1:15">
      <c r="A583" s="16" t="s">
        <v>1387</v>
      </c>
      <c r="B583" s="16" t="s">
        <v>228</v>
      </c>
      <c r="C583" s="15" t="str">
        <f>IFERROR(INDEX('قائمة الوحدات'!$B$2:$B$41,MATCH($B583,'قائمة الوحدات'!$A$2:$A$41,0)),"")</f>
        <v>MIL</v>
      </c>
      <c r="D583" s="14" t="str">
        <f>IFERROR(INDEX('قائمة الوحدات'!$C$2:$C$41,MATCH($B583,'قائمة الوحدات'!$A$2:$A$41,0)),"")</f>
        <v>الجهاز العسكري</v>
      </c>
      <c r="E583" s="14" t="str">
        <f>IFERROR(INDEX('قائمة الوحدات'!$D$2:$D$41,MATCH($B583,'قائمة الوحدات'!$A$2:$A$41,0)),"")</f>
        <v>الإدارة العامة للعلاقات العامة والإعلام العسكري</v>
      </c>
      <c r="F583" s="14" t="str">
        <f>IFERROR(INDEX('قائمة الوحدات'!$F$2:$F$41,MATCH($B583,'قائمة الوحدات'!$A$2:$A$41,0)),"")</f>
        <v>الإدارة العامة للعلاقات العامة والإعلام العسكري</v>
      </c>
      <c r="G583" s="16" t="s">
        <v>61</v>
      </c>
      <c r="H583" s="14" t="str">
        <f>IFERROR(INDEX(المرجع!$A$2:$A$19,MATCH($G583,المرجع!$B$2:$B$19,0)),"")</f>
        <v>البناء المؤسسي</v>
      </c>
      <c r="I583" s="16" t="s">
        <v>51</v>
      </c>
      <c r="J583" s="14" t="str">
        <f>IFERROR(INDEX(المرجع!$D$2:$D$19,MATCH($I583,المرجع!$E$2:$E$19,0)),"")</f>
        <v>الحوكمة</v>
      </c>
      <c r="K583" s="16" t="s">
        <v>94</v>
      </c>
      <c r="L583" s="17" t="str">
        <f>IFERROR(INDEX('نقاط التحقق'!$G$2:$G$31,MATCH($K583,'نقاط التحقق'!$A$2:$A$31,0))&amp;"","")</f>
        <v>سياسات معتمدة للتي تملكها الوحدة التنظيمية</v>
      </c>
      <c r="M583" s="13">
        <v>95</v>
      </c>
      <c r="N583" s="15" t="str">
        <f>IF($M583="","غير مقيّمة",IF($M583&gt;المرجع!$K$3,"مستوفاة بشكل متقدم",IF($M583&lt;=المرجع!$K$2,"مستوفاة بشكل أولي","مستوفاة بشكل جزئي")))</f>
        <v>مستوفاة بشكل متقدم</v>
      </c>
      <c r="O583" s="18"/>
    </row>
    <row r="584" spans="1:15">
      <c r="A584" s="16" t="s">
        <v>1388</v>
      </c>
      <c r="B584" s="16" t="s">
        <v>228</v>
      </c>
      <c r="C584" s="15" t="str">
        <f>IFERROR(INDEX('قائمة الوحدات'!$B$2:$B$41,MATCH($B584,'قائمة الوحدات'!$A$2:$A$41,0)),"")</f>
        <v>MIL</v>
      </c>
      <c r="D584" s="14" t="str">
        <f>IFERROR(INDEX('قائمة الوحدات'!$C$2:$C$41,MATCH($B584,'قائمة الوحدات'!$A$2:$A$41,0)),"")</f>
        <v>الجهاز العسكري</v>
      </c>
      <c r="E584" s="14" t="str">
        <f>IFERROR(INDEX('قائمة الوحدات'!$D$2:$D$41,MATCH($B584,'قائمة الوحدات'!$A$2:$A$41,0)),"")</f>
        <v>الإدارة العامة للعلاقات العامة والإعلام العسكري</v>
      </c>
      <c r="F584" s="14" t="str">
        <f>IFERROR(INDEX('قائمة الوحدات'!$F$2:$F$41,MATCH($B584,'قائمة الوحدات'!$A$2:$A$41,0)),"")</f>
        <v>الإدارة العامة للعلاقات العامة والإعلام العسكري</v>
      </c>
      <c r="G584" s="16" t="s">
        <v>61</v>
      </c>
      <c r="H584" s="14" t="str">
        <f>IFERROR(INDEX(المرجع!$A$2:$A$19,MATCH($G584,المرجع!$B$2:$B$19,0)),"")</f>
        <v>البناء المؤسسي</v>
      </c>
      <c r="I584" s="16" t="s">
        <v>51</v>
      </c>
      <c r="J584" s="14" t="str">
        <f>IFERROR(INDEX(المرجع!$D$2:$D$19,MATCH($I584,المرجع!$E$2:$E$19,0)),"")</f>
        <v>الحوكمة</v>
      </c>
      <c r="K584" s="16" t="s">
        <v>96</v>
      </c>
      <c r="L584" s="17" t="str">
        <f>IFERROR(INDEX('نقاط التحقق'!$G$2:$G$31,MATCH($K584,'نقاط التحقق'!$A$2:$A$31,0))&amp;"","")</f>
        <v>قرار تشكيل معتمد للجان ذات العلاقة</v>
      </c>
      <c r="M584" s="13">
        <v>85</v>
      </c>
      <c r="N584" s="15" t="str">
        <f>IF($M584="","غير مقيّمة",IF($M584&gt;المرجع!$K$3,"مستوفاة بشكل متقدم",IF($M584&lt;=المرجع!$K$2,"مستوفاة بشكل أولي","مستوفاة بشكل جزئي")))</f>
        <v>مستوفاة بشكل متقدم</v>
      </c>
      <c r="O584" s="18"/>
    </row>
    <row r="585" spans="1:15">
      <c r="A585" s="16" t="s">
        <v>1389</v>
      </c>
      <c r="B585" s="16" t="s">
        <v>228</v>
      </c>
      <c r="C585" s="15" t="str">
        <f>IFERROR(INDEX('قائمة الوحدات'!$B$2:$B$41,MATCH($B585,'قائمة الوحدات'!$A$2:$A$41,0)),"")</f>
        <v>MIL</v>
      </c>
      <c r="D585" s="14" t="str">
        <f>IFERROR(INDEX('قائمة الوحدات'!$C$2:$C$41,MATCH($B585,'قائمة الوحدات'!$A$2:$A$41,0)),"")</f>
        <v>الجهاز العسكري</v>
      </c>
      <c r="E585" s="14" t="str">
        <f>IFERROR(INDEX('قائمة الوحدات'!$D$2:$D$41,MATCH($B585,'قائمة الوحدات'!$A$2:$A$41,0)),"")</f>
        <v>الإدارة العامة للعلاقات العامة والإعلام العسكري</v>
      </c>
      <c r="F585" s="14" t="str">
        <f>IFERROR(INDEX('قائمة الوحدات'!$F$2:$F$41,MATCH($B585,'قائمة الوحدات'!$A$2:$A$41,0)),"")</f>
        <v>الإدارة العامة للعلاقات العامة والإعلام العسكري</v>
      </c>
      <c r="G585" s="16" t="s">
        <v>61</v>
      </c>
      <c r="H585" s="14" t="str">
        <f>IFERROR(INDEX(المرجع!$A$2:$A$19,MATCH($G585,المرجع!$B$2:$B$19,0)),"")</f>
        <v>البناء المؤسسي</v>
      </c>
      <c r="I585" s="16" t="s">
        <v>54</v>
      </c>
      <c r="J585" s="14" t="str">
        <f>IFERROR(INDEX(المرجع!$D$2:$D$19,MATCH($I585,المرجع!$E$2:$E$19,0)),"")</f>
        <v>التنظيم</v>
      </c>
      <c r="K585" s="16" t="s">
        <v>98</v>
      </c>
      <c r="L585" s="17" t="str">
        <f>IFERROR(INDEX('نقاط التحقق'!$G$2:$G$31,MATCH($K585,'نقاط التحقق'!$A$2:$A$31,0))&amp;"","")</f>
        <v>هيكل تنظيمي معتمد من صاحب الصلاحية</v>
      </c>
      <c r="M585" s="13">
        <v>55</v>
      </c>
      <c r="N585" s="15" t="str">
        <f>IF($M585="","غير مقيّمة",IF($M585&gt;المرجع!$K$3,"مستوفاة بشكل متقدم",IF($M585&lt;=المرجع!$K$2,"مستوفاة بشكل أولي","مستوفاة بشكل جزئي")))</f>
        <v>مستوفاة بشكل جزئي</v>
      </c>
      <c r="O585" s="18"/>
    </row>
    <row r="586" spans="1:15">
      <c r="A586" s="16" t="s">
        <v>1390</v>
      </c>
      <c r="B586" s="16" t="s">
        <v>228</v>
      </c>
      <c r="C586" s="15" t="str">
        <f>IFERROR(INDEX('قائمة الوحدات'!$B$2:$B$41,MATCH($B586,'قائمة الوحدات'!$A$2:$A$41,0)),"")</f>
        <v>MIL</v>
      </c>
      <c r="D586" s="14" t="str">
        <f>IFERROR(INDEX('قائمة الوحدات'!$C$2:$C$41,MATCH($B586,'قائمة الوحدات'!$A$2:$A$41,0)),"")</f>
        <v>الجهاز العسكري</v>
      </c>
      <c r="E586" s="14" t="str">
        <f>IFERROR(INDEX('قائمة الوحدات'!$D$2:$D$41,MATCH($B586,'قائمة الوحدات'!$A$2:$A$41,0)),"")</f>
        <v>الإدارة العامة للعلاقات العامة والإعلام العسكري</v>
      </c>
      <c r="F586" s="14" t="str">
        <f>IFERROR(INDEX('قائمة الوحدات'!$F$2:$F$41,MATCH($B586,'قائمة الوحدات'!$A$2:$A$41,0)),"")</f>
        <v>الإدارة العامة للعلاقات العامة والإعلام العسكري</v>
      </c>
      <c r="G586" s="16" t="s">
        <v>61</v>
      </c>
      <c r="H586" s="14" t="str">
        <f>IFERROR(INDEX(المرجع!$A$2:$A$19,MATCH($G586,المرجع!$B$2:$B$19,0)),"")</f>
        <v>البناء المؤسسي</v>
      </c>
      <c r="I586" s="16" t="s">
        <v>54</v>
      </c>
      <c r="J586" s="14" t="str">
        <f>IFERROR(INDEX(المرجع!$D$2:$D$19,MATCH($I586,المرجع!$E$2:$E$19,0)),"")</f>
        <v>التنظيم</v>
      </c>
      <c r="K586" s="16" t="s">
        <v>100</v>
      </c>
      <c r="L586" s="17" t="str">
        <f>IFERROR(INDEX('نقاط التحقق'!$G$2:$G$31,MATCH($K586,'نقاط التحقق'!$A$2:$A$31,0))&amp;"","")</f>
        <v>هيكل تنظيمي منشأ على نظام القوى العاملة</v>
      </c>
      <c r="M586" s="13">
        <v>45</v>
      </c>
      <c r="N586" s="15" t="str">
        <f>IF($M586="","غير مقيّمة",IF($M586&gt;المرجع!$K$3,"مستوفاة بشكل متقدم",IF($M586&lt;=المرجع!$K$2,"مستوفاة بشكل أولي","مستوفاة بشكل جزئي")))</f>
        <v>مستوفاة بشكل جزئي</v>
      </c>
      <c r="O586" s="18"/>
    </row>
    <row r="587" spans="1:15">
      <c r="A587" s="16" t="s">
        <v>1391</v>
      </c>
      <c r="B587" s="16" t="s">
        <v>228</v>
      </c>
      <c r="C587" s="15" t="str">
        <f>IFERROR(INDEX('قائمة الوحدات'!$B$2:$B$41,MATCH($B587,'قائمة الوحدات'!$A$2:$A$41,0)),"")</f>
        <v>MIL</v>
      </c>
      <c r="D587" s="14" t="str">
        <f>IFERROR(INDEX('قائمة الوحدات'!$C$2:$C$41,MATCH($B587,'قائمة الوحدات'!$A$2:$A$41,0)),"")</f>
        <v>الجهاز العسكري</v>
      </c>
      <c r="E587" s="14" t="str">
        <f>IFERROR(INDEX('قائمة الوحدات'!$D$2:$D$41,MATCH($B587,'قائمة الوحدات'!$A$2:$A$41,0)),"")</f>
        <v>الإدارة العامة للعلاقات العامة والإعلام العسكري</v>
      </c>
      <c r="F587" s="14" t="str">
        <f>IFERROR(INDEX('قائمة الوحدات'!$F$2:$F$41,MATCH($B587,'قائمة الوحدات'!$A$2:$A$41,0)),"")</f>
        <v>الإدارة العامة للعلاقات العامة والإعلام العسكري</v>
      </c>
      <c r="G587" s="16" t="s">
        <v>61</v>
      </c>
      <c r="H587" s="14" t="str">
        <f>IFERROR(INDEX(المرجع!$A$2:$A$19,MATCH($G587,المرجع!$B$2:$B$19,0)),"")</f>
        <v>البناء المؤسسي</v>
      </c>
      <c r="I587" s="16" t="s">
        <v>54</v>
      </c>
      <c r="J587" s="14" t="str">
        <f>IFERROR(INDEX(المرجع!$D$2:$D$19,MATCH($I587,المرجع!$E$2:$E$19,0)),"")</f>
        <v>التنظيم</v>
      </c>
      <c r="K587" s="16" t="s">
        <v>102</v>
      </c>
      <c r="L587" s="17" t="str">
        <f>IFERROR(INDEX('نقاط التحقق'!$G$2:$G$31,MATCH($K587,'نقاط التحقق'!$A$2:$A$31,0))&amp;"","")</f>
        <v>الموظفون المحددون مسكّنون على الهيكل التنظيمي المستهدف</v>
      </c>
      <c r="M587" s="13">
        <v>50</v>
      </c>
      <c r="N587" s="15" t="str">
        <f>IF($M587="","غير مقيّمة",IF($M587&gt;المرجع!$K$3,"مستوفاة بشكل متقدم",IF($M587&lt;=المرجع!$K$2,"مستوفاة بشكل أولي","مستوفاة بشكل جزئي")))</f>
        <v>مستوفاة بشكل جزئي</v>
      </c>
      <c r="O587" s="18"/>
    </row>
    <row r="588" spans="1:15">
      <c r="A588" s="16" t="s">
        <v>1392</v>
      </c>
      <c r="B588" s="16" t="s">
        <v>228</v>
      </c>
      <c r="C588" s="15" t="str">
        <f>IFERROR(INDEX('قائمة الوحدات'!$B$2:$B$41,MATCH($B588,'قائمة الوحدات'!$A$2:$A$41,0)),"")</f>
        <v>MIL</v>
      </c>
      <c r="D588" s="14" t="str">
        <f>IFERROR(INDEX('قائمة الوحدات'!$C$2:$C$41,MATCH($B588,'قائمة الوحدات'!$A$2:$A$41,0)),"")</f>
        <v>الجهاز العسكري</v>
      </c>
      <c r="E588" s="14" t="str">
        <f>IFERROR(INDEX('قائمة الوحدات'!$D$2:$D$41,MATCH($B588,'قائمة الوحدات'!$A$2:$A$41,0)),"")</f>
        <v>الإدارة العامة للعلاقات العامة والإعلام العسكري</v>
      </c>
      <c r="F588" s="14" t="str">
        <f>IFERROR(INDEX('قائمة الوحدات'!$F$2:$F$41,MATCH($B588,'قائمة الوحدات'!$A$2:$A$41,0)),"")</f>
        <v>الإدارة العامة للعلاقات العامة والإعلام العسكري</v>
      </c>
      <c r="G588" s="16" t="s">
        <v>61</v>
      </c>
      <c r="H588" s="14" t="str">
        <f>IFERROR(INDEX(المرجع!$A$2:$A$19,MATCH($G588,المرجع!$B$2:$B$19,0)),"")</f>
        <v>البناء المؤسسي</v>
      </c>
      <c r="I588" s="16" t="s">
        <v>56</v>
      </c>
      <c r="J588" s="14" t="str">
        <f>IFERROR(INDEX(المرجع!$D$2:$D$19,MATCH($I588,المرجع!$E$2:$E$19,0)),"")</f>
        <v>الموارد</v>
      </c>
      <c r="K588" s="16" t="s">
        <v>104</v>
      </c>
      <c r="L588" s="17" t="str">
        <f>IFERROR(INDEX('نقاط التحقق'!$G$2:$G$31,MATCH($K588,'نقاط التحقق'!$A$2:$A$31,0))&amp;"","")</f>
        <v>مدير الوحدة التنظيمية والموظفون الرئيسيون معينون/ملحقون</v>
      </c>
      <c r="M588" s="13">
        <v>70</v>
      </c>
      <c r="N588" s="15" t="str">
        <f>IF($M588="","غير مقيّمة",IF($M588&gt;المرجع!$K$3,"مستوفاة بشكل متقدم",IF($M588&lt;=المرجع!$K$2,"مستوفاة بشكل أولي","مستوفاة بشكل جزئي")))</f>
        <v>مستوفاة بشكل جزئي</v>
      </c>
      <c r="O588" s="18"/>
    </row>
    <row r="589" spans="1:15">
      <c r="A589" s="16" t="s">
        <v>1393</v>
      </c>
      <c r="B589" s="16" t="s">
        <v>228</v>
      </c>
      <c r="C589" s="15" t="str">
        <f>IFERROR(INDEX('قائمة الوحدات'!$B$2:$B$41,MATCH($B589,'قائمة الوحدات'!$A$2:$A$41,0)),"")</f>
        <v>MIL</v>
      </c>
      <c r="D589" s="14" t="str">
        <f>IFERROR(INDEX('قائمة الوحدات'!$C$2:$C$41,MATCH($B589,'قائمة الوحدات'!$A$2:$A$41,0)),"")</f>
        <v>الجهاز العسكري</v>
      </c>
      <c r="E589" s="14" t="str">
        <f>IFERROR(INDEX('قائمة الوحدات'!$D$2:$D$41,MATCH($B589,'قائمة الوحدات'!$A$2:$A$41,0)),"")</f>
        <v>الإدارة العامة للعلاقات العامة والإعلام العسكري</v>
      </c>
      <c r="F589" s="14" t="str">
        <f>IFERROR(INDEX('قائمة الوحدات'!$F$2:$F$41,MATCH($B589,'قائمة الوحدات'!$A$2:$A$41,0)),"")</f>
        <v>الإدارة العامة للعلاقات العامة والإعلام العسكري</v>
      </c>
      <c r="G589" s="16" t="s">
        <v>61</v>
      </c>
      <c r="H589" s="14" t="str">
        <f>IFERROR(INDEX(المرجع!$A$2:$A$19,MATCH($G589,المرجع!$B$2:$B$19,0)),"")</f>
        <v>البناء المؤسسي</v>
      </c>
      <c r="I589" s="16" t="s">
        <v>56</v>
      </c>
      <c r="J589" s="14" t="str">
        <f>IFERROR(INDEX(المرجع!$D$2:$D$19,MATCH($I589,المرجع!$E$2:$E$19,0)),"")</f>
        <v>الموارد</v>
      </c>
      <c r="K589" s="16" t="s">
        <v>106</v>
      </c>
      <c r="L589" s="17" t="str">
        <f>IFERROR(INDEX('نقاط التحقق'!$G$2:$G$31,MATCH($K589,'نقاط التحقق'!$A$2:$A$31,0))&amp;"","")</f>
        <v>خطة توظيف وتدريب مستكملة</v>
      </c>
      <c r="M589" s="13">
        <v>65</v>
      </c>
      <c r="N589" s="15" t="str">
        <f>IF($M589="","غير مقيّمة",IF($M589&gt;المرجع!$K$3,"مستوفاة بشكل متقدم",IF($M589&lt;=المرجع!$K$2,"مستوفاة بشكل أولي","مستوفاة بشكل جزئي")))</f>
        <v>مستوفاة بشكل جزئي</v>
      </c>
      <c r="O589" s="18"/>
    </row>
    <row r="590" spans="1:15">
      <c r="A590" s="16" t="s">
        <v>1394</v>
      </c>
      <c r="B590" s="16" t="s">
        <v>228</v>
      </c>
      <c r="C590" s="15" t="str">
        <f>IFERROR(INDEX('قائمة الوحدات'!$B$2:$B$41,MATCH($B590,'قائمة الوحدات'!$A$2:$A$41,0)),"")</f>
        <v>MIL</v>
      </c>
      <c r="D590" s="14" t="str">
        <f>IFERROR(INDEX('قائمة الوحدات'!$C$2:$C$41,MATCH($B590,'قائمة الوحدات'!$A$2:$A$41,0)),"")</f>
        <v>الجهاز العسكري</v>
      </c>
      <c r="E590" s="14" t="str">
        <f>IFERROR(INDEX('قائمة الوحدات'!$D$2:$D$41,MATCH($B590,'قائمة الوحدات'!$A$2:$A$41,0)),"")</f>
        <v>الإدارة العامة للعلاقات العامة والإعلام العسكري</v>
      </c>
      <c r="F590" s="14" t="str">
        <f>IFERROR(INDEX('قائمة الوحدات'!$F$2:$F$41,MATCH($B590,'قائمة الوحدات'!$A$2:$A$41,0)),"")</f>
        <v>الإدارة العامة للعلاقات العامة والإعلام العسكري</v>
      </c>
      <c r="G590" s="16" t="s">
        <v>61</v>
      </c>
      <c r="H590" s="14" t="str">
        <f>IFERROR(INDEX(المرجع!$A$2:$A$19,MATCH($G590,المرجع!$B$2:$B$19,0)),"")</f>
        <v>البناء المؤسسي</v>
      </c>
      <c r="I590" s="16" t="s">
        <v>56</v>
      </c>
      <c r="J590" s="14" t="str">
        <f>IFERROR(INDEX(المرجع!$D$2:$D$19,MATCH($I590,المرجع!$E$2:$E$19,0)),"")</f>
        <v>الموارد</v>
      </c>
      <c r="K590" s="16" t="s">
        <v>108</v>
      </c>
      <c r="L590" s="17" t="str">
        <f>IFERROR(INDEX('نقاط التحقق'!$G$2:$G$31,MATCH($K590,'نقاط التحقق'!$A$2:$A$31,0))&amp;"","")</f>
        <v>وجود مساحات مكتبية كافية</v>
      </c>
      <c r="M590" s="13">
        <v>75</v>
      </c>
      <c r="N590" s="15" t="str">
        <f>IF($M590="","غير مقيّمة",IF($M590&gt;المرجع!$K$3,"مستوفاة بشكل متقدم",IF($M590&lt;=المرجع!$K$2,"مستوفاة بشكل أولي","مستوفاة بشكل جزئي")))</f>
        <v>مستوفاة بشكل متقدم</v>
      </c>
      <c r="O590" s="18"/>
    </row>
    <row r="591" spans="1:15">
      <c r="A591" s="16" t="s">
        <v>1395</v>
      </c>
      <c r="B591" s="16" t="s">
        <v>228</v>
      </c>
      <c r="C591" s="15" t="str">
        <f>IFERROR(INDEX('قائمة الوحدات'!$B$2:$B$41,MATCH($B591,'قائمة الوحدات'!$A$2:$A$41,0)),"")</f>
        <v>MIL</v>
      </c>
      <c r="D591" s="14" t="str">
        <f>IFERROR(INDEX('قائمة الوحدات'!$C$2:$C$41,MATCH($B591,'قائمة الوحدات'!$A$2:$A$41,0)),"")</f>
        <v>الجهاز العسكري</v>
      </c>
      <c r="E591" s="14" t="str">
        <f>IFERROR(INDEX('قائمة الوحدات'!$D$2:$D$41,MATCH($B591,'قائمة الوحدات'!$A$2:$A$41,0)),"")</f>
        <v>الإدارة العامة للعلاقات العامة والإعلام العسكري</v>
      </c>
      <c r="F591" s="14" t="str">
        <f>IFERROR(INDEX('قائمة الوحدات'!$F$2:$F$41,MATCH($B591,'قائمة الوحدات'!$A$2:$A$41,0)),"")</f>
        <v>الإدارة العامة للعلاقات العامة والإعلام العسكري</v>
      </c>
      <c r="G591" s="16" t="s">
        <v>61</v>
      </c>
      <c r="H591" s="14" t="str">
        <f>IFERROR(INDEX(المرجع!$A$2:$A$19,MATCH($G591,المرجع!$B$2:$B$19,0)),"")</f>
        <v>البناء المؤسسي</v>
      </c>
      <c r="I591" s="16" t="s">
        <v>56</v>
      </c>
      <c r="J591" s="14" t="str">
        <f>IFERROR(INDEX(المرجع!$D$2:$D$19,MATCH($I591,المرجع!$E$2:$E$19,0)),"")</f>
        <v>الموارد</v>
      </c>
      <c r="K591" s="16" t="s">
        <v>110</v>
      </c>
      <c r="L591" s="17" t="str">
        <f>IFERROR(INDEX('نقاط التحقق'!$G$2:$G$31,MATCH($K591,'نقاط التحقق'!$A$2:$A$31,0))&amp;"","")</f>
        <v>وجود الاحتياجات التقنية الأساسية</v>
      </c>
      <c r="M591" s="13">
        <v>75</v>
      </c>
      <c r="N591" s="15" t="str">
        <f>IF($M591="","غير مقيّمة",IF($M591&gt;المرجع!$K$3,"مستوفاة بشكل متقدم",IF($M591&lt;=المرجع!$K$2,"مستوفاة بشكل أولي","مستوفاة بشكل جزئي")))</f>
        <v>مستوفاة بشكل متقدم</v>
      </c>
      <c r="O591" s="18"/>
    </row>
    <row r="592" spans="1:15">
      <c r="A592" s="16" t="s">
        <v>1396</v>
      </c>
      <c r="B592" s="16" t="s">
        <v>228</v>
      </c>
      <c r="C592" s="15" t="str">
        <f>IFERROR(INDEX('قائمة الوحدات'!$B$2:$B$41,MATCH($B592,'قائمة الوحدات'!$A$2:$A$41,0)),"")</f>
        <v>MIL</v>
      </c>
      <c r="D592" s="14" t="str">
        <f>IFERROR(INDEX('قائمة الوحدات'!$C$2:$C$41,MATCH($B592,'قائمة الوحدات'!$A$2:$A$41,0)),"")</f>
        <v>الجهاز العسكري</v>
      </c>
      <c r="E592" s="14" t="str">
        <f>IFERROR(INDEX('قائمة الوحدات'!$D$2:$D$41,MATCH($B592,'قائمة الوحدات'!$A$2:$A$41,0)),"")</f>
        <v>الإدارة العامة للعلاقات العامة والإعلام العسكري</v>
      </c>
      <c r="F592" s="14" t="str">
        <f>IFERROR(INDEX('قائمة الوحدات'!$F$2:$F$41,MATCH($B592,'قائمة الوحدات'!$A$2:$A$41,0)),"")</f>
        <v>الإدارة العامة للعلاقات العامة والإعلام العسكري</v>
      </c>
      <c r="G592" s="16" t="s">
        <v>61</v>
      </c>
      <c r="H592" s="14" t="str">
        <f>IFERROR(INDEX(المرجع!$A$2:$A$19,MATCH($G592,المرجع!$B$2:$B$19,0)),"")</f>
        <v>البناء المؤسسي</v>
      </c>
      <c r="I592" s="16" t="s">
        <v>59</v>
      </c>
      <c r="J592" s="14" t="str">
        <f>IFERROR(INDEX(المرجع!$D$2:$D$19,MATCH($I592,المرجع!$E$2:$E$19,0)),"")</f>
        <v>الإجراءات</v>
      </c>
      <c r="K592" s="16" t="s">
        <v>112</v>
      </c>
      <c r="L592" s="17" t="str">
        <f>IFERROR(INDEX('نقاط التحقق'!$G$2:$G$31,MATCH($K592,'نقاط التحقق'!$A$2:$A$31,0))&amp;"","")</f>
        <v>إجراءات معتمدة للوحدة التنظيمية</v>
      </c>
      <c r="M592" s="13">
        <v>55</v>
      </c>
      <c r="N592" s="15" t="str">
        <f>IF($M592="","غير مقيّمة",IF($M592&gt;المرجع!$K$3,"مستوفاة بشكل متقدم",IF($M592&lt;=المرجع!$K$2,"مستوفاة بشكل أولي","مستوفاة بشكل جزئي")))</f>
        <v>مستوفاة بشكل جزئي</v>
      </c>
      <c r="O592" s="18"/>
    </row>
    <row r="593" spans="1:15">
      <c r="A593" s="16" t="s">
        <v>1397</v>
      </c>
      <c r="B593" s="16" t="s">
        <v>228</v>
      </c>
      <c r="C593" s="15" t="str">
        <f>IFERROR(INDEX('قائمة الوحدات'!$B$2:$B$41,MATCH($B593,'قائمة الوحدات'!$A$2:$A$41,0)),"")</f>
        <v>MIL</v>
      </c>
      <c r="D593" s="14" t="str">
        <f>IFERROR(INDEX('قائمة الوحدات'!$C$2:$C$41,MATCH($B593,'قائمة الوحدات'!$A$2:$A$41,0)),"")</f>
        <v>الجهاز العسكري</v>
      </c>
      <c r="E593" s="14" t="str">
        <f>IFERROR(INDEX('قائمة الوحدات'!$D$2:$D$41,MATCH($B593,'قائمة الوحدات'!$A$2:$A$41,0)),"")</f>
        <v>الإدارة العامة للعلاقات العامة والإعلام العسكري</v>
      </c>
      <c r="F593" s="14" t="str">
        <f>IFERROR(INDEX('قائمة الوحدات'!$F$2:$F$41,MATCH($B593,'قائمة الوحدات'!$A$2:$A$41,0)),"")</f>
        <v>الإدارة العامة للعلاقات العامة والإعلام العسكري</v>
      </c>
      <c r="G593" s="16" t="s">
        <v>61</v>
      </c>
      <c r="H593" s="14" t="str">
        <f>IFERROR(INDEX(المرجع!$A$2:$A$19,MATCH($G593,المرجع!$B$2:$B$19,0)),"")</f>
        <v>البناء المؤسسي</v>
      </c>
      <c r="I593" s="16" t="s">
        <v>63</v>
      </c>
      <c r="J593" s="14" t="str">
        <f>IFERROR(INDEX(المرجع!$D$2:$D$19,MATCH($I593,المرجع!$E$2:$E$19,0)),"")</f>
        <v>إنتاج المخرج الأول</v>
      </c>
      <c r="K593" s="16" t="s">
        <v>114</v>
      </c>
      <c r="L593" s="17" t="str">
        <f>IFERROR(INDEX('نقاط التحقق'!$G$2:$G$31,MATCH($K593,'نقاط التحقق'!$A$2:$A$31,0))&amp;"","")</f>
        <v>إنتاج المخرج الأول من قبل الوحدة التنظيمية</v>
      </c>
      <c r="M593" s="13">
        <v>71</v>
      </c>
      <c r="N593" s="15" t="str">
        <f>IF($M593="","غير مقيّمة",IF($M593&gt;المرجع!$K$3,"مستوفاة بشكل متقدم",IF($M593&lt;=المرجع!$K$2,"مستوفاة بشكل أولي","مستوفاة بشكل جزئي")))</f>
        <v>مستوفاة بشكل متقدم</v>
      </c>
      <c r="O593" s="18"/>
    </row>
    <row r="594" spans="1:15">
      <c r="A594" s="16" t="s">
        <v>1398</v>
      </c>
      <c r="B594" s="16" t="s">
        <v>228</v>
      </c>
      <c r="C594" s="15" t="str">
        <f>IFERROR(INDEX('قائمة الوحدات'!$B$2:$B$41,MATCH($B594,'قائمة الوحدات'!$A$2:$A$41,0)),"")</f>
        <v>MIL</v>
      </c>
      <c r="D594" s="14" t="str">
        <f>IFERROR(INDEX('قائمة الوحدات'!$C$2:$C$41,MATCH($B594,'قائمة الوحدات'!$A$2:$A$41,0)),"")</f>
        <v>الجهاز العسكري</v>
      </c>
      <c r="E594" s="14" t="str">
        <f>IFERROR(INDEX('قائمة الوحدات'!$D$2:$D$41,MATCH($B594,'قائمة الوحدات'!$A$2:$A$41,0)),"")</f>
        <v>الإدارة العامة للعلاقات العامة والإعلام العسكري</v>
      </c>
      <c r="F594" s="14" t="str">
        <f>IFERROR(INDEX('قائمة الوحدات'!$F$2:$F$41,MATCH($B594,'قائمة الوحدات'!$A$2:$A$41,0)),"")</f>
        <v>الإدارة العامة للعلاقات العامة والإعلام العسكري</v>
      </c>
      <c r="G594" s="16" t="s">
        <v>65</v>
      </c>
      <c r="H594" s="14" t="str">
        <f>IFERROR(INDEX(المرجع!$A$2:$A$19,MATCH($G594,المرجع!$B$2:$B$19,0)),"")</f>
        <v>التشغيل</v>
      </c>
      <c r="I594" s="16" t="s">
        <v>48</v>
      </c>
      <c r="J594" s="14" t="str">
        <f>IFERROR(INDEX(المرجع!$D$2:$D$19,MATCH($I594,المرجع!$E$2:$E$19,0)),"")</f>
        <v>الأهداف ومؤشرات الأداء</v>
      </c>
      <c r="K594" s="16" t="s">
        <v>116</v>
      </c>
      <c r="L594" s="17" t="str">
        <f>IFERROR(INDEX('نقاط التحقق'!$G$2:$G$31,MATCH($K594,'نقاط التحقق'!$A$2:$A$31,0))&amp;"","")</f>
        <v>تحرك مؤشرات الأداء التشغيلي للوحدة التنظيمية بشكل إيجابي</v>
      </c>
      <c r="M594" s="13">
        <v>40</v>
      </c>
      <c r="N594" s="15" t="str">
        <f>IF($M594="","غير مقيّمة",IF($M594&gt;المرجع!$K$3,"مستوفاة بشكل متقدم",IF($M594&lt;=المرجع!$K$2,"مستوفاة بشكل أولي","مستوفاة بشكل جزئي")))</f>
        <v>مستوفاة بشكل جزئي</v>
      </c>
      <c r="O594" s="18"/>
    </row>
    <row r="595" spans="1:15">
      <c r="A595" s="16" t="s">
        <v>1399</v>
      </c>
      <c r="B595" s="16" t="s">
        <v>228</v>
      </c>
      <c r="C595" s="15" t="str">
        <f>IFERROR(INDEX('قائمة الوحدات'!$B$2:$B$41,MATCH($B595,'قائمة الوحدات'!$A$2:$A$41,0)),"")</f>
        <v>MIL</v>
      </c>
      <c r="D595" s="14" t="str">
        <f>IFERROR(INDEX('قائمة الوحدات'!$C$2:$C$41,MATCH($B595,'قائمة الوحدات'!$A$2:$A$41,0)),"")</f>
        <v>الجهاز العسكري</v>
      </c>
      <c r="E595" s="14" t="str">
        <f>IFERROR(INDEX('قائمة الوحدات'!$D$2:$D$41,MATCH($B595,'قائمة الوحدات'!$A$2:$A$41,0)),"")</f>
        <v>الإدارة العامة للعلاقات العامة والإعلام العسكري</v>
      </c>
      <c r="F595" s="14" t="str">
        <f>IFERROR(INDEX('قائمة الوحدات'!$F$2:$F$41,MATCH($B595,'قائمة الوحدات'!$A$2:$A$41,0)),"")</f>
        <v>الإدارة العامة للعلاقات العامة والإعلام العسكري</v>
      </c>
      <c r="G595" s="16" t="s">
        <v>65</v>
      </c>
      <c r="H595" s="14" t="str">
        <f>IFERROR(INDEX(المرجع!$A$2:$A$19,MATCH($G595,المرجع!$B$2:$B$19,0)),"")</f>
        <v>التشغيل</v>
      </c>
      <c r="I595" s="16" t="s">
        <v>48</v>
      </c>
      <c r="J595" s="14" t="str">
        <f>IFERROR(INDEX(المرجع!$D$2:$D$19,MATCH($I595,المرجع!$E$2:$E$19,0)),"")</f>
        <v>الأهداف ومؤشرات الأداء</v>
      </c>
      <c r="K595" s="16" t="s">
        <v>118</v>
      </c>
      <c r="L595" s="17" t="str">
        <f>IFERROR(INDEX('نقاط التحقق'!$G$2:$G$31,MATCH($K595,'نقاط التحقق'!$A$2:$A$31,0))&amp;"","")</f>
        <v>خطة سنوية معتمدة للوحدة التنظيمية</v>
      </c>
      <c r="M595" s="13">
        <v>30</v>
      </c>
      <c r="N595" s="15" t="str">
        <f>IF($M595="","غير مقيّمة",IF($M595&gt;المرجع!$K$3,"مستوفاة بشكل متقدم",IF($M595&lt;=المرجع!$K$2,"مستوفاة بشكل أولي","مستوفاة بشكل جزئي")))</f>
        <v>مستوفاة بشكل أولي</v>
      </c>
      <c r="O595" s="18"/>
    </row>
    <row r="596" spans="1:15">
      <c r="A596" s="16" t="s">
        <v>1400</v>
      </c>
      <c r="B596" s="16" t="s">
        <v>228</v>
      </c>
      <c r="C596" s="15" t="str">
        <f>IFERROR(INDEX('قائمة الوحدات'!$B$2:$B$41,MATCH($B596,'قائمة الوحدات'!$A$2:$A$41,0)),"")</f>
        <v>MIL</v>
      </c>
      <c r="D596" s="14" t="str">
        <f>IFERROR(INDEX('قائمة الوحدات'!$C$2:$C$41,MATCH($B596,'قائمة الوحدات'!$A$2:$A$41,0)),"")</f>
        <v>الجهاز العسكري</v>
      </c>
      <c r="E596" s="14" t="str">
        <f>IFERROR(INDEX('قائمة الوحدات'!$D$2:$D$41,MATCH($B596,'قائمة الوحدات'!$A$2:$A$41,0)),"")</f>
        <v>الإدارة العامة للعلاقات العامة والإعلام العسكري</v>
      </c>
      <c r="F596" s="14" t="str">
        <f>IFERROR(INDEX('قائمة الوحدات'!$F$2:$F$41,MATCH($B596,'قائمة الوحدات'!$A$2:$A$41,0)),"")</f>
        <v>الإدارة العامة للعلاقات العامة والإعلام العسكري</v>
      </c>
      <c r="G596" s="16" t="s">
        <v>65</v>
      </c>
      <c r="H596" s="14" t="str">
        <f>IFERROR(INDEX(المرجع!$A$2:$A$19,MATCH($G596,المرجع!$B$2:$B$19,0)),"")</f>
        <v>التشغيل</v>
      </c>
      <c r="I596" s="16" t="s">
        <v>51</v>
      </c>
      <c r="J596" s="14" t="str">
        <f>IFERROR(INDEX(المرجع!$D$2:$D$19,MATCH($I596,المرجع!$E$2:$E$19,0)),"")</f>
        <v>الحوكمة</v>
      </c>
      <c r="K596" s="16" t="s">
        <v>120</v>
      </c>
      <c r="L596" s="17" t="str">
        <f>IFERROR(INDEX('نقاط التحقق'!$G$2:$G$31,MATCH($K596,'نقاط التحقق'!$A$2:$A$31,0))&amp;"","")</f>
        <v>محاضر لجان موثقة</v>
      </c>
      <c r="M596" s="13">
        <v>25</v>
      </c>
      <c r="N596" s="15" t="str">
        <f>IF($M596="","غير مقيّمة",IF($M596&gt;المرجع!$K$3,"مستوفاة بشكل متقدم",IF($M596&lt;=المرجع!$K$2,"مستوفاة بشكل أولي","مستوفاة بشكل جزئي")))</f>
        <v>مستوفاة بشكل أولي</v>
      </c>
      <c r="O596" s="18"/>
    </row>
    <row r="597" spans="1:15">
      <c r="A597" s="16" t="s">
        <v>1401</v>
      </c>
      <c r="B597" s="16" t="s">
        <v>228</v>
      </c>
      <c r="C597" s="15" t="str">
        <f>IFERROR(INDEX('قائمة الوحدات'!$B$2:$B$41,MATCH($B597,'قائمة الوحدات'!$A$2:$A$41,0)),"")</f>
        <v>MIL</v>
      </c>
      <c r="D597" s="14" t="str">
        <f>IFERROR(INDEX('قائمة الوحدات'!$C$2:$C$41,MATCH($B597,'قائمة الوحدات'!$A$2:$A$41,0)),"")</f>
        <v>الجهاز العسكري</v>
      </c>
      <c r="E597" s="14" t="str">
        <f>IFERROR(INDEX('قائمة الوحدات'!$D$2:$D$41,MATCH($B597,'قائمة الوحدات'!$A$2:$A$41,0)),"")</f>
        <v>الإدارة العامة للعلاقات العامة والإعلام العسكري</v>
      </c>
      <c r="F597" s="14" t="str">
        <f>IFERROR(INDEX('قائمة الوحدات'!$F$2:$F$41,MATCH($B597,'قائمة الوحدات'!$A$2:$A$41,0)),"")</f>
        <v>الإدارة العامة للعلاقات العامة والإعلام العسكري</v>
      </c>
      <c r="G597" s="16" t="s">
        <v>65</v>
      </c>
      <c r="H597" s="14" t="str">
        <f>IFERROR(INDEX(المرجع!$A$2:$A$19,MATCH($G597,المرجع!$B$2:$B$19,0)),"")</f>
        <v>التشغيل</v>
      </c>
      <c r="I597" s="16" t="s">
        <v>51</v>
      </c>
      <c r="J597" s="14" t="str">
        <f>IFERROR(INDEX(المرجع!$D$2:$D$19,MATCH($I597,المرجع!$E$2:$E$19,0)),"")</f>
        <v>الحوكمة</v>
      </c>
      <c r="K597" s="16" t="s">
        <v>122</v>
      </c>
      <c r="L597" s="17" t="str">
        <f>IFERROR(INDEX('نقاط التحقق'!$G$2:$G$31,MATCH($K597,'نقاط التحقق'!$A$2:$A$31,0))&amp;"","")</f>
        <v>نشر السياسات التي تملكها الوحدة التنظيمية</v>
      </c>
      <c r="M597" s="13">
        <v>45</v>
      </c>
      <c r="N597" s="15" t="str">
        <f>IF($M597="","غير مقيّمة",IF($M597&gt;المرجع!$K$3,"مستوفاة بشكل متقدم",IF($M597&lt;=المرجع!$K$2,"مستوفاة بشكل أولي","مستوفاة بشكل جزئي")))</f>
        <v>مستوفاة بشكل جزئي</v>
      </c>
      <c r="O597" s="18"/>
    </row>
    <row r="598" spans="1:15">
      <c r="A598" s="16" t="s">
        <v>1402</v>
      </c>
      <c r="B598" s="16" t="s">
        <v>228</v>
      </c>
      <c r="C598" s="15" t="str">
        <f>IFERROR(INDEX('قائمة الوحدات'!$B$2:$B$41,MATCH($B598,'قائمة الوحدات'!$A$2:$A$41,0)),"")</f>
        <v>MIL</v>
      </c>
      <c r="D598" s="14" t="str">
        <f>IFERROR(INDEX('قائمة الوحدات'!$C$2:$C$41,MATCH($B598,'قائمة الوحدات'!$A$2:$A$41,0)),"")</f>
        <v>الجهاز العسكري</v>
      </c>
      <c r="E598" s="14" t="str">
        <f>IFERROR(INDEX('قائمة الوحدات'!$D$2:$D$41,MATCH($B598,'قائمة الوحدات'!$A$2:$A$41,0)),"")</f>
        <v>الإدارة العامة للعلاقات العامة والإعلام العسكري</v>
      </c>
      <c r="F598" s="14" t="str">
        <f>IFERROR(INDEX('قائمة الوحدات'!$F$2:$F$41,MATCH($B598,'قائمة الوحدات'!$A$2:$A$41,0)),"")</f>
        <v>الإدارة العامة للعلاقات العامة والإعلام العسكري</v>
      </c>
      <c r="G598" s="16" t="s">
        <v>65</v>
      </c>
      <c r="H598" s="14" t="str">
        <f>IFERROR(INDEX(المرجع!$A$2:$A$19,MATCH($G598,المرجع!$B$2:$B$19,0)),"")</f>
        <v>التشغيل</v>
      </c>
      <c r="I598" s="16" t="s">
        <v>51</v>
      </c>
      <c r="J598" s="14" t="str">
        <f>IFERROR(INDEX(المرجع!$D$2:$D$19,MATCH($I598,المرجع!$E$2:$E$19,0)),"")</f>
        <v>الحوكمة</v>
      </c>
      <c r="K598" s="16" t="s">
        <v>124</v>
      </c>
      <c r="L598" s="17" t="str">
        <f>IFERROR(INDEX('نقاط التحقق'!$G$2:$G$31,MATCH($K598,'نقاط التحقق'!$A$2:$A$31,0))&amp;"","")</f>
        <v>اتخاذ القرارات في نطاق الصلاحيات (وجود شواهد)</v>
      </c>
      <c r="M598" s="13">
        <v>35</v>
      </c>
      <c r="N598" s="15" t="str">
        <f>IF($M598="","غير مقيّمة",IF($M598&gt;المرجع!$K$3,"مستوفاة بشكل متقدم",IF($M598&lt;=المرجع!$K$2,"مستوفاة بشكل أولي","مستوفاة بشكل جزئي")))</f>
        <v>مستوفاة بشكل جزئي</v>
      </c>
      <c r="O598" s="18"/>
    </row>
    <row r="599" spans="1:15">
      <c r="A599" s="16" t="s">
        <v>1403</v>
      </c>
      <c r="B599" s="16" t="s">
        <v>228</v>
      </c>
      <c r="C599" s="15" t="str">
        <f>IFERROR(INDEX('قائمة الوحدات'!$B$2:$B$41,MATCH($B599,'قائمة الوحدات'!$A$2:$A$41,0)),"")</f>
        <v>MIL</v>
      </c>
      <c r="D599" s="14" t="str">
        <f>IFERROR(INDEX('قائمة الوحدات'!$C$2:$C$41,MATCH($B599,'قائمة الوحدات'!$A$2:$A$41,0)),"")</f>
        <v>الجهاز العسكري</v>
      </c>
      <c r="E599" s="14" t="str">
        <f>IFERROR(INDEX('قائمة الوحدات'!$D$2:$D$41,MATCH($B599,'قائمة الوحدات'!$A$2:$A$41,0)),"")</f>
        <v>الإدارة العامة للعلاقات العامة والإعلام العسكري</v>
      </c>
      <c r="F599" s="14" t="str">
        <f>IFERROR(INDEX('قائمة الوحدات'!$F$2:$F$41,MATCH($B599,'قائمة الوحدات'!$A$2:$A$41,0)),"")</f>
        <v>الإدارة العامة للعلاقات العامة والإعلام العسكري</v>
      </c>
      <c r="G599" s="16" t="s">
        <v>65</v>
      </c>
      <c r="H599" s="14" t="str">
        <f>IFERROR(INDEX(المرجع!$A$2:$A$19,MATCH($G599,المرجع!$B$2:$B$19,0)),"")</f>
        <v>التشغيل</v>
      </c>
      <c r="I599" s="16" t="s">
        <v>56</v>
      </c>
      <c r="J599" s="14" t="str">
        <f>IFERROR(INDEX(المرجع!$D$2:$D$19,MATCH($I599,المرجع!$E$2:$E$19,0)),"")</f>
        <v>الموارد</v>
      </c>
      <c r="K599" s="16" t="s">
        <v>126</v>
      </c>
      <c r="L599" s="17" t="str">
        <f>IFERROR(INDEX('نقاط التحقق'!$G$2:$G$31,MATCH($K599,'نقاط التحقق'!$A$2:$A$31,0))&amp;"","")</f>
        <v>موارد مستكملة للحد الأدنى الذي يغطي كافة محاور سلسلة القيمة</v>
      </c>
      <c r="M599" s="13">
        <v>47</v>
      </c>
      <c r="N599" s="15" t="str">
        <f>IF($M599="","غير مقيّمة",IF($M599&gt;المرجع!$K$3,"مستوفاة بشكل متقدم",IF($M599&lt;=المرجع!$K$2,"مستوفاة بشكل أولي","مستوفاة بشكل جزئي")))</f>
        <v>مستوفاة بشكل جزئي</v>
      </c>
      <c r="O599" s="18"/>
    </row>
    <row r="600" spans="1:15">
      <c r="A600" s="16" t="s">
        <v>1404</v>
      </c>
      <c r="B600" s="16" t="s">
        <v>228</v>
      </c>
      <c r="C600" s="15" t="str">
        <f>IFERROR(INDEX('قائمة الوحدات'!$B$2:$B$41,MATCH($B600,'قائمة الوحدات'!$A$2:$A$41,0)),"")</f>
        <v>MIL</v>
      </c>
      <c r="D600" s="14" t="str">
        <f>IFERROR(INDEX('قائمة الوحدات'!$C$2:$C$41,MATCH($B600,'قائمة الوحدات'!$A$2:$A$41,0)),"")</f>
        <v>الجهاز العسكري</v>
      </c>
      <c r="E600" s="14" t="str">
        <f>IFERROR(INDEX('قائمة الوحدات'!$D$2:$D$41,MATCH($B600,'قائمة الوحدات'!$A$2:$A$41,0)),"")</f>
        <v>الإدارة العامة للعلاقات العامة والإعلام العسكري</v>
      </c>
      <c r="F600" s="14" t="str">
        <f>IFERROR(INDEX('قائمة الوحدات'!$F$2:$F$41,MATCH($B600,'قائمة الوحدات'!$A$2:$A$41,0)),"")</f>
        <v>الإدارة العامة للعلاقات العامة والإعلام العسكري</v>
      </c>
      <c r="G600" s="16" t="s">
        <v>65</v>
      </c>
      <c r="H600" s="14" t="str">
        <f>IFERROR(INDEX(المرجع!$A$2:$A$19,MATCH($G600,المرجع!$B$2:$B$19,0)),"")</f>
        <v>التشغيل</v>
      </c>
      <c r="I600" s="16" t="s">
        <v>59</v>
      </c>
      <c r="J600" s="14" t="str">
        <f>IFERROR(INDEX(المرجع!$D$2:$D$19,MATCH($I600,المرجع!$E$2:$E$19,0)),"")</f>
        <v>الإجراءات</v>
      </c>
      <c r="K600" s="16" t="s">
        <v>128</v>
      </c>
      <c r="L600" s="17" t="str">
        <f>IFERROR(INDEX('نقاط التحقق'!$G$2:$G$31,MATCH($K600,'نقاط التحقق'!$A$2:$A$31,0))&amp;"","")</f>
        <v>تحقيق تقييم "مطبق بشكل كامل" من منهجية تقييم فعالية الإجراءات</v>
      </c>
      <c r="M600" s="13">
        <v>20</v>
      </c>
      <c r="N600" s="15" t="str">
        <f>IF($M600="","غير مقيّمة",IF($M600&gt;المرجع!$K$3,"مستوفاة بشكل متقدم",IF($M600&lt;=المرجع!$K$2,"مستوفاة بشكل أولي","مستوفاة بشكل جزئي")))</f>
        <v>مستوفاة بشكل أولي</v>
      </c>
      <c r="O600" s="18"/>
    </row>
    <row r="601" spans="1:15">
      <c r="A601" s="16" t="s">
        <v>1405</v>
      </c>
      <c r="B601" s="16" t="s">
        <v>228</v>
      </c>
      <c r="C601" s="15" t="str">
        <f>IFERROR(INDEX('قائمة الوحدات'!$B$2:$B$41,MATCH($B601,'قائمة الوحدات'!$A$2:$A$41,0)),"")</f>
        <v>MIL</v>
      </c>
      <c r="D601" s="14" t="str">
        <f>IFERROR(INDEX('قائمة الوحدات'!$C$2:$C$41,MATCH($B601,'قائمة الوحدات'!$A$2:$A$41,0)),"")</f>
        <v>الجهاز العسكري</v>
      </c>
      <c r="E601" s="14" t="str">
        <f>IFERROR(INDEX('قائمة الوحدات'!$D$2:$D$41,MATCH($B601,'قائمة الوحدات'!$A$2:$A$41,0)),"")</f>
        <v>الإدارة العامة للعلاقات العامة والإعلام العسكري</v>
      </c>
      <c r="F601" s="14" t="str">
        <f>IFERROR(INDEX('قائمة الوحدات'!$F$2:$F$41,MATCH($B601,'قائمة الوحدات'!$A$2:$A$41,0)),"")</f>
        <v>الإدارة العامة للعلاقات العامة والإعلام العسكري</v>
      </c>
      <c r="G601" s="16" t="s">
        <v>65</v>
      </c>
      <c r="H601" s="14" t="str">
        <f>IFERROR(INDEX(المرجع!$A$2:$A$19,MATCH($G601,المرجع!$B$2:$B$19,0)),"")</f>
        <v>التشغيل</v>
      </c>
      <c r="I601" s="16" t="s">
        <v>67</v>
      </c>
      <c r="J601" s="14" t="str">
        <f>IFERROR(INDEX(المرجع!$D$2:$D$19,MATCH($I601,المرجع!$E$2:$E$19,0)),"")</f>
        <v>اكتمال المخرجات المستهدفة</v>
      </c>
      <c r="K601" s="16" t="s">
        <v>130</v>
      </c>
      <c r="L601" s="17" t="str">
        <f>IFERROR(INDEX('نقاط التحقق'!$G$2:$G$31,MATCH($K601,'نقاط التحقق'!$A$2:$A$31,0))&amp;"","")</f>
        <v>اكتمال مخرجات النموذج التشغيلي المستهدف للوحدة التنظيمية</v>
      </c>
      <c r="M601" s="13">
        <v>40</v>
      </c>
      <c r="N601" s="15" t="str">
        <f>IF($M601="","غير مقيّمة",IF($M601&gt;المرجع!$K$3,"مستوفاة بشكل متقدم",IF($M601&lt;=المرجع!$K$2,"مستوفاة بشكل أولي","مستوفاة بشكل جزئي")))</f>
        <v>مستوفاة بشكل جزئي</v>
      </c>
      <c r="O601" s="18"/>
    </row>
    <row r="602" spans="1:15">
      <c r="A602" s="16" t="s">
        <v>1406</v>
      </c>
      <c r="B602" s="16" t="s">
        <v>230</v>
      </c>
      <c r="C602" s="15" t="str">
        <f>IFERROR(INDEX('قائمة الوحدات'!$B$2:$B$41,MATCH($B602,'قائمة الوحدات'!$A$2:$A$41,0)),"")</f>
        <v>MIL</v>
      </c>
      <c r="D602" s="14" t="str">
        <f>IFERROR(INDEX('قائمة الوحدات'!$C$2:$C$41,MATCH($B602,'قائمة الوحدات'!$A$2:$A$41,0)),"")</f>
        <v>الجهاز العسكري</v>
      </c>
      <c r="E602" s="14" t="str">
        <f>IFERROR(INDEX('قائمة الوحدات'!$D$2:$D$41,MATCH($B602,'قائمة الوحدات'!$A$2:$A$41,0)),"")</f>
        <v>الإدارة العامة للمراسم والتشريفات العسكرية</v>
      </c>
      <c r="F602" s="14" t="str">
        <f>IFERROR(INDEX('قائمة الوحدات'!$F$2:$F$41,MATCH($B602,'قائمة الوحدات'!$A$2:$A$41,0)),"")</f>
        <v>الإدارة العامة للمراسم والتشريفات العسكرية</v>
      </c>
      <c r="G602" s="16" t="s">
        <v>43</v>
      </c>
      <c r="H602" s="14" t="str">
        <f>IFERROR(INDEX(المرجع!$A$2:$A$19,MATCH($G602,المرجع!$B$2:$B$19,0)),"")</f>
        <v>التصميم</v>
      </c>
      <c r="I602" s="16" t="s">
        <v>45</v>
      </c>
      <c r="J602" s="14" t="str">
        <f>IFERROR(INDEX(المرجع!$D$2:$D$19,MATCH($I602,المرجع!$E$2:$E$19,0)),"")</f>
        <v>الدور</v>
      </c>
      <c r="K602" s="16" t="s">
        <v>72</v>
      </c>
      <c r="L602" s="17" t="str">
        <f>IFERROR(INDEX('نقاط التحقق'!$G$2:$G$31,MATCH($K602,'نقاط التحقق'!$A$2:$A$31,0))&amp;"","")</f>
        <v>دور مفصل للوحدة التنظيمية</v>
      </c>
      <c r="M602" s="13">
        <v>88</v>
      </c>
      <c r="N602" s="15" t="str">
        <f>IF($M602="","غير مقيّمة",IF($M602&gt;المرجع!$K$3,"مستوفاة بشكل متقدم",IF($M602&lt;=المرجع!$K$2,"مستوفاة بشكل أولي","مستوفاة بشكل جزئي")))</f>
        <v>مستوفاة بشكل متقدم</v>
      </c>
      <c r="O602" s="18"/>
    </row>
    <row r="603" spans="1:15">
      <c r="A603" s="16" t="s">
        <v>1407</v>
      </c>
      <c r="B603" s="16" t="s">
        <v>230</v>
      </c>
      <c r="C603" s="15" t="str">
        <f>IFERROR(INDEX('قائمة الوحدات'!$B$2:$B$41,MATCH($B603,'قائمة الوحدات'!$A$2:$A$41,0)),"")</f>
        <v>MIL</v>
      </c>
      <c r="D603" s="14" t="str">
        <f>IFERROR(INDEX('قائمة الوحدات'!$C$2:$C$41,MATCH($B603,'قائمة الوحدات'!$A$2:$A$41,0)),"")</f>
        <v>الجهاز العسكري</v>
      </c>
      <c r="E603" s="14" t="str">
        <f>IFERROR(INDEX('قائمة الوحدات'!$D$2:$D$41,MATCH($B603,'قائمة الوحدات'!$A$2:$A$41,0)),"")</f>
        <v>الإدارة العامة للمراسم والتشريفات العسكرية</v>
      </c>
      <c r="F603" s="14" t="str">
        <f>IFERROR(INDEX('قائمة الوحدات'!$F$2:$F$41,MATCH($B603,'قائمة الوحدات'!$A$2:$A$41,0)),"")</f>
        <v>الإدارة العامة للمراسم والتشريفات العسكرية</v>
      </c>
      <c r="G603" s="16" t="s">
        <v>43</v>
      </c>
      <c r="H603" s="14" t="str">
        <f>IFERROR(INDEX(المرجع!$A$2:$A$19,MATCH($G603,المرجع!$B$2:$B$19,0)),"")</f>
        <v>التصميم</v>
      </c>
      <c r="I603" s="16" t="s">
        <v>48</v>
      </c>
      <c r="J603" s="14" t="str">
        <f>IFERROR(INDEX(المرجع!$D$2:$D$19,MATCH($I603,المرجع!$E$2:$E$19,0)),"")</f>
        <v>الأهداف ومؤشرات الأداء</v>
      </c>
      <c r="K603" s="16" t="s">
        <v>74</v>
      </c>
      <c r="L603" s="17" t="str">
        <f>IFERROR(INDEX('نقاط التحقق'!$G$2:$G$31,MATCH($K603,'نقاط التحقق'!$A$2:$A$31,0))&amp;"","")</f>
        <v>أهداف محددة للوحدة التنظيمية وربطها بمؤشرات أداء لقياسها</v>
      </c>
      <c r="M603" s="13">
        <v>95</v>
      </c>
      <c r="N603" s="15" t="str">
        <f>IF($M603="","غير مقيّمة",IF($M603&gt;المرجع!$K$3,"مستوفاة بشكل متقدم",IF($M603&lt;=المرجع!$K$2,"مستوفاة بشكل أولي","مستوفاة بشكل جزئي")))</f>
        <v>مستوفاة بشكل متقدم</v>
      </c>
      <c r="O603" s="18"/>
    </row>
    <row r="604" spans="1:15">
      <c r="A604" s="16" t="s">
        <v>1408</v>
      </c>
      <c r="B604" s="16" t="s">
        <v>230</v>
      </c>
      <c r="C604" s="15" t="str">
        <f>IFERROR(INDEX('قائمة الوحدات'!$B$2:$B$41,MATCH($B604,'قائمة الوحدات'!$A$2:$A$41,0)),"")</f>
        <v>MIL</v>
      </c>
      <c r="D604" s="14" t="str">
        <f>IFERROR(INDEX('قائمة الوحدات'!$C$2:$C$41,MATCH($B604,'قائمة الوحدات'!$A$2:$A$41,0)),"")</f>
        <v>الجهاز العسكري</v>
      </c>
      <c r="E604" s="14" t="str">
        <f>IFERROR(INDEX('قائمة الوحدات'!$D$2:$D$41,MATCH($B604,'قائمة الوحدات'!$A$2:$A$41,0)),"")</f>
        <v>الإدارة العامة للمراسم والتشريفات العسكرية</v>
      </c>
      <c r="F604" s="14" t="str">
        <f>IFERROR(INDEX('قائمة الوحدات'!$F$2:$F$41,MATCH($B604,'قائمة الوحدات'!$A$2:$A$41,0)),"")</f>
        <v>الإدارة العامة للمراسم والتشريفات العسكرية</v>
      </c>
      <c r="G604" s="16" t="s">
        <v>43</v>
      </c>
      <c r="H604" s="14" t="str">
        <f>IFERROR(INDEX(المرجع!$A$2:$A$19,MATCH($G604,المرجع!$B$2:$B$19,0)),"")</f>
        <v>التصميم</v>
      </c>
      <c r="I604" s="16" t="s">
        <v>48</v>
      </c>
      <c r="J604" s="14" t="str">
        <f>IFERROR(INDEX(المرجع!$D$2:$D$19,MATCH($I604,المرجع!$E$2:$E$19,0)),"")</f>
        <v>الأهداف ومؤشرات الأداء</v>
      </c>
      <c r="K604" s="16" t="s">
        <v>76</v>
      </c>
      <c r="L604" s="17" t="str">
        <f>IFERROR(INDEX('نقاط التحقق'!$G$2:$G$31,MATCH($K604,'نقاط التحقق'!$A$2:$A$31,0))&amp;"","")</f>
        <v>مؤشرات أداء الوحدة التنظيمية</v>
      </c>
      <c r="M604" s="13">
        <v>80</v>
      </c>
      <c r="N604" s="15" t="str">
        <f>IF($M604="","غير مقيّمة",IF($M604&gt;المرجع!$K$3,"مستوفاة بشكل متقدم",IF($M604&lt;=المرجع!$K$2,"مستوفاة بشكل أولي","مستوفاة بشكل جزئي")))</f>
        <v>مستوفاة بشكل متقدم</v>
      </c>
      <c r="O604" s="18"/>
    </row>
    <row r="605" spans="1:15">
      <c r="A605" s="16" t="s">
        <v>1409</v>
      </c>
      <c r="B605" s="16" t="s">
        <v>230</v>
      </c>
      <c r="C605" s="15" t="str">
        <f>IFERROR(INDEX('قائمة الوحدات'!$B$2:$B$41,MATCH($B605,'قائمة الوحدات'!$A$2:$A$41,0)),"")</f>
        <v>MIL</v>
      </c>
      <c r="D605" s="14" t="str">
        <f>IFERROR(INDEX('قائمة الوحدات'!$C$2:$C$41,MATCH($B605,'قائمة الوحدات'!$A$2:$A$41,0)),"")</f>
        <v>الجهاز العسكري</v>
      </c>
      <c r="E605" s="14" t="str">
        <f>IFERROR(INDEX('قائمة الوحدات'!$D$2:$D$41,MATCH($B605,'قائمة الوحدات'!$A$2:$A$41,0)),"")</f>
        <v>الإدارة العامة للمراسم والتشريفات العسكرية</v>
      </c>
      <c r="F605" s="14" t="str">
        <f>IFERROR(INDEX('قائمة الوحدات'!$F$2:$F$41,MATCH($B605,'قائمة الوحدات'!$A$2:$A$41,0)),"")</f>
        <v>الإدارة العامة للمراسم والتشريفات العسكرية</v>
      </c>
      <c r="G605" s="16" t="s">
        <v>43</v>
      </c>
      <c r="H605" s="14" t="str">
        <f>IFERROR(INDEX(المرجع!$A$2:$A$19,MATCH($G605,المرجع!$B$2:$B$19,0)),"")</f>
        <v>التصميم</v>
      </c>
      <c r="I605" s="16" t="s">
        <v>51</v>
      </c>
      <c r="J605" s="14" t="str">
        <f>IFERROR(INDEX(المرجع!$D$2:$D$19,MATCH($I605,المرجع!$E$2:$E$19,0)),"")</f>
        <v>الحوكمة</v>
      </c>
      <c r="K605" s="16" t="s">
        <v>78</v>
      </c>
      <c r="L605" s="17" t="str">
        <f>IFERROR(INDEX('نقاط التحقق'!$G$2:$G$31,MATCH($K605,'نقاط التحقق'!$A$2:$A$31,0))&amp;"","")</f>
        <v>تفصيل القرارات ومصفوفة الصلاحيات واللجان ذات العلاقة لاعتماد مخرجات الوحدة التنظيمية</v>
      </c>
      <c r="M605" s="13">
        <v>78</v>
      </c>
      <c r="N605" s="15" t="str">
        <f>IF($M605="","غير مقيّمة",IF($M605&gt;المرجع!$K$3,"مستوفاة بشكل متقدم",IF($M605&lt;=المرجع!$K$2,"مستوفاة بشكل أولي","مستوفاة بشكل جزئي")))</f>
        <v>مستوفاة بشكل متقدم</v>
      </c>
      <c r="O605" s="18"/>
    </row>
    <row r="606" spans="1:15">
      <c r="A606" s="16" t="s">
        <v>1410</v>
      </c>
      <c r="B606" s="16" t="s">
        <v>230</v>
      </c>
      <c r="C606" s="15" t="str">
        <f>IFERROR(INDEX('قائمة الوحدات'!$B$2:$B$41,MATCH($B606,'قائمة الوحدات'!$A$2:$A$41,0)),"")</f>
        <v>MIL</v>
      </c>
      <c r="D606" s="14" t="str">
        <f>IFERROR(INDEX('قائمة الوحدات'!$C$2:$C$41,MATCH($B606,'قائمة الوحدات'!$A$2:$A$41,0)),"")</f>
        <v>الجهاز العسكري</v>
      </c>
      <c r="E606" s="14" t="str">
        <f>IFERROR(INDEX('قائمة الوحدات'!$D$2:$D$41,MATCH($B606,'قائمة الوحدات'!$A$2:$A$41,0)),"")</f>
        <v>الإدارة العامة للمراسم والتشريفات العسكرية</v>
      </c>
      <c r="F606" s="14" t="str">
        <f>IFERROR(INDEX('قائمة الوحدات'!$F$2:$F$41,MATCH($B606,'قائمة الوحدات'!$A$2:$A$41,0)),"")</f>
        <v>الإدارة العامة للمراسم والتشريفات العسكرية</v>
      </c>
      <c r="G606" s="16" t="s">
        <v>43</v>
      </c>
      <c r="H606" s="14" t="str">
        <f>IFERROR(INDEX(المرجع!$A$2:$A$19,MATCH($G606,المرجع!$B$2:$B$19,0)),"")</f>
        <v>التصميم</v>
      </c>
      <c r="I606" s="16" t="s">
        <v>54</v>
      </c>
      <c r="J606" s="14" t="str">
        <f>IFERROR(INDEX(المرجع!$D$2:$D$19,MATCH($I606,المرجع!$E$2:$E$19,0)),"")</f>
        <v>التنظيم</v>
      </c>
      <c r="K606" s="16" t="s">
        <v>80</v>
      </c>
      <c r="L606" s="17" t="str">
        <f>IFERROR(INDEX('نقاط التحقق'!$G$2:$G$31,MATCH($K606,'نقاط التحقق'!$A$2:$A$31,0))&amp;"","")</f>
        <v>تطوير الأدوار والمسؤوليات للوحدة التنظيمية وتفصيل الهيكل التنظيمي</v>
      </c>
      <c r="M606" s="13">
        <v>95</v>
      </c>
      <c r="N606" s="15" t="str">
        <f>IF($M606="","غير مقيّمة",IF($M606&gt;المرجع!$K$3,"مستوفاة بشكل متقدم",IF($M606&lt;=المرجع!$K$2,"مستوفاة بشكل أولي","مستوفاة بشكل جزئي")))</f>
        <v>مستوفاة بشكل متقدم</v>
      </c>
      <c r="O606" s="18"/>
    </row>
    <row r="607" spans="1:15">
      <c r="A607" s="16" t="s">
        <v>1411</v>
      </c>
      <c r="B607" s="16" t="s">
        <v>230</v>
      </c>
      <c r="C607" s="15" t="str">
        <f>IFERROR(INDEX('قائمة الوحدات'!$B$2:$B$41,MATCH($B607,'قائمة الوحدات'!$A$2:$A$41,0)),"")</f>
        <v>MIL</v>
      </c>
      <c r="D607" s="14" t="str">
        <f>IFERROR(INDEX('قائمة الوحدات'!$C$2:$C$41,MATCH($B607,'قائمة الوحدات'!$A$2:$A$41,0)),"")</f>
        <v>الجهاز العسكري</v>
      </c>
      <c r="E607" s="14" t="str">
        <f>IFERROR(INDEX('قائمة الوحدات'!$D$2:$D$41,MATCH($B607,'قائمة الوحدات'!$A$2:$A$41,0)),"")</f>
        <v>الإدارة العامة للمراسم والتشريفات العسكرية</v>
      </c>
      <c r="F607" s="14" t="str">
        <f>IFERROR(INDEX('قائمة الوحدات'!$F$2:$F$41,MATCH($B607,'قائمة الوحدات'!$A$2:$A$41,0)),"")</f>
        <v>الإدارة العامة للمراسم والتشريفات العسكرية</v>
      </c>
      <c r="G607" s="16" t="s">
        <v>43</v>
      </c>
      <c r="H607" s="14" t="str">
        <f>IFERROR(INDEX(المرجع!$A$2:$A$19,MATCH($G607,المرجع!$B$2:$B$19,0)),"")</f>
        <v>التصميم</v>
      </c>
      <c r="I607" s="16" t="s">
        <v>56</v>
      </c>
      <c r="J607" s="14" t="str">
        <f>IFERROR(INDEX(المرجع!$D$2:$D$19,MATCH($I607,المرجع!$E$2:$E$19,0)),"")</f>
        <v>الموارد</v>
      </c>
      <c r="K607" s="16" t="s">
        <v>82</v>
      </c>
      <c r="L607" s="17" t="str">
        <f>IFERROR(INDEX('نقاط التحقق'!$G$2:$G$31,MATCH($K607,'نقاط التحقق'!$A$2:$A$31,0))&amp;"","")</f>
        <v>تفصيل احتياج الموارد البشرية للوحدة التنظيمية</v>
      </c>
      <c r="M607" s="13">
        <v>89</v>
      </c>
      <c r="N607" s="15" t="str">
        <f>IF($M607="","غير مقيّمة",IF($M607&gt;المرجع!$K$3,"مستوفاة بشكل متقدم",IF($M607&lt;=المرجع!$K$2,"مستوفاة بشكل أولي","مستوفاة بشكل جزئي")))</f>
        <v>مستوفاة بشكل متقدم</v>
      </c>
      <c r="O607" s="18"/>
    </row>
    <row r="608" spans="1:15">
      <c r="A608" s="16" t="s">
        <v>1412</v>
      </c>
      <c r="B608" s="16" t="s">
        <v>230</v>
      </c>
      <c r="C608" s="15" t="str">
        <f>IFERROR(INDEX('قائمة الوحدات'!$B$2:$B$41,MATCH($B608,'قائمة الوحدات'!$A$2:$A$41,0)),"")</f>
        <v>MIL</v>
      </c>
      <c r="D608" s="14" t="str">
        <f>IFERROR(INDEX('قائمة الوحدات'!$C$2:$C$41,MATCH($B608,'قائمة الوحدات'!$A$2:$A$41,0)),"")</f>
        <v>الجهاز العسكري</v>
      </c>
      <c r="E608" s="14" t="str">
        <f>IFERROR(INDEX('قائمة الوحدات'!$D$2:$D$41,MATCH($B608,'قائمة الوحدات'!$A$2:$A$41,0)),"")</f>
        <v>الإدارة العامة للمراسم والتشريفات العسكرية</v>
      </c>
      <c r="F608" s="14" t="str">
        <f>IFERROR(INDEX('قائمة الوحدات'!$F$2:$F$41,MATCH($B608,'قائمة الوحدات'!$A$2:$A$41,0)),"")</f>
        <v>الإدارة العامة للمراسم والتشريفات العسكرية</v>
      </c>
      <c r="G608" s="16" t="s">
        <v>43</v>
      </c>
      <c r="H608" s="14" t="str">
        <f>IFERROR(INDEX(المرجع!$A$2:$A$19,MATCH($G608,المرجع!$B$2:$B$19,0)),"")</f>
        <v>التصميم</v>
      </c>
      <c r="I608" s="16" t="s">
        <v>59</v>
      </c>
      <c r="J608" s="14" t="str">
        <f>IFERROR(INDEX(المرجع!$D$2:$D$19,MATCH($I608,المرجع!$E$2:$E$19,0)),"")</f>
        <v>الإجراءات</v>
      </c>
      <c r="K608" s="16" t="s">
        <v>84</v>
      </c>
      <c r="L608" s="17" t="str">
        <f>IFERROR(INDEX('نقاط التحقق'!$G$2:$G$31,MATCH($K608,'نقاط التحقق'!$A$2:$A$31,0))&amp;"","")</f>
        <v>تفصيل المخرجات إلى إجراءات عالية المستوى</v>
      </c>
      <c r="M608" s="13">
        <v>88</v>
      </c>
      <c r="N608" s="15" t="str">
        <f>IF($M608="","غير مقيّمة",IF($M608&gt;المرجع!$K$3,"مستوفاة بشكل متقدم",IF($M608&lt;=المرجع!$K$2,"مستوفاة بشكل أولي","مستوفاة بشكل جزئي")))</f>
        <v>مستوفاة بشكل متقدم</v>
      </c>
      <c r="O608" s="18"/>
    </row>
    <row r="609" spans="1:15">
      <c r="A609" s="16" t="s">
        <v>1413</v>
      </c>
      <c r="B609" s="16" t="s">
        <v>230</v>
      </c>
      <c r="C609" s="15" t="str">
        <f>IFERROR(INDEX('قائمة الوحدات'!$B$2:$B$41,MATCH($B609,'قائمة الوحدات'!$A$2:$A$41,0)),"")</f>
        <v>MIL</v>
      </c>
      <c r="D609" s="14" t="str">
        <f>IFERROR(INDEX('قائمة الوحدات'!$C$2:$C$41,MATCH($B609,'قائمة الوحدات'!$A$2:$A$41,0)),"")</f>
        <v>الجهاز العسكري</v>
      </c>
      <c r="E609" s="14" t="str">
        <f>IFERROR(INDEX('قائمة الوحدات'!$D$2:$D$41,MATCH($B609,'قائمة الوحدات'!$A$2:$A$41,0)),"")</f>
        <v>الإدارة العامة للمراسم والتشريفات العسكرية</v>
      </c>
      <c r="F609" s="14" t="str">
        <f>IFERROR(INDEX('قائمة الوحدات'!$F$2:$F$41,MATCH($B609,'قائمة الوحدات'!$A$2:$A$41,0)),"")</f>
        <v>الإدارة العامة للمراسم والتشريفات العسكرية</v>
      </c>
      <c r="G609" s="16" t="s">
        <v>61</v>
      </c>
      <c r="H609" s="14" t="str">
        <f>IFERROR(INDEX(المرجع!$A$2:$A$19,MATCH($G609,المرجع!$B$2:$B$19,0)),"")</f>
        <v>البناء المؤسسي</v>
      </c>
      <c r="I609" s="16" t="s">
        <v>45</v>
      </c>
      <c r="J609" s="14" t="str">
        <f>IFERROR(INDEX(المرجع!$D$2:$D$19,MATCH($I609,المرجع!$E$2:$E$19,0)),"")</f>
        <v>الدور</v>
      </c>
      <c r="K609" s="16" t="s">
        <v>86</v>
      </c>
      <c r="L609" s="17" t="str">
        <f>IFERROR(INDEX('نقاط التحقق'!$G$2:$G$31,MATCH($K609,'نقاط التحقق'!$A$2:$A$31,0))&amp;"","")</f>
        <v>دور معتمد للوحدة التنظيمية</v>
      </c>
      <c r="M609" s="13">
        <v>81</v>
      </c>
      <c r="N609" s="15" t="str">
        <f>IF($M609="","غير مقيّمة",IF($M609&gt;المرجع!$K$3,"مستوفاة بشكل متقدم",IF($M609&lt;=المرجع!$K$2,"مستوفاة بشكل أولي","مستوفاة بشكل جزئي")))</f>
        <v>مستوفاة بشكل متقدم</v>
      </c>
      <c r="O609" s="18"/>
    </row>
    <row r="610" spans="1:15">
      <c r="A610" s="16" t="s">
        <v>1414</v>
      </c>
      <c r="B610" s="16" t="s">
        <v>230</v>
      </c>
      <c r="C610" s="15" t="str">
        <f>IFERROR(INDEX('قائمة الوحدات'!$B$2:$B$41,MATCH($B610,'قائمة الوحدات'!$A$2:$A$41,0)),"")</f>
        <v>MIL</v>
      </c>
      <c r="D610" s="14" t="str">
        <f>IFERROR(INDEX('قائمة الوحدات'!$C$2:$C$41,MATCH($B610,'قائمة الوحدات'!$A$2:$A$41,0)),"")</f>
        <v>الجهاز العسكري</v>
      </c>
      <c r="E610" s="14" t="str">
        <f>IFERROR(INDEX('قائمة الوحدات'!$D$2:$D$41,MATCH($B610,'قائمة الوحدات'!$A$2:$A$41,0)),"")</f>
        <v>الإدارة العامة للمراسم والتشريفات العسكرية</v>
      </c>
      <c r="F610" s="14" t="str">
        <f>IFERROR(INDEX('قائمة الوحدات'!$F$2:$F$41,MATCH($B610,'قائمة الوحدات'!$A$2:$A$41,0)),"")</f>
        <v>الإدارة العامة للمراسم والتشريفات العسكرية</v>
      </c>
      <c r="G610" s="16" t="s">
        <v>61</v>
      </c>
      <c r="H610" s="14" t="str">
        <f>IFERROR(INDEX(المرجع!$A$2:$A$19,MATCH($G610,المرجع!$B$2:$B$19,0)),"")</f>
        <v>البناء المؤسسي</v>
      </c>
      <c r="I610" s="16" t="s">
        <v>48</v>
      </c>
      <c r="J610" s="14" t="str">
        <f>IFERROR(INDEX(المرجع!$D$2:$D$19,MATCH($I610,المرجع!$E$2:$E$19,0)),"")</f>
        <v>الأهداف ومؤشرات الأداء</v>
      </c>
      <c r="K610" s="16" t="s">
        <v>88</v>
      </c>
      <c r="L610" s="17" t="str">
        <f>IFERROR(INDEX('نقاط التحقق'!$G$2:$G$31,MATCH($K610,'نقاط التحقق'!$A$2:$A$31,0))&amp;"","")</f>
        <v>أهداف تشغيلية معتمدة من صاحب الصلاحية</v>
      </c>
      <c r="M610" s="13">
        <v>45</v>
      </c>
      <c r="N610" s="15" t="str">
        <f>IF($M610="","غير مقيّمة",IF($M610&gt;المرجع!$K$3,"مستوفاة بشكل متقدم",IF($M610&lt;=المرجع!$K$2,"مستوفاة بشكل أولي","مستوفاة بشكل جزئي")))</f>
        <v>مستوفاة بشكل جزئي</v>
      </c>
      <c r="O610" s="18"/>
    </row>
    <row r="611" spans="1:15">
      <c r="A611" s="16" t="s">
        <v>1415</v>
      </c>
      <c r="B611" s="16" t="s">
        <v>230</v>
      </c>
      <c r="C611" s="15" t="str">
        <f>IFERROR(INDEX('قائمة الوحدات'!$B$2:$B$41,MATCH($B611,'قائمة الوحدات'!$A$2:$A$41,0)),"")</f>
        <v>MIL</v>
      </c>
      <c r="D611" s="14" t="str">
        <f>IFERROR(INDEX('قائمة الوحدات'!$C$2:$C$41,MATCH($B611,'قائمة الوحدات'!$A$2:$A$41,0)),"")</f>
        <v>الجهاز العسكري</v>
      </c>
      <c r="E611" s="14" t="str">
        <f>IFERROR(INDEX('قائمة الوحدات'!$D$2:$D$41,MATCH($B611,'قائمة الوحدات'!$A$2:$A$41,0)),"")</f>
        <v>الإدارة العامة للمراسم والتشريفات العسكرية</v>
      </c>
      <c r="F611" s="14" t="str">
        <f>IFERROR(INDEX('قائمة الوحدات'!$F$2:$F$41,MATCH($B611,'قائمة الوحدات'!$A$2:$A$41,0)),"")</f>
        <v>الإدارة العامة للمراسم والتشريفات العسكرية</v>
      </c>
      <c r="G611" s="16" t="s">
        <v>61</v>
      </c>
      <c r="H611" s="14" t="str">
        <f>IFERROR(INDEX(المرجع!$A$2:$A$19,MATCH($G611,المرجع!$B$2:$B$19,0)),"")</f>
        <v>البناء المؤسسي</v>
      </c>
      <c r="I611" s="16" t="s">
        <v>48</v>
      </c>
      <c r="J611" s="14" t="str">
        <f>IFERROR(INDEX(المرجع!$D$2:$D$19,MATCH($I611,المرجع!$E$2:$E$19,0)),"")</f>
        <v>الأهداف ومؤشرات الأداء</v>
      </c>
      <c r="K611" s="16" t="s">
        <v>90</v>
      </c>
      <c r="L611" s="17" t="str">
        <f>IFERROR(INDEX('نقاط التحقق'!$G$2:$G$31,MATCH($K611,'نقاط التحقق'!$A$2:$A$31,0))&amp;"","")</f>
        <v>نشر الأهداف التشغيلية على موظفي الوحدة التنظيمية</v>
      </c>
      <c r="M611" s="13">
        <v>55</v>
      </c>
      <c r="N611" s="15" t="str">
        <f>IF($M611="","غير مقيّمة",IF($M611&gt;المرجع!$K$3,"مستوفاة بشكل متقدم",IF($M611&lt;=المرجع!$K$2,"مستوفاة بشكل أولي","مستوفاة بشكل جزئي")))</f>
        <v>مستوفاة بشكل جزئي</v>
      </c>
      <c r="O611" s="18"/>
    </row>
    <row r="612" spans="1:15">
      <c r="A612" s="16" t="s">
        <v>1416</v>
      </c>
      <c r="B612" s="16" t="s">
        <v>230</v>
      </c>
      <c r="C612" s="15" t="str">
        <f>IFERROR(INDEX('قائمة الوحدات'!$B$2:$B$41,MATCH($B612,'قائمة الوحدات'!$A$2:$A$41,0)),"")</f>
        <v>MIL</v>
      </c>
      <c r="D612" s="14" t="str">
        <f>IFERROR(INDEX('قائمة الوحدات'!$C$2:$C$41,MATCH($B612,'قائمة الوحدات'!$A$2:$A$41,0)),"")</f>
        <v>الجهاز العسكري</v>
      </c>
      <c r="E612" s="14" t="str">
        <f>IFERROR(INDEX('قائمة الوحدات'!$D$2:$D$41,MATCH($B612,'قائمة الوحدات'!$A$2:$A$41,0)),"")</f>
        <v>الإدارة العامة للمراسم والتشريفات العسكرية</v>
      </c>
      <c r="F612" s="14" t="str">
        <f>IFERROR(INDEX('قائمة الوحدات'!$F$2:$F$41,MATCH($B612,'قائمة الوحدات'!$A$2:$A$41,0)),"")</f>
        <v>الإدارة العامة للمراسم والتشريفات العسكرية</v>
      </c>
      <c r="G612" s="16" t="s">
        <v>61</v>
      </c>
      <c r="H612" s="14" t="str">
        <f>IFERROR(INDEX(المرجع!$A$2:$A$19,MATCH($G612,المرجع!$B$2:$B$19,0)),"")</f>
        <v>البناء المؤسسي</v>
      </c>
      <c r="I612" s="16" t="s">
        <v>51</v>
      </c>
      <c r="J612" s="14" t="str">
        <f>IFERROR(INDEX(المرجع!$D$2:$D$19,MATCH($I612,المرجع!$E$2:$E$19,0)),"")</f>
        <v>الحوكمة</v>
      </c>
      <c r="K612" s="16" t="s">
        <v>92</v>
      </c>
      <c r="L612" s="17" t="str">
        <f>IFERROR(INDEX('نقاط التحقق'!$G$2:$G$31,MATCH($K612,'نقاط التحقق'!$A$2:$A$31,0))&amp;"","")</f>
        <v>مصفوفة صلاحيات معتمدة ومعممة على أصحاب المصلحة</v>
      </c>
      <c r="M612" s="13">
        <v>65</v>
      </c>
      <c r="N612" s="15" t="str">
        <f>IF($M612="","غير مقيّمة",IF($M612&gt;المرجع!$K$3,"مستوفاة بشكل متقدم",IF($M612&lt;=المرجع!$K$2,"مستوفاة بشكل أولي","مستوفاة بشكل جزئي")))</f>
        <v>مستوفاة بشكل جزئي</v>
      </c>
      <c r="O612" s="18"/>
    </row>
    <row r="613" spans="1:15">
      <c r="A613" s="16" t="s">
        <v>1417</v>
      </c>
      <c r="B613" s="16" t="s">
        <v>230</v>
      </c>
      <c r="C613" s="15" t="str">
        <f>IFERROR(INDEX('قائمة الوحدات'!$B$2:$B$41,MATCH($B613,'قائمة الوحدات'!$A$2:$A$41,0)),"")</f>
        <v>MIL</v>
      </c>
      <c r="D613" s="14" t="str">
        <f>IFERROR(INDEX('قائمة الوحدات'!$C$2:$C$41,MATCH($B613,'قائمة الوحدات'!$A$2:$A$41,0)),"")</f>
        <v>الجهاز العسكري</v>
      </c>
      <c r="E613" s="14" t="str">
        <f>IFERROR(INDEX('قائمة الوحدات'!$D$2:$D$41,MATCH($B613,'قائمة الوحدات'!$A$2:$A$41,0)),"")</f>
        <v>الإدارة العامة للمراسم والتشريفات العسكرية</v>
      </c>
      <c r="F613" s="14" t="str">
        <f>IFERROR(INDEX('قائمة الوحدات'!$F$2:$F$41,MATCH($B613,'قائمة الوحدات'!$A$2:$A$41,0)),"")</f>
        <v>الإدارة العامة للمراسم والتشريفات العسكرية</v>
      </c>
      <c r="G613" s="16" t="s">
        <v>61</v>
      </c>
      <c r="H613" s="14" t="str">
        <f>IFERROR(INDEX(المرجع!$A$2:$A$19,MATCH($G613,المرجع!$B$2:$B$19,0)),"")</f>
        <v>البناء المؤسسي</v>
      </c>
      <c r="I613" s="16" t="s">
        <v>51</v>
      </c>
      <c r="J613" s="14" t="str">
        <f>IFERROR(INDEX(المرجع!$D$2:$D$19,MATCH($I613,المرجع!$E$2:$E$19,0)),"")</f>
        <v>الحوكمة</v>
      </c>
      <c r="K613" s="16" t="s">
        <v>94</v>
      </c>
      <c r="L613" s="17" t="str">
        <f>IFERROR(INDEX('نقاط التحقق'!$G$2:$G$31,MATCH($K613,'نقاط التحقق'!$A$2:$A$31,0))&amp;"","")</f>
        <v>سياسات معتمدة للتي تملكها الوحدة التنظيمية</v>
      </c>
      <c r="M613" s="13">
        <v>35</v>
      </c>
      <c r="N613" s="15" t="str">
        <f>IF($M613="","غير مقيّمة",IF($M613&gt;المرجع!$K$3,"مستوفاة بشكل متقدم",IF($M613&lt;=المرجع!$K$2,"مستوفاة بشكل أولي","مستوفاة بشكل جزئي")))</f>
        <v>مستوفاة بشكل جزئي</v>
      </c>
      <c r="O613" s="18"/>
    </row>
    <row r="614" spans="1:15">
      <c r="A614" s="16" t="s">
        <v>1418</v>
      </c>
      <c r="B614" s="16" t="s">
        <v>230</v>
      </c>
      <c r="C614" s="15" t="str">
        <f>IFERROR(INDEX('قائمة الوحدات'!$B$2:$B$41,MATCH($B614,'قائمة الوحدات'!$A$2:$A$41,0)),"")</f>
        <v>MIL</v>
      </c>
      <c r="D614" s="14" t="str">
        <f>IFERROR(INDEX('قائمة الوحدات'!$C$2:$C$41,MATCH($B614,'قائمة الوحدات'!$A$2:$A$41,0)),"")</f>
        <v>الجهاز العسكري</v>
      </c>
      <c r="E614" s="14" t="str">
        <f>IFERROR(INDEX('قائمة الوحدات'!$D$2:$D$41,MATCH($B614,'قائمة الوحدات'!$A$2:$A$41,0)),"")</f>
        <v>الإدارة العامة للمراسم والتشريفات العسكرية</v>
      </c>
      <c r="F614" s="14" t="str">
        <f>IFERROR(INDEX('قائمة الوحدات'!$F$2:$F$41,MATCH($B614,'قائمة الوحدات'!$A$2:$A$41,0)),"")</f>
        <v>الإدارة العامة للمراسم والتشريفات العسكرية</v>
      </c>
      <c r="G614" s="16" t="s">
        <v>61</v>
      </c>
      <c r="H614" s="14" t="str">
        <f>IFERROR(INDEX(المرجع!$A$2:$A$19,MATCH($G614,المرجع!$B$2:$B$19,0)),"")</f>
        <v>البناء المؤسسي</v>
      </c>
      <c r="I614" s="16" t="s">
        <v>51</v>
      </c>
      <c r="J614" s="14" t="str">
        <f>IFERROR(INDEX(المرجع!$D$2:$D$19,MATCH($I614,المرجع!$E$2:$E$19,0)),"")</f>
        <v>الحوكمة</v>
      </c>
      <c r="K614" s="16" t="s">
        <v>96</v>
      </c>
      <c r="L614" s="17" t="str">
        <f>IFERROR(INDEX('نقاط التحقق'!$G$2:$G$31,MATCH($K614,'نقاط التحقق'!$A$2:$A$31,0))&amp;"","")</f>
        <v>قرار تشكيل معتمد للجان ذات العلاقة</v>
      </c>
      <c r="M614" s="13">
        <v>45</v>
      </c>
      <c r="N614" s="15" t="str">
        <f>IF($M614="","غير مقيّمة",IF($M614&gt;المرجع!$K$3,"مستوفاة بشكل متقدم",IF($M614&lt;=المرجع!$K$2,"مستوفاة بشكل أولي","مستوفاة بشكل جزئي")))</f>
        <v>مستوفاة بشكل جزئي</v>
      </c>
      <c r="O614" s="18"/>
    </row>
    <row r="615" spans="1:15">
      <c r="A615" s="16" t="s">
        <v>1419</v>
      </c>
      <c r="B615" s="16" t="s">
        <v>230</v>
      </c>
      <c r="C615" s="15" t="str">
        <f>IFERROR(INDEX('قائمة الوحدات'!$B$2:$B$41,MATCH($B615,'قائمة الوحدات'!$A$2:$A$41,0)),"")</f>
        <v>MIL</v>
      </c>
      <c r="D615" s="14" t="str">
        <f>IFERROR(INDEX('قائمة الوحدات'!$C$2:$C$41,MATCH($B615,'قائمة الوحدات'!$A$2:$A$41,0)),"")</f>
        <v>الجهاز العسكري</v>
      </c>
      <c r="E615" s="14" t="str">
        <f>IFERROR(INDEX('قائمة الوحدات'!$D$2:$D$41,MATCH($B615,'قائمة الوحدات'!$A$2:$A$41,0)),"")</f>
        <v>الإدارة العامة للمراسم والتشريفات العسكرية</v>
      </c>
      <c r="F615" s="14" t="str">
        <f>IFERROR(INDEX('قائمة الوحدات'!$F$2:$F$41,MATCH($B615,'قائمة الوحدات'!$A$2:$A$41,0)),"")</f>
        <v>الإدارة العامة للمراسم والتشريفات العسكرية</v>
      </c>
      <c r="G615" s="16" t="s">
        <v>61</v>
      </c>
      <c r="H615" s="14" t="str">
        <f>IFERROR(INDEX(المرجع!$A$2:$A$19,MATCH($G615,المرجع!$B$2:$B$19,0)),"")</f>
        <v>البناء المؤسسي</v>
      </c>
      <c r="I615" s="16" t="s">
        <v>54</v>
      </c>
      <c r="J615" s="14" t="str">
        <f>IFERROR(INDEX(المرجع!$D$2:$D$19,MATCH($I615,المرجع!$E$2:$E$19,0)),"")</f>
        <v>التنظيم</v>
      </c>
      <c r="K615" s="16" t="s">
        <v>98</v>
      </c>
      <c r="L615" s="17" t="str">
        <f>IFERROR(INDEX('نقاط التحقق'!$G$2:$G$31,MATCH($K615,'نقاط التحقق'!$A$2:$A$31,0))&amp;"","")</f>
        <v>هيكل تنظيمي معتمد من صاحب الصلاحية</v>
      </c>
      <c r="M615" s="13">
        <v>35</v>
      </c>
      <c r="N615" s="15" t="str">
        <f>IF($M615="","غير مقيّمة",IF($M615&gt;المرجع!$K$3,"مستوفاة بشكل متقدم",IF($M615&lt;=المرجع!$K$2,"مستوفاة بشكل أولي","مستوفاة بشكل جزئي")))</f>
        <v>مستوفاة بشكل جزئي</v>
      </c>
      <c r="O615" s="18"/>
    </row>
    <row r="616" spans="1:15">
      <c r="A616" s="16" t="s">
        <v>1420</v>
      </c>
      <c r="B616" s="16" t="s">
        <v>230</v>
      </c>
      <c r="C616" s="15" t="str">
        <f>IFERROR(INDEX('قائمة الوحدات'!$B$2:$B$41,MATCH($B616,'قائمة الوحدات'!$A$2:$A$41,0)),"")</f>
        <v>MIL</v>
      </c>
      <c r="D616" s="14" t="str">
        <f>IFERROR(INDEX('قائمة الوحدات'!$C$2:$C$41,MATCH($B616,'قائمة الوحدات'!$A$2:$A$41,0)),"")</f>
        <v>الجهاز العسكري</v>
      </c>
      <c r="E616" s="14" t="str">
        <f>IFERROR(INDEX('قائمة الوحدات'!$D$2:$D$41,MATCH($B616,'قائمة الوحدات'!$A$2:$A$41,0)),"")</f>
        <v>الإدارة العامة للمراسم والتشريفات العسكرية</v>
      </c>
      <c r="F616" s="14" t="str">
        <f>IFERROR(INDEX('قائمة الوحدات'!$F$2:$F$41,MATCH($B616,'قائمة الوحدات'!$A$2:$A$41,0)),"")</f>
        <v>الإدارة العامة للمراسم والتشريفات العسكرية</v>
      </c>
      <c r="G616" s="16" t="s">
        <v>61</v>
      </c>
      <c r="H616" s="14" t="str">
        <f>IFERROR(INDEX(المرجع!$A$2:$A$19,MATCH($G616,المرجع!$B$2:$B$19,0)),"")</f>
        <v>البناء المؤسسي</v>
      </c>
      <c r="I616" s="16" t="s">
        <v>54</v>
      </c>
      <c r="J616" s="14" t="str">
        <f>IFERROR(INDEX(المرجع!$D$2:$D$19,MATCH($I616,المرجع!$E$2:$E$19,0)),"")</f>
        <v>التنظيم</v>
      </c>
      <c r="K616" s="16" t="s">
        <v>100</v>
      </c>
      <c r="L616" s="17" t="str">
        <f>IFERROR(INDEX('نقاط التحقق'!$G$2:$G$31,MATCH($K616,'نقاط التحقق'!$A$2:$A$31,0))&amp;"","")</f>
        <v>هيكل تنظيمي منشأ على نظام القوى العاملة</v>
      </c>
      <c r="M616" s="13">
        <v>55</v>
      </c>
      <c r="N616" s="15" t="str">
        <f>IF($M616="","غير مقيّمة",IF($M616&gt;المرجع!$K$3,"مستوفاة بشكل متقدم",IF($M616&lt;=المرجع!$K$2,"مستوفاة بشكل أولي","مستوفاة بشكل جزئي")))</f>
        <v>مستوفاة بشكل جزئي</v>
      </c>
      <c r="O616" s="18"/>
    </row>
    <row r="617" spans="1:15">
      <c r="A617" s="16" t="s">
        <v>1421</v>
      </c>
      <c r="B617" s="16" t="s">
        <v>230</v>
      </c>
      <c r="C617" s="15" t="str">
        <f>IFERROR(INDEX('قائمة الوحدات'!$B$2:$B$41,MATCH($B617,'قائمة الوحدات'!$A$2:$A$41,0)),"")</f>
        <v>MIL</v>
      </c>
      <c r="D617" s="14" t="str">
        <f>IFERROR(INDEX('قائمة الوحدات'!$C$2:$C$41,MATCH($B617,'قائمة الوحدات'!$A$2:$A$41,0)),"")</f>
        <v>الجهاز العسكري</v>
      </c>
      <c r="E617" s="14" t="str">
        <f>IFERROR(INDEX('قائمة الوحدات'!$D$2:$D$41,MATCH($B617,'قائمة الوحدات'!$A$2:$A$41,0)),"")</f>
        <v>الإدارة العامة للمراسم والتشريفات العسكرية</v>
      </c>
      <c r="F617" s="14" t="str">
        <f>IFERROR(INDEX('قائمة الوحدات'!$F$2:$F$41,MATCH($B617,'قائمة الوحدات'!$A$2:$A$41,0)),"")</f>
        <v>الإدارة العامة للمراسم والتشريفات العسكرية</v>
      </c>
      <c r="G617" s="16" t="s">
        <v>61</v>
      </c>
      <c r="H617" s="14" t="str">
        <f>IFERROR(INDEX(المرجع!$A$2:$A$19,MATCH($G617,المرجع!$B$2:$B$19,0)),"")</f>
        <v>البناء المؤسسي</v>
      </c>
      <c r="I617" s="16" t="s">
        <v>54</v>
      </c>
      <c r="J617" s="14" t="str">
        <f>IFERROR(INDEX(المرجع!$D$2:$D$19,MATCH($I617,المرجع!$E$2:$E$19,0)),"")</f>
        <v>التنظيم</v>
      </c>
      <c r="K617" s="16" t="s">
        <v>102</v>
      </c>
      <c r="L617" s="17" t="str">
        <f>IFERROR(INDEX('نقاط التحقق'!$G$2:$G$31,MATCH($K617,'نقاط التحقق'!$A$2:$A$31,0))&amp;"","")</f>
        <v>الموظفون المحددون مسكّنون على الهيكل التنظيمي المستهدف</v>
      </c>
      <c r="M617" s="13">
        <v>30</v>
      </c>
      <c r="N617" s="15" t="str">
        <f>IF($M617="","غير مقيّمة",IF($M617&gt;المرجع!$K$3,"مستوفاة بشكل متقدم",IF($M617&lt;=المرجع!$K$2,"مستوفاة بشكل أولي","مستوفاة بشكل جزئي")))</f>
        <v>مستوفاة بشكل أولي</v>
      </c>
      <c r="O617" s="18"/>
    </row>
    <row r="618" spans="1:15">
      <c r="A618" s="16" t="s">
        <v>1422</v>
      </c>
      <c r="B618" s="16" t="s">
        <v>230</v>
      </c>
      <c r="C618" s="15" t="str">
        <f>IFERROR(INDEX('قائمة الوحدات'!$B$2:$B$41,MATCH($B618,'قائمة الوحدات'!$A$2:$A$41,0)),"")</f>
        <v>MIL</v>
      </c>
      <c r="D618" s="14" t="str">
        <f>IFERROR(INDEX('قائمة الوحدات'!$C$2:$C$41,MATCH($B618,'قائمة الوحدات'!$A$2:$A$41,0)),"")</f>
        <v>الجهاز العسكري</v>
      </c>
      <c r="E618" s="14" t="str">
        <f>IFERROR(INDEX('قائمة الوحدات'!$D$2:$D$41,MATCH($B618,'قائمة الوحدات'!$A$2:$A$41,0)),"")</f>
        <v>الإدارة العامة للمراسم والتشريفات العسكرية</v>
      </c>
      <c r="F618" s="14" t="str">
        <f>IFERROR(INDEX('قائمة الوحدات'!$F$2:$F$41,MATCH($B618,'قائمة الوحدات'!$A$2:$A$41,0)),"")</f>
        <v>الإدارة العامة للمراسم والتشريفات العسكرية</v>
      </c>
      <c r="G618" s="16" t="s">
        <v>61</v>
      </c>
      <c r="H618" s="14" t="str">
        <f>IFERROR(INDEX(المرجع!$A$2:$A$19,MATCH($G618,المرجع!$B$2:$B$19,0)),"")</f>
        <v>البناء المؤسسي</v>
      </c>
      <c r="I618" s="16" t="s">
        <v>56</v>
      </c>
      <c r="J618" s="14" t="str">
        <f>IFERROR(INDEX(المرجع!$D$2:$D$19,MATCH($I618,المرجع!$E$2:$E$19,0)),"")</f>
        <v>الموارد</v>
      </c>
      <c r="K618" s="16" t="s">
        <v>104</v>
      </c>
      <c r="L618" s="17" t="str">
        <f>IFERROR(INDEX('نقاط التحقق'!$G$2:$G$31,MATCH($K618,'نقاط التحقق'!$A$2:$A$31,0))&amp;"","")</f>
        <v>مدير الوحدة التنظيمية والموظفون الرئيسيون معينون/ملحقون</v>
      </c>
      <c r="M618" s="13">
        <v>85</v>
      </c>
      <c r="N618" s="15" t="str">
        <f>IF($M618="","غير مقيّمة",IF($M618&gt;المرجع!$K$3,"مستوفاة بشكل متقدم",IF($M618&lt;=المرجع!$K$2,"مستوفاة بشكل أولي","مستوفاة بشكل جزئي")))</f>
        <v>مستوفاة بشكل متقدم</v>
      </c>
      <c r="O618" s="18"/>
    </row>
    <row r="619" spans="1:15">
      <c r="A619" s="16" t="s">
        <v>1423</v>
      </c>
      <c r="B619" s="16" t="s">
        <v>230</v>
      </c>
      <c r="C619" s="15" t="str">
        <f>IFERROR(INDEX('قائمة الوحدات'!$B$2:$B$41,MATCH($B619,'قائمة الوحدات'!$A$2:$A$41,0)),"")</f>
        <v>MIL</v>
      </c>
      <c r="D619" s="14" t="str">
        <f>IFERROR(INDEX('قائمة الوحدات'!$C$2:$C$41,MATCH($B619,'قائمة الوحدات'!$A$2:$A$41,0)),"")</f>
        <v>الجهاز العسكري</v>
      </c>
      <c r="E619" s="14" t="str">
        <f>IFERROR(INDEX('قائمة الوحدات'!$D$2:$D$41,MATCH($B619,'قائمة الوحدات'!$A$2:$A$41,0)),"")</f>
        <v>الإدارة العامة للمراسم والتشريفات العسكرية</v>
      </c>
      <c r="F619" s="14" t="str">
        <f>IFERROR(INDEX('قائمة الوحدات'!$F$2:$F$41,MATCH($B619,'قائمة الوحدات'!$A$2:$A$41,0)),"")</f>
        <v>الإدارة العامة للمراسم والتشريفات العسكرية</v>
      </c>
      <c r="G619" s="16" t="s">
        <v>61</v>
      </c>
      <c r="H619" s="14" t="str">
        <f>IFERROR(INDEX(المرجع!$A$2:$A$19,MATCH($G619,المرجع!$B$2:$B$19,0)),"")</f>
        <v>البناء المؤسسي</v>
      </c>
      <c r="I619" s="16" t="s">
        <v>56</v>
      </c>
      <c r="J619" s="14" t="str">
        <f>IFERROR(INDEX(المرجع!$D$2:$D$19,MATCH($I619,المرجع!$E$2:$E$19,0)),"")</f>
        <v>الموارد</v>
      </c>
      <c r="K619" s="16" t="s">
        <v>106</v>
      </c>
      <c r="L619" s="17" t="str">
        <f>IFERROR(INDEX('نقاط التحقق'!$G$2:$G$31,MATCH($K619,'نقاط التحقق'!$A$2:$A$31,0))&amp;"","")</f>
        <v>خطة توظيف وتدريب مستكملة</v>
      </c>
      <c r="M619" s="13">
        <v>75</v>
      </c>
      <c r="N619" s="15" t="str">
        <f>IF($M619="","غير مقيّمة",IF($M619&gt;المرجع!$K$3,"مستوفاة بشكل متقدم",IF($M619&lt;=المرجع!$K$2,"مستوفاة بشكل أولي","مستوفاة بشكل جزئي")))</f>
        <v>مستوفاة بشكل متقدم</v>
      </c>
      <c r="O619" s="18"/>
    </row>
    <row r="620" spans="1:15">
      <c r="A620" s="16" t="s">
        <v>1424</v>
      </c>
      <c r="B620" s="16" t="s">
        <v>230</v>
      </c>
      <c r="C620" s="15" t="str">
        <f>IFERROR(INDEX('قائمة الوحدات'!$B$2:$B$41,MATCH($B620,'قائمة الوحدات'!$A$2:$A$41,0)),"")</f>
        <v>MIL</v>
      </c>
      <c r="D620" s="14" t="str">
        <f>IFERROR(INDEX('قائمة الوحدات'!$C$2:$C$41,MATCH($B620,'قائمة الوحدات'!$A$2:$A$41,0)),"")</f>
        <v>الجهاز العسكري</v>
      </c>
      <c r="E620" s="14" t="str">
        <f>IFERROR(INDEX('قائمة الوحدات'!$D$2:$D$41,MATCH($B620,'قائمة الوحدات'!$A$2:$A$41,0)),"")</f>
        <v>الإدارة العامة للمراسم والتشريفات العسكرية</v>
      </c>
      <c r="F620" s="14" t="str">
        <f>IFERROR(INDEX('قائمة الوحدات'!$F$2:$F$41,MATCH($B620,'قائمة الوحدات'!$A$2:$A$41,0)),"")</f>
        <v>الإدارة العامة للمراسم والتشريفات العسكرية</v>
      </c>
      <c r="G620" s="16" t="s">
        <v>61</v>
      </c>
      <c r="H620" s="14" t="str">
        <f>IFERROR(INDEX(المرجع!$A$2:$A$19,MATCH($G620,المرجع!$B$2:$B$19,0)),"")</f>
        <v>البناء المؤسسي</v>
      </c>
      <c r="I620" s="16" t="s">
        <v>56</v>
      </c>
      <c r="J620" s="14" t="str">
        <f>IFERROR(INDEX(المرجع!$D$2:$D$19,MATCH($I620,المرجع!$E$2:$E$19,0)),"")</f>
        <v>الموارد</v>
      </c>
      <c r="K620" s="16" t="s">
        <v>108</v>
      </c>
      <c r="L620" s="17" t="str">
        <f>IFERROR(INDEX('نقاط التحقق'!$G$2:$G$31,MATCH($K620,'نقاط التحقق'!$A$2:$A$31,0))&amp;"","")</f>
        <v>وجود مساحات مكتبية كافية</v>
      </c>
      <c r="M620" s="13">
        <v>70</v>
      </c>
      <c r="N620" s="15" t="str">
        <f>IF($M620="","غير مقيّمة",IF($M620&gt;المرجع!$K$3,"مستوفاة بشكل متقدم",IF($M620&lt;=المرجع!$K$2,"مستوفاة بشكل أولي","مستوفاة بشكل جزئي")))</f>
        <v>مستوفاة بشكل جزئي</v>
      </c>
      <c r="O620" s="18"/>
    </row>
    <row r="621" spans="1:15">
      <c r="A621" s="16" t="s">
        <v>1425</v>
      </c>
      <c r="B621" s="16" t="s">
        <v>230</v>
      </c>
      <c r="C621" s="15" t="str">
        <f>IFERROR(INDEX('قائمة الوحدات'!$B$2:$B$41,MATCH($B621,'قائمة الوحدات'!$A$2:$A$41,0)),"")</f>
        <v>MIL</v>
      </c>
      <c r="D621" s="14" t="str">
        <f>IFERROR(INDEX('قائمة الوحدات'!$C$2:$C$41,MATCH($B621,'قائمة الوحدات'!$A$2:$A$41,0)),"")</f>
        <v>الجهاز العسكري</v>
      </c>
      <c r="E621" s="14" t="str">
        <f>IFERROR(INDEX('قائمة الوحدات'!$D$2:$D$41,MATCH($B621,'قائمة الوحدات'!$A$2:$A$41,0)),"")</f>
        <v>الإدارة العامة للمراسم والتشريفات العسكرية</v>
      </c>
      <c r="F621" s="14" t="str">
        <f>IFERROR(INDEX('قائمة الوحدات'!$F$2:$F$41,MATCH($B621,'قائمة الوحدات'!$A$2:$A$41,0)),"")</f>
        <v>الإدارة العامة للمراسم والتشريفات العسكرية</v>
      </c>
      <c r="G621" s="16" t="s">
        <v>61</v>
      </c>
      <c r="H621" s="14" t="str">
        <f>IFERROR(INDEX(المرجع!$A$2:$A$19,MATCH($G621,المرجع!$B$2:$B$19,0)),"")</f>
        <v>البناء المؤسسي</v>
      </c>
      <c r="I621" s="16" t="s">
        <v>56</v>
      </c>
      <c r="J621" s="14" t="str">
        <f>IFERROR(INDEX(المرجع!$D$2:$D$19,MATCH($I621,المرجع!$E$2:$E$19,0)),"")</f>
        <v>الموارد</v>
      </c>
      <c r="K621" s="16" t="s">
        <v>110</v>
      </c>
      <c r="L621" s="17" t="str">
        <f>IFERROR(INDEX('نقاط التحقق'!$G$2:$G$31,MATCH($K621,'نقاط التحقق'!$A$2:$A$31,0))&amp;"","")</f>
        <v>وجود الاحتياجات التقنية الأساسية</v>
      </c>
      <c r="M621" s="13">
        <v>80</v>
      </c>
      <c r="N621" s="15" t="str">
        <f>IF($M621="","غير مقيّمة",IF($M621&gt;المرجع!$K$3,"مستوفاة بشكل متقدم",IF($M621&lt;=المرجع!$K$2,"مستوفاة بشكل أولي","مستوفاة بشكل جزئي")))</f>
        <v>مستوفاة بشكل متقدم</v>
      </c>
      <c r="O621" s="18"/>
    </row>
    <row r="622" spans="1:15">
      <c r="A622" s="16" t="s">
        <v>1426</v>
      </c>
      <c r="B622" s="16" t="s">
        <v>230</v>
      </c>
      <c r="C622" s="15" t="str">
        <f>IFERROR(INDEX('قائمة الوحدات'!$B$2:$B$41,MATCH($B622,'قائمة الوحدات'!$A$2:$A$41,0)),"")</f>
        <v>MIL</v>
      </c>
      <c r="D622" s="14" t="str">
        <f>IFERROR(INDEX('قائمة الوحدات'!$C$2:$C$41,MATCH($B622,'قائمة الوحدات'!$A$2:$A$41,0)),"")</f>
        <v>الجهاز العسكري</v>
      </c>
      <c r="E622" s="14" t="str">
        <f>IFERROR(INDEX('قائمة الوحدات'!$D$2:$D$41,MATCH($B622,'قائمة الوحدات'!$A$2:$A$41,0)),"")</f>
        <v>الإدارة العامة للمراسم والتشريفات العسكرية</v>
      </c>
      <c r="F622" s="14" t="str">
        <f>IFERROR(INDEX('قائمة الوحدات'!$F$2:$F$41,MATCH($B622,'قائمة الوحدات'!$A$2:$A$41,0)),"")</f>
        <v>الإدارة العامة للمراسم والتشريفات العسكرية</v>
      </c>
      <c r="G622" s="16" t="s">
        <v>61</v>
      </c>
      <c r="H622" s="14" t="str">
        <f>IFERROR(INDEX(المرجع!$A$2:$A$19,MATCH($G622,المرجع!$B$2:$B$19,0)),"")</f>
        <v>البناء المؤسسي</v>
      </c>
      <c r="I622" s="16" t="s">
        <v>59</v>
      </c>
      <c r="J622" s="14" t="str">
        <f>IFERROR(INDEX(المرجع!$D$2:$D$19,MATCH($I622,المرجع!$E$2:$E$19,0)),"")</f>
        <v>الإجراءات</v>
      </c>
      <c r="K622" s="16" t="s">
        <v>112</v>
      </c>
      <c r="L622" s="17" t="str">
        <f>IFERROR(INDEX('نقاط التحقق'!$G$2:$G$31,MATCH($K622,'نقاط التحقق'!$A$2:$A$31,0))&amp;"","")</f>
        <v>إجراءات معتمدة للوحدة التنظيمية</v>
      </c>
      <c r="M622" s="13">
        <v>66</v>
      </c>
      <c r="N622" s="15" t="str">
        <f>IF($M622="","غير مقيّمة",IF($M622&gt;المرجع!$K$3,"مستوفاة بشكل متقدم",IF($M622&lt;=المرجع!$K$2,"مستوفاة بشكل أولي","مستوفاة بشكل جزئي")))</f>
        <v>مستوفاة بشكل جزئي</v>
      </c>
      <c r="O622" s="18"/>
    </row>
    <row r="623" spans="1:15">
      <c r="A623" s="16" t="s">
        <v>1427</v>
      </c>
      <c r="B623" s="16" t="s">
        <v>230</v>
      </c>
      <c r="C623" s="15" t="str">
        <f>IFERROR(INDEX('قائمة الوحدات'!$B$2:$B$41,MATCH($B623,'قائمة الوحدات'!$A$2:$A$41,0)),"")</f>
        <v>MIL</v>
      </c>
      <c r="D623" s="14" t="str">
        <f>IFERROR(INDEX('قائمة الوحدات'!$C$2:$C$41,MATCH($B623,'قائمة الوحدات'!$A$2:$A$41,0)),"")</f>
        <v>الجهاز العسكري</v>
      </c>
      <c r="E623" s="14" t="str">
        <f>IFERROR(INDEX('قائمة الوحدات'!$D$2:$D$41,MATCH($B623,'قائمة الوحدات'!$A$2:$A$41,0)),"")</f>
        <v>الإدارة العامة للمراسم والتشريفات العسكرية</v>
      </c>
      <c r="F623" s="14" t="str">
        <f>IFERROR(INDEX('قائمة الوحدات'!$F$2:$F$41,MATCH($B623,'قائمة الوحدات'!$A$2:$A$41,0)),"")</f>
        <v>الإدارة العامة للمراسم والتشريفات العسكرية</v>
      </c>
      <c r="G623" s="16" t="s">
        <v>61</v>
      </c>
      <c r="H623" s="14" t="str">
        <f>IFERROR(INDEX(المرجع!$A$2:$A$19,MATCH($G623,المرجع!$B$2:$B$19,0)),"")</f>
        <v>البناء المؤسسي</v>
      </c>
      <c r="I623" s="16" t="s">
        <v>63</v>
      </c>
      <c r="J623" s="14" t="str">
        <f>IFERROR(INDEX(المرجع!$D$2:$D$19,MATCH($I623,المرجع!$E$2:$E$19,0)),"")</f>
        <v>إنتاج المخرج الأول</v>
      </c>
      <c r="K623" s="16" t="s">
        <v>114</v>
      </c>
      <c r="L623" s="17" t="str">
        <f>IFERROR(INDEX('نقاط التحقق'!$G$2:$G$31,MATCH($K623,'نقاط التحقق'!$A$2:$A$31,0))&amp;"","")</f>
        <v>إنتاج المخرج الأول من قبل الوحدة التنظيمية</v>
      </c>
      <c r="M623" s="13">
        <v>42</v>
      </c>
      <c r="N623" s="15" t="str">
        <f>IF($M623="","غير مقيّمة",IF($M623&gt;المرجع!$K$3,"مستوفاة بشكل متقدم",IF($M623&lt;=المرجع!$K$2,"مستوفاة بشكل أولي","مستوفاة بشكل جزئي")))</f>
        <v>مستوفاة بشكل جزئي</v>
      </c>
      <c r="O623" s="18"/>
    </row>
    <row r="624" spans="1:15">
      <c r="A624" s="16" t="s">
        <v>1428</v>
      </c>
      <c r="B624" s="16" t="s">
        <v>230</v>
      </c>
      <c r="C624" s="15" t="str">
        <f>IFERROR(INDEX('قائمة الوحدات'!$B$2:$B$41,MATCH($B624,'قائمة الوحدات'!$A$2:$A$41,0)),"")</f>
        <v>MIL</v>
      </c>
      <c r="D624" s="14" t="str">
        <f>IFERROR(INDEX('قائمة الوحدات'!$C$2:$C$41,MATCH($B624,'قائمة الوحدات'!$A$2:$A$41,0)),"")</f>
        <v>الجهاز العسكري</v>
      </c>
      <c r="E624" s="14" t="str">
        <f>IFERROR(INDEX('قائمة الوحدات'!$D$2:$D$41,MATCH($B624,'قائمة الوحدات'!$A$2:$A$41,0)),"")</f>
        <v>الإدارة العامة للمراسم والتشريفات العسكرية</v>
      </c>
      <c r="F624" s="14" t="str">
        <f>IFERROR(INDEX('قائمة الوحدات'!$F$2:$F$41,MATCH($B624,'قائمة الوحدات'!$A$2:$A$41,0)),"")</f>
        <v>الإدارة العامة للمراسم والتشريفات العسكرية</v>
      </c>
      <c r="G624" s="16" t="s">
        <v>65</v>
      </c>
      <c r="H624" s="14" t="str">
        <f>IFERROR(INDEX(المرجع!$A$2:$A$19,MATCH($G624,المرجع!$B$2:$B$19,0)),"")</f>
        <v>التشغيل</v>
      </c>
      <c r="I624" s="16" t="s">
        <v>48</v>
      </c>
      <c r="J624" s="14" t="str">
        <f>IFERROR(INDEX(المرجع!$D$2:$D$19,MATCH($I624,المرجع!$E$2:$E$19,0)),"")</f>
        <v>الأهداف ومؤشرات الأداء</v>
      </c>
      <c r="K624" s="16" t="s">
        <v>116</v>
      </c>
      <c r="L624" s="17" t="str">
        <f>IFERROR(INDEX('نقاط التحقق'!$G$2:$G$31,MATCH($K624,'نقاط التحقق'!$A$2:$A$31,0))&amp;"","")</f>
        <v>تحرك مؤشرات الأداء التشغيلي للوحدة التنظيمية بشكل إيجابي</v>
      </c>
      <c r="M624" s="13">
        <v>45</v>
      </c>
      <c r="N624" s="15" t="str">
        <f>IF($M624="","غير مقيّمة",IF($M624&gt;المرجع!$K$3,"مستوفاة بشكل متقدم",IF($M624&lt;=المرجع!$K$2,"مستوفاة بشكل أولي","مستوفاة بشكل جزئي")))</f>
        <v>مستوفاة بشكل جزئي</v>
      </c>
      <c r="O624" s="18"/>
    </row>
    <row r="625" spans="1:15">
      <c r="A625" s="16" t="s">
        <v>1429</v>
      </c>
      <c r="B625" s="16" t="s">
        <v>230</v>
      </c>
      <c r="C625" s="15" t="str">
        <f>IFERROR(INDEX('قائمة الوحدات'!$B$2:$B$41,MATCH($B625,'قائمة الوحدات'!$A$2:$A$41,0)),"")</f>
        <v>MIL</v>
      </c>
      <c r="D625" s="14" t="str">
        <f>IFERROR(INDEX('قائمة الوحدات'!$C$2:$C$41,MATCH($B625,'قائمة الوحدات'!$A$2:$A$41,0)),"")</f>
        <v>الجهاز العسكري</v>
      </c>
      <c r="E625" s="14" t="str">
        <f>IFERROR(INDEX('قائمة الوحدات'!$D$2:$D$41,MATCH($B625,'قائمة الوحدات'!$A$2:$A$41,0)),"")</f>
        <v>الإدارة العامة للمراسم والتشريفات العسكرية</v>
      </c>
      <c r="F625" s="14" t="str">
        <f>IFERROR(INDEX('قائمة الوحدات'!$F$2:$F$41,MATCH($B625,'قائمة الوحدات'!$A$2:$A$41,0)),"")</f>
        <v>الإدارة العامة للمراسم والتشريفات العسكرية</v>
      </c>
      <c r="G625" s="16" t="s">
        <v>65</v>
      </c>
      <c r="H625" s="14" t="str">
        <f>IFERROR(INDEX(المرجع!$A$2:$A$19,MATCH($G625,المرجع!$B$2:$B$19,0)),"")</f>
        <v>التشغيل</v>
      </c>
      <c r="I625" s="16" t="s">
        <v>48</v>
      </c>
      <c r="J625" s="14" t="str">
        <f>IFERROR(INDEX(المرجع!$D$2:$D$19,MATCH($I625,المرجع!$E$2:$E$19,0)),"")</f>
        <v>الأهداف ومؤشرات الأداء</v>
      </c>
      <c r="K625" s="16" t="s">
        <v>118</v>
      </c>
      <c r="L625" s="17" t="str">
        <f>IFERROR(INDEX('نقاط التحقق'!$G$2:$G$31,MATCH($K625,'نقاط التحقق'!$A$2:$A$31,0))&amp;"","")</f>
        <v>خطة سنوية معتمدة للوحدة التنظيمية</v>
      </c>
      <c r="M625" s="13">
        <v>55</v>
      </c>
      <c r="N625" s="15" t="str">
        <f>IF($M625="","غير مقيّمة",IF($M625&gt;المرجع!$K$3,"مستوفاة بشكل متقدم",IF($M625&lt;=المرجع!$K$2,"مستوفاة بشكل أولي","مستوفاة بشكل جزئي")))</f>
        <v>مستوفاة بشكل جزئي</v>
      </c>
      <c r="O625" s="18"/>
    </row>
    <row r="626" spans="1:15">
      <c r="A626" s="16" t="s">
        <v>1430</v>
      </c>
      <c r="B626" s="16" t="s">
        <v>230</v>
      </c>
      <c r="C626" s="15" t="str">
        <f>IFERROR(INDEX('قائمة الوحدات'!$B$2:$B$41,MATCH($B626,'قائمة الوحدات'!$A$2:$A$41,0)),"")</f>
        <v>MIL</v>
      </c>
      <c r="D626" s="14" t="str">
        <f>IFERROR(INDEX('قائمة الوحدات'!$C$2:$C$41,MATCH($B626,'قائمة الوحدات'!$A$2:$A$41,0)),"")</f>
        <v>الجهاز العسكري</v>
      </c>
      <c r="E626" s="14" t="str">
        <f>IFERROR(INDEX('قائمة الوحدات'!$D$2:$D$41,MATCH($B626,'قائمة الوحدات'!$A$2:$A$41,0)),"")</f>
        <v>الإدارة العامة للمراسم والتشريفات العسكرية</v>
      </c>
      <c r="F626" s="14" t="str">
        <f>IFERROR(INDEX('قائمة الوحدات'!$F$2:$F$41,MATCH($B626,'قائمة الوحدات'!$A$2:$A$41,0)),"")</f>
        <v>الإدارة العامة للمراسم والتشريفات العسكرية</v>
      </c>
      <c r="G626" s="16" t="s">
        <v>65</v>
      </c>
      <c r="H626" s="14" t="str">
        <f>IFERROR(INDEX(المرجع!$A$2:$A$19,MATCH($G626,المرجع!$B$2:$B$19,0)),"")</f>
        <v>التشغيل</v>
      </c>
      <c r="I626" s="16" t="s">
        <v>51</v>
      </c>
      <c r="J626" s="14" t="str">
        <f>IFERROR(INDEX(المرجع!$D$2:$D$19,MATCH($I626,المرجع!$E$2:$E$19,0)),"")</f>
        <v>الحوكمة</v>
      </c>
      <c r="K626" s="16" t="s">
        <v>120</v>
      </c>
      <c r="L626" s="17" t="str">
        <f>IFERROR(INDEX('نقاط التحقق'!$G$2:$G$31,MATCH($K626,'نقاط التحقق'!$A$2:$A$31,0))&amp;"","")</f>
        <v>محاضر لجان موثقة</v>
      </c>
      <c r="M626" s="13">
        <v>55</v>
      </c>
      <c r="N626" s="15" t="str">
        <f>IF($M626="","غير مقيّمة",IF($M626&gt;المرجع!$K$3,"مستوفاة بشكل متقدم",IF($M626&lt;=المرجع!$K$2,"مستوفاة بشكل أولي","مستوفاة بشكل جزئي")))</f>
        <v>مستوفاة بشكل جزئي</v>
      </c>
      <c r="O626" s="18"/>
    </row>
    <row r="627" spans="1:15">
      <c r="A627" s="16" t="s">
        <v>1431</v>
      </c>
      <c r="B627" s="16" t="s">
        <v>230</v>
      </c>
      <c r="C627" s="15" t="str">
        <f>IFERROR(INDEX('قائمة الوحدات'!$B$2:$B$41,MATCH($B627,'قائمة الوحدات'!$A$2:$A$41,0)),"")</f>
        <v>MIL</v>
      </c>
      <c r="D627" s="14" t="str">
        <f>IFERROR(INDEX('قائمة الوحدات'!$C$2:$C$41,MATCH($B627,'قائمة الوحدات'!$A$2:$A$41,0)),"")</f>
        <v>الجهاز العسكري</v>
      </c>
      <c r="E627" s="14" t="str">
        <f>IFERROR(INDEX('قائمة الوحدات'!$D$2:$D$41,MATCH($B627,'قائمة الوحدات'!$A$2:$A$41,0)),"")</f>
        <v>الإدارة العامة للمراسم والتشريفات العسكرية</v>
      </c>
      <c r="F627" s="14" t="str">
        <f>IFERROR(INDEX('قائمة الوحدات'!$F$2:$F$41,MATCH($B627,'قائمة الوحدات'!$A$2:$A$41,0)),"")</f>
        <v>الإدارة العامة للمراسم والتشريفات العسكرية</v>
      </c>
      <c r="G627" s="16" t="s">
        <v>65</v>
      </c>
      <c r="H627" s="14" t="str">
        <f>IFERROR(INDEX(المرجع!$A$2:$A$19,MATCH($G627,المرجع!$B$2:$B$19,0)),"")</f>
        <v>التشغيل</v>
      </c>
      <c r="I627" s="16" t="s">
        <v>51</v>
      </c>
      <c r="J627" s="14" t="str">
        <f>IFERROR(INDEX(المرجع!$D$2:$D$19,MATCH($I627,المرجع!$E$2:$E$19,0)),"")</f>
        <v>الحوكمة</v>
      </c>
      <c r="K627" s="16" t="s">
        <v>122</v>
      </c>
      <c r="L627" s="17" t="str">
        <f>IFERROR(INDEX('نقاط التحقق'!$G$2:$G$31,MATCH($K627,'نقاط التحقق'!$A$2:$A$31,0))&amp;"","")</f>
        <v>نشر السياسات التي تملكها الوحدة التنظيمية</v>
      </c>
      <c r="M627" s="13">
        <v>70</v>
      </c>
      <c r="N627" s="15" t="str">
        <f>IF($M627="","غير مقيّمة",IF($M627&gt;المرجع!$K$3,"مستوفاة بشكل متقدم",IF($M627&lt;=المرجع!$K$2,"مستوفاة بشكل أولي","مستوفاة بشكل جزئي")))</f>
        <v>مستوفاة بشكل جزئي</v>
      </c>
      <c r="O627" s="18"/>
    </row>
    <row r="628" spans="1:15">
      <c r="A628" s="16" t="s">
        <v>1432</v>
      </c>
      <c r="B628" s="16" t="s">
        <v>230</v>
      </c>
      <c r="C628" s="15" t="str">
        <f>IFERROR(INDEX('قائمة الوحدات'!$B$2:$B$41,MATCH($B628,'قائمة الوحدات'!$A$2:$A$41,0)),"")</f>
        <v>MIL</v>
      </c>
      <c r="D628" s="14" t="str">
        <f>IFERROR(INDEX('قائمة الوحدات'!$C$2:$C$41,MATCH($B628,'قائمة الوحدات'!$A$2:$A$41,0)),"")</f>
        <v>الجهاز العسكري</v>
      </c>
      <c r="E628" s="14" t="str">
        <f>IFERROR(INDEX('قائمة الوحدات'!$D$2:$D$41,MATCH($B628,'قائمة الوحدات'!$A$2:$A$41,0)),"")</f>
        <v>الإدارة العامة للمراسم والتشريفات العسكرية</v>
      </c>
      <c r="F628" s="14" t="str">
        <f>IFERROR(INDEX('قائمة الوحدات'!$F$2:$F$41,MATCH($B628,'قائمة الوحدات'!$A$2:$A$41,0)),"")</f>
        <v>الإدارة العامة للمراسم والتشريفات العسكرية</v>
      </c>
      <c r="G628" s="16" t="s">
        <v>65</v>
      </c>
      <c r="H628" s="14" t="str">
        <f>IFERROR(INDEX(المرجع!$A$2:$A$19,MATCH($G628,المرجع!$B$2:$B$19,0)),"")</f>
        <v>التشغيل</v>
      </c>
      <c r="I628" s="16" t="s">
        <v>51</v>
      </c>
      <c r="J628" s="14" t="str">
        <f>IFERROR(INDEX(المرجع!$D$2:$D$19,MATCH($I628,المرجع!$E$2:$E$19,0)),"")</f>
        <v>الحوكمة</v>
      </c>
      <c r="K628" s="16" t="s">
        <v>124</v>
      </c>
      <c r="L628" s="17" t="str">
        <f>IFERROR(INDEX('نقاط التحقق'!$G$2:$G$31,MATCH($K628,'نقاط التحقق'!$A$2:$A$31,0))&amp;"","")</f>
        <v>اتخاذ القرارات في نطاق الصلاحيات (وجود شواهد)</v>
      </c>
      <c r="M628" s="13">
        <v>70</v>
      </c>
      <c r="N628" s="15" t="str">
        <f>IF($M628="","غير مقيّمة",IF($M628&gt;المرجع!$K$3,"مستوفاة بشكل متقدم",IF($M628&lt;=المرجع!$K$2,"مستوفاة بشكل أولي","مستوفاة بشكل جزئي")))</f>
        <v>مستوفاة بشكل جزئي</v>
      </c>
      <c r="O628" s="18"/>
    </row>
    <row r="629" spans="1:15">
      <c r="A629" s="16" t="s">
        <v>1433</v>
      </c>
      <c r="B629" s="16" t="s">
        <v>230</v>
      </c>
      <c r="C629" s="15" t="str">
        <f>IFERROR(INDEX('قائمة الوحدات'!$B$2:$B$41,MATCH($B629,'قائمة الوحدات'!$A$2:$A$41,0)),"")</f>
        <v>MIL</v>
      </c>
      <c r="D629" s="14" t="str">
        <f>IFERROR(INDEX('قائمة الوحدات'!$C$2:$C$41,MATCH($B629,'قائمة الوحدات'!$A$2:$A$41,0)),"")</f>
        <v>الجهاز العسكري</v>
      </c>
      <c r="E629" s="14" t="str">
        <f>IFERROR(INDEX('قائمة الوحدات'!$D$2:$D$41,MATCH($B629,'قائمة الوحدات'!$A$2:$A$41,0)),"")</f>
        <v>الإدارة العامة للمراسم والتشريفات العسكرية</v>
      </c>
      <c r="F629" s="14" t="str">
        <f>IFERROR(INDEX('قائمة الوحدات'!$F$2:$F$41,MATCH($B629,'قائمة الوحدات'!$A$2:$A$41,0)),"")</f>
        <v>الإدارة العامة للمراسم والتشريفات العسكرية</v>
      </c>
      <c r="G629" s="16" t="s">
        <v>65</v>
      </c>
      <c r="H629" s="14" t="str">
        <f>IFERROR(INDEX(المرجع!$A$2:$A$19,MATCH($G629,المرجع!$B$2:$B$19,0)),"")</f>
        <v>التشغيل</v>
      </c>
      <c r="I629" s="16" t="s">
        <v>56</v>
      </c>
      <c r="J629" s="14" t="str">
        <f>IFERROR(INDEX(المرجع!$D$2:$D$19,MATCH($I629,المرجع!$E$2:$E$19,0)),"")</f>
        <v>الموارد</v>
      </c>
      <c r="K629" s="16" t="s">
        <v>126</v>
      </c>
      <c r="L629" s="17" t="str">
        <f>IFERROR(INDEX('نقاط التحقق'!$G$2:$G$31,MATCH($K629,'نقاط التحقق'!$A$2:$A$31,0))&amp;"","")</f>
        <v>موارد مستكملة للحد الأدنى الذي يغطي كافة محاور سلسلة القيمة</v>
      </c>
      <c r="M629" s="13">
        <v>54</v>
      </c>
      <c r="N629" s="15" t="str">
        <f>IF($M629="","غير مقيّمة",IF($M629&gt;المرجع!$K$3,"مستوفاة بشكل متقدم",IF($M629&lt;=المرجع!$K$2,"مستوفاة بشكل أولي","مستوفاة بشكل جزئي")))</f>
        <v>مستوفاة بشكل جزئي</v>
      </c>
      <c r="O629" s="18"/>
    </row>
    <row r="630" spans="1:15">
      <c r="A630" s="16" t="s">
        <v>1434</v>
      </c>
      <c r="B630" s="16" t="s">
        <v>230</v>
      </c>
      <c r="C630" s="15" t="str">
        <f>IFERROR(INDEX('قائمة الوحدات'!$B$2:$B$41,MATCH($B630,'قائمة الوحدات'!$A$2:$A$41,0)),"")</f>
        <v>MIL</v>
      </c>
      <c r="D630" s="14" t="str">
        <f>IFERROR(INDEX('قائمة الوحدات'!$C$2:$C$41,MATCH($B630,'قائمة الوحدات'!$A$2:$A$41,0)),"")</f>
        <v>الجهاز العسكري</v>
      </c>
      <c r="E630" s="14" t="str">
        <f>IFERROR(INDEX('قائمة الوحدات'!$D$2:$D$41,MATCH($B630,'قائمة الوحدات'!$A$2:$A$41,0)),"")</f>
        <v>الإدارة العامة للمراسم والتشريفات العسكرية</v>
      </c>
      <c r="F630" s="14" t="str">
        <f>IFERROR(INDEX('قائمة الوحدات'!$F$2:$F$41,MATCH($B630,'قائمة الوحدات'!$A$2:$A$41,0)),"")</f>
        <v>الإدارة العامة للمراسم والتشريفات العسكرية</v>
      </c>
      <c r="G630" s="16" t="s">
        <v>65</v>
      </c>
      <c r="H630" s="14" t="str">
        <f>IFERROR(INDEX(المرجع!$A$2:$A$19,MATCH($G630,المرجع!$B$2:$B$19,0)),"")</f>
        <v>التشغيل</v>
      </c>
      <c r="I630" s="16" t="s">
        <v>59</v>
      </c>
      <c r="J630" s="14" t="str">
        <f>IFERROR(INDEX(المرجع!$D$2:$D$19,MATCH($I630,المرجع!$E$2:$E$19,0)),"")</f>
        <v>الإجراءات</v>
      </c>
      <c r="K630" s="16" t="s">
        <v>128</v>
      </c>
      <c r="L630" s="17" t="str">
        <f>IFERROR(INDEX('نقاط التحقق'!$G$2:$G$31,MATCH($K630,'نقاط التحقق'!$A$2:$A$31,0))&amp;"","")</f>
        <v>تحقيق تقييم "مطبق بشكل كامل" من منهجية تقييم فعالية الإجراءات</v>
      </c>
      <c r="M630" s="13">
        <v>35</v>
      </c>
      <c r="N630" s="15" t="str">
        <f>IF($M630="","غير مقيّمة",IF($M630&gt;المرجع!$K$3,"مستوفاة بشكل متقدم",IF($M630&lt;=المرجع!$K$2,"مستوفاة بشكل أولي","مستوفاة بشكل جزئي")))</f>
        <v>مستوفاة بشكل جزئي</v>
      </c>
      <c r="O630" s="18"/>
    </row>
    <row r="631" spans="1:15">
      <c r="A631" s="16" t="s">
        <v>1435</v>
      </c>
      <c r="B631" s="16" t="s">
        <v>230</v>
      </c>
      <c r="C631" s="15" t="str">
        <f>IFERROR(INDEX('قائمة الوحدات'!$B$2:$B$41,MATCH($B631,'قائمة الوحدات'!$A$2:$A$41,0)),"")</f>
        <v>MIL</v>
      </c>
      <c r="D631" s="14" t="str">
        <f>IFERROR(INDEX('قائمة الوحدات'!$C$2:$C$41,MATCH($B631,'قائمة الوحدات'!$A$2:$A$41,0)),"")</f>
        <v>الجهاز العسكري</v>
      </c>
      <c r="E631" s="14" t="str">
        <f>IFERROR(INDEX('قائمة الوحدات'!$D$2:$D$41,MATCH($B631,'قائمة الوحدات'!$A$2:$A$41,0)),"")</f>
        <v>الإدارة العامة للمراسم والتشريفات العسكرية</v>
      </c>
      <c r="F631" s="14" t="str">
        <f>IFERROR(INDEX('قائمة الوحدات'!$F$2:$F$41,MATCH($B631,'قائمة الوحدات'!$A$2:$A$41,0)),"")</f>
        <v>الإدارة العامة للمراسم والتشريفات العسكرية</v>
      </c>
      <c r="G631" s="16" t="s">
        <v>65</v>
      </c>
      <c r="H631" s="14" t="str">
        <f>IFERROR(INDEX(المرجع!$A$2:$A$19,MATCH($G631,المرجع!$B$2:$B$19,0)),"")</f>
        <v>التشغيل</v>
      </c>
      <c r="I631" s="16" t="s">
        <v>67</v>
      </c>
      <c r="J631" s="14" t="str">
        <f>IFERROR(INDEX(المرجع!$D$2:$D$19,MATCH($I631,المرجع!$E$2:$E$19,0)),"")</f>
        <v>اكتمال المخرجات المستهدفة</v>
      </c>
      <c r="K631" s="16" t="s">
        <v>130</v>
      </c>
      <c r="L631" s="17" t="str">
        <f>IFERROR(INDEX('نقاط التحقق'!$G$2:$G$31,MATCH($K631,'نقاط التحقق'!$A$2:$A$31,0))&amp;"","")</f>
        <v>اكتمال مخرجات النموذج التشغيلي المستهدف للوحدة التنظيمية</v>
      </c>
      <c r="M631" s="13">
        <v>36</v>
      </c>
      <c r="N631" s="15" t="str">
        <f>IF($M631="","غير مقيّمة",IF($M631&gt;المرجع!$K$3,"مستوفاة بشكل متقدم",IF($M631&lt;=المرجع!$K$2,"مستوفاة بشكل أولي","مستوفاة بشكل جزئي")))</f>
        <v>مستوفاة بشكل جزئي</v>
      </c>
      <c r="O631" s="18"/>
    </row>
  </sheetData>
  <autoFilter ref="A1:O631" xr:uid="{00000000-0009-0000-0000-000006000000}"/>
  <conditionalFormatting sqref="M2:M631">
    <cfRule type="cellIs" dxfId="14" priority="2" operator="greaterThan">
      <formula>70</formula>
    </cfRule>
    <cfRule type="cellIs" dxfId="13" priority="3" operator="lessThanOrEqual">
      <formula>30</formula>
    </cfRule>
  </conditionalFormatting>
  <conditionalFormatting sqref="N2:N631">
    <cfRule type="cellIs" dxfId="12" priority="4" operator="equal">
      <formula>"مستوفاة بشكل متقدم"</formula>
    </cfRule>
    <cfRule type="cellIs" dxfId="11" priority="5" operator="equal">
      <formula>"مستوفاة بشكل جزئي"</formula>
    </cfRule>
    <cfRule type="cellIs" dxfId="10" priority="6" operator="equal">
      <formula>"مستوفاة بشكل أولي"</formula>
    </cfRule>
  </conditionalFormatting>
  <dataValidations count="1">
    <dataValidation type="whole" allowBlank="1" errorTitle="قيمة غير صحيحة" error="أدخل نسبة صحيحة بين ٠ و ١٠٠" sqref="M2:M631" xr:uid="{00000000-0002-0000-0600-000000000000}">
      <formula1>0</formula1>
      <formula2>100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21"/>
  <sheetViews>
    <sheetView rightToLeft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S1" sqref="S1:S1048576"/>
    </sheetView>
  </sheetViews>
  <sheetFormatPr defaultColWidth="8.73046875" defaultRowHeight="14.25"/>
  <cols>
    <col min="1" max="1" width="24" customWidth="1"/>
    <col min="2" max="3" width="13" customWidth="1"/>
    <col min="4" max="5" width="24" customWidth="1"/>
    <col min="6" max="6" width="22" customWidth="1"/>
    <col min="7" max="7" width="13" customWidth="1"/>
    <col min="8" max="8" width="15" customWidth="1"/>
    <col min="9" max="9" width="12" customWidth="1"/>
    <col min="10" max="10" width="26" customWidth="1"/>
    <col min="11" max="11" width="12" customWidth="1"/>
    <col min="12" max="12" width="16" customWidth="1"/>
    <col min="13" max="13" width="14" customWidth="1"/>
    <col min="14" max="14" width="18" customWidth="1"/>
    <col min="15" max="15" width="52" customWidth="1"/>
    <col min="16" max="16" width="16" customWidth="1"/>
    <col min="17" max="18" width="14" customWidth="1"/>
  </cols>
  <sheetData>
    <row r="1" spans="1:18" ht="36" customHeight="1">
      <c r="A1" s="4" t="s">
        <v>232</v>
      </c>
      <c r="B1" s="4" t="s">
        <v>132</v>
      </c>
      <c r="C1" s="4" t="s">
        <v>133</v>
      </c>
      <c r="D1" s="4" t="s">
        <v>134</v>
      </c>
      <c r="E1" s="4" t="s">
        <v>135</v>
      </c>
      <c r="F1" s="4" t="s">
        <v>136</v>
      </c>
      <c r="G1" s="4" t="s">
        <v>33</v>
      </c>
      <c r="H1" s="4" t="s">
        <v>32</v>
      </c>
      <c r="I1" s="4" t="s">
        <v>36</v>
      </c>
      <c r="J1" s="4" t="s">
        <v>35</v>
      </c>
      <c r="K1" s="4" t="s">
        <v>37</v>
      </c>
      <c r="L1" s="4" t="s">
        <v>1436</v>
      </c>
      <c r="M1" s="4" t="s">
        <v>1437</v>
      </c>
      <c r="N1" s="4" t="s">
        <v>1438</v>
      </c>
      <c r="O1" s="11" t="s">
        <v>1439</v>
      </c>
      <c r="P1" s="4" t="s">
        <v>38</v>
      </c>
      <c r="Q1" s="4" t="s">
        <v>1440</v>
      </c>
      <c r="R1" s="4" t="s">
        <v>1441</v>
      </c>
    </row>
    <row r="2" spans="1:18">
      <c r="A2" s="16" t="s">
        <v>1442</v>
      </c>
      <c r="B2" s="16" t="s">
        <v>141</v>
      </c>
      <c r="C2" s="15" t="str">
        <f>IFERROR(INDEX('قائمة الوحدات'!$B$2:$B$41,MATCH($B2,'قائمة الوحدات'!$A$2:$A$41,0)),"")</f>
        <v>TOP</v>
      </c>
      <c r="D2" s="14" t="str">
        <f>IFERROR(INDEX('قائمة الوحدات'!$C$2:$C$41,MATCH($B2,'قائمة الوحدات'!$A$2:$A$41,0)),"")</f>
        <v>المرتبطة بسمو الوزير</v>
      </c>
      <c r="E2" s="14" t="str">
        <f>IFERROR(INDEX('قائمة الوحدات'!$D$2:$D$41,MATCH($B2,'قائمة الوحدات'!$A$2:$A$41,0)),"")</f>
        <v>المكتب التنفيذي</v>
      </c>
      <c r="F2" s="14" t="str">
        <f>IFERROR(INDEX('قائمة الوحدات'!$F$2:$F$41,MATCH($B2,'قائمة الوحدات'!$A$2:$A$41,0)),"")</f>
        <v>المكتب التنفيذي</v>
      </c>
      <c r="G2" s="16" t="s">
        <v>43</v>
      </c>
      <c r="H2" s="14" t="str">
        <f>IFERROR(INDEX(المرجع!$A$2:$A$19,MATCH($G2,المرجع!$B$2:$B$19,0)),"")</f>
        <v>التصميم</v>
      </c>
      <c r="I2" s="16" t="s">
        <v>45</v>
      </c>
      <c r="J2" s="14" t="str">
        <f>IFERROR(INDEX(المرجع!$D$2:$D$19,MATCH($I2,المرجع!$E$2:$E$19,0)),"")</f>
        <v>الدور</v>
      </c>
      <c r="K2" s="15">
        <f>IFERROR(INDEX(المرجع!$F$2:$F$19,MATCH($I2,المرجع!$E$2:$E$19,0)),"")</f>
        <v>1</v>
      </c>
      <c r="L2" s="15">
        <f>SUMIFS(المرجع!$H$2:$H$19,المرجع!$B$2:$B$19,$G2,المرجع!$E$2:$E$19,$I2)</f>
        <v>1</v>
      </c>
      <c r="M2" s="15">
        <f>COUNTIFS('المرتبطة بسمو الوزير'!$B$2:$B$151,$B2,'المرتبطة بسمو الوزير'!$G$2:$G$151,$G2,'المرتبطة بسمو الوزير'!$I$2:$I$151,$I2,'المرتبطة بسمو الوزير'!$M$2:$M$151,"&lt;&gt;")+COUNTIFS('الشؤون التنفيذية'!$B$2:$B$421,$B2,'الشؤون التنفيذية'!$G$2:$G$421,$G2,'الشؤون التنفيذية'!$I$2:$I$421,$I2,'الشؤون التنفيذية'!$N$2:$N$421,"&lt;&gt;")+COUNTIFS('الجهاز العسكري'!$B$2:$B$631,$B2,'الجهاز العسكري'!$G$2:$G$631,$G2,'الجهاز العسكري'!$I$2:$I$631,$I2,'الجهاز العسكري'!$M$2:$M$631,"&lt;&gt;")</f>
        <v>1</v>
      </c>
      <c r="N2" s="19">
        <f>IF($L2=0,0,ROUND((SUMIFS('المرتبطة بسمو الوزير'!$M$2:$M$151,'المرتبطة بسمو الوزير'!$B$2:$B$151,$B2,'المرتبطة بسمو الوزير'!$G$2:$G$151,$G2,'المرتبطة بسمو الوزير'!$I$2:$I$151,$I2)+SUMIFS('الشؤون التنفيذية'!$N$2:$N$421,'الشؤون التنفيذية'!$B$2:$B$421,$B2,'الشؤون التنفيذية'!$G$2:$G$421,$G2,'الشؤون التنفيذية'!$I$2:$I$421,$I2)+SUMIFS('الجهاز العسكري'!$M$2:$M$631,'الجهاز العسكري'!$B$2:$B$631,$B2,'الجهاز العسكري'!$G$2:$G$631,$G2,'الجهاز العسكري'!$I$2:$I$631,$I2))/$L2,0))</f>
        <v>50</v>
      </c>
      <c r="O2" s="18"/>
      <c r="P2" s="15">
        <f>SUMIFS(المرجع!$G$2:$G$19,المرجع!$B$2:$B$19,$G2,المرجع!$E$2:$E$19,$I2)</f>
        <v>25</v>
      </c>
      <c r="Q2" s="20">
        <f t="shared" ref="Q2:Q33" si="0">ROUND($P2*$N2/100,2)</f>
        <v>12.5</v>
      </c>
      <c r="R2" s="21" t="str">
        <f>IF($N2&gt;المرجع!$K$3,"متقدم",IF($N2&lt;=المرجع!$K$2,"أولي","جزئي"))</f>
        <v>جزئي</v>
      </c>
    </row>
    <row r="3" spans="1:18">
      <c r="A3" s="16" t="s">
        <v>1443</v>
      </c>
      <c r="B3" s="16" t="s">
        <v>141</v>
      </c>
      <c r="C3" s="15" t="str">
        <f>IFERROR(INDEX('قائمة الوحدات'!$B$2:$B$41,MATCH($B3,'قائمة الوحدات'!$A$2:$A$41,0)),"")</f>
        <v>TOP</v>
      </c>
      <c r="D3" s="14" t="str">
        <f>IFERROR(INDEX('قائمة الوحدات'!$C$2:$C$41,MATCH($B3,'قائمة الوحدات'!$A$2:$A$41,0)),"")</f>
        <v>المرتبطة بسمو الوزير</v>
      </c>
      <c r="E3" s="14" t="str">
        <f>IFERROR(INDEX('قائمة الوحدات'!$D$2:$D$41,MATCH($B3,'قائمة الوحدات'!$A$2:$A$41,0)),"")</f>
        <v>المكتب التنفيذي</v>
      </c>
      <c r="F3" s="14" t="str">
        <f>IFERROR(INDEX('قائمة الوحدات'!$F$2:$F$41,MATCH($B3,'قائمة الوحدات'!$A$2:$A$41,0)),"")</f>
        <v>المكتب التنفيذي</v>
      </c>
      <c r="G3" s="16" t="s">
        <v>43</v>
      </c>
      <c r="H3" s="14" t="str">
        <f>IFERROR(INDEX(المرجع!$A$2:$A$19,MATCH($G3,المرجع!$B$2:$B$19,0)),"")</f>
        <v>التصميم</v>
      </c>
      <c r="I3" s="16" t="s">
        <v>48</v>
      </c>
      <c r="J3" s="14" t="str">
        <f>IFERROR(INDEX(المرجع!$D$2:$D$19,MATCH($I3,المرجع!$E$2:$E$19,0)),"")</f>
        <v>الأهداف ومؤشرات الأداء</v>
      </c>
      <c r="K3" s="15">
        <f>IFERROR(INDEX(المرجع!$F$2:$F$19,MATCH($I3,المرجع!$E$2:$E$19,0)),"")</f>
        <v>2</v>
      </c>
      <c r="L3" s="15">
        <f>SUMIFS(المرجع!$H$2:$H$19,المرجع!$B$2:$B$19,$G3,المرجع!$E$2:$E$19,$I3)</f>
        <v>2</v>
      </c>
      <c r="M3" s="15">
        <f>COUNTIFS('المرتبطة بسمو الوزير'!$B$2:$B$151,$B3,'المرتبطة بسمو الوزير'!$G$2:$G$151,$G3,'المرتبطة بسمو الوزير'!$I$2:$I$151,$I3,'المرتبطة بسمو الوزير'!$M$2:$M$151,"&lt;&gt;")+COUNTIFS('الشؤون التنفيذية'!$B$2:$B$421,$B3,'الشؤون التنفيذية'!$G$2:$G$421,$G3,'الشؤون التنفيذية'!$I$2:$I$421,$I3,'الشؤون التنفيذية'!$N$2:$N$421,"&lt;&gt;")+COUNTIFS('الجهاز العسكري'!$B$2:$B$631,$B3,'الجهاز العسكري'!$G$2:$G$631,$G3,'الجهاز العسكري'!$I$2:$I$631,$I3,'الجهاز العسكري'!$M$2:$M$631,"&lt;&gt;")</f>
        <v>2</v>
      </c>
      <c r="N3" s="19">
        <f>IF($L3=0,0,ROUND((SUMIFS('المرتبطة بسمو الوزير'!$M$2:$M$151,'المرتبطة بسمو الوزير'!$B$2:$B$151,$B3,'المرتبطة بسمو الوزير'!$G$2:$G$151,$G3,'المرتبطة بسمو الوزير'!$I$2:$I$151,$I3)+SUMIFS('الشؤون التنفيذية'!$N$2:$N$421,'الشؤون التنفيذية'!$B$2:$B$421,$B3,'الشؤون التنفيذية'!$G$2:$G$421,$G3,'الشؤون التنفيذية'!$I$2:$I$421,$I3)+SUMIFS('الجهاز العسكري'!$M$2:$M$631,'الجهاز العسكري'!$B$2:$B$631,$B3,'الجهاز العسكري'!$G$2:$G$631,$G3,'الجهاز العسكري'!$I$2:$I$631,$I3))/$L3,0))</f>
        <v>73</v>
      </c>
      <c r="O3" s="18"/>
      <c r="P3" s="15">
        <f>SUMIFS(المرجع!$G$2:$G$19,المرجع!$B$2:$B$19,$G3,المرجع!$E$2:$E$19,$I3)</f>
        <v>15</v>
      </c>
      <c r="Q3" s="20">
        <f t="shared" si="0"/>
        <v>10.95</v>
      </c>
      <c r="R3" s="21" t="str">
        <f>IF($N3&gt;المرجع!$K$3,"متقدم",IF($N3&lt;=المرجع!$K$2,"أولي","جزئي"))</f>
        <v>متقدم</v>
      </c>
    </row>
    <row r="4" spans="1:18">
      <c r="A4" s="16" t="s">
        <v>1444</v>
      </c>
      <c r="B4" s="16" t="s">
        <v>141</v>
      </c>
      <c r="C4" s="15" t="str">
        <f>IFERROR(INDEX('قائمة الوحدات'!$B$2:$B$41,MATCH($B4,'قائمة الوحدات'!$A$2:$A$41,0)),"")</f>
        <v>TOP</v>
      </c>
      <c r="D4" s="14" t="str">
        <f>IFERROR(INDEX('قائمة الوحدات'!$C$2:$C$41,MATCH($B4,'قائمة الوحدات'!$A$2:$A$41,0)),"")</f>
        <v>المرتبطة بسمو الوزير</v>
      </c>
      <c r="E4" s="14" t="str">
        <f>IFERROR(INDEX('قائمة الوحدات'!$D$2:$D$41,MATCH($B4,'قائمة الوحدات'!$A$2:$A$41,0)),"")</f>
        <v>المكتب التنفيذي</v>
      </c>
      <c r="F4" s="14" t="str">
        <f>IFERROR(INDEX('قائمة الوحدات'!$F$2:$F$41,MATCH($B4,'قائمة الوحدات'!$A$2:$A$41,0)),"")</f>
        <v>المكتب التنفيذي</v>
      </c>
      <c r="G4" s="16" t="s">
        <v>43</v>
      </c>
      <c r="H4" s="14" t="str">
        <f>IFERROR(INDEX(المرجع!$A$2:$A$19,MATCH($G4,المرجع!$B$2:$B$19,0)),"")</f>
        <v>التصميم</v>
      </c>
      <c r="I4" s="16" t="s">
        <v>51</v>
      </c>
      <c r="J4" s="14" t="str">
        <f>IFERROR(INDEX(المرجع!$D$2:$D$19,MATCH($I4,المرجع!$E$2:$E$19,0)),"")</f>
        <v>الحوكمة</v>
      </c>
      <c r="K4" s="15">
        <f>IFERROR(INDEX(المرجع!$F$2:$F$19,MATCH($I4,المرجع!$E$2:$E$19,0)),"")</f>
        <v>3</v>
      </c>
      <c r="L4" s="15">
        <f>SUMIFS(المرجع!$H$2:$H$19,المرجع!$B$2:$B$19,$G4,المرجع!$E$2:$E$19,$I4)</f>
        <v>1</v>
      </c>
      <c r="M4" s="15">
        <f>COUNTIFS('المرتبطة بسمو الوزير'!$B$2:$B$151,$B4,'المرتبطة بسمو الوزير'!$G$2:$G$151,$G4,'المرتبطة بسمو الوزير'!$I$2:$I$151,$I4,'المرتبطة بسمو الوزير'!$M$2:$M$151,"&lt;&gt;")+COUNTIFS('الشؤون التنفيذية'!$B$2:$B$421,$B4,'الشؤون التنفيذية'!$G$2:$G$421,$G4,'الشؤون التنفيذية'!$I$2:$I$421,$I4,'الشؤون التنفيذية'!$N$2:$N$421,"&lt;&gt;")+COUNTIFS('الجهاز العسكري'!$B$2:$B$631,$B4,'الجهاز العسكري'!$G$2:$G$631,$G4,'الجهاز العسكري'!$I$2:$I$631,$I4,'الجهاز العسكري'!$M$2:$M$631,"&lt;&gt;")</f>
        <v>1</v>
      </c>
      <c r="N4" s="19">
        <f>IF($L4=0,0,ROUND((SUMIFS('المرتبطة بسمو الوزير'!$M$2:$M$151,'المرتبطة بسمو الوزير'!$B$2:$B$151,$B4,'المرتبطة بسمو الوزير'!$G$2:$G$151,$G4,'المرتبطة بسمو الوزير'!$I$2:$I$151,$I4)+SUMIFS('الشؤون التنفيذية'!$N$2:$N$421,'الشؤون التنفيذية'!$B$2:$B$421,$B4,'الشؤون التنفيذية'!$G$2:$G$421,$G4,'الشؤون التنفيذية'!$I$2:$I$421,$I4)+SUMIFS('الجهاز العسكري'!$M$2:$M$631,'الجهاز العسكري'!$B$2:$B$631,$B4,'الجهاز العسكري'!$G$2:$G$631,$G4,'الجهاز العسكري'!$I$2:$I$631,$I4))/$L4,0))</f>
        <v>87</v>
      </c>
      <c r="O4" s="18"/>
      <c r="P4" s="15">
        <f>SUMIFS(المرجع!$G$2:$G$19,المرجع!$B$2:$B$19,$G4,المرجع!$E$2:$E$19,$I4)</f>
        <v>15</v>
      </c>
      <c r="Q4" s="20">
        <f t="shared" si="0"/>
        <v>13.05</v>
      </c>
      <c r="R4" s="21" t="str">
        <f>IF($N4&gt;المرجع!$K$3,"متقدم",IF($N4&lt;=المرجع!$K$2,"أولي","جزئي"))</f>
        <v>متقدم</v>
      </c>
    </row>
    <row r="5" spans="1:18">
      <c r="A5" s="16" t="s">
        <v>1445</v>
      </c>
      <c r="B5" s="16" t="s">
        <v>141</v>
      </c>
      <c r="C5" s="15" t="str">
        <f>IFERROR(INDEX('قائمة الوحدات'!$B$2:$B$41,MATCH($B5,'قائمة الوحدات'!$A$2:$A$41,0)),"")</f>
        <v>TOP</v>
      </c>
      <c r="D5" s="14" t="str">
        <f>IFERROR(INDEX('قائمة الوحدات'!$C$2:$C$41,MATCH($B5,'قائمة الوحدات'!$A$2:$A$41,0)),"")</f>
        <v>المرتبطة بسمو الوزير</v>
      </c>
      <c r="E5" s="14" t="str">
        <f>IFERROR(INDEX('قائمة الوحدات'!$D$2:$D$41,MATCH($B5,'قائمة الوحدات'!$A$2:$A$41,0)),"")</f>
        <v>المكتب التنفيذي</v>
      </c>
      <c r="F5" s="14" t="str">
        <f>IFERROR(INDEX('قائمة الوحدات'!$F$2:$F$41,MATCH($B5,'قائمة الوحدات'!$A$2:$A$41,0)),"")</f>
        <v>المكتب التنفيذي</v>
      </c>
      <c r="G5" s="16" t="s">
        <v>43</v>
      </c>
      <c r="H5" s="14" t="str">
        <f>IFERROR(INDEX(المرجع!$A$2:$A$19,MATCH($G5,المرجع!$B$2:$B$19,0)),"")</f>
        <v>التصميم</v>
      </c>
      <c r="I5" s="16" t="s">
        <v>54</v>
      </c>
      <c r="J5" s="14" t="str">
        <f>IFERROR(INDEX(المرجع!$D$2:$D$19,MATCH($I5,المرجع!$E$2:$E$19,0)),"")</f>
        <v>التنظيم</v>
      </c>
      <c r="K5" s="15">
        <f>IFERROR(INDEX(المرجع!$F$2:$F$19,MATCH($I5,المرجع!$E$2:$E$19,0)),"")</f>
        <v>4</v>
      </c>
      <c r="L5" s="15">
        <f>SUMIFS(المرجع!$H$2:$H$19,المرجع!$B$2:$B$19,$G5,المرجع!$E$2:$E$19,$I5)</f>
        <v>1</v>
      </c>
      <c r="M5" s="15">
        <f>COUNTIFS('المرتبطة بسمو الوزير'!$B$2:$B$151,$B5,'المرتبطة بسمو الوزير'!$G$2:$G$151,$G5,'المرتبطة بسمو الوزير'!$I$2:$I$151,$I5,'المرتبطة بسمو الوزير'!$M$2:$M$151,"&lt;&gt;")+COUNTIFS('الشؤون التنفيذية'!$B$2:$B$421,$B5,'الشؤون التنفيذية'!$G$2:$G$421,$G5,'الشؤون التنفيذية'!$I$2:$I$421,$I5,'الشؤون التنفيذية'!$N$2:$N$421,"&lt;&gt;")+COUNTIFS('الجهاز العسكري'!$B$2:$B$631,$B5,'الجهاز العسكري'!$G$2:$G$631,$G5,'الجهاز العسكري'!$I$2:$I$631,$I5,'الجهاز العسكري'!$M$2:$M$631,"&lt;&gt;")</f>
        <v>1</v>
      </c>
      <c r="N5" s="19">
        <f>IF($L5=0,0,ROUND((SUMIFS('المرتبطة بسمو الوزير'!$M$2:$M$151,'المرتبطة بسمو الوزير'!$B$2:$B$151,$B5,'المرتبطة بسمو الوزير'!$G$2:$G$151,$G5,'المرتبطة بسمو الوزير'!$I$2:$I$151,$I5)+SUMIFS('الشؤون التنفيذية'!$N$2:$N$421,'الشؤون التنفيذية'!$B$2:$B$421,$B5,'الشؤون التنفيذية'!$G$2:$G$421,$G5,'الشؤون التنفيذية'!$I$2:$I$421,$I5)+SUMIFS('الجهاز العسكري'!$M$2:$M$631,'الجهاز العسكري'!$B$2:$B$631,$B5,'الجهاز العسكري'!$G$2:$G$631,$G5,'الجهاز العسكري'!$I$2:$I$631,$I5))/$L5,0))</f>
        <v>82</v>
      </c>
      <c r="O5" s="18"/>
      <c r="P5" s="15">
        <f>SUMIFS(المرجع!$G$2:$G$19,المرجع!$B$2:$B$19,$G5,المرجع!$E$2:$E$19,$I5)</f>
        <v>20</v>
      </c>
      <c r="Q5" s="20">
        <f t="shared" si="0"/>
        <v>16.399999999999999</v>
      </c>
      <c r="R5" s="21" t="str">
        <f>IF($N5&gt;المرجع!$K$3,"متقدم",IF($N5&lt;=المرجع!$K$2,"أولي","جزئي"))</f>
        <v>متقدم</v>
      </c>
    </row>
    <row r="6" spans="1:18">
      <c r="A6" s="16" t="s">
        <v>1446</v>
      </c>
      <c r="B6" s="16" t="s">
        <v>141</v>
      </c>
      <c r="C6" s="15" t="str">
        <f>IFERROR(INDEX('قائمة الوحدات'!$B$2:$B$41,MATCH($B6,'قائمة الوحدات'!$A$2:$A$41,0)),"")</f>
        <v>TOP</v>
      </c>
      <c r="D6" s="14" t="str">
        <f>IFERROR(INDEX('قائمة الوحدات'!$C$2:$C$41,MATCH($B6,'قائمة الوحدات'!$A$2:$A$41,0)),"")</f>
        <v>المرتبطة بسمو الوزير</v>
      </c>
      <c r="E6" s="14" t="str">
        <f>IFERROR(INDEX('قائمة الوحدات'!$D$2:$D$41,MATCH($B6,'قائمة الوحدات'!$A$2:$A$41,0)),"")</f>
        <v>المكتب التنفيذي</v>
      </c>
      <c r="F6" s="14" t="str">
        <f>IFERROR(INDEX('قائمة الوحدات'!$F$2:$F$41,MATCH($B6,'قائمة الوحدات'!$A$2:$A$41,0)),"")</f>
        <v>المكتب التنفيذي</v>
      </c>
      <c r="G6" s="16" t="s">
        <v>43</v>
      </c>
      <c r="H6" s="14" t="str">
        <f>IFERROR(INDEX(المرجع!$A$2:$A$19,MATCH($G6,المرجع!$B$2:$B$19,0)),"")</f>
        <v>التصميم</v>
      </c>
      <c r="I6" s="16" t="s">
        <v>56</v>
      </c>
      <c r="J6" s="14" t="str">
        <f>IFERROR(INDEX(المرجع!$D$2:$D$19,MATCH($I6,المرجع!$E$2:$E$19,0)),"")</f>
        <v>الموارد</v>
      </c>
      <c r="K6" s="15">
        <f>IFERROR(INDEX(المرجع!$F$2:$F$19,MATCH($I6,المرجع!$E$2:$E$19,0)),"")</f>
        <v>5</v>
      </c>
      <c r="L6" s="15">
        <f>SUMIFS(المرجع!$H$2:$H$19,المرجع!$B$2:$B$19,$G6,المرجع!$E$2:$E$19,$I6)</f>
        <v>1</v>
      </c>
      <c r="M6" s="15">
        <f>COUNTIFS('المرتبطة بسمو الوزير'!$B$2:$B$151,$B6,'المرتبطة بسمو الوزير'!$G$2:$G$151,$G6,'المرتبطة بسمو الوزير'!$I$2:$I$151,$I6,'المرتبطة بسمو الوزير'!$M$2:$M$151,"&lt;&gt;")+COUNTIFS('الشؤون التنفيذية'!$B$2:$B$421,$B6,'الشؤون التنفيذية'!$G$2:$G$421,$G6,'الشؤون التنفيذية'!$I$2:$I$421,$I6,'الشؤون التنفيذية'!$N$2:$N$421,"&lt;&gt;")+COUNTIFS('الجهاز العسكري'!$B$2:$B$631,$B6,'الجهاز العسكري'!$G$2:$G$631,$G6,'الجهاز العسكري'!$I$2:$I$631,$I6,'الجهاز العسكري'!$M$2:$M$631,"&lt;&gt;")</f>
        <v>1</v>
      </c>
      <c r="N6" s="19">
        <f>IF($L6=0,0,ROUND((SUMIFS('المرتبطة بسمو الوزير'!$M$2:$M$151,'المرتبطة بسمو الوزير'!$B$2:$B$151,$B6,'المرتبطة بسمو الوزير'!$G$2:$G$151,$G6,'المرتبطة بسمو الوزير'!$I$2:$I$151,$I6)+SUMIFS('الشؤون التنفيذية'!$N$2:$N$421,'الشؤون التنفيذية'!$B$2:$B$421,$B6,'الشؤون التنفيذية'!$G$2:$G$421,$G6,'الشؤون التنفيذية'!$I$2:$I$421,$I6)+SUMIFS('الجهاز العسكري'!$M$2:$M$631,'الجهاز العسكري'!$B$2:$B$631,$B6,'الجهاز العسكري'!$G$2:$G$631,$G6,'الجهاز العسكري'!$I$2:$I$631,$I6))/$L6,0))</f>
        <v>96</v>
      </c>
      <c r="O6" s="18"/>
      <c r="P6" s="15">
        <f>SUMIFS(المرجع!$G$2:$G$19,المرجع!$B$2:$B$19,$G6,المرجع!$E$2:$E$19,$I6)</f>
        <v>20</v>
      </c>
      <c r="Q6" s="20">
        <f t="shared" si="0"/>
        <v>19.2</v>
      </c>
      <c r="R6" s="21" t="str">
        <f>IF($N6&gt;المرجع!$K$3,"متقدم",IF($N6&lt;=المرجع!$K$2,"أولي","جزئي"))</f>
        <v>متقدم</v>
      </c>
    </row>
    <row r="7" spans="1:18">
      <c r="A7" s="16" t="s">
        <v>1447</v>
      </c>
      <c r="B7" s="16" t="s">
        <v>141</v>
      </c>
      <c r="C7" s="15" t="str">
        <f>IFERROR(INDEX('قائمة الوحدات'!$B$2:$B$41,MATCH($B7,'قائمة الوحدات'!$A$2:$A$41,0)),"")</f>
        <v>TOP</v>
      </c>
      <c r="D7" s="14" t="str">
        <f>IFERROR(INDEX('قائمة الوحدات'!$C$2:$C$41,MATCH($B7,'قائمة الوحدات'!$A$2:$A$41,0)),"")</f>
        <v>المرتبطة بسمو الوزير</v>
      </c>
      <c r="E7" s="14" t="str">
        <f>IFERROR(INDEX('قائمة الوحدات'!$D$2:$D$41,MATCH($B7,'قائمة الوحدات'!$A$2:$A$41,0)),"")</f>
        <v>المكتب التنفيذي</v>
      </c>
      <c r="F7" s="14" t="str">
        <f>IFERROR(INDEX('قائمة الوحدات'!$F$2:$F$41,MATCH($B7,'قائمة الوحدات'!$A$2:$A$41,0)),"")</f>
        <v>المكتب التنفيذي</v>
      </c>
      <c r="G7" s="16" t="s">
        <v>43</v>
      </c>
      <c r="H7" s="14" t="str">
        <f>IFERROR(INDEX(المرجع!$A$2:$A$19,MATCH($G7,المرجع!$B$2:$B$19,0)),"")</f>
        <v>التصميم</v>
      </c>
      <c r="I7" s="16" t="s">
        <v>59</v>
      </c>
      <c r="J7" s="14" t="str">
        <f>IFERROR(INDEX(المرجع!$D$2:$D$19,MATCH($I7,المرجع!$E$2:$E$19,0)),"")</f>
        <v>الإجراءات</v>
      </c>
      <c r="K7" s="15">
        <f>IFERROR(INDEX(المرجع!$F$2:$F$19,MATCH($I7,المرجع!$E$2:$E$19,0)),"")</f>
        <v>6</v>
      </c>
      <c r="L7" s="15">
        <f>SUMIFS(المرجع!$H$2:$H$19,المرجع!$B$2:$B$19,$G7,المرجع!$E$2:$E$19,$I7)</f>
        <v>1</v>
      </c>
      <c r="M7" s="15">
        <f>COUNTIFS('المرتبطة بسمو الوزير'!$B$2:$B$151,$B7,'المرتبطة بسمو الوزير'!$G$2:$G$151,$G7,'المرتبطة بسمو الوزير'!$I$2:$I$151,$I7,'المرتبطة بسمو الوزير'!$M$2:$M$151,"&lt;&gt;")+COUNTIFS('الشؤون التنفيذية'!$B$2:$B$421,$B7,'الشؤون التنفيذية'!$G$2:$G$421,$G7,'الشؤون التنفيذية'!$I$2:$I$421,$I7,'الشؤون التنفيذية'!$N$2:$N$421,"&lt;&gt;")+COUNTIFS('الجهاز العسكري'!$B$2:$B$631,$B7,'الجهاز العسكري'!$G$2:$G$631,$G7,'الجهاز العسكري'!$I$2:$I$631,$I7,'الجهاز العسكري'!$M$2:$M$631,"&lt;&gt;")</f>
        <v>1</v>
      </c>
      <c r="N7" s="19">
        <f>IF($L7=0,0,ROUND((SUMIFS('المرتبطة بسمو الوزير'!$M$2:$M$151,'المرتبطة بسمو الوزير'!$B$2:$B$151,$B7,'المرتبطة بسمو الوزير'!$G$2:$G$151,$G7,'المرتبطة بسمو الوزير'!$I$2:$I$151,$I7)+SUMIFS('الشؤون التنفيذية'!$N$2:$N$421,'الشؤون التنفيذية'!$B$2:$B$421,$B7,'الشؤون التنفيذية'!$G$2:$G$421,$G7,'الشؤون التنفيذية'!$I$2:$I$421,$I7)+SUMIFS('الجهاز العسكري'!$M$2:$M$631,'الجهاز العسكري'!$B$2:$B$631,$B7,'الجهاز العسكري'!$G$2:$G$631,$G7,'الجهاز العسكري'!$I$2:$I$631,$I7))/$L7,0))</f>
        <v>75</v>
      </c>
      <c r="O7" s="18"/>
      <c r="P7" s="15">
        <f>SUMIFS(المرجع!$G$2:$G$19,المرجع!$B$2:$B$19,$G7,المرجع!$E$2:$E$19,$I7)</f>
        <v>5</v>
      </c>
      <c r="Q7" s="20">
        <f t="shared" si="0"/>
        <v>3.75</v>
      </c>
      <c r="R7" s="21" t="str">
        <f>IF($N7&gt;المرجع!$K$3,"متقدم",IF($N7&lt;=المرجع!$K$2,"أولي","جزئي"))</f>
        <v>متقدم</v>
      </c>
    </row>
    <row r="8" spans="1:18">
      <c r="A8" s="16" t="s">
        <v>1448</v>
      </c>
      <c r="B8" s="16" t="s">
        <v>141</v>
      </c>
      <c r="C8" s="15" t="str">
        <f>IFERROR(INDEX('قائمة الوحدات'!$B$2:$B$41,MATCH($B8,'قائمة الوحدات'!$A$2:$A$41,0)),"")</f>
        <v>TOP</v>
      </c>
      <c r="D8" s="14" t="str">
        <f>IFERROR(INDEX('قائمة الوحدات'!$C$2:$C$41,MATCH($B8,'قائمة الوحدات'!$A$2:$A$41,0)),"")</f>
        <v>المرتبطة بسمو الوزير</v>
      </c>
      <c r="E8" s="14" t="str">
        <f>IFERROR(INDEX('قائمة الوحدات'!$D$2:$D$41,MATCH($B8,'قائمة الوحدات'!$A$2:$A$41,0)),"")</f>
        <v>المكتب التنفيذي</v>
      </c>
      <c r="F8" s="14" t="str">
        <f>IFERROR(INDEX('قائمة الوحدات'!$F$2:$F$41,MATCH($B8,'قائمة الوحدات'!$A$2:$A$41,0)),"")</f>
        <v>المكتب التنفيذي</v>
      </c>
      <c r="G8" s="16" t="s">
        <v>61</v>
      </c>
      <c r="H8" s="14" t="str">
        <f>IFERROR(INDEX(المرجع!$A$2:$A$19,MATCH($G8,المرجع!$B$2:$B$19,0)),"")</f>
        <v>البناء المؤسسي</v>
      </c>
      <c r="I8" s="16" t="s">
        <v>45</v>
      </c>
      <c r="J8" s="14" t="str">
        <f>IFERROR(INDEX(المرجع!$D$2:$D$19,MATCH($I8,المرجع!$E$2:$E$19,0)),"")</f>
        <v>الدور</v>
      </c>
      <c r="K8" s="15">
        <f>IFERROR(INDEX(المرجع!$F$2:$F$19,MATCH($I8,المرجع!$E$2:$E$19,0)),"")</f>
        <v>1</v>
      </c>
      <c r="L8" s="15">
        <f>SUMIFS(المرجع!$H$2:$H$19,المرجع!$B$2:$B$19,$G8,المرجع!$E$2:$E$19,$I8)</f>
        <v>1</v>
      </c>
      <c r="M8" s="15">
        <f>COUNTIFS('المرتبطة بسمو الوزير'!$B$2:$B$151,$B8,'المرتبطة بسمو الوزير'!$G$2:$G$151,$G8,'المرتبطة بسمو الوزير'!$I$2:$I$151,$I8,'المرتبطة بسمو الوزير'!$M$2:$M$151,"&lt;&gt;")+COUNTIFS('الشؤون التنفيذية'!$B$2:$B$421,$B8,'الشؤون التنفيذية'!$G$2:$G$421,$G8,'الشؤون التنفيذية'!$I$2:$I$421,$I8,'الشؤون التنفيذية'!$N$2:$N$421,"&lt;&gt;")+COUNTIFS('الجهاز العسكري'!$B$2:$B$631,$B8,'الجهاز العسكري'!$G$2:$G$631,$G8,'الجهاز العسكري'!$I$2:$I$631,$I8,'الجهاز العسكري'!$M$2:$M$631,"&lt;&gt;")</f>
        <v>1</v>
      </c>
      <c r="N8" s="19">
        <f>IF($L8=0,0,ROUND((SUMIFS('المرتبطة بسمو الوزير'!$M$2:$M$151,'المرتبطة بسمو الوزير'!$B$2:$B$151,$B8,'المرتبطة بسمو الوزير'!$G$2:$G$151,$G8,'المرتبطة بسمو الوزير'!$I$2:$I$151,$I8)+SUMIFS('الشؤون التنفيذية'!$N$2:$N$421,'الشؤون التنفيذية'!$B$2:$B$421,$B8,'الشؤون التنفيذية'!$G$2:$G$421,$G8,'الشؤون التنفيذية'!$I$2:$I$421,$I8)+SUMIFS('الجهاز العسكري'!$M$2:$M$631,'الجهاز العسكري'!$B$2:$B$631,$B8,'الجهاز العسكري'!$G$2:$G$631,$G8,'الجهاز العسكري'!$I$2:$I$631,$I8))/$L8,0))</f>
        <v>55</v>
      </c>
      <c r="O8" s="18"/>
      <c r="P8" s="15">
        <f>SUMIFS(المرجع!$G$2:$G$19,المرجع!$B$2:$B$19,$G8,المرجع!$E$2:$E$19,$I8)</f>
        <v>15</v>
      </c>
      <c r="Q8" s="20">
        <f t="shared" si="0"/>
        <v>8.25</v>
      </c>
      <c r="R8" s="21" t="str">
        <f>IF($N8&gt;المرجع!$K$3,"متقدم",IF($N8&lt;=المرجع!$K$2,"أولي","جزئي"))</f>
        <v>جزئي</v>
      </c>
    </row>
    <row r="9" spans="1:18">
      <c r="A9" s="16" t="s">
        <v>1449</v>
      </c>
      <c r="B9" s="16" t="s">
        <v>141</v>
      </c>
      <c r="C9" s="15" t="str">
        <f>IFERROR(INDEX('قائمة الوحدات'!$B$2:$B$41,MATCH($B9,'قائمة الوحدات'!$A$2:$A$41,0)),"")</f>
        <v>TOP</v>
      </c>
      <c r="D9" s="14" t="str">
        <f>IFERROR(INDEX('قائمة الوحدات'!$C$2:$C$41,MATCH($B9,'قائمة الوحدات'!$A$2:$A$41,0)),"")</f>
        <v>المرتبطة بسمو الوزير</v>
      </c>
      <c r="E9" s="14" t="str">
        <f>IFERROR(INDEX('قائمة الوحدات'!$D$2:$D$41,MATCH($B9,'قائمة الوحدات'!$A$2:$A$41,0)),"")</f>
        <v>المكتب التنفيذي</v>
      </c>
      <c r="F9" s="14" t="str">
        <f>IFERROR(INDEX('قائمة الوحدات'!$F$2:$F$41,MATCH($B9,'قائمة الوحدات'!$A$2:$A$41,0)),"")</f>
        <v>المكتب التنفيذي</v>
      </c>
      <c r="G9" s="16" t="s">
        <v>61</v>
      </c>
      <c r="H9" s="14" t="str">
        <f>IFERROR(INDEX(المرجع!$A$2:$A$19,MATCH($G9,المرجع!$B$2:$B$19,0)),"")</f>
        <v>البناء المؤسسي</v>
      </c>
      <c r="I9" s="16" t="s">
        <v>48</v>
      </c>
      <c r="J9" s="14" t="str">
        <f>IFERROR(INDEX(المرجع!$D$2:$D$19,MATCH($I9,المرجع!$E$2:$E$19,0)),"")</f>
        <v>الأهداف ومؤشرات الأداء</v>
      </c>
      <c r="K9" s="15">
        <f>IFERROR(INDEX(المرجع!$F$2:$F$19,MATCH($I9,المرجع!$E$2:$E$19,0)),"")</f>
        <v>2</v>
      </c>
      <c r="L9" s="15">
        <f>SUMIFS(المرجع!$H$2:$H$19,المرجع!$B$2:$B$19,$G9,المرجع!$E$2:$E$19,$I9)</f>
        <v>2</v>
      </c>
      <c r="M9" s="15">
        <f>COUNTIFS('المرتبطة بسمو الوزير'!$B$2:$B$151,$B9,'المرتبطة بسمو الوزير'!$G$2:$G$151,$G9,'المرتبطة بسمو الوزير'!$I$2:$I$151,$I9,'المرتبطة بسمو الوزير'!$M$2:$M$151,"&lt;&gt;")+COUNTIFS('الشؤون التنفيذية'!$B$2:$B$421,$B9,'الشؤون التنفيذية'!$G$2:$G$421,$G9,'الشؤون التنفيذية'!$I$2:$I$421,$I9,'الشؤون التنفيذية'!$N$2:$N$421,"&lt;&gt;")+COUNTIFS('الجهاز العسكري'!$B$2:$B$631,$B9,'الجهاز العسكري'!$G$2:$G$631,$G9,'الجهاز العسكري'!$I$2:$I$631,$I9,'الجهاز العسكري'!$M$2:$M$631,"&lt;&gt;")</f>
        <v>2</v>
      </c>
      <c r="N9" s="19">
        <f>IF($L9=0,0,ROUND((SUMIFS('المرتبطة بسمو الوزير'!$M$2:$M$151,'المرتبطة بسمو الوزير'!$B$2:$B$151,$B9,'المرتبطة بسمو الوزير'!$G$2:$G$151,$G9,'المرتبطة بسمو الوزير'!$I$2:$I$151,$I9)+SUMIFS('الشؤون التنفيذية'!$N$2:$N$421,'الشؤون التنفيذية'!$B$2:$B$421,$B9,'الشؤون التنفيذية'!$G$2:$G$421,$G9,'الشؤون التنفيذية'!$I$2:$I$421,$I9)+SUMIFS('الجهاز العسكري'!$M$2:$M$631,'الجهاز العسكري'!$B$2:$B$631,$B9,'الجهاز العسكري'!$G$2:$G$631,$G9,'الجهاز العسكري'!$I$2:$I$631,$I9))/$L9,0))</f>
        <v>75</v>
      </c>
      <c r="O9" s="18"/>
      <c r="P9" s="15">
        <f>SUMIFS(المرجع!$G$2:$G$19,المرجع!$B$2:$B$19,$G9,المرجع!$E$2:$E$19,$I9)</f>
        <v>15</v>
      </c>
      <c r="Q9" s="20">
        <f t="shared" si="0"/>
        <v>11.25</v>
      </c>
      <c r="R9" s="21" t="str">
        <f>IF($N9&gt;المرجع!$K$3,"متقدم",IF($N9&lt;=المرجع!$K$2,"أولي","جزئي"))</f>
        <v>متقدم</v>
      </c>
    </row>
    <row r="10" spans="1:18">
      <c r="A10" s="16" t="s">
        <v>1450</v>
      </c>
      <c r="B10" s="16" t="s">
        <v>141</v>
      </c>
      <c r="C10" s="15" t="str">
        <f>IFERROR(INDEX('قائمة الوحدات'!$B$2:$B$41,MATCH($B10,'قائمة الوحدات'!$A$2:$A$41,0)),"")</f>
        <v>TOP</v>
      </c>
      <c r="D10" s="14" t="str">
        <f>IFERROR(INDEX('قائمة الوحدات'!$C$2:$C$41,MATCH($B10,'قائمة الوحدات'!$A$2:$A$41,0)),"")</f>
        <v>المرتبطة بسمو الوزير</v>
      </c>
      <c r="E10" s="14" t="str">
        <f>IFERROR(INDEX('قائمة الوحدات'!$D$2:$D$41,MATCH($B10,'قائمة الوحدات'!$A$2:$A$41,0)),"")</f>
        <v>المكتب التنفيذي</v>
      </c>
      <c r="F10" s="14" t="str">
        <f>IFERROR(INDEX('قائمة الوحدات'!$F$2:$F$41,MATCH($B10,'قائمة الوحدات'!$A$2:$A$41,0)),"")</f>
        <v>المكتب التنفيذي</v>
      </c>
      <c r="G10" s="16" t="s">
        <v>61</v>
      </c>
      <c r="H10" s="14" t="str">
        <f>IFERROR(INDEX(المرجع!$A$2:$A$19,MATCH($G10,المرجع!$B$2:$B$19,0)),"")</f>
        <v>البناء المؤسسي</v>
      </c>
      <c r="I10" s="16" t="s">
        <v>51</v>
      </c>
      <c r="J10" s="14" t="str">
        <f>IFERROR(INDEX(المرجع!$D$2:$D$19,MATCH($I10,المرجع!$E$2:$E$19,0)),"")</f>
        <v>الحوكمة</v>
      </c>
      <c r="K10" s="15">
        <f>IFERROR(INDEX(المرجع!$F$2:$F$19,MATCH($I10,المرجع!$E$2:$E$19,0)),"")</f>
        <v>3</v>
      </c>
      <c r="L10" s="15">
        <f>SUMIFS(المرجع!$H$2:$H$19,المرجع!$B$2:$B$19,$G10,المرجع!$E$2:$E$19,$I10)</f>
        <v>3</v>
      </c>
      <c r="M10" s="15">
        <f>COUNTIFS('المرتبطة بسمو الوزير'!$B$2:$B$151,$B10,'المرتبطة بسمو الوزير'!$G$2:$G$151,$G10,'المرتبطة بسمو الوزير'!$I$2:$I$151,$I10,'المرتبطة بسمو الوزير'!$M$2:$M$151,"&lt;&gt;")+COUNTIFS('الشؤون التنفيذية'!$B$2:$B$421,$B10,'الشؤون التنفيذية'!$G$2:$G$421,$G10,'الشؤون التنفيذية'!$I$2:$I$421,$I10,'الشؤون التنفيذية'!$N$2:$N$421,"&lt;&gt;")+COUNTIFS('الجهاز العسكري'!$B$2:$B$631,$B10,'الجهاز العسكري'!$G$2:$G$631,$G10,'الجهاز العسكري'!$I$2:$I$631,$I10,'الجهاز العسكري'!$M$2:$M$631,"&lt;&gt;")</f>
        <v>3</v>
      </c>
      <c r="N10" s="19">
        <f>IF($L10=0,0,ROUND((SUMIFS('المرتبطة بسمو الوزير'!$M$2:$M$151,'المرتبطة بسمو الوزير'!$B$2:$B$151,$B10,'المرتبطة بسمو الوزير'!$G$2:$G$151,$G10,'المرتبطة بسمو الوزير'!$I$2:$I$151,$I10)+SUMIFS('الشؤون التنفيذية'!$N$2:$N$421,'الشؤون التنفيذية'!$B$2:$B$421,$B10,'الشؤون التنفيذية'!$G$2:$G$421,$G10,'الشؤون التنفيذية'!$I$2:$I$421,$I10)+SUMIFS('الجهاز العسكري'!$M$2:$M$631,'الجهاز العسكري'!$B$2:$B$631,$B10,'الجهاز العسكري'!$G$2:$G$631,$G10,'الجهاز العسكري'!$I$2:$I$631,$I10))/$L10,0))</f>
        <v>78</v>
      </c>
      <c r="O10" s="18"/>
      <c r="P10" s="15">
        <f>SUMIFS(المرجع!$G$2:$G$19,المرجع!$B$2:$B$19,$G10,المرجع!$E$2:$E$19,$I10)</f>
        <v>15</v>
      </c>
      <c r="Q10" s="20">
        <f t="shared" si="0"/>
        <v>11.7</v>
      </c>
      <c r="R10" s="21" t="str">
        <f>IF($N10&gt;المرجع!$K$3,"متقدم",IF($N10&lt;=المرجع!$K$2,"أولي","جزئي"))</f>
        <v>متقدم</v>
      </c>
    </row>
    <row r="11" spans="1:18">
      <c r="A11" s="16" t="s">
        <v>1451</v>
      </c>
      <c r="B11" s="16" t="s">
        <v>141</v>
      </c>
      <c r="C11" s="15" t="str">
        <f>IFERROR(INDEX('قائمة الوحدات'!$B$2:$B$41,MATCH($B11,'قائمة الوحدات'!$A$2:$A$41,0)),"")</f>
        <v>TOP</v>
      </c>
      <c r="D11" s="14" t="str">
        <f>IFERROR(INDEX('قائمة الوحدات'!$C$2:$C$41,MATCH($B11,'قائمة الوحدات'!$A$2:$A$41,0)),"")</f>
        <v>المرتبطة بسمو الوزير</v>
      </c>
      <c r="E11" s="14" t="str">
        <f>IFERROR(INDEX('قائمة الوحدات'!$D$2:$D$41,MATCH($B11,'قائمة الوحدات'!$A$2:$A$41,0)),"")</f>
        <v>المكتب التنفيذي</v>
      </c>
      <c r="F11" s="14" t="str">
        <f>IFERROR(INDEX('قائمة الوحدات'!$F$2:$F$41,MATCH($B11,'قائمة الوحدات'!$A$2:$A$41,0)),"")</f>
        <v>المكتب التنفيذي</v>
      </c>
      <c r="G11" s="16" t="s">
        <v>61</v>
      </c>
      <c r="H11" s="14" t="str">
        <f>IFERROR(INDEX(المرجع!$A$2:$A$19,MATCH($G11,المرجع!$B$2:$B$19,0)),"")</f>
        <v>البناء المؤسسي</v>
      </c>
      <c r="I11" s="16" t="s">
        <v>54</v>
      </c>
      <c r="J11" s="14" t="str">
        <f>IFERROR(INDEX(المرجع!$D$2:$D$19,MATCH($I11,المرجع!$E$2:$E$19,0)),"")</f>
        <v>التنظيم</v>
      </c>
      <c r="K11" s="15">
        <f>IFERROR(INDEX(المرجع!$F$2:$F$19,MATCH($I11,المرجع!$E$2:$E$19,0)),"")</f>
        <v>4</v>
      </c>
      <c r="L11" s="15">
        <f>SUMIFS(المرجع!$H$2:$H$19,المرجع!$B$2:$B$19,$G11,المرجع!$E$2:$E$19,$I11)</f>
        <v>3</v>
      </c>
      <c r="M11" s="15">
        <f>COUNTIFS('المرتبطة بسمو الوزير'!$B$2:$B$151,$B11,'المرتبطة بسمو الوزير'!$G$2:$G$151,$G11,'المرتبطة بسمو الوزير'!$I$2:$I$151,$I11,'المرتبطة بسمو الوزير'!$M$2:$M$151,"&lt;&gt;")+COUNTIFS('الشؤون التنفيذية'!$B$2:$B$421,$B11,'الشؤون التنفيذية'!$G$2:$G$421,$G11,'الشؤون التنفيذية'!$I$2:$I$421,$I11,'الشؤون التنفيذية'!$N$2:$N$421,"&lt;&gt;")+COUNTIFS('الجهاز العسكري'!$B$2:$B$631,$B11,'الجهاز العسكري'!$G$2:$G$631,$G11,'الجهاز العسكري'!$I$2:$I$631,$I11,'الجهاز العسكري'!$M$2:$M$631,"&lt;&gt;")</f>
        <v>3</v>
      </c>
      <c r="N11" s="19">
        <f>IF($L11=0,0,ROUND((SUMIFS('المرتبطة بسمو الوزير'!$M$2:$M$151,'المرتبطة بسمو الوزير'!$B$2:$B$151,$B11,'المرتبطة بسمو الوزير'!$G$2:$G$151,$G11,'المرتبطة بسمو الوزير'!$I$2:$I$151,$I11)+SUMIFS('الشؤون التنفيذية'!$N$2:$N$421,'الشؤون التنفيذية'!$B$2:$B$421,$B11,'الشؤون التنفيذية'!$G$2:$G$421,$G11,'الشؤون التنفيذية'!$I$2:$I$421,$I11)+SUMIFS('الجهاز العسكري'!$M$2:$M$631,'الجهاز العسكري'!$B$2:$B$631,$B11,'الجهاز العسكري'!$G$2:$G$631,$G11,'الجهاز العسكري'!$I$2:$I$631,$I11))/$L11,0))</f>
        <v>77</v>
      </c>
      <c r="O11" s="18"/>
      <c r="P11" s="15">
        <f>SUMIFS(المرجع!$G$2:$G$19,المرجع!$B$2:$B$19,$G11,المرجع!$E$2:$E$19,$I11)</f>
        <v>20</v>
      </c>
      <c r="Q11" s="20">
        <f t="shared" si="0"/>
        <v>15.4</v>
      </c>
      <c r="R11" s="21" t="str">
        <f>IF($N11&gt;المرجع!$K$3,"متقدم",IF($N11&lt;=المرجع!$K$2,"أولي","جزئي"))</f>
        <v>متقدم</v>
      </c>
    </row>
    <row r="12" spans="1:18">
      <c r="A12" s="16" t="s">
        <v>1452</v>
      </c>
      <c r="B12" s="16" t="s">
        <v>141</v>
      </c>
      <c r="C12" s="15" t="str">
        <f>IFERROR(INDEX('قائمة الوحدات'!$B$2:$B$41,MATCH($B12,'قائمة الوحدات'!$A$2:$A$41,0)),"")</f>
        <v>TOP</v>
      </c>
      <c r="D12" s="14" t="str">
        <f>IFERROR(INDEX('قائمة الوحدات'!$C$2:$C$41,MATCH($B12,'قائمة الوحدات'!$A$2:$A$41,0)),"")</f>
        <v>المرتبطة بسمو الوزير</v>
      </c>
      <c r="E12" s="14" t="str">
        <f>IFERROR(INDEX('قائمة الوحدات'!$D$2:$D$41,MATCH($B12,'قائمة الوحدات'!$A$2:$A$41,0)),"")</f>
        <v>المكتب التنفيذي</v>
      </c>
      <c r="F12" s="14" t="str">
        <f>IFERROR(INDEX('قائمة الوحدات'!$F$2:$F$41,MATCH($B12,'قائمة الوحدات'!$A$2:$A$41,0)),"")</f>
        <v>المكتب التنفيذي</v>
      </c>
      <c r="G12" s="16" t="s">
        <v>61</v>
      </c>
      <c r="H12" s="14" t="str">
        <f>IFERROR(INDEX(المرجع!$A$2:$A$19,MATCH($G12,المرجع!$B$2:$B$19,0)),"")</f>
        <v>البناء المؤسسي</v>
      </c>
      <c r="I12" s="16" t="s">
        <v>56</v>
      </c>
      <c r="J12" s="14" t="str">
        <f>IFERROR(INDEX(المرجع!$D$2:$D$19,MATCH($I12,المرجع!$E$2:$E$19,0)),"")</f>
        <v>الموارد</v>
      </c>
      <c r="K12" s="15">
        <f>IFERROR(INDEX(المرجع!$F$2:$F$19,MATCH($I12,المرجع!$E$2:$E$19,0)),"")</f>
        <v>5</v>
      </c>
      <c r="L12" s="15">
        <f>SUMIFS(المرجع!$H$2:$H$19,المرجع!$B$2:$B$19,$G12,المرجع!$E$2:$E$19,$I12)</f>
        <v>4</v>
      </c>
      <c r="M12" s="15">
        <f>COUNTIFS('المرتبطة بسمو الوزير'!$B$2:$B$151,$B12,'المرتبطة بسمو الوزير'!$G$2:$G$151,$G12,'المرتبطة بسمو الوزير'!$I$2:$I$151,$I12,'المرتبطة بسمو الوزير'!$M$2:$M$151,"&lt;&gt;")+COUNTIFS('الشؤون التنفيذية'!$B$2:$B$421,$B12,'الشؤون التنفيذية'!$G$2:$G$421,$G12,'الشؤون التنفيذية'!$I$2:$I$421,$I12,'الشؤون التنفيذية'!$N$2:$N$421,"&lt;&gt;")+COUNTIFS('الجهاز العسكري'!$B$2:$B$631,$B12,'الجهاز العسكري'!$G$2:$G$631,$G12,'الجهاز العسكري'!$I$2:$I$631,$I12,'الجهاز العسكري'!$M$2:$M$631,"&lt;&gt;")</f>
        <v>4</v>
      </c>
      <c r="N12" s="19">
        <f>IF($L12=0,0,ROUND((SUMIFS('المرتبطة بسمو الوزير'!$M$2:$M$151,'المرتبطة بسمو الوزير'!$B$2:$B$151,$B12,'المرتبطة بسمو الوزير'!$G$2:$G$151,$G12,'المرتبطة بسمو الوزير'!$I$2:$I$151,$I12)+SUMIFS('الشؤون التنفيذية'!$N$2:$N$421,'الشؤون التنفيذية'!$B$2:$B$421,$B12,'الشؤون التنفيذية'!$G$2:$G$421,$G12,'الشؤون التنفيذية'!$I$2:$I$421,$I12)+SUMIFS('الجهاز العسكري'!$M$2:$M$631,'الجهاز العسكري'!$B$2:$B$631,$B12,'الجهاز العسكري'!$G$2:$G$631,$G12,'الجهاز العسكري'!$I$2:$I$631,$I12))/$L12,0))</f>
        <v>56</v>
      </c>
      <c r="O12" s="18"/>
      <c r="P12" s="15">
        <f>SUMIFS(المرجع!$G$2:$G$19,المرجع!$B$2:$B$19,$G12,المرجع!$E$2:$E$19,$I12)</f>
        <v>25</v>
      </c>
      <c r="Q12" s="20">
        <f t="shared" si="0"/>
        <v>14</v>
      </c>
      <c r="R12" s="21" t="str">
        <f>IF($N12&gt;المرجع!$K$3,"متقدم",IF($N12&lt;=المرجع!$K$2,"أولي","جزئي"))</f>
        <v>جزئي</v>
      </c>
    </row>
    <row r="13" spans="1:18">
      <c r="A13" s="16" t="s">
        <v>1453</v>
      </c>
      <c r="B13" s="16" t="s">
        <v>141</v>
      </c>
      <c r="C13" s="15" t="str">
        <f>IFERROR(INDEX('قائمة الوحدات'!$B$2:$B$41,MATCH($B13,'قائمة الوحدات'!$A$2:$A$41,0)),"")</f>
        <v>TOP</v>
      </c>
      <c r="D13" s="14" t="str">
        <f>IFERROR(INDEX('قائمة الوحدات'!$C$2:$C$41,MATCH($B13,'قائمة الوحدات'!$A$2:$A$41,0)),"")</f>
        <v>المرتبطة بسمو الوزير</v>
      </c>
      <c r="E13" s="14" t="str">
        <f>IFERROR(INDEX('قائمة الوحدات'!$D$2:$D$41,MATCH($B13,'قائمة الوحدات'!$A$2:$A$41,0)),"")</f>
        <v>المكتب التنفيذي</v>
      </c>
      <c r="F13" s="14" t="str">
        <f>IFERROR(INDEX('قائمة الوحدات'!$F$2:$F$41,MATCH($B13,'قائمة الوحدات'!$A$2:$A$41,0)),"")</f>
        <v>المكتب التنفيذي</v>
      </c>
      <c r="G13" s="16" t="s">
        <v>61</v>
      </c>
      <c r="H13" s="14" t="str">
        <f>IFERROR(INDEX(المرجع!$A$2:$A$19,MATCH($G13,المرجع!$B$2:$B$19,0)),"")</f>
        <v>البناء المؤسسي</v>
      </c>
      <c r="I13" s="16" t="s">
        <v>59</v>
      </c>
      <c r="J13" s="14" t="str">
        <f>IFERROR(INDEX(المرجع!$D$2:$D$19,MATCH($I13,المرجع!$E$2:$E$19,0)),"")</f>
        <v>الإجراءات</v>
      </c>
      <c r="K13" s="15">
        <f>IFERROR(INDEX(المرجع!$F$2:$F$19,MATCH($I13,المرجع!$E$2:$E$19,0)),"")</f>
        <v>6</v>
      </c>
      <c r="L13" s="15">
        <f>SUMIFS(المرجع!$H$2:$H$19,المرجع!$B$2:$B$19,$G13,المرجع!$E$2:$E$19,$I13)</f>
        <v>1</v>
      </c>
      <c r="M13" s="15">
        <f>COUNTIFS('المرتبطة بسمو الوزير'!$B$2:$B$151,$B13,'المرتبطة بسمو الوزير'!$G$2:$G$151,$G13,'المرتبطة بسمو الوزير'!$I$2:$I$151,$I13,'المرتبطة بسمو الوزير'!$M$2:$M$151,"&lt;&gt;")+COUNTIFS('الشؤون التنفيذية'!$B$2:$B$421,$B13,'الشؤون التنفيذية'!$G$2:$G$421,$G13,'الشؤون التنفيذية'!$I$2:$I$421,$I13,'الشؤون التنفيذية'!$N$2:$N$421,"&lt;&gt;")+COUNTIFS('الجهاز العسكري'!$B$2:$B$631,$B13,'الجهاز العسكري'!$G$2:$G$631,$G13,'الجهاز العسكري'!$I$2:$I$631,$I13,'الجهاز العسكري'!$M$2:$M$631,"&lt;&gt;")</f>
        <v>1</v>
      </c>
      <c r="N13" s="19">
        <f>IF($L13=0,0,ROUND((SUMIFS('المرتبطة بسمو الوزير'!$M$2:$M$151,'المرتبطة بسمو الوزير'!$B$2:$B$151,$B13,'المرتبطة بسمو الوزير'!$G$2:$G$151,$G13,'المرتبطة بسمو الوزير'!$I$2:$I$151,$I13)+SUMIFS('الشؤون التنفيذية'!$N$2:$N$421,'الشؤون التنفيذية'!$B$2:$B$421,$B13,'الشؤون التنفيذية'!$G$2:$G$421,$G13,'الشؤون التنفيذية'!$I$2:$I$421,$I13)+SUMIFS('الجهاز العسكري'!$M$2:$M$631,'الجهاز العسكري'!$B$2:$B$631,$B13,'الجهاز العسكري'!$G$2:$G$631,$G13,'الجهاز العسكري'!$I$2:$I$631,$I13))/$L13,0))</f>
        <v>84</v>
      </c>
      <c r="O13" s="18"/>
      <c r="P13" s="15">
        <f>SUMIFS(المرجع!$G$2:$G$19,المرجع!$B$2:$B$19,$G13,المرجع!$E$2:$E$19,$I13)</f>
        <v>5</v>
      </c>
      <c r="Q13" s="20">
        <f t="shared" si="0"/>
        <v>4.2</v>
      </c>
      <c r="R13" s="21" t="str">
        <f>IF($N13&gt;المرجع!$K$3,"متقدم",IF($N13&lt;=المرجع!$K$2,"أولي","جزئي"))</f>
        <v>متقدم</v>
      </c>
    </row>
    <row r="14" spans="1:18">
      <c r="A14" s="16" t="s">
        <v>1454</v>
      </c>
      <c r="B14" s="16" t="s">
        <v>141</v>
      </c>
      <c r="C14" s="15" t="str">
        <f>IFERROR(INDEX('قائمة الوحدات'!$B$2:$B$41,MATCH($B14,'قائمة الوحدات'!$A$2:$A$41,0)),"")</f>
        <v>TOP</v>
      </c>
      <c r="D14" s="14" t="str">
        <f>IFERROR(INDEX('قائمة الوحدات'!$C$2:$C$41,MATCH($B14,'قائمة الوحدات'!$A$2:$A$41,0)),"")</f>
        <v>المرتبطة بسمو الوزير</v>
      </c>
      <c r="E14" s="14" t="str">
        <f>IFERROR(INDEX('قائمة الوحدات'!$D$2:$D$41,MATCH($B14,'قائمة الوحدات'!$A$2:$A$41,0)),"")</f>
        <v>المكتب التنفيذي</v>
      </c>
      <c r="F14" s="14" t="str">
        <f>IFERROR(INDEX('قائمة الوحدات'!$F$2:$F$41,MATCH($B14,'قائمة الوحدات'!$A$2:$A$41,0)),"")</f>
        <v>المكتب التنفيذي</v>
      </c>
      <c r="G14" s="16" t="s">
        <v>61</v>
      </c>
      <c r="H14" s="14" t="str">
        <f>IFERROR(INDEX(المرجع!$A$2:$A$19,MATCH($G14,المرجع!$B$2:$B$19,0)),"")</f>
        <v>البناء المؤسسي</v>
      </c>
      <c r="I14" s="16" t="s">
        <v>63</v>
      </c>
      <c r="J14" s="14" t="str">
        <f>IFERROR(INDEX(المرجع!$D$2:$D$19,MATCH($I14,المرجع!$E$2:$E$19,0)),"")</f>
        <v>إنتاج المخرج الأول</v>
      </c>
      <c r="K14" s="15">
        <f>IFERROR(INDEX(المرجع!$F$2:$F$19,MATCH($I14,المرجع!$E$2:$E$19,0)),"")</f>
        <v>7</v>
      </c>
      <c r="L14" s="15">
        <f>SUMIFS(المرجع!$H$2:$H$19,المرجع!$B$2:$B$19,$G14,المرجع!$E$2:$E$19,$I14)</f>
        <v>1</v>
      </c>
      <c r="M14" s="15">
        <f>COUNTIFS('المرتبطة بسمو الوزير'!$B$2:$B$151,$B14,'المرتبطة بسمو الوزير'!$G$2:$G$151,$G14,'المرتبطة بسمو الوزير'!$I$2:$I$151,$I14,'المرتبطة بسمو الوزير'!$M$2:$M$151,"&lt;&gt;")+COUNTIFS('الشؤون التنفيذية'!$B$2:$B$421,$B14,'الشؤون التنفيذية'!$G$2:$G$421,$G14,'الشؤون التنفيذية'!$I$2:$I$421,$I14,'الشؤون التنفيذية'!$N$2:$N$421,"&lt;&gt;")+COUNTIFS('الجهاز العسكري'!$B$2:$B$631,$B14,'الجهاز العسكري'!$G$2:$G$631,$G14,'الجهاز العسكري'!$I$2:$I$631,$I14,'الجهاز العسكري'!$M$2:$M$631,"&lt;&gt;")</f>
        <v>1</v>
      </c>
      <c r="N14" s="19">
        <f>IF($L14=0,0,ROUND((SUMIFS('المرتبطة بسمو الوزير'!$M$2:$M$151,'المرتبطة بسمو الوزير'!$B$2:$B$151,$B14,'المرتبطة بسمو الوزير'!$G$2:$G$151,$G14,'المرتبطة بسمو الوزير'!$I$2:$I$151,$I14)+SUMIFS('الشؤون التنفيذية'!$N$2:$N$421,'الشؤون التنفيذية'!$B$2:$B$421,$B14,'الشؤون التنفيذية'!$G$2:$G$421,$G14,'الشؤون التنفيذية'!$I$2:$I$421,$I14)+SUMIFS('الجهاز العسكري'!$M$2:$M$631,'الجهاز العسكري'!$B$2:$B$631,$B14,'الجهاز العسكري'!$G$2:$G$631,$G14,'الجهاز العسكري'!$I$2:$I$631,$I14))/$L14,0))</f>
        <v>81</v>
      </c>
      <c r="O14" s="18"/>
      <c r="P14" s="15">
        <f>SUMIFS(المرجع!$G$2:$G$19,المرجع!$B$2:$B$19,$G14,المرجع!$E$2:$E$19,$I14)</f>
        <v>5</v>
      </c>
      <c r="Q14" s="20">
        <f t="shared" si="0"/>
        <v>4.05</v>
      </c>
      <c r="R14" s="21" t="str">
        <f>IF($N14&gt;المرجع!$K$3,"متقدم",IF($N14&lt;=المرجع!$K$2,"أولي","جزئي"))</f>
        <v>متقدم</v>
      </c>
    </row>
    <row r="15" spans="1:18">
      <c r="A15" s="16" t="s">
        <v>1455</v>
      </c>
      <c r="B15" s="16" t="s">
        <v>141</v>
      </c>
      <c r="C15" s="15" t="str">
        <f>IFERROR(INDEX('قائمة الوحدات'!$B$2:$B$41,MATCH($B15,'قائمة الوحدات'!$A$2:$A$41,0)),"")</f>
        <v>TOP</v>
      </c>
      <c r="D15" s="14" t="str">
        <f>IFERROR(INDEX('قائمة الوحدات'!$C$2:$C$41,MATCH($B15,'قائمة الوحدات'!$A$2:$A$41,0)),"")</f>
        <v>المرتبطة بسمو الوزير</v>
      </c>
      <c r="E15" s="14" t="str">
        <f>IFERROR(INDEX('قائمة الوحدات'!$D$2:$D$41,MATCH($B15,'قائمة الوحدات'!$A$2:$A$41,0)),"")</f>
        <v>المكتب التنفيذي</v>
      </c>
      <c r="F15" s="14" t="str">
        <f>IFERROR(INDEX('قائمة الوحدات'!$F$2:$F$41,MATCH($B15,'قائمة الوحدات'!$A$2:$A$41,0)),"")</f>
        <v>المكتب التنفيذي</v>
      </c>
      <c r="G15" s="16" t="s">
        <v>65</v>
      </c>
      <c r="H15" s="14" t="str">
        <f>IFERROR(INDEX(المرجع!$A$2:$A$19,MATCH($G15,المرجع!$B$2:$B$19,0)),"")</f>
        <v>التشغيل</v>
      </c>
      <c r="I15" s="16" t="s">
        <v>48</v>
      </c>
      <c r="J15" s="14" t="str">
        <f>IFERROR(INDEX(المرجع!$D$2:$D$19,MATCH($I15,المرجع!$E$2:$E$19,0)),"")</f>
        <v>الأهداف ومؤشرات الأداء</v>
      </c>
      <c r="K15" s="15">
        <f>IFERROR(INDEX(المرجع!$F$2:$F$19,MATCH($I15,المرجع!$E$2:$E$19,0)),"")</f>
        <v>2</v>
      </c>
      <c r="L15" s="15">
        <f>SUMIFS(المرجع!$H$2:$H$19,المرجع!$B$2:$B$19,$G15,المرجع!$E$2:$E$19,$I15)</f>
        <v>2</v>
      </c>
      <c r="M15" s="15">
        <f>COUNTIFS('المرتبطة بسمو الوزير'!$B$2:$B$151,$B15,'المرتبطة بسمو الوزير'!$G$2:$G$151,$G15,'المرتبطة بسمو الوزير'!$I$2:$I$151,$I15,'المرتبطة بسمو الوزير'!$M$2:$M$151,"&lt;&gt;")+COUNTIFS('الشؤون التنفيذية'!$B$2:$B$421,$B15,'الشؤون التنفيذية'!$G$2:$G$421,$G15,'الشؤون التنفيذية'!$I$2:$I$421,$I15,'الشؤون التنفيذية'!$N$2:$N$421,"&lt;&gt;")+COUNTIFS('الجهاز العسكري'!$B$2:$B$631,$B15,'الجهاز العسكري'!$G$2:$G$631,$G15,'الجهاز العسكري'!$I$2:$I$631,$I15,'الجهاز العسكري'!$M$2:$M$631,"&lt;&gt;")</f>
        <v>2</v>
      </c>
      <c r="N15" s="19">
        <f>IF($L15=0,0,ROUND((SUMIFS('المرتبطة بسمو الوزير'!$M$2:$M$151,'المرتبطة بسمو الوزير'!$B$2:$B$151,$B15,'المرتبطة بسمو الوزير'!$G$2:$G$151,$G15,'المرتبطة بسمو الوزير'!$I$2:$I$151,$I15)+SUMIFS('الشؤون التنفيذية'!$N$2:$N$421,'الشؤون التنفيذية'!$B$2:$B$421,$B15,'الشؤون التنفيذية'!$G$2:$G$421,$G15,'الشؤون التنفيذية'!$I$2:$I$421,$I15)+SUMIFS('الجهاز العسكري'!$M$2:$M$631,'الجهاز العسكري'!$B$2:$B$631,$B15,'الجهاز العسكري'!$G$2:$G$631,$G15,'الجهاز العسكري'!$I$2:$I$631,$I15))/$L15,0))</f>
        <v>43</v>
      </c>
      <c r="O15" s="18"/>
      <c r="P15" s="15">
        <f>SUMIFS(المرجع!$G$2:$G$19,المرجع!$B$2:$B$19,$G15,المرجع!$E$2:$E$19,$I15)</f>
        <v>25</v>
      </c>
      <c r="Q15" s="20">
        <f t="shared" si="0"/>
        <v>10.75</v>
      </c>
      <c r="R15" s="21" t="str">
        <f>IF($N15&gt;المرجع!$K$3,"متقدم",IF($N15&lt;=المرجع!$K$2,"أولي","جزئي"))</f>
        <v>جزئي</v>
      </c>
    </row>
    <row r="16" spans="1:18">
      <c r="A16" s="16" t="s">
        <v>1456</v>
      </c>
      <c r="B16" s="16" t="s">
        <v>141</v>
      </c>
      <c r="C16" s="15" t="str">
        <f>IFERROR(INDEX('قائمة الوحدات'!$B$2:$B$41,MATCH($B16,'قائمة الوحدات'!$A$2:$A$41,0)),"")</f>
        <v>TOP</v>
      </c>
      <c r="D16" s="14" t="str">
        <f>IFERROR(INDEX('قائمة الوحدات'!$C$2:$C$41,MATCH($B16,'قائمة الوحدات'!$A$2:$A$41,0)),"")</f>
        <v>المرتبطة بسمو الوزير</v>
      </c>
      <c r="E16" s="14" t="str">
        <f>IFERROR(INDEX('قائمة الوحدات'!$D$2:$D$41,MATCH($B16,'قائمة الوحدات'!$A$2:$A$41,0)),"")</f>
        <v>المكتب التنفيذي</v>
      </c>
      <c r="F16" s="14" t="str">
        <f>IFERROR(INDEX('قائمة الوحدات'!$F$2:$F$41,MATCH($B16,'قائمة الوحدات'!$A$2:$A$41,0)),"")</f>
        <v>المكتب التنفيذي</v>
      </c>
      <c r="G16" s="16" t="s">
        <v>65</v>
      </c>
      <c r="H16" s="14" t="str">
        <f>IFERROR(INDEX(المرجع!$A$2:$A$19,MATCH($G16,المرجع!$B$2:$B$19,0)),"")</f>
        <v>التشغيل</v>
      </c>
      <c r="I16" s="16" t="s">
        <v>51</v>
      </c>
      <c r="J16" s="14" t="str">
        <f>IFERROR(INDEX(المرجع!$D$2:$D$19,MATCH($I16,المرجع!$E$2:$E$19,0)),"")</f>
        <v>الحوكمة</v>
      </c>
      <c r="K16" s="15">
        <f>IFERROR(INDEX(المرجع!$F$2:$F$19,MATCH($I16,المرجع!$E$2:$E$19,0)),"")</f>
        <v>3</v>
      </c>
      <c r="L16" s="15">
        <f>SUMIFS(المرجع!$H$2:$H$19,المرجع!$B$2:$B$19,$G16,المرجع!$E$2:$E$19,$I16)</f>
        <v>3</v>
      </c>
      <c r="M16" s="15">
        <f>COUNTIFS('المرتبطة بسمو الوزير'!$B$2:$B$151,$B16,'المرتبطة بسمو الوزير'!$G$2:$G$151,$G16,'المرتبطة بسمو الوزير'!$I$2:$I$151,$I16,'المرتبطة بسمو الوزير'!$M$2:$M$151,"&lt;&gt;")+COUNTIFS('الشؤون التنفيذية'!$B$2:$B$421,$B16,'الشؤون التنفيذية'!$G$2:$G$421,$G16,'الشؤون التنفيذية'!$I$2:$I$421,$I16,'الشؤون التنفيذية'!$N$2:$N$421,"&lt;&gt;")+COUNTIFS('الجهاز العسكري'!$B$2:$B$631,$B16,'الجهاز العسكري'!$G$2:$G$631,$G16,'الجهاز العسكري'!$I$2:$I$631,$I16,'الجهاز العسكري'!$M$2:$M$631,"&lt;&gt;")</f>
        <v>3</v>
      </c>
      <c r="N16" s="19">
        <f>IF($L16=0,0,ROUND((SUMIFS('المرتبطة بسمو الوزير'!$M$2:$M$151,'المرتبطة بسمو الوزير'!$B$2:$B$151,$B16,'المرتبطة بسمو الوزير'!$G$2:$G$151,$G16,'المرتبطة بسمو الوزير'!$I$2:$I$151,$I16)+SUMIFS('الشؤون التنفيذية'!$N$2:$N$421,'الشؤون التنفيذية'!$B$2:$B$421,$B16,'الشؤون التنفيذية'!$G$2:$G$421,$G16,'الشؤون التنفيذية'!$I$2:$I$421,$I16)+SUMIFS('الجهاز العسكري'!$M$2:$M$631,'الجهاز العسكري'!$B$2:$B$631,$B16,'الجهاز العسكري'!$G$2:$G$631,$G16,'الجهاز العسكري'!$I$2:$I$631,$I16))/$L16,0))</f>
        <v>37</v>
      </c>
      <c r="O16" s="18"/>
      <c r="P16" s="15">
        <f>SUMIFS(المرجع!$G$2:$G$19,المرجع!$B$2:$B$19,$G16,المرجع!$E$2:$E$19,$I16)</f>
        <v>15</v>
      </c>
      <c r="Q16" s="20">
        <f t="shared" si="0"/>
        <v>5.55</v>
      </c>
      <c r="R16" s="21" t="str">
        <f>IF($N16&gt;المرجع!$K$3,"متقدم",IF($N16&lt;=المرجع!$K$2,"أولي","جزئي"))</f>
        <v>جزئي</v>
      </c>
    </row>
    <row r="17" spans="1:18">
      <c r="A17" s="16" t="s">
        <v>1457</v>
      </c>
      <c r="B17" s="16" t="s">
        <v>141</v>
      </c>
      <c r="C17" s="15" t="str">
        <f>IFERROR(INDEX('قائمة الوحدات'!$B$2:$B$41,MATCH($B17,'قائمة الوحدات'!$A$2:$A$41,0)),"")</f>
        <v>TOP</v>
      </c>
      <c r="D17" s="14" t="str">
        <f>IFERROR(INDEX('قائمة الوحدات'!$C$2:$C$41,MATCH($B17,'قائمة الوحدات'!$A$2:$A$41,0)),"")</f>
        <v>المرتبطة بسمو الوزير</v>
      </c>
      <c r="E17" s="14" t="str">
        <f>IFERROR(INDEX('قائمة الوحدات'!$D$2:$D$41,MATCH($B17,'قائمة الوحدات'!$A$2:$A$41,0)),"")</f>
        <v>المكتب التنفيذي</v>
      </c>
      <c r="F17" s="14" t="str">
        <f>IFERROR(INDEX('قائمة الوحدات'!$F$2:$F$41,MATCH($B17,'قائمة الوحدات'!$A$2:$A$41,0)),"")</f>
        <v>المكتب التنفيذي</v>
      </c>
      <c r="G17" s="16" t="s">
        <v>65</v>
      </c>
      <c r="H17" s="14" t="str">
        <f>IFERROR(INDEX(المرجع!$A$2:$A$19,MATCH($G17,المرجع!$B$2:$B$19,0)),"")</f>
        <v>التشغيل</v>
      </c>
      <c r="I17" s="16" t="s">
        <v>56</v>
      </c>
      <c r="J17" s="14" t="str">
        <f>IFERROR(INDEX(المرجع!$D$2:$D$19,MATCH($I17,المرجع!$E$2:$E$19,0)),"")</f>
        <v>الموارد</v>
      </c>
      <c r="K17" s="15">
        <f>IFERROR(INDEX(المرجع!$F$2:$F$19,MATCH($I17,المرجع!$E$2:$E$19,0)),"")</f>
        <v>5</v>
      </c>
      <c r="L17" s="15">
        <f>SUMIFS(المرجع!$H$2:$H$19,المرجع!$B$2:$B$19,$G17,المرجع!$E$2:$E$19,$I17)</f>
        <v>1</v>
      </c>
      <c r="M17" s="15">
        <f>COUNTIFS('المرتبطة بسمو الوزير'!$B$2:$B$151,$B17,'المرتبطة بسمو الوزير'!$G$2:$G$151,$G17,'المرتبطة بسمو الوزير'!$I$2:$I$151,$I17,'المرتبطة بسمو الوزير'!$M$2:$M$151,"&lt;&gt;")+COUNTIFS('الشؤون التنفيذية'!$B$2:$B$421,$B17,'الشؤون التنفيذية'!$G$2:$G$421,$G17,'الشؤون التنفيذية'!$I$2:$I$421,$I17,'الشؤون التنفيذية'!$N$2:$N$421,"&lt;&gt;")+COUNTIFS('الجهاز العسكري'!$B$2:$B$631,$B17,'الجهاز العسكري'!$G$2:$G$631,$G17,'الجهاز العسكري'!$I$2:$I$631,$I17,'الجهاز العسكري'!$M$2:$M$631,"&lt;&gt;")</f>
        <v>1</v>
      </c>
      <c r="N17" s="19">
        <f>IF($L17=0,0,ROUND((SUMIFS('المرتبطة بسمو الوزير'!$M$2:$M$151,'المرتبطة بسمو الوزير'!$B$2:$B$151,$B17,'المرتبطة بسمو الوزير'!$G$2:$G$151,$G17,'المرتبطة بسمو الوزير'!$I$2:$I$151,$I17)+SUMIFS('الشؤون التنفيذية'!$N$2:$N$421,'الشؤون التنفيذية'!$B$2:$B$421,$B17,'الشؤون التنفيذية'!$G$2:$G$421,$G17,'الشؤون التنفيذية'!$I$2:$I$421,$I17)+SUMIFS('الجهاز العسكري'!$M$2:$M$631,'الجهاز العسكري'!$B$2:$B$631,$B17,'الجهاز العسكري'!$G$2:$G$631,$G17,'الجهاز العسكري'!$I$2:$I$631,$I17))/$L17,0))</f>
        <v>57</v>
      </c>
      <c r="O17" s="18"/>
      <c r="P17" s="15">
        <f>SUMIFS(المرجع!$G$2:$G$19,المرجع!$B$2:$B$19,$G17,المرجع!$E$2:$E$19,$I17)</f>
        <v>15</v>
      </c>
      <c r="Q17" s="20">
        <f t="shared" si="0"/>
        <v>8.5500000000000007</v>
      </c>
      <c r="R17" s="21" t="str">
        <f>IF($N17&gt;المرجع!$K$3,"متقدم",IF($N17&lt;=المرجع!$K$2,"أولي","جزئي"))</f>
        <v>جزئي</v>
      </c>
    </row>
    <row r="18" spans="1:18">
      <c r="A18" s="16" t="s">
        <v>1458</v>
      </c>
      <c r="B18" s="16" t="s">
        <v>141</v>
      </c>
      <c r="C18" s="15" t="str">
        <f>IFERROR(INDEX('قائمة الوحدات'!$B$2:$B$41,MATCH($B18,'قائمة الوحدات'!$A$2:$A$41,0)),"")</f>
        <v>TOP</v>
      </c>
      <c r="D18" s="14" t="str">
        <f>IFERROR(INDEX('قائمة الوحدات'!$C$2:$C$41,MATCH($B18,'قائمة الوحدات'!$A$2:$A$41,0)),"")</f>
        <v>المرتبطة بسمو الوزير</v>
      </c>
      <c r="E18" s="14" t="str">
        <f>IFERROR(INDEX('قائمة الوحدات'!$D$2:$D$41,MATCH($B18,'قائمة الوحدات'!$A$2:$A$41,0)),"")</f>
        <v>المكتب التنفيذي</v>
      </c>
      <c r="F18" s="14" t="str">
        <f>IFERROR(INDEX('قائمة الوحدات'!$F$2:$F$41,MATCH($B18,'قائمة الوحدات'!$A$2:$A$41,0)),"")</f>
        <v>المكتب التنفيذي</v>
      </c>
      <c r="G18" s="16" t="s">
        <v>65</v>
      </c>
      <c r="H18" s="14" t="str">
        <f>IFERROR(INDEX(المرجع!$A$2:$A$19,MATCH($G18,المرجع!$B$2:$B$19,0)),"")</f>
        <v>التشغيل</v>
      </c>
      <c r="I18" s="16" t="s">
        <v>59</v>
      </c>
      <c r="J18" s="14" t="str">
        <f>IFERROR(INDEX(المرجع!$D$2:$D$19,MATCH($I18,المرجع!$E$2:$E$19,0)),"")</f>
        <v>الإجراءات</v>
      </c>
      <c r="K18" s="15">
        <f>IFERROR(INDEX(المرجع!$F$2:$F$19,MATCH($I18,المرجع!$E$2:$E$19,0)),"")</f>
        <v>6</v>
      </c>
      <c r="L18" s="15">
        <f>SUMIFS(المرجع!$H$2:$H$19,المرجع!$B$2:$B$19,$G18,المرجع!$E$2:$E$19,$I18)</f>
        <v>1</v>
      </c>
      <c r="M18" s="15">
        <f>COUNTIFS('المرتبطة بسمو الوزير'!$B$2:$B$151,$B18,'المرتبطة بسمو الوزير'!$G$2:$G$151,$G18,'المرتبطة بسمو الوزير'!$I$2:$I$151,$I18,'المرتبطة بسمو الوزير'!$M$2:$M$151,"&lt;&gt;")+COUNTIFS('الشؤون التنفيذية'!$B$2:$B$421,$B18,'الشؤون التنفيذية'!$G$2:$G$421,$G18,'الشؤون التنفيذية'!$I$2:$I$421,$I18,'الشؤون التنفيذية'!$N$2:$N$421,"&lt;&gt;")+COUNTIFS('الجهاز العسكري'!$B$2:$B$631,$B18,'الجهاز العسكري'!$G$2:$G$631,$G18,'الجهاز العسكري'!$I$2:$I$631,$I18,'الجهاز العسكري'!$M$2:$M$631,"&lt;&gt;")</f>
        <v>1</v>
      </c>
      <c r="N18" s="19">
        <f>IF($L18=0,0,ROUND((SUMIFS('المرتبطة بسمو الوزير'!$M$2:$M$151,'المرتبطة بسمو الوزير'!$B$2:$B$151,$B18,'المرتبطة بسمو الوزير'!$G$2:$G$151,$G18,'المرتبطة بسمو الوزير'!$I$2:$I$151,$I18)+SUMIFS('الشؤون التنفيذية'!$N$2:$N$421,'الشؤون التنفيذية'!$B$2:$B$421,$B18,'الشؤون التنفيذية'!$G$2:$G$421,$G18,'الشؤون التنفيذية'!$I$2:$I$421,$I18)+SUMIFS('الجهاز العسكري'!$M$2:$M$631,'الجهاز العسكري'!$B$2:$B$631,$B18,'الجهاز العسكري'!$G$2:$G$631,$G18,'الجهاز العسكري'!$I$2:$I$631,$I18))/$L18,0))</f>
        <v>32</v>
      </c>
      <c r="O18" s="18"/>
      <c r="P18" s="15">
        <f>SUMIFS(المرجع!$G$2:$G$19,المرجع!$B$2:$B$19,$G18,المرجع!$E$2:$E$19,$I18)</f>
        <v>15</v>
      </c>
      <c r="Q18" s="20">
        <f t="shared" si="0"/>
        <v>4.8</v>
      </c>
      <c r="R18" s="21" t="str">
        <f>IF($N18&gt;المرجع!$K$3,"متقدم",IF($N18&lt;=المرجع!$K$2,"أولي","جزئي"))</f>
        <v>جزئي</v>
      </c>
    </row>
    <row r="19" spans="1:18">
      <c r="A19" s="16" t="s">
        <v>1459</v>
      </c>
      <c r="B19" s="16" t="s">
        <v>141</v>
      </c>
      <c r="C19" s="15" t="str">
        <f>IFERROR(INDEX('قائمة الوحدات'!$B$2:$B$41,MATCH($B19,'قائمة الوحدات'!$A$2:$A$41,0)),"")</f>
        <v>TOP</v>
      </c>
      <c r="D19" s="14" t="str">
        <f>IFERROR(INDEX('قائمة الوحدات'!$C$2:$C$41,MATCH($B19,'قائمة الوحدات'!$A$2:$A$41,0)),"")</f>
        <v>المرتبطة بسمو الوزير</v>
      </c>
      <c r="E19" s="14" t="str">
        <f>IFERROR(INDEX('قائمة الوحدات'!$D$2:$D$41,MATCH($B19,'قائمة الوحدات'!$A$2:$A$41,0)),"")</f>
        <v>المكتب التنفيذي</v>
      </c>
      <c r="F19" s="14" t="str">
        <f>IFERROR(INDEX('قائمة الوحدات'!$F$2:$F$41,MATCH($B19,'قائمة الوحدات'!$A$2:$A$41,0)),"")</f>
        <v>المكتب التنفيذي</v>
      </c>
      <c r="G19" s="16" t="s">
        <v>65</v>
      </c>
      <c r="H19" s="14" t="str">
        <f>IFERROR(INDEX(المرجع!$A$2:$A$19,MATCH($G19,المرجع!$B$2:$B$19,0)),"")</f>
        <v>التشغيل</v>
      </c>
      <c r="I19" s="16" t="s">
        <v>67</v>
      </c>
      <c r="J19" s="14" t="str">
        <f>IFERROR(INDEX(المرجع!$D$2:$D$19,MATCH($I19,المرجع!$E$2:$E$19,0)),"")</f>
        <v>اكتمال المخرجات المستهدفة</v>
      </c>
      <c r="K19" s="15">
        <f>IFERROR(INDEX(المرجع!$F$2:$F$19,MATCH($I19,المرجع!$E$2:$E$19,0)),"")</f>
        <v>8</v>
      </c>
      <c r="L19" s="15">
        <f>SUMIFS(المرجع!$H$2:$H$19,المرجع!$B$2:$B$19,$G19,المرجع!$E$2:$E$19,$I19)</f>
        <v>1</v>
      </c>
      <c r="M19" s="15">
        <f>COUNTIFS('المرتبطة بسمو الوزير'!$B$2:$B$151,$B19,'المرتبطة بسمو الوزير'!$G$2:$G$151,$G19,'المرتبطة بسمو الوزير'!$I$2:$I$151,$I19,'المرتبطة بسمو الوزير'!$M$2:$M$151,"&lt;&gt;")+COUNTIFS('الشؤون التنفيذية'!$B$2:$B$421,$B19,'الشؤون التنفيذية'!$G$2:$G$421,$G19,'الشؤون التنفيذية'!$I$2:$I$421,$I19,'الشؤون التنفيذية'!$N$2:$N$421,"&lt;&gt;")+COUNTIFS('الجهاز العسكري'!$B$2:$B$631,$B19,'الجهاز العسكري'!$G$2:$G$631,$G19,'الجهاز العسكري'!$I$2:$I$631,$I19,'الجهاز العسكري'!$M$2:$M$631,"&lt;&gt;")</f>
        <v>1</v>
      </c>
      <c r="N19" s="19">
        <f>IF($L19=0,0,ROUND((SUMIFS('المرتبطة بسمو الوزير'!$M$2:$M$151,'المرتبطة بسمو الوزير'!$B$2:$B$151,$B19,'المرتبطة بسمو الوزير'!$G$2:$G$151,$G19,'المرتبطة بسمو الوزير'!$I$2:$I$151,$I19)+SUMIFS('الشؤون التنفيذية'!$N$2:$N$421,'الشؤون التنفيذية'!$B$2:$B$421,$B19,'الشؤون التنفيذية'!$G$2:$G$421,$G19,'الشؤون التنفيذية'!$I$2:$I$421,$I19)+SUMIFS('الجهاز العسكري'!$M$2:$M$631,'الجهاز العسكري'!$B$2:$B$631,$B19,'الجهاز العسكري'!$G$2:$G$631,$G19,'الجهاز العسكري'!$I$2:$I$631,$I19))/$L19,0))</f>
        <v>53</v>
      </c>
      <c r="O19" s="18"/>
      <c r="P19" s="15">
        <f>SUMIFS(المرجع!$G$2:$G$19,المرجع!$B$2:$B$19,$G19,المرجع!$E$2:$E$19,$I19)</f>
        <v>30</v>
      </c>
      <c r="Q19" s="20">
        <f t="shared" si="0"/>
        <v>15.9</v>
      </c>
      <c r="R19" s="21" t="str">
        <f>IF($N19&gt;المرجع!$K$3,"متقدم",IF($N19&lt;=المرجع!$K$2,"أولي","جزئي"))</f>
        <v>جزئي</v>
      </c>
    </row>
    <row r="20" spans="1:18">
      <c r="A20" s="16" t="s">
        <v>1460</v>
      </c>
      <c r="B20" s="16" t="s">
        <v>146</v>
      </c>
      <c r="C20" s="15" t="str">
        <f>IFERROR(INDEX('قائمة الوحدات'!$B$2:$B$41,MATCH($B20,'قائمة الوحدات'!$A$2:$A$41,0)),"")</f>
        <v>TOP</v>
      </c>
      <c r="D20" s="14" t="str">
        <f>IFERROR(INDEX('قائمة الوحدات'!$C$2:$C$41,MATCH($B20,'قائمة الوحدات'!$A$2:$A$41,0)),"")</f>
        <v>المرتبطة بسمو الوزير</v>
      </c>
      <c r="E20" s="14" t="str">
        <f>IFERROR(INDEX('قائمة الوحدات'!$D$2:$D$41,MATCH($B20,'قائمة الوحدات'!$A$2:$A$41,0)),"")</f>
        <v>إدارة المتابعة والتقارير</v>
      </c>
      <c r="F20" s="14" t="str">
        <f>IFERROR(INDEX('قائمة الوحدات'!$F$2:$F$41,MATCH($B20,'قائمة الوحدات'!$A$2:$A$41,0)),"")</f>
        <v>إدارة المتابعة والتقارير</v>
      </c>
      <c r="G20" s="16" t="s">
        <v>43</v>
      </c>
      <c r="H20" s="14" t="str">
        <f>IFERROR(INDEX(المرجع!$A$2:$A$19,MATCH($G20,المرجع!$B$2:$B$19,0)),"")</f>
        <v>التصميم</v>
      </c>
      <c r="I20" s="16" t="s">
        <v>45</v>
      </c>
      <c r="J20" s="14" t="str">
        <f>IFERROR(INDEX(المرجع!$D$2:$D$19,MATCH($I20,المرجع!$E$2:$E$19,0)),"")</f>
        <v>الدور</v>
      </c>
      <c r="K20" s="15">
        <f>IFERROR(INDEX(المرجع!$F$2:$F$19,MATCH($I20,المرجع!$E$2:$E$19,0)),"")</f>
        <v>1</v>
      </c>
      <c r="L20" s="15">
        <f>SUMIFS(المرجع!$H$2:$H$19,المرجع!$B$2:$B$19,$G20,المرجع!$E$2:$E$19,$I20)</f>
        <v>1</v>
      </c>
      <c r="M20" s="15">
        <f>COUNTIFS('المرتبطة بسمو الوزير'!$B$2:$B$151,$B20,'المرتبطة بسمو الوزير'!$G$2:$G$151,$G20,'المرتبطة بسمو الوزير'!$I$2:$I$151,$I20,'المرتبطة بسمو الوزير'!$M$2:$M$151,"&lt;&gt;")+COUNTIFS('الشؤون التنفيذية'!$B$2:$B$421,$B20,'الشؤون التنفيذية'!$G$2:$G$421,$G20,'الشؤون التنفيذية'!$I$2:$I$421,$I20,'الشؤون التنفيذية'!$N$2:$N$421,"&lt;&gt;")+COUNTIFS('الجهاز العسكري'!$B$2:$B$631,$B20,'الجهاز العسكري'!$G$2:$G$631,$G20,'الجهاز العسكري'!$I$2:$I$631,$I20,'الجهاز العسكري'!$M$2:$M$631,"&lt;&gt;")</f>
        <v>1</v>
      </c>
      <c r="N20" s="19">
        <f>IF($L20=0,0,ROUND((SUMIFS('المرتبطة بسمو الوزير'!$M$2:$M$151,'المرتبطة بسمو الوزير'!$B$2:$B$151,$B20,'المرتبطة بسمو الوزير'!$G$2:$G$151,$G20,'المرتبطة بسمو الوزير'!$I$2:$I$151,$I20)+SUMIFS('الشؤون التنفيذية'!$N$2:$N$421,'الشؤون التنفيذية'!$B$2:$B$421,$B20,'الشؤون التنفيذية'!$G$2:$G$421,$G20,'الشؤون التنفيذية'!$I$2:$I$421,$I20)+SUMIFS('الجهاز العسكري'!$M$2:$M$631,'الجهاز العسكري'!$B$2:$B$631,$B20,'الجهاز العسكري'!$G$2:$G$631,$G20,'الجهاز العسكري'!$I$2:$I$631,$I20))/$L20,0))</f>
        <v>76</v>
      </c>
      <c r="O20" s="18"/>
      <c r="P20" s="15">
        <f>SUMIFS(المرجع!$G$2:$G$19,المرجع!$B$2:$B$19,$G20,المرجع!$E$2:$E$19,$I20)</f>
        <v>25</v>
      </c>
      <c r="Q20" s="20">
        <f t="shared" si="0"/>
        <v>19</v>
      </c>
      <c r="R20" s="21" t="str">
        <f>IF($N20&gt;المرجع!$K$3,"متقدم",IF($N20&lt;=المرجع!$K$2,"أولي","جزئي"))</f>
        <v>متقدم</v>
      </c>
    </row>
    <row r="21" spans="1:18">
      <c r="A21" s="16" t="s">
        <v>1461</v>
      </c>
      <c r="B21" s="16" t="s">
        <v>146</v>
      </c>
      <c r="C21" s="15" t="str">
        <f>IFERROR(INDEX('قائمة الوحدات'!$B$2:$B$41,MATCH($B21,'قائمة الوحدات'!$A$2:$A$41,0)),"")</f>
        <v>TOP</v>
      </c>
      <c r="D21" s="14" t="str">
        <f>IFERROR(INDEX('قائمة الوحدات'!$C$2:$C$41,MATCH($B21,'قائمة الوحدات'!$A$2:$A$41,0)),"")</f>
        <v>المرتبطة بسمو الوزير</v>
      </c>
      <c r="E21" s="14" t="str">
        <f>IFERROR(INDEX('قائمة الوحدات'!$D$2:$D$41,MATCH($B21,'قائمة الوحدات'!$A$2:$A$41,0)),"")</f>
        <v>إدارة المتابعة والتقارير</v>
      </c>
      <c r="F21" s="14" t="str">
        <f>IFERROR(INDEX('قائمة الوحدات'!$F$2:$F$41,MATCH($B21,'قائمة الوحدات'!$A$2:$A$41,0)),"")</f>
        <v>إدارة المتابعة والتقارير</v>
      </c>
      <c r="G21" s="16" t="s">
        <v>43</v>
      </c>
      <c r="H21" s="14" t="str">
        <f>IFERROR(INDEX(المرجع!$A$2:$A$19,MATCH($G21,المرجع!$B$2:$B$19,0)),"")</f>
        <v>التصميم</v>
      </c>
      <c r="I21" s="16" t="s">
        <v>48</v>
      </c>
      <c r="J21" s="14" t="str">
        <f>IFERROR(INDEX(المرجع!$D$2:$D$19,MATCH($I21,المرجع!$E$2:$E$19,0)),"")</f>
        <v>الأهداف ومؤشرات الأداء</v>
      </c>
      <c r="K21" s="15">
        <f>IFERROR(INDEX(المرجع!$F$2:$F$19,MATCH($I21,المرجع!$E$2:$E$19,0)),"")</f>
        <v>2</v>
      </c>
      <c r="L21" s="15">
        <f>SUMIFS(المرجع!$H$2:$H$19,المرجع!$B$2:$B$19,$G21,المرجع!$E$2:$E$19,$I21)</f>
        <v>2</v>
      </c>
      <c r="M21" s="15">
        <f>COUNTIFS('المرتبطة بسمو الوزير'!$B$2:$B$151,$B21,'المرتبطة بسمو الوزير'!$G$2:$G$151,$G21,'المرتبطة بسمو الوزير'!$I$2:$I$151,$I21,'المرتبطة بسمو الوزير'!$M$2:$M$151,"&lt;&gt;")+COUNTIFS('الشؤون التنفيذية'!$B$2:$B$421,$B21,'الشؤون التنفيذية'!$G$2:$G$421,$G21,'الشؤون التنفيذية'!$I$2:$I$421,$I21,'الشؤون التنفيذية'!$N$2:$N$421,"&lt;&gt;")+COUNTIFS('الجهاز العسكري'!$B$2:$B$631,$B21,'الجهاز العسكري'!$G$2:$G$631,$G21,'الجهاز العسكري'!$I$2:$I$631,$I21,'الجهاز العسكري'!$M$2:$M$631,"&lt;&gt;")</f>
        <v>2</v>
      </c>
      <c r="N21" s="19">
        <f>IF($L21=0,0,ROUND((SUMIFS('المرتبطة بسمو الوزير'!$M$2:$M$151,'المرتبطة بسمو الوزير'!$B$2:$B$151,$B21,'المرتبطة بسمو الوزير'!$G$2:$G$151,$G21,'المرتبطة بسمو الوزير'!$I$2:$I$151,$I21)+SUMIFS('الشؤون التنفيذية'!$N$2:$N$421,'الشؤون التنفيذية'!$B$2:$B$421,$B21,'الشؤون التنفيذية'!$G$2:$G$421,$G21,'الشؤون التنفيذية'!$I$2:$I$421,$I21)+SUMIFS('الجهاز العسكري'!$M$2:$M$631,'الجهاز العسكري'!$B$2:$B$631,$B21,'الجهاز العسكري'!$G$2:$G$631,$G21,'الجهاز العسكري'!$I$2:$I$631,$I21))/$L21,0))</f>
        <v>73</v>
      </c>
      <c r="O21" s="18"/>
      <c r="P21" s="15">
        <f>SUMIFS(المرجع!$G$2:$G$19,المرجع!$B$2:$B$19,$G21,المرجع!$E$2:$E$19,$I21)</f>
        <v>15</v>
      </c>
      <c r="Q21" s="20">
        <f t="shared" si="0"/>
        <v>10.95</v>
      </c>
      <c r="R21" s="21" t="str">
        <f>IF($N21&gt;المرجع!$K$3,"متقدم",IF($N21&lt;=المرجع!$K$2,"أولي","جزئي"))</f>
        <v>متقدم</v>
      </c>
    </row>
    <row r="22" spans="1:18">
      <c r="A22" s="16" t="s">
        <v>1462</v>
      </c>
      <c r="B22" s="16" t="s">
        <v>146</v>
      </c>
      <c r="C22" s="15" t="str">
        <f>IFERROR(INDEX('قائمة الوحدات'!$B$2:$B$41,MATCH($B22,'قائمة الوحدات'!$A$2:$A$41,0)),"")</f>
        <v>TOP</v>
      </c>
      <c r="D22" s="14" t="str">
        <f>IFERROR(INDEX('قائمة الوحدات'!$C$2:$C$41,MATCH($B22,'قائمة الوحدات'!$A$2:$A$41,0)),"")</f>
        <v>المرتبطة بسمو الوزير</v>
      </c>
      <c r="E22" s="14" t="str">
        <f>IFERROR(INDEX('قائمة الوحدات'!$D$2:$D$41,MATCH($B22,'قائمة الوحدات'!$A$2:$A$41,0)),"")</f>
        <v>إدارة المتابعة والتقارير</v>
      </c>
      <c r="F22" s="14" t="str">
        <f>IFERROR(INDEX('قائمة الوحدات'!$F$2:$F$41,MATCH($B22,'قائمة الوحدات'!$A$2:$A$41,0)),"")</f>
        <v>إدارة المتابعة والتقارير</v>
      </c>
      <c r="G22" s="16" t="s">
        <v>43</v>
      </c>
      <c r="H22" s="14" t="str">
        <f>IFERROR(INDEX(المرجع!$A$2:$A$19,MATCH($G22,المرجع!$B$2:$B$19,0)),"")</f>
        <v>التصميم</v>
      </c>
      <c r="I22" s="16" t="s">
        <v>51</v>
      </c>
      <c r="J22" s="14" t="str">
        <f>IFERROR(INDEX(المرجع!$D$2:$D$19,MATCH($I22,المرجع!$E$2:$E$19,0)),"")</f>
        <v>الحوكمة</v>
      </c>
      <c r="K22" s="15">
        <f>IFERROR(INDEX(المرجع!$F$2:$F$19,MATCH($I22,المرجع!$E$2:$E$19,0)),"")</f>
        <v>3</v>
      </c>
      <c r="L22" s="15">
        <f>SUMIFS(المرجع!$H$2:$H$19,المرجع!$B$2:$B$19,$G22,المرجع!$E$2:$E$19,$I22)</f>
        <v>1</v>
      </c>
      <c r="M22" s="15">
        <f>COUNTIFS('المرتبطة بسمو الوزير'!$B$2:$B$151,$B22,'المرتبطة بسمو الوزير'!$G$2:$G$151,$G22,'المرتبطة بسمو الوزير'!$I$2:$I$151,$I22,'المرتبطة بسمو الوزير'!$M$2:$M$151,"&lt;&gt;")+COUNTIFS('الشؤون التنفيذية'!$B$2:$B$421,$B22,'الشؤون التنفيذية'!$G$2:$G$421,$G22,'الشؤون التنفيذية'!$I$2:$I$421,$I22,'الشؤون التنفيذية'!$N$2:$N$421,"&lt;&gt;")+COUNTIFS('الجهاز العسكري'!$B$2:$B$631,$B22,'الجهاز العسكري'!$G$2:$G$631,$G22,'الجهاز العسكري'!$I$2:$I$631,$I22,'الجهاز العسكري'!$M$2:$M$631,"&lt;&gt;")</f>
        <v>1</v>
      </c>
      <c r="N22" s="19">
        <f>IF($L22=0,0,ROUND((SUMIFS('المرتبطة بسمو الوزير'!$M$2:$M$151,'المرتبطة بسمو الوزير'!$B$2:$B$151,$B22,'المرتبطة بسمو الوزير'!$G$2:$G$151,$G22,'المرتبطة بسمو الوزير'!$I$2:$I$151,$I22)+SUMIFS('الشؤون التنفيذية'!$N$2:$N$421,'الشؤون التنفيذية'!$B$2:$B$421,$B22,'الشؤون التنفيذية'!$G$2:$G$421,$G22,'الشؤون التنفيذية'!$I$2:$I$421,$I22)+SUMIFS('الجهاز العسكري'!$M$2:$M$631,'الجهاز العسكري'!$B$2:$B$631,$B22,'الجهاز العسكري'!$G$2:$G$631,$G22,'الجهاز العسكري'!$I$2:$I$631,$I22))/$L22,0))</f>
        <v>87</v>
      </c>
      <c r="O22" s="18"/>
      <c r="P22" s="15">
        <f>SUMIFS(المرجع!$G$2:$G$19,المرجع!$B$2:$B$19,$G22,المرجع!$E$2:$E$19,$I22)</f>
        <v>15</v>
      </c>
      <c r="Q22" s="20">
        <f t="shared" si="0"/>
        <v>13.05</v>
      </c>
      <c r="R22" s="21" t="str">
        <f>IF($N22&gt;المرجع!$K$3,"متقدم",IF($N22&lt;=المرجع!$K$2,"أولي","جزئي"))</f>
        <v>متقدم</v>
      </c>
    </row>
    <row r="23" spans="1:18">
      <c r="A23" s="16" t="s">
        <v>1463</v>
      </c>
      <c r="B23" s="16" t="s">
        <v>146</v>
      </c>
      <c r="C23" s="15" t="str">
        <f>IFERROR(INDEX('قائمة الوحدات'!$B$2:$B$41,MATCH($B23,'قائمة الوحدات'!$A$2:$A$41,0)),"")</f>
        <v>TOP</v>
      </c>
      <c r="D23" s="14" t="str">
        <f>IFERROR(INDEX('قائمة الوحدات'!$C$2:$C$41,MATCH($B23,'قائمة الوحدات'!$A$2:$A$41,0)),"")</f>
        <v>المرتبطة بسمو الوزير</v>
      </c>
      <c r="E23" s="14" t="str">
        <f>IFERROR(INDEX('قائمة الوحدات'!$D$2:$D$41,MATCH($B23,'قائمة الوحدات'!$A$2:$A$41,0)),"")</f>
        <v>إدارة المتابعة والتقارير</v>
      </c>
      <c r="F23" s="14" t="str">
        <f>IFERROR(INDEX('قائمة الوحدات'!$F$2:$F$41,MATCH($B23,'قائمة الوحدات'!$A$2:$A$41,0)),"")</f>
        <v>إدارة المتابعة والتقارير</v>
      </c>
      <c r="G23" s="16" t="s">
        <v>43</v>
      </c>
      <c r="H23" s="14" t="str">
        <f>IFERROR(INDEX(المرجع!$A$2:$A$19,MATCH($G23,المرجع!$B$2:$B$19,0)),"")</f>
        <v>التصميم</v>
      </c>
      <c r="I23" s="16" t="s">
        <v>54</v>
      </c>
      <c r="J23" s="14" t="str">
        <f>IFERROR(INDEX(المرجع!$D$2:$D$19,MATCH($I23,المرجع!$E$2:$E$19,0)),"")</f>
        <v>التنظيم</v>
      </c>
      <c r="K23" s="15">
        <f>IFERROR(INDEX(المرجع!$F$2:$F$19,MATCH($I23,المرجع!$E$2:$E$19,0)),"")</f>
        <v>4</v>
      </c>
      <c r="L23" s="15">
        <f>SUMIFS(المرجع!$H$2:$H$19,المرجع!$B$2:$B$19,$G23,المرجع!$E$2:$E$19,$I23)</f>
        <v>1</v>
      </c>
      <c r="M23" s="15">
        <f>COUNTIFS('المرتبطة بسمو الوزير'!$B$2:$B$151,$B23,'المرتبطة بسمو الوزير'!$G$2:$G$151,$G23,'المرتبطة بسمو الوزير'!$I$2:$I$151,$I23,'المرتبطة بسمو الوزير'!$M$2:$M$151,"&lt;&gt;")+COUNTIFS('الشؤون التنفيذية'!$B$2:$B$421,$B23,'الشؤون التنفيذية'!$G$2:$G$421,$G23,'الشؤون التنفيذية'!$I$2:$I$421,$I23,'الشؤون التنفيذية'!$N$2:$N$421,"&lt;&gt;")+COUNTIFS('الجهاز العسكري'!$B$2:$B$631,$B23,'الجهاز العسكري'!$G$2:$G$631,$G23,'الجهاز العسكري'!$I$2:$I$631,$I23,'الجهاز العسكري'!$M$2:$M$631,"&lt;&gt;")</f>
        <v>1</v>
      </c>
      <c r="N23" s="19">
        <f>IF($L23=0,0,ROUND((SUMIFS('المرتبطة بسمو الوزير'!$M$2:$M$151,'المرتبطة بسمو الوزير'!$B$2:$B$151,$B23,'المرتبطة بسمو الوزير'!$G$2:$G$151,$G23,'المرتبطة بسمو الوزير'!$I$2:$I$151,$I23)+SUMIFS('الشؤون التنفيذية'!$N$2:$N$421,'الشؤون التنفيذية'!$B$2:$B$421,$B23,'الشؤون التنفيذية'!$G$2:$G$421,$G23,'الشؤون التنفيذية'!$I$2:$I$421,$I23)+SUMIFS('الجهاز العسكري'!$M$2:$M$631,'الجهاز العسكري'!$B$2:$B$631,$B23,'الجهاز العسكري'!$G$2:$G$631,$G23,'الجهاز العسكري'!$I$2:$I$631,$I23))/$L23,0))</f>
        <v>71</v>
      </c>
      <c r="O23" s="18"/>
      <c r="P23" s="15">
        <f>SUMIFS(المرجع!$G$2:$G$19,المرجع!$B$2:$B$19,$G23,المرجع!$E$2:$E$19,$I23)</f>
        <v>20</v>
      </c>
      <c r="Q23" s="20">
        <f t="shared" si="0"/>
        <v>14.2</v>
      </c>
      <c r="R23" s="21" t="str">
        <f>IF($N23&gt;المرجع!$K$3,"متقدم",IF($N23&lt;=المرجع!$K$2,"أولي","جزئي"))</f>
        <v>متقدم</v>
      </c>
    </row>
    <row r="24" spans="1:18">
      <c r="A24" s="16" t="s">
        <v>1464</v>
      </c>
      <c r="B24" s="16" t="s">
        <v>146</v>
      </c>
      <c r="C24" s="15" t="str">
        <f>IFERROR(INDEX('قائمة الوحدات'!$B$2:$B$41,MATCH($B24,'قائمة الوحدات'!$A$2:$A$41,0)),"")</f>
        <v>TOP</v>
      </c>
      <c r="D24" s="14" t="str">
        <f>IFERROR(INDEX('قائمة الوحدات'!$C$2:$C$41,MATCH($B24,'قائمة الوحدات'!$A$2:$A$41,0)),"")</f>
        <v>المرتبطة بسمو الوزير</v>
      </c>
      <c r="E24" s="14" t="str">
        <f>IFERROR(INDEX('قائمة الوحدات'!$D$2:$D$41,MATCH($B24,'قائمة الوحدات'!$A$2:$A$41,0)),"")</f>
        <v>إدارة المتابعة والتقارير</v>
      </c>
      <c r="F24" s="14" t="str">
        <f>IFERROR(INDEX('قائمة الوحدات'!$F$2:$F$41,MATCH($B24,'قائمة الوحدات'!$A$2:$A$41,0)),"")</f>
        <v>إدارة المتابعة والتقارير</v>
      </c>
      <c r="G24" s="16" t="s">
        <v>43</v>
      </c>
      <c r="H24" s="14" t="str">
        <f>IFERROR(INDEX(المرجع!$A$2:$A$19,MATCH($G24,المرجع!$B$2:$B$19,0)),"")</f>
        <v>التصميم</v>
      </c>
      <c r="I24" s="16" t="s">
        <v>56</v>
      </c>
      <c r="J24" s="14" t="str">
        <f>IFERROR(INDEX(المرجع!$D$2:$D$19,MATCH($I24,المرجع!$E$2:$E$19,0)),"")</f>
        <v>الموارد</v>
      </c>
      <c r="K24" s="15">
        <f>IFERROR(INDEX(المرجع!$F$2:$F$19,MATCH($I24,المرجع!$E$2:$E$19,0)),"")</f>
        <v>5</v>
      </c>
      <c r="L24" s="15">
        <f>SUMIFS(المرجع!$H$2:$H$19,المرجع!$B$2:$B$19,$G24,المرجع!$E$2:$E$19,$I24)</f>
        <v>1</v>
      </c>
      <c r="M24" s="15">
        <f>COUNTIFS('المرتبطة بسمو الوزير'!$B$2:$B$151,$B24,'المرتبطة بسمو الوزير'!$G$2:$G$151,$G24,'المرتبطة بسمو الوزير'!$I$2:$I$151,$I24,'المرتبطة بسمو الوزير'!$M$2:$M$151,"&lt;&gt;")+COUNTIFS('الشؤون التنفيذية'!$B$2:$B$421,$B24,'الشؤون التنفيذية'!$G$2:$G$421,$G24,'الشؤون التنفيذية'!$I$2:$I$421,$I24,'الشؤون التنفيذية'!$N$2:$N$421,"&lt;&gt;")+COUNTIFS('الجهاز العسكري'!$B$2:$B$631,$B24,'الجهاز العسكري'!$G$2:$G$631,$G24,'الجهاز العسكري'!$I$2:$I$631,$I24,'الجهاز العسكري'!$M$2:$M$631,"&lt;&gt;")</f>
        <v>1</v>
      </c>
      <c r="N24" s="19">
        <f>IF($L24=0,0,ROUND((SUMIFS('المرتبطة بسمو الوزير'!$M$2:$M$151,'المرتبطة بسمو الوزير'!$B$2:$B$151,$B24,'المرتبطة بسمو الوزير'!$G$2:$G$151,$G24,'المرتبطة بسمو الوزير'!$I$2:$I$151,$I24)+SUMIFS('الشؤون التنفيذية'!$N$2:$N$421,'الشؤون التنفيذية'!$B$2:$B$421,$B24,'الشؤون التنفيذية'!$G$2:$G$421,$G24,'الشؤون التنفيذية'!$I$2:$I$421,$I24)+SUMIFS('الجهاز العسكري'!$M$2:$M$631,'الجهاز العسكري'!$B$2:$B$631,$B24,'الجهاز العسكري'!$G$2:$G$631,$G24,'الجهاز العسكري'!$I$2:$I$631,$I24))/$L24,0))</f>
        <v>96</v>
      </c>
      <c r="O24" s="18"/>
      <c r="P24" s="15">
        <f>SUMIFS(المرجع!$G$2:$G$19,المرجع!$B$2:$B$19,$G24,المرجع!$E$2:$E$19,$I24)</f>
        <v>20</v>
      </c>
      <c r="Q24" s="20">
        <f t="shared" si="0"/>
        <v>19.2</v>
      </c>
      <c r="R24" s="21" t="str">
        <f>IF($N24&gt;المرجع!$K$3,"متقدم",IF($N24&lt;=المرجع!$K$2,"أولي","جزئي"))</f>
        <v>متقدم</v>
      </c>
    </row>
    <row r="25" spans="1:18">
      <c r="A25" s="16" t="s">
        <v>1465</v>
      </c>
      <c r="B25" s="16" t="s">
        <v>146</v>
      </c>
      <c r="C25" s="15" t="str">
        <f>IFERROR(INDEX('قائمة الوحدات'!$B$2:$B$41,MATCH($B25,'قائمة الوحدات'!$A$2:$A$41,0)),"")</f>
        <v>TOP</v>
      </c>
      <c r="D25" s="14" t="str">
        <f>IFERROR(INDEX('قائمة الوحدات'!$C$2:$C$41,MATCH($B25,'قائمة الوحدات'!$A$2:$A$41,0)),"")</f>
        <v>المرتبطة بسمو الوزير</v>
      </c>
      <c r="E25" s="14" t="str">
        <f>IFERROR(INDEX('قائمة الوحدات'!$D$2:$D$41,MATCH($B25,'قائمة الوحدات'!$A$2:$A$41,0)),"")</f>
        <v>إدارة المتابعة والتقارير</v>
      </c>
      <c r="F25" s="14" t="str">
        <f>IFERROR(INDEX('قائمة الوحدات'!$F$2:$F$41,MATCH($B25,'قائمة الوحدات'!$A$2:$A$41,0)),"")</f>
        <v>إدارة المتابعة والتقارير</v>
      </c>
      <c r="G25" s="16" t="s">
        <v>43</v>
      </c>
      <c r="H25" s="14" t="str">
        <f>IFERROR(INDEX(المرجع!$A$2:$A$19,MATCH($G25,المرجع!$B$2:$B$19,0)),"")</f>
        <v>التصميم</v>
      </c>
      <c r="I25" s="16" t="s">
        <v>59</v>
      </c>
      <c r="J25" s="14" t="str">
        <f>IFERROR(INDEX(المرجع!$D$2:$D$19,MATCH($I25,المرجع!$E$2:$E$19,0)),"")</f>
        <v>الإجراءات</v>
      </c>
      <c r="K25" s="15">
        <f>IFERROR(INDEX(المرجع!$F$2:$F$19,MATCH($I25,المرجع!$E$2:$E$19,0)),"")</f>
        <v>6</v>
      </c>
      <c r="L25" s="15">
        <f>SUMIFS(المرجع!$H$2:$H$19,المرجع!$B$2:$B$19,$G25,المرجع!$E$2:$E$19,$I25)</f>
        <v>1</v>
      </c>
      <c r="M25" s="15">
        <f>COUNTIFS('المرتبطة بسمو الوزير'!$B$2:$B$151,$B25,'المرتبطة بسمو الوزير'!$G$2:$G$151,$G25,'المرتبطة بسمو الوزير'!$I$2:$I$151,$I25,'المرتبطة بسمو الوزير'!$M$2:$M$151,"&lt;&gt;")+COUNTIFS('الشؤون التنفيذية'!$B$2:$B$421,$B25,'الشؤون التنفيذية'!$G$2:$G$421,$G25,'الشؤون التنفيذية'!$I$2:$I$421,$I25,'الشؤون التنفيذية'!$N$2:$N$421,"&lt;&gt;")+COUNTIFS('الجهاز العسكري'!$B$2:$B$631,$B25,'الجهاز العسكري'!$G$2:$G$631,$G25,'الجهاز العسكري'!$I$2:$I$631,$I25,'الجهاز العسكري'!$M$2:$M$631,"&lt;&gt;")</f>
        <v>1</v>
      </c>
      <c r="N25" s="19">
        <f>IF($L25=0,0,ROUND((SUMIFS('المرتبطة بسمو الوزير'!$M$2:$M$151,'المرتبطة بسمو الوزير'!$B$2:$B$151,$B25,'المرتبطة بسمو الوزير'!$G$2:$G$151,$G25,'المرتبطة بسمو الوزير'!$I$2:$I$151,$I25)+SUMIFS('الشؤون التنفيذية'!$N$2:$N$421,'الشؤون التنفيذية'!$B$2:$B$421,$B25,'الشؤون التنفيذية'!$G$2:$G$421,$G25,'الشؤون التنفيذية'!$I$2:$I$421,$I25)+SUMIFS('الجهاز العسكري'!$M$2:$M$631,'الجهاز العسكري'!$B$2:$B$631,$B25,'الجهاز العسكري'!$G$2:$G$631,$G25,'الجهاز العسكري'!$I$2:$I$631,$I25))/$L25,0))</f>
        <v>68</v>
      </c>
      <c r="O25" s="18"/>
      <c r="P25" s="15">
        <f>SUMIFS(المرجع!$G$2:$G$19,المرجع!$B$2:$B$19,$G25,المرجع!$E$2:$E$19,$I25)</f>
        <v>5</v>
      </c>
      <c r="Q25" s="20">
        <f t="shared" si="0"/>
        <v>3.4</v>
      </c>
      <c r="R25" s="21" t="str">
        <f>IF($N25&gt;المرجع!$K$3,"متقدم",IF($N25&lt;=المرجع!$K$2,"أولي","جزئي"))</f>
        <v>جزئي</v>
      </c>
    </row>
    <row r="26" spans="1:18">
      <c r="A26" s="16" t="s">
        <v>1466</v>
      </c>
      <c r="B26" s="16" t="s">
        <v>146</v>
      </c>
      <c r="C26" s="15" t="str">
        <f>IFERROR(INDEX('قائمة الوحدات'!$B$2:$B$41,MATCH($B26,'قائمة الوحدات'!$A$2:$A$41,0)),"")</f>
        <v>TOP</v>
      </c>
      <c r="D26" s="14" t="str">
        <f>IFERROR(INDEX('قائمة الوحدات'!$C$2:$C$41,MATCH($B26,'قائمة الوحدات'!$A$2:$A$41,0)),"")</f>
        <v>المرتبطة بسمو الوزير</v>
      </c>
      <c r="E26" s="14" t="str">
        <f>IFERROR(INDEX('قائمة الوحدات'!$D$2:$D$41,MATCH($B26,'قائمة الوحدات'!$A$2:$A$41,0)),"")</f>
        <v>إدارة المتابعة والتقارير</v>
      </c>
      <c r="F26" s="14" t="str">
        <f>IFERROR(INDEX('قائمة الوحدات'!$F$2:$F$41,MATCH($B26,'قائمة الوحدات'!$A$2:$A$41,0)),"")</f>
        <v>إدارة المتابعة والتقارير</v>
      </c>
      <c r="G26" s="16" t="s">
        <v>61</v>
      </c>
      <c r="H26" s="14" t="str">
        <f>IFERROR(INDEX(المرجع!$A$2:$A$19,MATCH($G26,المرجع!$B$2:$B$19,0)),"")</f>
        <v>البناء المؤسسي</v>
      </c>
      <c r="I26" s="16" t="s">
        <v>45</v>
      </c>
      <c r="J26" s="14" t="str">
        <f>IFERROR(INDEX(المرجع!$D$2:$D$19,MATCH($I26,المرجع!$E$2:$E$19,0)),"")</f>
        <v>الدور</v>
      </c>
      <c r="K26" s="15">
        <f>IFERROR(INDEX(المرجع!$F$2:$F$19,MATCH($I26,المرجع!$E$2:$E$19,0)),"")</f>
        <v>1</v>
      </c>
      <c r="L26" s="15">
        <f>SUMIFS(المرجع!$H$2:$H$19,المرجع!$B$2:$B$19,$G26,المرجع!$E$2:$E$19,$I26)</f>
        <v>1</v>
      </c>
      <c r="M26" s="15">
        <f>COUNTIFS('المرتبطة بسمو الوزير'!$B$2:$B$151,$B26,'المرتبطة بسمو الوزير'!$G$2:$G$151,$G26,'المرتبطة بسمو الوزير'!$I$2:$I$151,$I26,'المرتبطة بسمو الوزير'!$M$2:$M$151,"&lt;&gt;")+COUNTIFS('الشؤون التنفيذية'!$B$2:$B$421,$B26,'الشؤون التنفيذية'!$G$2:$G$421,$G26,'الشؤون التنفيذية'!$I$2:$I$421,$I26,'الشؤون التنفيذية'!$N$2:$N$421,"&lt;&gt;")+COUNTIFS('الجهاز العسكري'!$B$2:$B$631,$B26,'الجهاز العسكري'!$G$2:$G$631,$G26,'الجهاز العسكري'!$I$2:$I$631,$I26,'الجهاز العسكري'!$M$2:$M$631,"&lt;&gt;")</f>
        <v>1</v>
      </c>
      <c r="N26" s="19">
        <f>IF($L26=0,0,ROUND((SUMIFS('المرتبطة بسمو الوزير'!$M$2:$M$151,'المرتبطة بسمو الوزير'!$B$2:$B$151,$B26,'المرتبطة بسمو الوزير'!$G$2:$G$151,$G26,'المرتبطة بسمو الوزير'!$I$2:$I$151,$I26)+SUMIFS('الشؤون التنفيذية'!$N$2:$N$421,'الشؤون التنفيذية'!$B$2:$B$421,$B26,'الشؤون التنفيذية'!$G$2:$G$421,$G26,'الشؤون التنفيذية'!$I$2:$I$421,$I26)+SUMIFS('الجهاز العسكري'!$M$2:$M$631,'الجهاز العسكري'!$B$2:$B$631,$B26,'الجهاز العسكري'!$G$2:$G$631,$G26,'الجهاز العسكري'!$I$2:$I$631,$I26))/$L26,0))</f>
        <v>86</v>
      </c>
      <c r="O26" s="18"/>
      <c r="P26" s="15">
        <f>SUMIFS(المرجع!$G$2:$G$19,المرجع!$B$2:$B$19,$G26,المرجع!$E$2:$E$19,$I26)</f>
        <v>15</v>
      </c>
      <c r="Q26" s="20">
        <f t="shared" si="0"/>
        <v>12.9</v>
      </c>
      <c r="R26" s="21" t="str">
        <f>IF($N26&gt;المرجع!$K$3,"متقدم",IF($N26&lt;=المرجع!$K$2,"أولي","جزئي"))</f>
        <v>متقدم</v>
      </c>
    </row>
    <row r="27" spans="1:18">
      <c r="A27" s="16" t="s">
        <v>1467</v>
      </c>
      <c r="B27" s="16" t="s">
        <v>146</v>
      </c>
      <c r="C27" s="15" t="str">
        <f>IFERROR(INDEX('قائمة الوحدات'!$B$2:$B$41,MATCH($B27,'قائمة الوحدات'!$A$2:$A$41,0)),"")</f>
        <v>TOP</v>
      </c>
      <c r="D27" s="14" t="str">
        <f>IFERROR(INDEX('قائمة الوحدات'!$C$2:$C$41,MATCH($B27,'قائمة الوحدات'!$A$2:$A$41,0)),"")</f>
        <v>المرتبطة بسمو الوزير</v>
      </c>
      <c r="E27" s="14" t="str">
        <f>IFERROR(INDEX('قائمة الوحدات'!$D$2:$D$41,MATCH($B27,'قائمة الوحدات'!$A$2:$A$41,0)),"")</f>
        <v>إدارة المتابعة والتقارير</v>
      </c>
      <c r="F27" s="14" t="str">
        <f>IFERROR(INDEX('قائمة الوحدات'!$F$2:$F$41,MATCH($B27,'قائمة الوحدات'!$A$2:$A$41,0)),"")</f>
        <v>إدارة المتابعة والتقارير</v>
      </c>
      <c r="G27" s="16" t="s">
        <v>61</v>
      </c>
      <c r="H27" s="14" t="str">
        <f>IFERROR(INDEX(المرجع!$A$2:$A$19,MATCH($G27,المرجع!$B$2:$B$19,0)),"")</f>
        <v>البناء المؤسسي</v>
      </c>
      <c r="I27" s="16" t="s">
        <v>48</v>
      </c>
      <c r="J27" s="14" t="str">
        <f>IFERROR(INDEX(المرجع!$D$2:$D$19,MATCH($I27,المرجع!$E$2:$E$19,0)),"")</f>
        <v>الأهداف ومؤشرات الأداء</v>
      </c>
      <c r="K27" s="15">
        <f>IFERROR(INDEX(المرجع!$F$2:$F$19,MATCH($I27,المرجع!$E$2:$E$19,0)),"")</f>
        <v>2</v>
      </c>
      <c r="L27" s="15">
        <f>SUMIFS(المرجع!$H$2:$H$19,المرجع!$B$2:$B$19,$G27,المرجع!$E$2:$E$19,$I27)</f>
        <v>2</v>
      </c>
      <c r="M27" s="15">
        <f>COUNTIFS('المرتبطة بسمو الوزير'!$B$2:$B$151,$B27,'المرتبطة بسمو الوزير'!$G$2:$G$151,$G27,'المرتبطة بسمو الوزير'!$I$2:$I$151,$I27,'المرتبطة بسمو الوزير'!$M$2:$M$151,"&lt;&gt;")+COUNTIFS('الشؤون التنفيذية'!$B$2:$B$421,$B27,'الشؤون التنفيذية'!$G$2:$G$421,$G27,'الشؤون التنفيذية'!$I$2:$I$421,$I27,'الشؤون التنفيذية'!$N$2:$N$421,"&lt;&gt;")+COUNTIFS('الجهاز العسكري'!$B$2:$B$631,$B27,'الجهاز العسكري'!$G$2:$G$631,$G27,'الجهاز العسكري'!$I$2:$I$631,$I27,'الجهاز العسكري'!$M$2:$M$631,"&lt;&gt;")</f>
        <v>2</v>
      </c>
      <c r="N27" s="19">
        <f>IF($L27=0,0,ROUND((SUMIFS('المرتبطة بسمو الوزير'!$M$2:$M$151,'المرتبطة بسمو الوزير'!$B$2:$B$151,$B27,'المرتبطة بسمو الوزير'!$G$2:$G$151,$G27,'المرتبطة بسمو الوزير'!$I$2:$I$151,$I27)+SUMIFS('الشؤون التنفيذية'!$N$2:$N$421,'الشؤون التنفيذية'!$B$2:$B$421,$B27,'الشؤون التنفيذية'!$G$2:$G$421,$G27,'الشؤون التنفيذية'!$I$2:$I$421,$I27)+SUMIFS('الجهاز العسكري'!$M$2:$M$631,'الجهاز العسكري'!$B$2:$B$631,$B27,'الجهاز العسكري'!$G$2:$G$631,$G27,'الجهاز العسكري'!$I$2:$I$631,$I27))/$L27,0))</f>
        <v>48</v>
      </c>
      <c r="O27" s="18"/>
      <c r="P27" s="15">
        <f>SUMIFS(المرجع!$G$2:$G$19,المرجع!$B$2:$B$19,$G27,المرجع!$E$2:$E$19,$I27)</f>
        <v>15</v>
      </c>
      <c r="Q27" s="20">
        <f t="shared" si="0"/>
        <v>7.2</v>
      </c>
      <c r="R27" s="21" t="str">
        <f>IF($N27&gt;المرجع!$K$3,"متقدم",IF($N27&lt;=المرجع!$K$2,"أولي","جزئي"))</f>
        <v>جزئي</v>
      </c>
    </row>
    <row r="28" spans="1:18">
      <c r="A28" s="16" t="s">
        <v>1468</v>
      </c>
      <c r="B28" s="16" t="s">
        <v>146</v>
      </c>
      <c r="C28" s="15" t="str">
        <f>IFERROR(INDEX('قائمة الوحدات'!$B$2:$B$41,MATCH($B28,'قائمة الوحدات'!$A$2:$A$41,0)),"")</f>
        <v>TOP</v>
      </c>
      <c r="D28" s="14" t="str">
        <f>IFERROR(INDEX('قائمة الوحدات'!$C$2:$C$41,MATCH($B28,'قائمة الوحدات'!$A$2:$A$41,0)),"")</f>
        <v>المرتبطة بسمو الوزير</v>
      </c>
      <c r="E28" s="14" t="str">
        <f>IFERROR(INDEX('قائمة الوحدات'!$D$2:$D$41,MATCH($B28,'قائمة الوحدات'!$A$2:$A$41,0)),"")</f>
        <v>إدارة المتابعة والتقارير</v>
      </c>
      <c r="F28" s="14" t="str">
        <f>IFERROR(INDEX('قائمة الوحدات'!$F$2:$F$41,MATCH($B28,'قائمة الوحدات'!$A$2:$A$41,0)),"")</f>
        <v>إدارة المتابعة والتقارير</v>
      </c>
      <c r="G28" s="16" t="s">
        <v>61</v>
      </c>
      <c r="H28" s="14" t="str">
        <f>IFERROR(INDEX(المرجع!$A$2:$A$19,MATCH($G28,المرجع!$B$2:$B$19,0)),"")</f>
        <v>البناء المؤسسي</v>
      </c>
      <c r="I28" s="16" t="s">
        <v>51</v>
      </c>
      <c r="J28" s="14" t="str">
        <f>IFERROR(INDEX(المرجع!$D$2:$D$19,MATCH($I28,المرجع!$E$2:$E$19,0)),"")</f>
        <v>الحوكمة</v>
      </c>
      <c r="K28" s="15">
        <f>IFERROR(INDEX(المرجع!$F$2:$F$19,MATCH($I28,المرجع!$E$2:$E$19,0)),"")</f>
        <v>3</v>
      </c>
      <c r="L28" s="15">
        <f>SUMIFS(المرجع!$H$2:$H$19,المرجع!$B$2:$B$19,$G28,المرجع!$E$2:$E$19,$I28)</f>
        <v>3</v>
      </c>
      <c r="M28" s="15">
        <f>COUNTIFS('المرتبطة بسمو الوزير'!$B$2:$B$151,$B28,'المرتبطة بسمو الوزير'!$G$2:$G$151,$G28,'المرتبطة بسمو الوزير'!$I$2:$I$151,$I28,'المرتبطة بسمو الوزير'!$M$2:$M$151,"&lt;&gt;")+COUNTIFS('الشؤون التنفيذية'!$B$2:$B$421,$B28,'الشؤون التنفيذية'!$G$2:$G$421,$G28,'الشؤون التنفيذية'!$I$2:$I$421,$I28,'الشؤون التنفيذية'!$N$2:$N$421,"&lt;&gt;")+COUNTIFS('الجهاز العسكري'!$B$2:$B$631,$B28,'الجهاز العسكري'!$G$2:$G$631,$G28,'الجهاز العسكري'!$I$2:$I$631,$I28,'الجهاز العسكري'!$M$2:$M$631,"&lt;&gt;")</f>
        <v>3</v>
      </c>
      <c r="N28" s="19">
        <f>IF($L28=0,0,ROUND((SUMIFS('المرتبطة بسمو الوزير'!$M$2:$M$151,'المرتبطة بسمو الوزير'!$B$2:$B$151,$B28,'المرتبطة بسمو الوزير'!$G$2:$G$151,$G28,'المرتبطة بسمو الوزير'!$I$2:$I$151,$I28)+SUMIFS('الشؤون التنفيذية'!$N$2:$N$421,'الشؤون التنفيذية'!$B$2:$B$421,$B28,'الشؤون التنفيذية'!$G$2:$G$421,$G28,'الشؤون التنفيذية'!$I$2:$I$421,$I28)+SUMIFS('الجهاز العسكري'!$M$2:$M$631,'الجهاز العسكري'!$B$2:$B$631,$B28,'الجهاز العسكري'!$G$2:$G$631,$G28,'الجهاز العسكري'!$I$2:$I$631,$I28))/$L28,0))</f>
        <v>65</v>
      </c>
      <c r="O28" s="18"/>
      <c r="P28" s="15">
        <f>SUMIFS(المرجع!$G$2:$G$19,المرجع!$B$2:$B$19,$G28,المرجع!$E$2:$E$19,$I28)</f>
        <v>15</v>
      </c>
      <c r="Q28" s="20">
        <f t="shared" si="0"/>
        <v>9.75</v>
      </c>
      <c r="R28" s="21" t="str">
        <f>IF($N28&gt;المرجع!$K$3,"متقدم",IF($N28&lt;=المرجع!$K$2,"أولي","جزئي"))</f>
        <v>جزئي</v>
      </c>
    </row>
    <row r="29" spans="1:18">
      <c r="A29" s="16" t="s">
        <v>1469</v>
      </c>
      <c r="B29" s="16" t="s">
        <v>146</v>
      </c>
      <c r="C29" s="15" t="str">
        <f>IFERROR(INDEX('قائمة الوحدات'!$B$2:$B$41,MATCH($B29,'قائمة الوحدات'!$A$2:$A$41,0)),"")</f>
        <v>TOP</v>
      </c>
      <c r="D29" s="14" t="str">
        <f>IFERROR(INDEX('قائمة الوحدات'!$C$2:$C$41,MATCH($B29,'قائمة الوحدات'!$A$2:$A$41,0)),"")</f>
        <v>المرتبطة بسمو الوزير</v>
      </c>
      <c r="E29" s="14" t="str">
        <f>IFERROR(INDEX('قائمة الوحدات'!$D$2:$D$41,MATCH($B29,'قائمة الوحدات'!$A$2:$A$41,0)),"")</f>
        <v>إدارة المتابعة والتقارير</v>
      </c>
      <c r="F29" s="14" t="str">
        <f>IFERROR(INDEX('قائمة الوحدات'!$F$2:$F$41,MATCH($B29,'قائمة الوحدات'!$A$2:$A$41,0)),"")</f>
        <v>إدارة المتابعة والتقارير</v>
      </c>
      <c r="G29" s="16" t="s">
        <v>61</v>
      </c>
      <c r="H29" s="14" t="str">
        <f>IFERROR(INDEX(المرجع!$A$2:$A$19,MATCH($G29,المرجع!$B$2:$B$19,0)),"")</f>
        <v>البناء المؤسسي</v>
      </c>
      <c r="I29" s="16" t="s">
        <v>54</v>
      </c>
      <c r="J29" s="14" t="str">
        <f>IFERROR(INDEX(المرجع!$D$2:$D$19,MATCH($I29,المرجع!$E$2:$E$19,0)),"")</f>
        <v>التنظيم</v>
      </c>
      <c r="K29" s="15">
        <f>IFERROR(INDEX(المرجع!$F$2:$F$19,MATCH($I29,المرجع!$E$2:$E$19,0)),"")</f>
        <v>4</v>
      </c>
      <c r="L29" s="15">
        <f>SUMIFS(المرجع!$H$2:$H$19,المرجع!$B$2:$B$19,$G29,المرجع!$E$2:$E$19,$I29)</f>
        <v>3</v>
      </c>
      <c r="M29" s="15">
        <f>COUNTIFS('المرتبطة بسمو الوزير'!$B$2:$B$151,$B29,'المرتبطة بسمو الوزير'!$G$2:$G$151,$G29,'المرتبطة بسمو الوزير'!$I$2:$I$151,$I29,'المرتبطة بسمو الوزير'!$M$2:$M$151,"&lt;&gt;")+COUNTIFS('الشؤون التنفيذية'!$B$2:$B$421,$B29,'الشؤون التنفيذية'!$G$2:$G$421,$G29,'الشؤون التنفيذية'!$I$2:$I$421,$I29,'الشؤون التنفيذية'!$N$2:$N$421,"&lt;&gt;")+COUNTIFS('الجهاز العسكري'!$B$2:$B$631,$B29,'الجهاز العسكري'!$G$2:$G$631,$G29,'الجهاز العسكري'!$I$2:$I$631,$I29,'الجهاز العسكري'!$M$2:$M$631,"&lt;&gt;")</f>
        <v>3</v>
      </c>
      <c r="N29" s="19">
        <f>IF($L29=0,0,ROUND((SUMIFS('المرتبطة بسمو الوزير'!$M$2:$M$151,'المرتبطة بسمو الوزير'!$B$2:$B$151,$B29,'المرتبطة بسمو الوزير'!$G$2:$G$151,$G29,'المرتبطة بسمو الوزير'!$I$2:$I$151,$I29)+SUMIFS('الشؤون التنفيذية'!$N$2:$N$421,'الشؤون التنفيذية'!$B$2:$B$421,$B29,'الشؤون التنفيذية'!$G$2:$G$421,$G29,'الشؤون التنفيذية'!$I$2:$I$421,$I29)+SUMIFS('الجهاز العسكري'!$M$2:$M$631,'الجهاز العسكري'!$B$2:$B$631,$B29,'الجهاز العسكري'!$G$2:$G$631,$G29,'الجهاز العسكري'!$I$2:$I$631,$I29))/$L29,0))</f>
        <v>47</v>
      </c>
      <c r="O29" s="18"/>
      <c r="P29" s="15">
        <f>SUMIFS(المرجع!$G$2:$G$19,المرجع!$B$2:$B$19,$G29,المرجع!$E$2:$E$19,$I29)</f>
        <v>20</v>
      </c>
      <c r="Q29" s="20">
        <f t="shared" si="0"/>
        <v>9.4</v>
      </c>
      <c r="R29" s="21" t="str">
        <f>IF($N29&gt;المرجع!$K$3,"متقدم",IF($N29&lt;=المرجع!$K$2,"أولي","جزئي"))</f>
        <v>جزئي</v>
      </c>
    </row>
    <row r="30" spans="1:18">
      <c r="A30" s="16" t="s">
        <v>1470</v>
      </c>
      <c r="B30" s="16" t="s">
        <v>146</v>
      </c>
      <c r="C30" s="15" t="str">
        <f>IFERROR(INDEX('قائمة الوحدات'!$B$2:$B$41,MATCH($B30,'قائمة الوحدات'!$A$2:$A$41,0)),"")</f>
        <v>TOP</v>
      </c>
      <c r="D30" s="14" t="str">
        <f>IFERROR(INDEX('قائمة الوحدات'!$C$2:$C$41,MATCH($B30,'قائمة الوحدات'!$A$2:$A$41,0)),"")</f>
        <v>المرتبطة بسمو الوزير</v>
      </c>
      <c r="E30" s="14" t="str">
        <f>IFERROR(INDEX('قائمة الوحدات'!$D$2:$D$41,MATCH($B30,'قائمة الوحدات'!$A$2:$A$41,0)),"")</f>
        <v>إدارة المتابعة والتقارير</v>
      </c>
      <c r="F30" s="14" t="str">
        <f>IFERROR(INDEX('قائمة الوحدات'!$F$2:$F$41,MATCH($B30,'قائمة الوحدات'!$A$2:$A$41,0)),"")</f>
        <v>إدارة المتابعة والتقارير</v>
      </c>
      <c r="G30" s="16" t="s">
        <v>61</v>
      </c>
      <c r="H30" s="14" t="str">
        <f>IFERROR(INDEX(المرجع!$A$2:$A$19,MATCH($G30,المرجع!$B$2:$B$19,0)),"")</f>
        <v>البناء المؤسسي</v>
      </c>
      <c r="I30" s="16" t="s">
        <v>56</v>
      </c>
      <c r="J30" s="14" t="str">
        <f>IFERROR(INDEX(المرجع!$D$2:$D$19,MATCH($I30,المرجع!$E$2:$E$19,0)),"")</f>
        <v>الموارد</v>
      </c>
      <c r="K30" s="15">
        <f>IFERROR(INDEX(المرجع!$F$2:$F$19,MATCH($I30,المرجع!$E$2:$E$19,0)),"")</f>
        <v>5</v>
      </c>
      <c r="L30" s="15">
        <f>SUMIFS(المرجع!$H$2:$H$19,المرجع!$B$2:$B$19,$G30,المرجع!$E$2:$E$19,$I30)</f>
        <v>4</v>
      </c>
      <c r="M30" s="15">
        <f>COUNTIFS('المرتبطة بسمو الوزير'!$B$2:$B$151,$B30,'المرتبطة بسمو الوزير'!$G$2:$G$151,$G30,'المرتبطة بسمو الوزير'!$I$2:$I$151,$I30,'المرتبطة بسمو الوزير'!$M$2:$M$151,"&lt;&gt;")+COUNTIFS('الشؤون التنفيذية'!$B$2:$B$421,$B30,'الشؤون التنفيذية'!$G$2:$G$421,$G30,'الشؤون التنفيذية'!$I$2:$I$421,$I30,'الشؤون التنفيذية'!$N$2:$N$421,"&lt;&gt;")+COUNTIFS('الجهاز العسكري'!$B$2:$B$631,$B30,'الجهاز العسكري'!$G$2:$G$631,$G30,'الجهاز العسكري'!$I$2:$I$631,$I30,'الجهاز العسكري'!$M$2:$M$631,"&lt;&gt;")</f>
        <v>4</v>
      </c>
      <c r="N30" s="19">
        <f>IF($L30=0,0,ROUND((SUMIFS('المرتبطة بسمو الوزير'!$M$2:$M$151,'المرتبطة بسمو الوزير'!$B$2:$B$151,$B30,'المرتبطة بسمو الوزير'!$G$2:$G$151,$G30,'المرتبطة بسمو الوزير'!$I$2:$I$151,$I30)+SUMIFS('الشؤون التنفيذية'!$N$2:$N$421,'الشؤون التنفيذية'!$B$2:$B$421,$B30,'الشؤون التنفيذية'!$G$2:$G$421,$G30,'الشؤون التنفيذية'!$I$2:$I$421,$I30)+SUMIFS('الجهاز العسكري'!$M$2:$M$631,'الجهاز العسكري'!$B$2:$B$631,$B30,'الجهاز العسكري'!$G$2:$G$631,$G30,'الجهاز العسكري'!$I$2:$I$631,$I30))/$L30,0))</f>
        <v>81</v>
      </c>
      <c r="O30" s="18"/>
      <c r="P30" s="15">
        <f>SUMIFS(المرجع!$G$2:$G$19,المرجع!$B$2:$B$19,$G30,المرجع!$E$2:$E$19,$I30)</f>
        <v>25</v>
      </c>
      <c r="Q30" s="20">
        <f t="shared" si="0"/>
        <v>20.25</v>
      </c>
      <c r="R30" s="21" t="str">
        <f>IF($N30&gt;المرجع!$K$3,"متقدم",IF($N30&lt;=المرجع!$K$2,"أولي","جزئي"))</f>
        <v>متقدم</v>
      </c>
    </row>
    <row r="31" spans="1:18">
      <c r="A31" s="16" t="s">
        <v>1471</v>
      </c>
      <c r="B31" s="16" t="s">
        <v>146</v>
      </c>
      <c r="C31" s="15" t="str">
        <f>IFERROR(INDEX('قائمة الوحدات'!$B$2:$B$41,MATCH($B31,'قائمة الوحدات'!$A$2:$A$41,0)),"")</f>
        <v>TOP</v>
      </c>
      <c r="D31" s="14" t="str">
        <f>IFERROR(INDEX('قائمة الوحدات'!$C$2:$C$41,MATCH($B31,'قائمة الوحدات'!$A$2:$A$41,0)),"")</f>
        <v>المرتبطة بسمو الوزير</v>
      </c>
      <c r="E31" s="14" t="str">
        <f>IFERROR(INDEX('قائمة الوحدات'!$D$2:$D$41,MATCH($B31,'قائمة الوحدات'!$A$2:$A$41,0)),"")</f>
        <v>إدارة المتابعة والتقارير</v>
      </c>
      <c r="F31" s="14" t="str">
        <f>IFERROR(INDEX('قائمة الوحدات'!$F$2:$F$41,MATCH($B31,'قائمة الوحدات'!$A$2:$A$41,0)),"")</f>
        <v>إدارة المتابعة والتقارير</v>
      </c>
      <c r="G31" s="16" t="s">
        <v>61</v>
      </c>
      <c r="H31" s="14" t="str">
        <f>IFERROR(INDEX(المرجع!$A$2:$A$19,MATCH($G31,المرجع!$B$2:$B$19,0)),"")</f>
        <v>البناء المؤسسي</v>
      </c>
      <c r="I31" s="16" t="s">
        <v>59</v>
      </c>
      <c r="J31" s="14" t="str">
        <f>IFERROR(INDEX(المرجع!$D$2:$D$19,MATCH($I31,المرجع!$E$2:$E$19,0)),"")</f>
        <v>الإجراءات</v>
      </c>
      <c r="K31" s="15">
        <f>IFERROR(INDEX(المرجع!$F$2:$F$19,MATCH($I31,المرجع!$E$2:$E$19,0)),"")</f>
        <v>6</v>
      </c>
      <c r="L31" s="15">
        <f>SUMIFS(المرجع!$H$2:$H$19,المرجع!$B$2:$B$19,$G31,المرجع!$E$2:$E$19,$I31)</f>
        <v>1</v>
      </c>
      <c r="M31" s="15">
        <f>COUNTIFS('المرتبطة بسمو الوزير'!$B$2:$B$151,$B31,'المرتبطة بسمو الوزير'!$G$2:$G$151,$G31,'المرتبطة بسمو الوزير'!$I$2:$I$151,$I31,'المرتبطة بسمو الوزير'!$M$2:$M$151,"&lt;&gt;")+COUNTIFS('الشؤون التنفيذية'!$B$2:$B$421,$B31,'الشؤون التنفيذية'!$G$2:$G$421,$G31,'الشؤون التنفيذية'!$I$2:$I$421,$I31,'الشؤون التنفيذية'!$N$2:$N$421,"&lt;&gt;")+COUNTIFS('الجهاز العسكري'!$B$2:$B$631,$B31,'الجهاز العسكري'!$G$2:$G$631,$G31,'الجهاز العسكري'!$I$2:$I$631,$I31,'الجهاز العسكري'!$M$2:$M$631,"&lt;&gt;")</f>
        <v>1</v>
      </c>
      <c r="N31" s="19">
        <f>IF($L31=0,0,ROUND((SUMIFS('المرتبطة بسمو الوزير'!$M$2:$M$151,'المرتبطة بسمو الوزير'!$B$2:$B$151,$B31,'المرتبطة بسمو الوزير'!$G$2:$G$151,$G31,'المرتبطة بسمو الوزير'!$I$2:$I$151,$I31)+SUMIFS('الشؤون التنفيذية'!$N$2:$N$421,'الشؤون التنفيذية'!$B$2:$B$421,$B31,'الشؤون التنفيذية'!$G$2:$G$421,$G31,'الشؤون التنفيذية'!$I$2:$I$421,$I31)+SUMIFS('الجهاز العسكري'!$M$2:$M$631,'الجهاز العسكري'!$B$2:$B$631,$B31,'الجهاز العسكري'!$G$2:$G$631,$G31,'الجهاز العسكري'!$I$2:$I$631,$I31))/$L31,0))</f>
        <v>48</v>
      </c>
      <c r="O31" s="18"/>
      <c r="P31" s="15">
        <f>SUMIFS(المرجع!$G$2:$G$19,المرجع!$B$2:$B$19,$G31,المرجع!$E$2:$E$19,$I31)</f>
        <v>5</v>
      </c>
      <c r="Q31" s="20">
        <f t="shared" si="0"/>
        <v>2.4</v>
      </c>
      <c r="R31" s="21" t="str">
        <f>IF($N31&gt;المرجع!$K$3,"متقدم",IF($N31&lt;=المرجع!$K$2,"أولي","جزئي"))</f>
        <v>جزئي</v>
      </c>
    </row>
    <row r="32" spans="1:18">
      <c r="A32" s="16" t="s">
        <v>1472</v>
      </c>
      <c r="B32" s="16" t="s">
        <v>146</v>
      </c>
      <c r="C32" s="15" t="str">
        <f>IFERROR(INDEX('قائمة الوحدات'!$B$2:$B$41,MATCH($B32,'قائمة الوحدات'!$A$2:$A$41,0)),"")</f>
        <v>TOP</v>
      </c>
      <c r="D32" s="14" t="str">
        <f>IFERROR(INDEX('قائمة الوحدات'!$C$2:$C$41,MATCH($B32,'قائمة الوحدات'!$A$2:$A$41,0)),"")</f>
        <v>المرتبطة بسمو الوزير</v>
      </c>
      <c r="E32" s="14" t="str">
        <f>IFERROR(INDEX('قائمة الوحدات'!$D$2:$D$41,MATCH($B32,'قائمة الوحدات'!$A$2:$A$41,0)),"")</f>
        <v>إدارة المتابعة والتقارير</v>
      </c>
      <c r="F32" s="14" t="str">
        <f>IFERROR(INDEX('قائمة الوحدات'!$F$2:$F$41,MATCH($B32,'قائمة الوحدات'!$A$2:$A$41,0)),"")</f>
        <v>إدارة المتابعة والتقارير</v>
      </c>
      <c r="G32" s="16" t="s">
        <v>61</v>
      </c>
      <c r="H32" s="14" t="str">
        <f>IFERROR(INDEX(المرجع!$A$2:$A$19,MATCH($G32,المرجع!$B$2:$B$19,0)),"")</f>
        <v>البناء المؤسسي</v>
      </c>
      <c r="I32" s="16" t="s">
        <v>63</v>
      </c>
      <c r="J32" s="14" t="str">
        <f>IFERROR(INDEX(المرجع!$D$2:$D$19,MATCH($I32,المرجع!$E$2:$E$19,0)),"")</f>
        <v>إنتاج المخرج الأول</v>
      </c>
      <c r="K32" s="15">
        <f>IFERROR(INDEX(المرجع!$F$2:$F$19,MATCH($I32,المرجع!$E$2:$E$19,0)),"")</f>
        <v>7</v>
      </c>
      <c r="L32" s="15">
        <f>SUMIFS(المرجع!$H$2:$H$19,المرجع!$B$2:$B$19,$G32,المرجع!$E$2:$E$19,$I32)</f>
        <v>1</v>
      </c>
      <c r="M32" s="15">
        <f>COUNTIFS('المرتبطة بسمو الوزير'!$B$2:$B$151,$B32,'المرتبطة بسمو الوزير'!$G$2:$G$151,$G32,'المرتبطة بسمو الوزير'!$I$2:$I$151,$I32,'المرتبطة بسمو الوزير'!$M$2:$M$151,"&lt;&gt;")+COUNTIFS('الشؤون التنفيذية'!$B$2:$B$421,$B32,'الشؤون التنفيذية'!$G$2:$G$421,$G32,'الشؤون التنفيذية'!$I$2:$I$421,$I32,'الشؤون التنفيذية'!$N$2:$N$421,"&lt;&gt;")+COUNTIFS('الجهاز العسكري'!$B$2:$B$631,$B32,'الجهاز العسكري'!$G$2:$G$631,$G32,'الجهاز العسكري'!$I$2:$I$631,$I32,'الجهاز العسكري'!$M$2:$M$631,"&lt;&gt;")</f>
        <v>1</v>
      </c>
      <c r="N32" s="19">
        <f>IF($L32=0,0,ROUND((SUMIFS('المرتبطة بسمو الوزير'!$M$2:$M$151,'المرتبطة بسمو الوزير'!$B$2:$B$151,$B32,'المرتبطة بسمو الوزير'!$G$2:$G$151,$G32,'المرتبطة بسمو الوزير'!$I$2:$I$151,$I32)+SUMIFS('الشؤون التنفيذية'!$N$2:$N$421,'الشؤون التنفيذية'!$B$2:$B$421,$B32,'الشؤون التنفيذية'!$G$2:$G$421,$G32,'الشؤون التنفيذية'!$I$2:$I$421,$I32)+SUMIFS('الجهاز العسكري'!$M$2:$M$631,'الجهاز العسكري'!$B$2:$B$631,$B32,'الجهاز العسكري'!$G$2:$G$631,$G32,'الجهاز العسكري'!$I$2:$I$631,$I32))/$L32,0))</f>
        <v>52</v>
      </c>
      <c r="O32" s="18"/>
      <c r="P32" s="15">
        <f>SUMIFS(المرجع!$G$2:$G$19,المرجع!$B$2:$B$19,$G32,المرجع!$E$2:$E$19,$I32)</f>
        <v>5</v>
      </c>
      <c r="Q32" s="20">
        <f t="shared" si="0"/>
        <v>2.6</v>
      </c>
      <c r="R32" s="21" t="str">
        <f>IF($N32&gt;المرجع!$K$3,"متقدم",IF($N32&lt;=المرجع!$K$2,"أولي","جزئي"))</f>
        <v>جزئي</v>
      </c>
    </row>
    <row r="33" spans="1:18">
      <c r="A33" s="16" t="s">
        <v>1473</v>
      </c>
      <c r="B33" s="16" t="s">
        <v>146</v>
      </c>
      <c r="C33" s="15" t="str">
        <f>IFERROR(INDEX('قائمة الوحدات'!$B$2:$B$41,MATCH($B33,'قائمة الوحدات'!$A$2:$A$41,0)),"")</f>
        <v>TOP</v>
      </c>
      <c r="D33" s="14" t="str">
        <f>IFERROR(INDEX('قائمة الوحدات'!$C$2:$C$41,MATCH($B33,'قائمة الوحدات'!$A$2:$A$41,0)),"")</f>
        <v>المرتبطة بسمو الوزير</v>
      </c>
      <c r="E33" s="14" t="str">
        <f>IFERROR(INDEX('قائمة الوحدات'!$D$2:$D$41,MATCH($B33,'قائمة الوحدات'!$A$2:$A$41,0)),"")</f>
        <v>إدارة المتابعة والتقارير</v>
      </c>
      <c r="F33" s="14" t="str">
        <f>IFERROR(INDEX('قائمة الوحدات'!$F$2:$F$41,MATCH($B33,'قائمة الوحدات'!$A$2:$A$41,0)),"")</f>
        <v>إدارة المتابعة والتقارير</v>
      </c>
      <c r="G33" s="16" t="s">
        <v>65</v>
      </c>
      <c r="H33" s="14" t="str">
        <f>IFERROR(INDEX(المرجع!$A$2:$A$19,MATCH($G33,المرجع!$B$2:$B$19,0)),"")</f>
        <v>التشغيل</v>
      </c>
      <c r="I33" s="16" t="s">
        <v>48</v>
      </c>
      <c r="J33" s="14" t="str">
        <f>IFERROR(INDEX(المرجع!$D$2:$D$19,MATCH($I33,المرجع!$E$2:$E$19,0)),"")</f>
        <v>الأهداف ومؤشرات الأداء</v>
      </c>
      <c r="K33" s="15">
        <f>IFERROR(INDEX(المرجع!$F$2:$F$19,MATCH($I33,المرجع!$E$2:$E$19,0)),"")</f>
        <v>2</v>
      </c>
      <c r="L33" s="15">
        <f>SUMIFS(المرجع!$H$2:$H$19,المرجع!$B$2:$B$19,$G33,المرجع!$E$2:$E$19,$I33)</f>
        <v>2</v>
      </c>
      <c r="M33" s="15">
        <f>COUNTIFS('المرتبطة بسمو الوزير'!$B$2:$B$151,$B33,'المرتبطة بسمو الوزير'!$G$2:$G$151,$G33,'المرتبطة بسمو الوزير'!$I$2:$I$151,$I33,'المرتبطة بسمو الوزير'!$M$2:$M$151,"&lt;&gt;")+COUNTIFS('الشؤون التنفيذية'!$B$2:$B$421,$B33,'الشؤون التنفيذية'!$G$2:$G$421,$G33,'الشؤون التنفيذية'!$I$2:$I$421,$I33,'الشؤون التنفيذية'!$N$2:$N$421,"&lt;&gt;")+COUNTIFS('الجهاز العسكري'!$B$2:$B$631,$B33,'الجهاز العسكري'!$G$2:$G$631,$G33,'الجهاز العسكري'!$I$2:$I$631,$I33,'الجهاز العسكري'!$M$2:$M$631,"&lt;&gt;")</f>
        <v>2</v>
      </c>
      <c r="N33" s="19">
        <f>IF($L33=0,0,ROUND((SUMIFS('المرتبطة بسمو الوزير'!$M$2:$M$151,'المرتبطة بسمو الوزير'!$B$2:$B$151,$B33,'المرتبطة بسمو الوزير'!$G$2:$G$151,$G33,'المرتبطة بسمو الوزير'!$I$2:$I$151,$I33)+SUMIFS('الشؤون التنفيذية'!$N$2:$N$421,'الشؤون التنفيذية'!$B$2:$B$421,$B33,'الشؤون التنفيذية'!$G$2:$G$421,$G33,'الشؤون التنفيذية'!$I$2:$I$421,$I33)+SUMIFS('الجهاز العسكري'!$M$2:$M$631,'الجهاز العسكري'!$B$2:$B$631,$B33,'الجهاز العسكري'!$G$2:$G$631,$G33,'الجهاز العسكري'!$I$2:$I$631,$I33))/$L33,0))</f>
        <v>50</v>
      </c>
      <c r="O33" s="18"/>
      <c r="P33" s="15">
        <f>SUMIFS(المرجع!$G$2:$G$19,المرجع!$B$2:$B$19,$G33,المرجع!$E$2:$E$19,$I33)</f>
        <v>25</v>
      </c>
      <c r="Q33" s="20">
        <f t="shared" si="0"/>
        <v>12.5</v>
      </c>
      <c r="R33" s="21" t="str">
        <f>IF($N33&gt;المرجع!$K$3,"متقدم",IF($N33&lt;=المرجع!$K$2,"أولي","جزئي"))</f>
        <v>جزئي</v>
      </c>
    </row>
    <row r="34" spans="1:18">
      <c r="A34" s="16" t="s">
        <v>1474</v>
      </c>
      <c r="B34" s="16" t="s">
        <v>146</v>
      </c>
      <c r="C34" s="15" t="str">
        <f>IFERROR(INDEX('قائمة الوحدات'!$B$2:$B$41,MATCH($B34,'قائمة الوحدات'!$A$2:$A$41,0)),"")</f>
        <v>TOP</v>
      </c>
      <c r="D34" s="14" t="str">
        <f>IFERROR(INDEX('قائمة الوحدات'!$C$2:$C$41,MATCH($B34,'قائمة الوحدات'!$A$2:$A$41,0)),"")</f>
        <v>المرتبطة بسمو الوزير</v>
      </c>
      <c r="E34" s="14" t="str">
        <f>IFERROR(INDEX('قائمة الوحدات'!$D$2:$D$41,MATCH($B34,'قائمة الوحدات'!$A$2:$A$41,0)),"")</f>
        <v>إدارة المتابعة والتقارير</v>
      </c>
      <c r="F34" s="14" t="str">
        <f>IFERROR(INDEX('قائمة الوحدات'!$F$2:$F$41,MATCH($B34,'قائمة الوحدات'!$A$2:$A$41,0)),"")</f>
        <v>إدارة المتابعة والتقارير</v>
      </c>
      <c r="G34" s="16" t="s">
        <v>65</v>
      </c>
      <c r="H34" s="14" t="str">
        <f>IFERROR(INDEX(المرجع!$A$2:$A$19,MATCH($G34,المرجع!$B$2:$B$19,0)),"")</f>
        <v>التشغيل</v>
      </c>
      <c r="I34" s="16" t="s">
        <v>51</v>
      </c>
      <c r="J34" s="14" t="str">
        <f>IFERROR(INDEX(المرجع!$D$2:$D$19,MATCH($I34,المرجع!$E$2:$E$19,0)),"")</f>
        <v>الحوكمة</v>
      </c>
      <c r="K34" s="15">
        <f>IFERROR(INDEX(المرجع!$F$2:$F$19,MATCH($I34,المرجع!$E$2:$E$19,0)),"")</f>
        <v>3</v>
      </c>
      <c r="L34" s="15">
        <f>SUMIFS(المرجع!$H$2:$H$19,المرجع!$B$2:$B$19,$G34,المرجع!$E$2:$E$19,$I34)</f>
        <v>3</v>
      </c>
      <c r="M34" s="15">
        <f>COUNTIFS('المرتبطة بسمو الوزير'!$B$2:$B$151,$B34,'المرتبطة بسمو الوزير'!$G$2:$G$151,$G34,'المرتبطة بسمو الوزير'!$I$2:$I$151,$I34,'المرتبطة بسمو الوزير'!$M$2:$M$151,"&lt;&gt;")+COUNTIFS('الشؤون التنفيذية'!$B$2:$B$421,$B34,'الشؤون التنفيذية'!$G$2:$G$421,$G34,'الشؤون التنفيذية'!$I$2:$I$421,$I34,'الشؤون التنفيذية'!$N$2:$N$421,"&lt;&gt;")+COUNTIFS('الجهاز العسكري'!$B$2:$B$631,$B34,'الجهاز العسكري'!$G$2:$G$631,$G34,'الجهاز العسكري'!$I$2:$I$631,$I34,'الجهاز العسكري'!$M$2:$M$631,"&lt;&gt;")</f>
        <v>3</v>
      </c>
      <c r="N34" s="19">
        <f>IF($L34=0,0,ROUND((SUMIFS('المرتبطة بسمو الوزير'!$M$2:$M$151,'المرتبطة بسمو الوزير'!$B$2:$B$151,$B34,'المرتبطة بسمو الوزير'!$G$2:$G$151,$G34,'المرتبطة بسمو الوزير'!$I$2:$I$151,$I34)+SUMIFS('الشؤون التنفيذية'!$N$2:$N$421,'الشؤون التنفيذية'!$B$2:$B$421,$B34,'الشؤون التنفيذية'!$G$2:$G$421,$G34,'الشؤون التنفيذية'!$I$2:$I$421,$I34)+SUMIFS('الجهاز العسكري'!$M$2:$M$631,'الجهاز العسكري'!$B$2:$B$631,$B34,'الجهاز العسكري'!$G$2:$G$631,$G34,'الجهاز العسكري'!$I$2:$I$631,$I34))/$L34,0))</f>
        <v>25</v>
      </c>
      <c r="O34" s="18"/>
      <c r="P34" s="15">
        <f>SUMIFS(المرجع!$G$2:$G$19,المرجع!$B$2:$B$19,$G34,المرجع!$E$2:$E$19,$I34)</f>
        <v>15</v>
      </c>
      <c r="Q34" s="20">
        <f t="shared" ref="Q34:Q65" si="1">ROUND($P34*$N34/100,2)</f>
        <v>3.75</v>
      </c>
      <c r="R34" s="21" t="str">
        <f>IF($N34&gt;المرجع!$K$3,"متقدم",IF($N34&lt;=المرجع!$K$2,"أولي","جزئي"))</f>
        <v>أولي</v>
      </c>
    </row>
    <row r="35" spans="1:18">
      <c r="A35" s="16" t="s">
        <v>1475</v>
      </c>
      <c r="B35" s="16" t="s">
        <v>146</v>
      </c>
      <c r="C35" s="15" t="str">
        <f>IFERROR(INDEX('قائمة الوحدات'!$B$2:$B$41,MATCH($B35,'قائمة الوحدات'!$A$2:$A$41,0)),"")</f>
        <v>TOP</v>
      </c>
      <c r="D35" s="14" t="str">
        <f>IFERROR(INDEX('قائمة الوحدات'!$C$2:$C$41,MATCH($B35,'قائمة الوحدات'!$A$2:$A$41,0)),"")</f>
        <v>المرتبطة بسمو الوزير</v>
      </c>
      <c r="E35" s="14" t="str">
        <f>IFERROR(INDEX('قائمة الوحدات'!$D$2:$D$41,MATCH($B35,'قائمة الوحدات'!$A$2:$A$41,0)),"")</f>
        <v>إدارة المتابعة والتقارير</v>
      </c>
      <c r="F35" s="14" t="str">
        <f>IFERROR(INDEX('قائمة الوحدات'!$F$2:$F$41,MATCH($B35,'قائمة الوحدات'!$A$2:$A$41,0)),"")</f>
        <v>إدارة المتابعة والتقارير</v>
      </c>
      <c r="G35" s="16" t="s">
        <v>65</v>
      </c>
      <c r="H35" s="14" t="str">
        <f>IFERROR(INDEX(المرجع!$A$2:$A$19,MATCH($G35,المرجع!$B$2:$B$19,0)),"")</f>
        <v>التشغيل</v>
      </c>
      <c r="I35" s="16" t="s">
        <v>56</v>
      </c>
      <c r="J35" s="14" t="str">
        <f>IFERROR(INDEX(المرجع!$D$2:$D$19,MATCH($I35,المرجع!$E$2:$E$19,0)),"")</f>
        <v>الموارد</v>
      </c>
      <c r="K35" s="15">
        <f>IFERROR(INDEX(المرجع!$F$2:$F$19,MATCH($I35,المرجع!$E$2:$E$19,0)),"")</f>
        <v>5</v>
      </c>
      <c r="L35" s="15">
        <f>SUMIFS(المرجع!$H$2:$H$19,المرجع!$B$2:$B$19,$G35,المرجع!$E$2:$E$19,$I35)</f>
        <v>1</v>
      </c>
      <c r="M35" s="15">
        <f>COUNTIFS('المرتبطة بسمو الوزير'!$B$2:$B$151,$B35,'المرتبطة بسمو الوزير'!$G$2:$G$151,$G35,'المرتبطة بسمو الوزير'!$I$2:$I$151,$I35,'المرتبطة بسمو الوزير'!$M$2:$M$151,"&lt;&gt;")+COUNTIFS('الشؤون التنفيذية'!$B$2:$B$421,$B35,'الشؤون التنفيذية'!$G$2:$G$421,$G35,'الشؤون التنفيذية'!$I$2:$I$421,$I35,'الشؤون التنفيذية'!$N$2:$N$421,"&lt;&gt;")+COUNTIFS('الجهاز العسكري'!$B$2:$B$631,$B35,'الجهاز العسكري'!$G$2:$G$631,$G35,'الجهاز العسكري'!$I$2:$I$631,$I35,'الجهاز العسكري'!$M$2:$M$631,"&lt;&gt;")</f>
        <v>1</v>
      </c>
      <c r="N35" s="19">
        <f>IF($L35=0,0,ROUND((SUMIFS('المرتبطة بسمو الوزير'!$M$2:$M$151,'المرتبطة بسمو الوزير'!$B$2:$B$151,$B35,'المرتبطة بسمو الوزير'!$G$2:$G$151,$G35,'المرتبطة بسمو الوزير'!$I$2:$I$151,$I35)+SUMIFS('الشؤون التنفيذية'!$N$2:$N$421,'الشؤون التنفيذية'!$B$2:$B$421,$B35,'الشؤون التنفيذية'!$G$2:$G$421,$G35,'الشؤون التنفيذية'!$I$2:$I$421,$I35)+SUMIFS('الجهاز العسكري'!$M$2:$M$631,'الجهاز العسكري'!$B$2:$B$631,$B35,'الجهاز العسكري'!$G$2:$G$631,$G35,'الجهاز العسكري'!$I$2:$I$631,$I35))/$L35,0))</f>
        <v>56</v>
      </c>
      <c r="O35" s="18"/>
      <c r="P35" s="15">
        <f>SUMIFS(المرجع!$G$2:$G$19,المرجع!$B$2:$B$19,$G35,المرجع!$E$2:$E$19,$I35)</f>
        <v>15</v>
      </c>
      <c r="Q35" s="20">
        <f t="shared" si="1"/>
        <v>8.4</v>
      </c>
      <c r="R35" s="21" t="str">
        <f>IF($N35&gt;المرجع!$K$3,"متقدم",IF($N35&lt;=المرجع!$K$2,"أولي","جزئي"))</f>
        <v>جزئي</v>
      </c>
    </row>
    <row r="36" spans="1:18">
      <c r="A36" s="16" t="s">
        <v>1476</v>
      </c>
      <c r="B36" s="16" t="s">
        <v>146</v>
      </c>
      <c r="C36" s="15" t="str">
        <f>IFERROR(INDEX('قائمة الوحدات'!$B$2:$B$41,MATCH($B36,'قائمة الوحدات'!$A$2:$A$41,0)),"")</f>
        <v>TOP</v>
      </c>
      <c r="D36" s="14" t="str">
        <f>IFERROR(INDEX('قائمة الوحدات'!$C$2:$C$41,MATCH($B36,'قائمة الوحدات'!$A$2:$A$41,0)),"")</f>
        <v>المرتبطة بسمو الوزير</v>
      </c>
      <c r="E36" s="14" t="str">
        <f>IFERROR(INDEX('قائمة الوحدات'!$D$2:$D$41,MATCH($B36,'قائمة الوحدات'!$A$2:$A$41,0)),"")</f>
        <v>إدارة المتابعة والتقارير</v>
      </c>
      <c r="F36" s="14" t="str">
        <f>IFERROR(INDEX('قائمة الوحدات'!$F$2:$F$41,MATCH($B36,'قائمة الوحدات'!$A$2:$A$41,0)),"")</f>
        <v>إدارة المتابعة والتقارير</v>
      </c>
      <c r="G36" s="16" t="s">
        <v>65</v>
      </c>
      <c r="H36" s="14" t="str">
        <f>IFERROR(INDEX(المرجع!$A$2:$A$19,MATCH($G36,المرجع!$B$2:$B$19,0)),"")</f>
        <v>التشغيل</v>
      </c>
      <c r="I36" s="16" t="s">
        <v>59</v>
      </c>
      <c r="J36" s="14" t="str">
        <f>IFERROR(INDEX(المرجع!$D$2:$D$19,MATCH($I36,المرجع!$E$2:$E$19,0)),"")</f>
        <v>الإجراءات</v>
      </c>
      <c r="K36" s="15">
        <f>IFERROR(INDEX(المرجع!$F$2:$F$19,MATCH($I36,المرجع!$E$2:$E$19,0)),"")</f>
        <v>6</v>
      </c>
      <c r="L36" s="15">
        <f>SUMIFS(المرجع!$H$2:$H$19,المرجع!$B$2:$B$19,$G36,المرجع!$E$2:$E$19,$I36)</f>
        <v>1</v>
      </c>
      <c r="M36" s="15">
        <f>COUNTIFS('المرتبطة بسمو الوزير'!$B$2:$B$151,$B36,'المرتبطة بسمو الوزير'!$G$2:$G$151,$G36,'المرتبطة بسمو الوزير'!$I$2:$I$151,$I36,'المرتبطة بسمو الوزير'!$M$2:$M$151,"&lt;&gt;")+COUNTIFS('الشؤون التنفيذية'!$B$2:$B$421,$B36,'الشؤون التنفيذية'!$G$2:$G$421,$G36,'الشؤون التنفيذية'!$I$2:$I$421,$I36,'الشؤون التنفيذية'!$N$2:$N$421,"&lt;&gt;")+COUNTIFS('الجهاز العسكري'!$B$2:$B$631,$B36,'الجهاز العسكري'!$G$2:$G$631,$G36,'الجهاز العسكري'!$I$2:$I$631,$I36,'الجهاز العسكري'!$M$2:$M$631,"&lt;&gt;")</f>
        <v>1</v>
      </c>
      <c r="N36" s="19">
        <f>IF($L36=0,0,ROUND((SUMIFS('المرتبطة بسمو الوزير'!$M$2:$M$151,'المرتبطة بسمو الوزير'!$B$2:$B$151,$B36,'المرتبطة بسمو الوزير'!$G$2:$G$151,$G36,'المرتبطة بسمو الوزير'!$I$2:$I$151,$I36)+SUMIFS('الشؤون التنفيذية'!$N$2:$N$421,'الشؤون التنفيذية'!$B$2:$B$421,$B36,'الشؤون التنفيذية'!$G$2:$G$421,$G36,'الشؤون التنفيذية'!$I$2:$I$421,$I36)+SUMIFS('الجهاز العسكري'!$M$2:$M$631,'الجهاز العسكري'!$B$2:$B$631,$B36,'الجهاز العسكري'!$G$2:$G$631,$G36,'الجهاز العسكري'!$I$2:$I$631,$I36))/$L36,0))</f>
        <v>47</v>
      </c>
      <c r="O36" s="18"/>
      <c r="P36" s="15">
        <f>SUMIFS(المرجع!$G$2:$G$19,المرجع!$B$2:$B$19,$G36,المرجع!$E$2:$E$19,$I36)</f>
        <v>15</v>
      </c>
      <c r="Q36" s="20">
        <f t="shared" si="1"/>
        <v>7.05</v>
      </c>
      <c r="R36" s="21" t="str">
        <f>IF($N36&gt;المرجع!$K$3,"متقدم",IF($N36&lt;=المرجع!$K$2,"أولي","جزئي"))</f>
        <v>جزئي</v>
      </c>
    </row>
    <row r="37" spans="1:18">
      <c r="A37" s="16" t="s">
        <v>1477</v>
      </c>
      <c r="B37" s="16" t="s">
        <v>146</v>
      </c>
      <c r="C37" s="15" t="str">
        <f>IFERROR(INDEX('قائمة الوحدات'!$B$2:$B$41,MATCH($B37,'قائمة الوحدات'!$A$2:$A$41,0)),"")</f>
        <v>TOP</v>
      </c>
      <c r="D37" s="14" t="str">
        <f>IFERROR(INDEX('قائمة الوحدات'!$C$2:$C$41,MATCH($B37,'قائمة الوحدات'!$A$2:$A$41,0)),"")</f>
        <v>المرتبطة بسمو الوزير</v>
      </c>
      <c r="E37" s="14" t="str">
        <f>IFERROR(INDEX('قائمة الوحدات'!$D$2:$D$41,MATCH($B37,'قائمة الوحدات'!$A$2:$A$41,0)),"")</f>
        <v>إدارة المتابعة والتقارير</v>
      </c>
      <c r="F37" s="14" t="str">
        <f>IFERROR(INDEX('قائمة الوحدات'!$F$2:$F$41,MATCH($B37,'قائمة الوحدات'!$A$2:$A$41,0)),"")</f>
        <v>إدارة المتابعة والتقارير</v>
      </c>
      <c r="G37" s="16" t="s">
        <v>65</v>
      </c>
      <c r="H37" s="14" t="str">
        <f>IFERROR(INDEX(المرجع!$A$2:$A$19,MATCH($G37,المرجع!$B$2:$B$19,0)),"")</f>
        <v>التشغيل</v>
      </c>
      <c r="I37" s="16" t="s">
        <v>67</v>
      </c>
      <c r="J37" s="14" t="str">
        <f>IFERROR(INDEX(المرجع!$D$2:$D$19,MATCH($I37,المرجع!$E$2:$E$19,0)),"")</f>
        <v>اكتمال المخرجات المستهدفة</v>
      </c>
      <c r="K37" s="15">
        <f>IFERROR(INDEX(المرجع!$F$2:$F$19,MATCH($I37,المرجع!$E$2:$E$19,0)),"")</f>
        <v>8</v>
      </c>
      <c r="L37" s="15">
        <f>SUMIFS(المرجع!$H$2:$H$19,المرجع!$B$2:$B$19,$G37,المرجع!$E$2:$E$19,$I37)</f>
        <v>1</v>
      </c>
      <c r="M37" s="15">
        <f>COUNTIFS('المرتبطة بسمو الوزير'!$B$2:$B$151,$B37,'المرتبطة بسمو الوزير'!$G$2:$G$151,$G37,'المرتبطة بسمو الوزير'!$I$2:$I$151,$I37,'المرتبطة بسمو الوزير'!$M$2:$M$151,"&lt;&gt;")+COUNTIFS('الشؤون التنفيذية'!$B$2:$B$421,$B37,'الشؤون التنفيذية'!$G$2:$G$421,$G37,'الشؤون التنفيذية'!$I$2:$I$421,$I37,'الشؤون التنفيذية'!$N$2:$N$421,"&lt;&gt;")+COUNTIFS('الجهاز العسكري'!$B$2:$B$631,$B37,'الجهاز العسكري'!$G$2:$G$631,$G37,'الجهاز العسكري'!$I$2:$I$631,$I37,'الجهاز العسكري'!$M$2:$M$631,"&lt;&gt;")</f>
        <v>1</v>
      </c>
      <c r="N37" s="19">
        <f>IF($L37=0,0,ROUND((SUMIFS('المرتبطة بسمو الوزير'!$M$2:$M$151,'المرتبطة بسمو الوزير'!$B$2:$B$151,$B37,'المرتبطة بسمو الوزير'!$G$2:$G$151,$G37,'المرتبطة بسمو الوزير'!$I$2:$I$151,$I37)+SUMIFS('الشؤون التنفيذية'!$N$2:$N$421,'الشؤون التنفيذية'!$B$2:$B$421,$B37,'الشؤون التنفيذية'!$G$2:$G$421,$G37,'الشؤون التنفيذية'!$I$2:$I$421,$I37)+SUMIFS('الجهاز العسكري'!$M$2:$M$631,'الجهاز العسكري'!$B$2:$B$631,$B37,'الجهاز العسكري'!$G$2:$G$631,$G37,'الجهاز العسكري'!$I$2:$I$631,$I37))/$L37,0))</f>
        <v>59</v>
      </c>
      <c r="O37" s="18"/>
      <c r="P37" s="15">
        <f>SUMIFS(المرجع!$G$2:$G$19,المرجع!$B$2:$B$19,$G37,المرجع!$E$2:$E$19,$I37)</f>
        <v>30</v>
      </c>
      <c r="Q37" s="20">
        <f t="shared" si="1"/>
        <v>17.7</v>
      </c>
      <c r="R37" s="21" t="str">
        <f>IF($N37&gt;المرجع!$K$3,"متقدم",IF($N37&lt;=المرجع!$K$2,"أولي","جزئي"))</f>
        <v>جزئي</v>
      </c>
    </row>
    <row r="38" spans="1:18">
      <c r="A38" s="16" t="s">
        <v>1478</v>
      </c>
      <c r="B38" s="16" t="s">
        <v>148</v>
      </c>
      <c r="C38" s="15" t="str">
        <f>IFERROR(INDEX('قائمة الوحدات'!$B$2:$B$41,MATCH($B38,'قائمة الوحدات'!$A$2:$A$41,0)),"")</f>
        <v>TOP</v>
      </c>
      <c r="D38" s="14" t="str">
        <f>IFERROR(INDEX('قائمة الوحدات'!$C$2:$C$41,MATCH($B38,'قائمة الوحدات'!$A$2:$A$41,0)),"")</f>
        <v>المرتبطة بسمو الوزير</v>
      </c>
      <c r="E38" s="14" t="str">
        <f>IFERROR(INDEX('قائمة الوحدات'!$D$2:$D$41,MATCH($B38,'قائمة الوحدات'!$A$2:$A$41,0)),"")</f>
        <v>إدارة الحوكمة والمخاطر</v>
      </c>
      <c r="F38" s="14" t="str">
        <f>IFERROR(INDEX('قائمة الوحدات'!$F$2:$F$41,MATCH($B38,'قائمة الوحدات'!$A$2:$A$41,0)),"")</f>
        <v>إدارة الحوكمة والمخاطر</v>
      </c>
      <c r="G38" s="16" t="s">
        <v>43</v>
      </c>
      <c r="H38" s="14" t="str">
        <f>IFERROR(INDEX(المرجع!$A$2:$A$19,MATCH($G38,المرجع!$B$2:$B$19,0)),"")</f>
        <v>التصميم</v>
      </c>
      <c r="I38" s="16" t="s">
        <v>45</v>
      </c>
      <c r="J38" s="14" t="str">
        <f>IFERROR(INDEX(المرجع!$D$2:$D$19,MATCH($I38,المرجع!$E$2:$E$19,0)),"")</f>
        <v>الدور</v>
      </c>
      <c r="K38" s="15">
        <f>IFERROR(INDEX(المرجع!$F$2:$F$19,MATCH($I38,المرجع!$E$2:$E$19,0)),"")</f>
        <v>1</v>
      </c>
      <c r="L38" s="15">
        <f>SUMIFS(المرجع!$H$2:$H$19,المرجع!$B$2:$B$19,$G38,المرجع!$E$2:$E$19,$I38)</f>
        <v>1</v>
      </c>
      <c r="M38" s="15">
        <f>COUNTIFS('المرتبطة بسمو الوزير'!$B$2:$B$151,$B38,'المرتبطة بسمو الوزير'!$G$2:$G$151,$G38,'المرتبطة بسمو الوزير'!$I$2:$I$151,$I38,'المرتبطة بسمو الوزير'!$M$2:$M$151,"&lt;&gt;")+COUNTIFS('الشؤون التنفيذية'!$B$2:$B$421,$B38,'الشؤون التنفيذية'!$G$2:$G$421,$G38,'الشؤون التنفيذية'!$I$2:$I$421,$I38,'الشؤون التنفيذية'!$N$2:$N$421,"&lt;&gt;")+COUNTIFS('الجهاز العسكري'!$B$2:$B$631,$B38,'الجهاز العسكري'!$G$2:$G$631,$G38,'الجهاز العسكري'!$I$2:$I$631,$I38,'الجهاز العسكري'!$M$2:$M$631,"&lt;&gt;")</f>
        <v>1</v>
      </c>
      <c r="N38" s="19">
        <f>IF($L38=0,0,ROUND((SUMIFS('المرتبطة بسمو الوزير'!$M$2:$M$151,'المرتبطة بسمو الوزير'!$B$2:$B$151,$B38,'المرتبطة بسمو الوزير'!$G$2:$G$151,$G38,'المرتبطة بسمو الوزير'!$I$2:$I$151,$I38)+SUMIFS('الشؤون التنفيذية'!$N$2:$N$421,'الشؤون التنفيذية'!$B$2:$B$421,$B38,'الشؤون التنفيذية'!$G$2:$G$421,$G38,'الشؤون التنفيذية'!$I$2:$I$421,$I38)+SUMIFS('الجهاز العسكري'!$M$2:$M$631,'الجهاز العسكري'!$B$2:$B$631,$B38,'الجهاز العسكري'!$G$2:$G$631,$G38,'الجهاز العسكري'!$I$2:$I$631,$I38))/$L38,0))</f>
        <v>74</v>
      </c>
      <c r="O38" s="18"/>
      <c r="P38" s="15">
        <f>SUMIFS(المرجع!$G$2:$G$19,المرجع!$B$2:$B$19,$G38,المرجع!$E$2:$E$19,$I38)</f>
        <v>25</v>
      </c>
      <c r="Q38" s="20">
        <f t="shared" si="1"/>
        <v>18.5</v>
      </c>
      <c r="R38" s="21" t="str">
        <f>IF($N38&gt;المرجع!$K$3,"متقدم",IF($N38&lt;=المرجع!$K$2,"أولي","جزئي"))</f>
        <v>متقدم</v>
      </c>
    </row>
    <row r="39" spans="1:18">
      <c r="A39" s="16" t="s">
        <v>1479</v>
      </c>
      <c r="B39" s="16" t="s">
        <v>148</v>
      </c>
      <c r="C39" s="15" t="str">
        <f>IFERROR(INDEX('قائمة الوحدات'!$B$2:$B$41,MATCH($B39,'قائمة الوحدات'!$A$2:$A$41,0)),"")</f>
        <v>TOP</v>
      </c>
      <c r="D39" s="14" t="str">
        <f>IFERROR(INDEX('قائمة الوحدات'!$C$2:$C$41,MATCH($B39,'قائمة الوحدات'!$A$2:$A$41,0)),"")</f>
        <v>المرتبطة بسمو الوزير</v>
      </c>
      <c r="E39" s="14" t="str">
        <f>IFERROR(INDEX('قائمة الوحدات'!$D$2:$D$41,MATCH($B39,'قائمة الوحدات'!$A$2:$A$41,0)),"")</f>
        <v>إدارة الحوكمة والمخاطر</v>
      </c>
      <c r="F39" s="14" t="str">
        <f>IFERROR(INDEX('قائمة الوحدات'!$F$2:$F$41,MATCH($B39,'قائمة الوحدات'!$A$2:$A$41,0)),"")</f>
        <v>إدارة الحوكمة والمخاطر</v>
      </c>
      <c r="G39" s="16" t="s">
        <v>43</v>
      </c>
      <c r="H39" s="14" t="str">
        <f>IFERROR(INDEX(المرجع!$A$2:$A$19,MATCH($G39,المرجع!$B$2:$B$19,0)),"")</f>
        <v>التصميم</v>
      </c>
      <c r="I39" s="16" t="s">
        <v>48</v>
      </c>
      <c r="J39" s="14" t="str">
        <f>IFERROR(INDEX(المرجع!$D$2:$D$19,MATCH($I39,المرجع!$E$2:$E$19,0)),"")</f>
        <v>الأهداف ومؤشرات الأداء</v>
      </c>
      <c r="K39" s="15">
        <f>IFERROR(INDEX(المرجع!$F$2:$F$19,MATCH($I39,المرجع!$E$2:$E$19,0)),"")</f>
        <v>2</v>
      </c>
      <c r="L39" s="15">
        <f>SUMIFS(المرجع!$H$2:$H$19,المرجع!$B$2:$B$19,$G39,المرجع!$E$2:$E$19,$I39)</f>
        <v>2</v>
      </c>
      <c r="M39" s="15">
        <f>COUNTIFS('المرتبطة بسمو الوزير'!$B$2:$B$151,$B39,'المرتبطة بسمو الوزير'!$G$2:$G$151,$G39,'المرتبطة بسمو الوزير'!$I$2:$I$151,$I39,'المرتبطة بسمو الوزير'!$M$2:$M$151,"&lt;&gt;")+COUNTIFS('الشؤون التنفيذية'!$B$2:$B$421,$B39,'الشؤون التنفيذية'!$G$2:$G$421,$G39,'الشؤون التنفيذية'!$I$2:$I$421,$I39,'الشؤون التنفيذية'!$N$2:$N$421,"&lt;&gt;")+COUNTIFS('الجهاز العسكري'!$B$2:$B$631,$B39,'الجهاز العسكري'!$G$2:$G$631,$G39,'الجهاز العسكري'!$I$2:$I$631,$I39,'الجهاز العسكري'!$M$2:$M$631,"&lt;&gt;")</f>
        <v>2</v>
      </c>
      <c r="N39" s="19">
        <f>IF($L39=0,0,ROUND((SUMIFS('المرتبطة بسمو الوزير'!$M$2:$M$151,'المرتبطة بسمو الوزير'!$B$2:$B$151,$B39,'المرتبطة بسمو الوزير'!$G$2:$G$151,$G39,'المرتبطة بسمو الوزير'!$I$2:$I$151,$I39)+SUMIFS('الشؤون التنفيذية'!$N$2:$N$421,'الشؤون التنفيذية'!$B$2:$B$421,$B39,'الشؤون التنفيذية'!$G$2:$G$421,$G39,'الشؤون التنفيذية'!$I$2:$I$421,$I39)+SUMIFS('الجهاز العسكري'!$M$2:$M$631,'الجهاز العسكري'!$B$2:$B$631,$B39,'الجهاز العسكري'!$G$2:$G$631,$G39,'الجهاز العسكري'!$I$2:$I$631,$I39))/$L39,0))</f>
        <v>80</v>
      </c>
      <c r="O39" s="18"/>
      <c r="P39" s="15">
        <f>SUMIFS(المرجع!$G$2:$G$19,المرجع!$B$2:$B$19,$G39,المرجع!$E$2:$E$19,$I39)</f>
        <v>15</v>
      </c>
      <c r="Q39" s="20">
        <f t="shared" si="1"/>
        <v>12</v>
      </c>
      <c r="R39" s="21" t="str">
        <f>IF($N39&gt;المرجع!$K$3,"متقدم",IF($N39&lt;=المرجع!$K$2,"أولي","جزئي"))</f>
        <v>متقدم</v>
      </c>
    </row>
    <row r="40" spans="1:18">
      <c r="A40" s="16" t="s">
        <v>1480</v>
      </c>
      <c r="B40" s="16" t="s">
        <v>148</v>
      </c>
      <c r="C40" s="15" t="str">
        <f>IFERROR(INDEX('قائمة الوحدات'!$B$2:$B$41,MATCH($B40,'قائمة الوحدات'!$A$2:$A$41,0)),"")</f>
        <v>TOP</v>
      </c>
      <c r="D40" s="14" t="str">
        <f>IFERROR(INDEX('قائمة الوحدات'!$C$2:$C$41,MATCH($B40,'قائمة الوحدات'!$A$2:$A$41,0)),"")</f>
        <v>المرتبطة بسمو الوزير</v>
      </c>
      <c r="E40" s="14" t="str">
        <f>IFERROR(INDEX('قائمة الوحدات'!$D$2:$D$41,MATCH($B40,'قائمة الوحدات'!$A$2:$A$41,0)),"")</f>
        <v>إدارة الحوكمة والمخاطر</v>
      </c>
      <c r="F40" s="14" t="str">
        <f>IFERROR(INDEX('قائمة الوحدات'!$F$2:$F$41,MATCH($B40,'قائمة الوحدات'!$A$2:$A$41,0)),"")</f>
        <v>إدارة الحوكمة والمخاطر</v>
      </c>
      <c r="G40" s="16" t="s">
        <v>43</v>
      </c>
      <c r="H40" s="14" t="str">
        <f>IFERROR(INDEX(المرجع!$A$2:$A$19,MATCH($G40,المرجع!$B$2:$B$19,0)),"")</f>
        <v>التصميم</v>
      </c>
      <c r="I40" s="16" t="s">
        <v>51</v>
      </c>
      <c r="J40" s="14" t="str">
        <f>IFERROR(INDEX(المرجع!$D$2:$D$19,MATCH($I40,المرجع!$E$2:$E$19,0)),"")</f>
        <v>الحوكمة</v>
      </c>
      <c r="K40" s="15">
        <f>IFERROR(INDEX(المرجع!$F$2:$F$19,MATCH($I40,المرجع!$E$2:$E$19,0)),"")</f>
        <v>3</v>
      </c>
      <c r="L40" s="15">
        <f>SUMIFS(المرجع!$H$2:$H$19,المرجع!$B$2:$B$19,$G40,المرجع!$E$2:$E$19,$I40)</f>
        <v>1</v>
      </c>
      <c r="M40" s="15">
        <f>COUNTIFS('المرتبطة بسمو الوزير'!$B$2:$B$151,$B40,'المرتبطة بسمو الوزير'!$G$2:$G$151,$G40,'المرتبطة بسمو الوزير'!$I$2:$I$151,$I40,'المرتبطة بسمو الوزير'!$M$2:$M$151,"&lt;&gt;")+COUNTIFS('الشؤون التنفيذية'!$B$2:$B$421,$B40,'الشؤون التنفيذية'!$G$2:$G$421,$G40,'الشؤون التنفيذية'!$I$2:$I$421,$I40,'الشؤون التنفيذية'!$N$2:$N$421,"&lt;&gt;")+COUNTIFS('الجهاز العسكري'!$B$2:$B$631,$B40,'الجهاز العسكري'!$G$2:$G$631,$G40,'الجهاز العسكري'!$I$2:$I$631,$I40,'الجهاز العسكري'!$M$2:$M$631,"&lt;&gt;")</f>
        <v>1</v>
      </c>
      <c r="N40" s="19">
        <f>IF($L40=0,0,ROUND((SUMIFS('المرتبطة بسمو الوزير'!$M$2:$M$151,'المرتبطة بسمو الوزير'!$B$2:$B$151,$B40,'المرتبطة بسمو الوزير'!$G$2:$G$151,$G40,'المرتبطة بسمو الوزير'!$I$2:$I$151,$I40)+SUMIFS('الشؤون التنفيذية'!$N$2:$N$421,'الشؤون التنفيذية'!$B$2:$B$421,$B40,'الشؤون التنفيذية'!$G$2:$G$421,$G40,'الشؤون التنفيذية'!$I$2:$I$421,$I40)+SUMIFS('الجهاز العسكري'!$M$2:$M$631,'الجهاز العسكري'!$B$2:$B$631,$B40,'الجهاز العسكري'!$G$2:$G$631,$G40,'الجهاز العسكري'!$I$2:$I$631,$I40))/$L40,0))</f>
        <v>81</v>
      </c>
      <c r="O40" s="18"/>
      <c r="P40" s="15">
        <f>SUMIFS(المرجع!$G$2:$G$19,المرجع!$B$2:$B$19,$G40,المرجع!$E$2:$E$19,$I40)</f>
        <v>15</v>
      </c>
      <c r="Q40" s="20">
        <f t="shared" si="1"/>
        <v>12.15</v>
      </c>
      <c r="R40" s="21" t="str">
        <f>IF($N40&gt;المرجع!$K$3,"متقدم",IF($N40&lt;=المرجع!$K$2,"أولي","جزئي"))</f>
        <v>متقدم</v>
      </c>
    </row>
    <row r="41" spans="1:18">
      <c r="A41" s="16" t="s">
        <v>1481</v>
      </c>
      <c r="B41" s="16" t="s">
        <v>148</v>
      </c>
      <c r="C41" s="15" t="str">
        <f>IFERROR(INDEX('قائمة الوحدات'!$B$2:$B$41,MATCH($B41,'قائمة الوحدات'!$A$2:$A$41,0)),"")</f>
        <v>TOP</v>
      </c>
      <c r="D41" s="14" t="str">
        <f>IFERROR(INDEX('قائمة الوحدات'!$C$2:$C$41,MATCH($B41,'قائمة الوحدات'!$A$2:$A$41,0)),"")</f>
        <v>المرتبطة بسمو الوزير</v>
      </c>
      <c r="E41" s="14" t="str">
        <f>IFERROR(INDEX('قائمة الوحدات'!$D$2:$D$41,MATCH($B41,'قائمة الوحدات'!$A$2:$A$41,0)),"")</f>
        <v>إدارة الحوكمة والمخاطر</v>
      </c>
      <c r="F41" s="14" t="str">
        <f>IFERROR(INDEX('قائمة الوحدات'!$F$2:$F$41,MATCH($B41,'قائمة الوحدات'!$A$2:$A$41,0)),"")</f>
        <v>إدارة الحوكمة والمخاطر</v>
      </c>
      <c r="G41" s="16" t="s">
        <v>43</v>
      </c>
      <c r="H41" s="14" t="str">
        <f>IFERROR(INDEX(المرجع!$A$2:$A$19,MATCH($G41,المرجع!$B$2:$B$19,0)),"")</f>
        <v>التصميم</v>
      </c>
      <c r="I41" s="16" t="s">
        <v>54</v>
      </c>
      <c r="J41" s="14" t="str">
        <f>IFERROR(INDEX(المرجع!$D$2:$D$19,MATCH($I41,المرجع!$E$2:$E$19,0)),"")</f>
        <v>التنظيم</v>
      </c>
      <c r="K41" s="15">
        <f>IFERROR(INDEX(المرجع!$F$2:$F$19,MATCH($I41,المرجع!$E$2:$E$19,0)),"")</f>
        <v>4</v>
      </c>
      <c r="L41" s="15">
        <f>SUMIFS(المرجع!$H$2:$H$19,المرجع!$B$2:$B$19,$G41,المرجع!$E$2:$E$19,$I41)</f>
        <v>1</v>
      </c>
      <c r="M41" s="15">
        <f>COUNTIFS('المرتبطة بسمو الوزير'!$B$2:$B$151,$B41,'المرتبطة بسمو الوزير'!$G$2:$G$151,$G41,'المرتبطة بسمو الوزير'!$I$2:$I$151,$I41,'المرتبطة بسمو الوزير'!$M$2:$M$151,"&lt;&gt;")+COUNTIFS('الشؤون التنفيذية'!$B$2:$B$421,$B41,'الشؤون التنفيذية'!$G$2:$G$421,$G41,'الشؤون التنفيذية'!$I$2:$I$421,$I41,'الشؤون التنفيذية'!$N$2:$N$421,"&lt;&gt;")+COUNTIFS('الجهاز العسكري'!$B$2:$B$631,$B41,'الجهاز العسكري'!$G$2:$G$631,$G41,'الجهاز العسكري'!$I$2:$I$631,$I41,'الجهاز العسكري'!$M$2:$M$631,"&lt;&gt;")</f>
        <v>1</v>
      </c>
      <c r="N41" s="19">
        <f>IF($L41=0,0,ROUND((SUMIFS('المرتبطة بسمو الوزير'!$M$2:$M$151,'المرتبطة بسمو الوزير'!$B$2:$B$151,$B41,'المرتبطة بسمو الوزير'!$G$2:$G$151,$G41,'المرتبطة بسمو الوزير'!$I$2:$I$151,$I41)+SUMIFS('الشؤون التنفيذية'!$N$2:$N$421,'الشؤون التنفيذية'!$B$2:$B$421,$B41,'الشؤون التنفيذية'!$G$2:$G$421,$G41,'الشؤون التنفيذية'!$I$2:$I$421,$I41)+SUMIFS('الجهاز العسكري'!$M$2:$M$631,'الجهاز العسكري'!$B$2:$B$631,$B41,'الجهاز العسكري'!$G$2:$G$631,$G41,'الجهاز العسكري'!$I$2:$I$631,$I41))/$L41,0))</f>
        <v>83</v>
      </c>
      <c r="O41" s="18"/>
      <c r="P41" s="15">
        <f>SUMIFS(المرجع!$G$2:$G$19,المرجع!$B$2:$B$19,$G41,المرجع!$E$2:$E$19,$I41)</f>
        <v>20</v>
      </c>
      <c r="Q41" s="20">
        <f t="shared" si="1"/>
        <v>16.600000000000001</v>
      </c>
      <c r="R41" s="21" t="str">
        <f>IF($N41&gt;المرجع!$K$3,"متقدم",IF($N41&lt;=المرجع!$K$2,"أولي","جزئي"))</f>
        <v>متقدم</v>
      </c>
    </row>
    <row r="42" spans="1:18">
      <c r="A42" s="16" t="s">
        <v>1482</v>
      </c>
      <c r="B42" s="16" t="s">
        <v>148</v>
      </c>
      <c r="C42" s="15" t="str">
        <f>IFERROR(INDEX('قائمة الوحدات'!$B$2:$B$41,MATCH($B42,'قائمة الوحدات'!$A$2:$A$41,0)),"")</f>
        <v>TOP</v>
      </c>
      <c r="D42" s="14" t="str">
        <f>IFERROR(INDEX('قائمة الوحدات'!$C$2:$C$41,MATCH($B42,'قائمة الوحدات'!$A$2:$A$41,0)),"")</f>
        <v>المرتبطة بسمو الوزير</v>
      </c>
      <c r="E42" s="14" t="str">
        <f>IFERROR(INDEX('قائمة الوحدات'!$D$2:$D$41,MATCH($B42,'قائمة الوحدات'!$A$2:$A$41,0)),"")</f>
        <v>إدارة الحوكمة والمخاطر</v>
      </c>
      <c r="F42" s="14" t="str">
        <f>IFERROR(INDEX('قائمة الوحدات'!$F$2:$F$41,MATCH($B42,'قائمة الوحدات'!$A$2:$A$41,0)),"")</f>
        <v>إدارة الحوكمة والمخاطر</v>
      </c>
      <c r="G42" s="16" t="s">
        <v>43</v>
      </c>
      <c r="H42" s="14" t="str">
        <f>IFERROR(INDEX(المرجع!$A$2:$A$19,MATCH($G42,المرجع!$B$2:$B$19,0)),"")</f>
        <v>التصميم</v>
      </c>
      <c r="I42" s="16" t="s">
        <v>56</v>
      </c>
      <c r="J42" s="14" t="str">
        <f>IFERROR(INDEX(المرجع!$D$2:$D$19,MATCH($I42,المرجع!$E$2:$E$19,0)),"")</f>
        <v>الموارد</v>
      </c>
      <c r="K42" s="15">
        <f>IFERROR(INDEX(المرجع!$F$2:$F$19,MATCH($I42,المرجع!$E$2:$E$19,0)),"")</f>
        <v>5</v>
      </c>
      <c r="L42" s="15">
        <f>SUMIFS(المرجع!$H$2:$H$19,المرجع!$B$2:$B$19,$G42,المرجع!$E$2:$E$19,$I42)</f>
        <v>1</v>
      </c>
      <c r="M42" s="15">
        <f>COUNTIFS('المرتبطة بسمو الوزير'!$B$2:$B$151,$B42,'المرتبطة بسمو الوزير'!$G$2:$G$151,$G42,'المرتبطة بسمو الوزير'!$I$2:$I$151,$I42,'المرتبطة بسمو الوزير'!$M$2:$M$151,"&lt;&gt;")+COUNTIFS('الشؤون التنفيذية'!$B$2:$B$421,$B42,'الشؤون التنفيذية'!$G$2:$G$421,$G42,'الشؤون التنفيذية'!$I$2:$I$421,$I42,'الشؤون التنفيذية'!$N$2:$N$421,"&lt;&gt;")+COUNTIFS('الجهاز العسكري'!$B$2:$B$631,$B42,'الجهاز العسكري'!$G$2:$G$631,$G42,'الجهاز العسكري'!$I$2:$I$631,$I42,'الجهاز العسكري'!$M$2:$M$631,"&lt;&gt;")</f>
        <v>1</v>
      </c>
      <c r="N42" s="19">
        <f>IF($L42=0,0,ROUND((SUMIFS('المرتبطة بسمو الوزير'!$M$2:$M$151,'المرتبطة بسمو الوزير'!$B$2:$B$151,$B42,'المرتبطة بسمو الوزير'!$G$2:$G$151,$G42,'المرتبطة بسمو الوزير'!$I$2:$I$151,$I42)+SUMIFS('الشؤون التنفيذية'!$N$2:$N$421,'الشؤون التنفيذية'!$B$2:$B$421,$B42,'الشؤون التنفيذية'!$G$2:$G$421,$G42,'الشؤون التنفيذية'!$I$2:$I$421,$I42)+SUMIFS('الجهاز العسكري'!$M$2:$M$631,'الجهاز العسكري'!$B$2:$B$631,$B42,'الجهاز العسكري'!$G$2:$G$631,$G42,'الجهاز العسكري'!$I$2:$I$631,$I42))/$L42,0))</f>
        <v>89</v>
      </c>
      <c r="O42" s="18"/>
      <c r="P42" s="15">
        <f>SUMIFS(المرجع!$G$2:$G$19,المرجع!$B$2:$B$19,$G42,المرجع!$E$2:$E$19,$I42)</f>
        <v>20</v>
      </c>
      <c r="Q42" s="20">
        <f t="shared" si="1"/>
        <v>17.8</v>
      </c>
      <c r="R42" s="21" t="str">
        <f>IF($N42&gt;المرجع!$K$3,"متقدم",IF($N42&lt;=المرجع!$K$2,"أولي","جزئي"))</f>
        <v>متقدم</v>
      </c>
    </row>
    <row r="43" spans="1:18">
      <c r="A43" s="16" t="s">
        <v>1483</v>
      </c>
      <c r="B43" s="16" t="s">
        <v>148</v>
      </c>
      <c r="C43" s="15" t="str">
        <f>IFERROR(INDEX('قائمة الوحدات'!$B$2:$B$41,MATCH($B43,'قائمة الوحدات'!$A$2:$A$41,0)),"")</f>
        <v>TOP</v>
      </c>
      <c r="D43" s="14" t="str">
        <f>IFERROR(INDEX('قائمة الوحدات'!$C$2:$C$41,MATCH($B43,'قائمة الوحدات'!$A$2:$A$41,0)),"")</f>
        <v>المرتبطة بسمو الوزير</v>
      </c>
      <c r="E43" s="14" t="str">
        <f>IFERROR(INDEX('قائمة الوحدات'!$D$2:$D$41,MATCH($B43,'قائمة الوحدات'!$A$2:$A$41,0)),"")</f>
        <v>إدارة الحوكمة والمخاطر</v>
      </c>
      <c r="F43" s="14" t="str">
        <f>IFERROR(INDEX('قائمة الوحدات'!$F$2:$F$41,MATCH($B43,'قائمة الوحدات'!$A$2:$A$41,0)),"")</f>
        <v>إدارة الحوكمة والمخاطر</v>
      </c>
      <c r="G43" s="16" t="s">
        <v>43</v>
      </c>
      <c r="H43" s="14" t="str">
        <f>IFERROR(INDEX(المرجع!$A$2:$A$19,MATCH($G43,المرجع!$B$2:$B$19,0)),"")</f>
        <v>التصميم</v>
      </c>
      <c r="I43" s="16" t="s">
        <v>59</v>
      </c>
      <c r="J43" s="14" t="str">
        <f>IFERROR(INDEX(المرجع!$D$2:$D$19,MATCH($I43,المرجع!$E$2:$E$19,0)),"")</f>
        <v>الإجراءات</v>
      </c>
      <c r="K43" s="15">
        <f>IFERROR(INDEX(المرجع!$F$2:$F$19,MATCH($I43,المرجع!$E$2:$E$19,0)),"")</f>
        <v>6</v>
      </c>
      <c r="L43" s="15">
        <f>SUMIFS(المرجع!$H$2:$H$19,المرجع!$B$2:$B$19,$G43,المرجع!$E$2:$E$19,$I43)</f>
        <v>1</v>
      </c>
      <c r="M43" s="15">
        <f>COUNTIFS('المرتبطة بسمو الوزير'!$B$2:$B$151,$B43,'المرتبطة بسمو الوزير'!$G$2:$G$151,$G43,'المرتبطة بسمو الوزير'!$I$2:$I$151,$I43,'المرتبطة بسمو الوزير'!$M$2:$M$151,"&lt;&gt;")+COUNTIFS('الشؤون التنفيذية'!$B$2:$B$421,$B43,'الشؤون التنفيذية'!$G$2:$G$421,$G43,'الشؤون التنفيذية'!$I$2:$I$421,$I43,'الشؤون التنفيذية'!$N$2:$N$421,"&lt;&gt;")+COUNTIFS('الجهاز العسكري'!$B$2:$B$631,$B43,'الجهاز العسكري'!$G$2:$G$631,$G43,'الجهاز العسكري'!$I$2:$I$631,$I43,'الجهاز العسكري'!$M$2:$M$631,"&lt;&gt;")</f>
        <v>1</v>
      </c>
      <c r="N43" s="19">
        <f>IF($L43=0,0,ROUND((SUMIFS('المرتبطة بسمو الوزير'!$M$2:$M$151,'المرتبطة بسمو الوزير'!$B$2:$B$151,$B43,'المرتبطة بسمو الوزير'!$G$2:$G$151,$G43,'المرتبطة بسمو الوزير'!$I$2:$I$151,$I43)+SUMIFS('الشؤون التنفيذية'!$N$2:$N$421,'الشؤون التنفيذية'!$B$2:$B$421,$B43,'الشؤون التنفيذية'!$G$2:$G$421,$G43,'الشؤون التنفيذية'!$I$2:$I$421,$I43)+SUMIFS('الجهاز العسكري'!$M$2:$M$631,'الجهاز العسكري'!$B$2:$B$631,$B43,'الجهاز العسكري'!$G$2:$G$631,$G43,'الجهاز العسكري'!$I$2:$I$631,$I43))/$L43,0))</f>
        <v>68</v>
      </c>
      <c r="O43" s="18"/>
      <c r="P43" s="15">
        <f>SUMIFS(المرجع!$G$2:$G$19,المرجع!$B$2:$B$19,$G43,المرجع!$E$2:$E$19,$I43)</f>
        <v>5</v>
      </c>
      <c r="Q43" s="20">
        <f t="shared" si="1"/>
        <v>3.4</v>
      </c>
      <c r="R43" s="21" t="str">
        <f>IF($N43&gt;المرجع!$K$3,"متقدم",IF($N43&lt;=المرجع!$K$2,"أولي","جزئي"))</f>
        <v>جزئي</v>
      </c>
    </row>
    <row r="44" spans="1:18">
      <c r="A44" s="16" t="s">
        <v>1484</v>
      </c>
      <c r="B44" s="16" t="s">
        <v>148</v>
      </c>
      <c r="C44" s="15" t="str">
        <f>IFERROR(INDEX('قائمة الوحدات'!$B$2:$B$41,MATCH($B44,'قائمة الوحدات'!$A$2:$A$41,0)),"")</f>
        <v>TOP</v>
      </c>
      <c r="D44" s="14" t="str">
        <f>IFERROR(INDEX('قائمة الوحدات'!$C$2:$C$41,MATCH($B44,'قائمة الوحدات'!$A$2:$A$41,0)),"")</f>
        <v>المرتبطة بسمو الوزير</v>
      </c>
      <c r="E44" s="14" t="str">
        <f>IFERROR(INDEX('قائمة الوحدات'!$D$2:$D$41,MATCH($B44,'قائمة الوحدات'!$A$2:$A$41,0)),"")</f>
        <v>إدارة الحوكمة والمخاطر</v>
      </c>
      <c r="F44" s="14" t="str">
        <f>IFERROR(INDEX('قائمة الوحدات'!$F$2:$F$41,MATCH($B44,'قائمة الوحدات'!$A$2:$A$41,0)),"")</f>
        <v>إدارة الحوكمة والمخاطر</v>
      </c>
      <c r="G44" s="16" t="s">
        <v>61</v>
      </c>
      <c r="H44" s="14" t="str">
        <f>IFERROR(INDEX(المرجع!$A$2:$A$19,MATCH($G44,المرجع!$B$2:$B$19,0)),"")</f>
        <v>البناء المؤسسي</v>
      </c>
      <c r="I44" s="16" t="s">
        <v>45</v>
      </c>
      <c r="J44" s="14" t="str">
        <f>IFERROR(INDEX(المرجع!$D$2:$D$19,MATCH($I44,المرجع!$E$2:$E$19,0)),"")</f>
        <v>الدور</v>
      </c>
      <c r="K44" s="15">
        <f>IFERROR(INDEX(المرجع!$F$2:$F$19,MATCH($I44,المرجع!$E$2:$E$19,0)),"")</f>
        <v>1</v>
      </c>
      <c r="L44" s="15">
        <f>SUMIFS(المرجع!$H$2:$H$19,المرجع!$B$2:$B$19,$G44,المرجع!$E$2:$E$19,$I44)</f>
        <v>1</v>
      </c>
      <c r="M44" s="15">
        <f>COUNTIFS('المرتبطة بسمو الوزير'!$B$2:$B$151,$B44,'المرتبطة بسمو الوزير'!$G$2:$G$151,$G44,'المرتبطة بسمو الوزير'!$I$2:$I$151,$I44,'المرتبطة بسمو الوزير'!$M$2:$M$151,"&lt;&gt;")+COUNTIFS('الشؤون التنفيذية'!$B$2:$B$421,$B44,'الشؤون التنفيذية'!$G$2:$G$421,$G44,'الشؤون التنفيذية'!$I$2:$I$421,$I44,'الشؤون التنفيذية'!$N$2:$N$421,"&lt;&gt;")+COUNTIFS('الجهاز العسكري'!$B$2:$B$631,$B44,'الجهاز العسكري'!$G$2:$G$631,$G44,'الجهاز العسكري'!$I$2:$I$631,$I44,'الجهاز العسكري'!$M$2:$M$631,"&lt;&gt;")</f>
        <v>1</v>
      </c>
      <c r="N44" s="19">
        <f>IF($L44=0,0,ROUND((SUMIFS('المرتبطة بسمو الوزير'!$M$2:$M$151,'المرتبطة بسمو الوزير'!$B$2:$B$151,$B44,'المرتبطة بسمو الوزير'!$G$2:$G$151,$G44,'المرتبطة بسمو الوزير'!$I$2:$I$151,$I44)+SUMIFS('الشؤون التنفيذية'!$N$2:$N$421,'الشؤون التنفيذية'!$B$2:$B$421,$B44,'الشؤون التنفيذية'!$G$2:$G$421,$G44,'الشؤون التنفيذية'!$I$2:$I$421,$I44)+SUMIFS('الجهاز العسكري'!$M$2:$M$631,'الجهاز العسكري'!$B$2:$B$631,$B44,'الجهاز العسكري'!$G$2:$G$631,$G44,'الجهاز العسكري'!$I$2:$I$631,$I44))/$L44,0))</f>
        <v>56</v>
      </c>
      <c r="O44" s="18"/>
      <c r="P44" s="15">
        <f>SUMIFS(المرجع!$G$2:$G$19,المرجع!$B$2:$B$19,$G44,المرجع!$E$2:$E$19,$I44)</f>
        <v>15</v>
      </c>
      <c r="Q44" s="20">
        <f t="shared" si="1"/>
        <v>8.4</v>
      </c>
      <c r="R44" s="21" t="str">
        <f>IF($N44&gt;المرجع!$K$3,"متقدم",IF($N44&lt;=المرجع!$K$2,"أولي","جزئي"))</f>
        <v>جزئي</v>
      </c>
    </row>
    <row r="45" spans="1:18">
      <c r="A45" s="16" t="s">
        <v>1485</v>
      </c>
      <c r="B45" s="16" t="s">
        <v>148</v>
      </c>
      <c r="C45" s="15" t="str">
        <f>IFERROR(INDEX('قائمة الوحدات'!$B$2:$B$41,MATCH($B45,'قائمة الوحدات'!$A$2:$A$41,0)),"")</f>
        <v>TOP</v>
      </c>
      <c r="D45" s="14" t="str">
        <f>IFERROR(INDEX('قائمة الوحدات'!$C$2:$C$41,MATCH($B45,'قائمة الوحدات'!$A$2:$A$41,0)),"")</f>
        <v>المرتبطة بسمو الوزير</v>
      </c>
      <c r="E45" s="14" t="str">
        <f>IFERROR(INDEX('قائمة الوحدات'!$D$2:$D$41,MATCH($B45,'قائمة الوحدات'!$A$2:$A$41,0)),"")</f>
        <v>إدارة الحوكمة والمخاطر</v>
      </c>
      <c r="F45" s="14" t="str">
        <f>IFERROR(INDEX('قائمة الوحدات'!$F$2:$F$41,MATCH($B45,'قائمة الوحدات'!$A$2:$A$41,0)),"")</f>
        <v>إدارة الحوكمة والمخاطر</v>
      </c>
      <c r="G45" s="16" t="s">
        <v>61</v>
      </c>
      <c r="H45" s="14" t="str">
        <f>IFERROR(INDEX(المرجع!$A$2:$A$19,MATCH($G45,المرجع!$B$2:$B$19,0)),"")</f>
        <v>البناء المؤسسي</v>
      </c>
      <c r="I45" s="16" t="s">
        <v>48</v>
      </c>
      <c r="J45" s="14" t="str">
        <f>IFERROR(INDEX(المرجع!$D$2:$D$19,MATCH($I45,المرجع!$E$2:$E$19,0)),"")</f>
        <v>الأهداف ومؤشرات الأداء</v>
      </c>
      <c r="K45" s="15">
        <f>IFERROR(INDEX(المرجع!$F$2:$F$19,MATCH($I45,المرجع!$E$2:$E$19,0)),"")</f>
        <v>2</v>
      </c>
      <c r="L45" s="15">
        <f>SUMIFS(المرجع!$H$2:$H$19,المرجع!$B$2:$B$19,$G45,المرجع!$E$2:$E$19,$I45)</f>
        <v>2</v>
      </c>
      <c r="M45" s="15">
        <f>COUNTIFS('المرتبطة بسمو الوزير'!$B$2:$B$151,$B45,'المرتبطة بسمو الوزير'!$G$2:$G$151,$G45,'المرتبطة بسمو الوزير'!$I$2:$I$151,$I45,'المرتبطة بسمو الوزير'!$M$2:$M$151,"&lt;&gt;")+COUNTIFS('الشؤون التنفيذية'!$B$2:$B$421,$B45,'الشؤون التنفيذية'!$G$2:$G$421,$G45,'الشؤون التنفيذية'!$I$2:$I$421,$I45,'الشؤون التنفيذية'!$N$2:$N$421,"&lt;&gt;")+COUNTIFS('الجهاز العسكري'!$B$2:$B$631,$B45,'الجهاز العسكري'!$G$2:$G$631,$G45,'الجهاز العسكري'!$I$2:$I$631,$I45,'الجهاز العسكري'!$M$2:$M$631,"&lt;&gt;")</f>
        <v>2</v>
      </c>
      <c r="N45" s="19">
        <f>IF($L45=0,0,ROUND((SUMIFS('المرتبطة بسمو الوزير'!$M$2:$M$151,'المرتبطة بسمو الوزير'!$B$2:$B$151,$B45,'المرتبطة بسمو الوزير'!$G$2:$G$151,$G45,'المرتبطة بسمو الوزير'!$I$2:$I$151,$I45)+SUMIFS('الشؤون التنفيذية'!$N$2:$N$421,'الشؤون التنفيذية'!$B$2:$B$421,$B45,'الشؤون التنفيذية'!$G$2:$G$421,$G45,'الشؤون التنفيذية'!$I$2:$I$421,$I45)+SUMIFS('الجهاز العسكري'!$M$2:$M$631,'الجهاز العسكري'!$B$2:$B$631,$B45,'الجهاز العسكري'!$G$2:$G$631,$G45,'الجهاز العسكري'!$I$2:$I$631,$I45))/$L45,0))</f>
        <v>78</v>
      </c>
      <c r="O45" s="18"/>
      <c r="P45" s="15">
        <f>SUMIFS(المرجع!$G$2:$G$19,المرجع!$B$2:$B$19,$G45,المرجع!$E$2:$E$19,$I45)</f>
        <v>15</v>
      </c>
      <c r="Q45" s="20">
        <f t="shared" si="1"/>
        <v>11.7</v>
      </c>
      <c r="R45" s="21" t="str">
        <f>IF($N45&gt;المرجع!$K$3,"متقدم",IF($N45&lt;=المرجع!$K$2,"أولي","جزئي"))</f>
        <v>متقدم</v>
      </c>
    </row>
    <row r="46" spans="1:18">
      <c r="A46" s="16" t="s">
        <v>1486</v>
      </c>
      <c r="B46" s="16" t="s">
        <v>148</v>
      </c>
      <c r="C46" s="15" t="str">
        <f>IFERROR(INDEX('قائمة الوحدات'!$B$2:$B$41,MATCH($B46,'قائمة الوحدات'!$A$2:$A$41,0)),"")</f>
        <v>TOP</v>
      </c>
      <c r="D46" s="14" t="str">
        <f>IFERROR(INDEX('قائمة الوحدات'!$C$2:$C$41,MATCH($B46,'قائمة الوحدات'!$A$2:$A$41,0)),"")</f>
        <v>المرتبطة بسمو الوزير</v>
      </c>
      <c r="E46" s="14" t="str">
        <f>IFERROR(INDEX('قائمة الوحدات'!$D$2:$D$41,MATCH($B46,'قائمة الوحدات'!$A$2:$A$41,0)),"")</f>
        <v>إدارة الحوكمة والمخاطر</v>
      </c>
      <c r="F46" s="14" t="str">
        <f>IFERROR(INDEX('قائمة الوحدات'!$F$2:$F$41,MATCH($B46,'قائمة الوحدات'!$A$2:$A$41,0)),"")</f>
        <v>إدارة الحوكمة والمخاطر</v>
      </c>
      <c r="G46" s="16" t="s">
        <v>61</v>
      </c>
      <c r="H46" s="14" t="str">
        <f>IFERROR(INDEX(المرجع!$A$2:$A$19,MATCH($G46,المرجع!$B$2:$B$19,0)),"")</f>
        <v>البناء المؤسسي</v>
      </c>
      <c r="I46" s="16" t="s">
        <v>51</v>
      </c>
      <c r="J46" s="14" t="str">
        <f>IFERROR(INDEX(المرجع!$D$2:$D$19,MATCH($I46,المرجع!$E$2:$E$19,0)),"")</f>
        <v>الحوكمة</v>
      </c>
      <c r="K46" s="15">
        <f>IFERROR(INDEX(المرجع!$F$2:$F$19,MATCH($I46,المرجع!$E$2:$E$19,0)),"")</f>
        <v>3</v>
      </c>
      <c r="L46" s="15">
        <f>SUMIFS(المرجع!$H$2:$H$19,المرجع!$B$2:$B$19,$G46,المرجع!$E$2:$E$19,$I46)</f>
        <v>3</v>
      </c>
      <c r="M46" s="15">
        <f>COUNTIFS('المرتبطة بسمو الوزير'!$B$2:$B$151,$B46,'المرتبطة بسمو الوزير'!$G$2:$G$151,$G46,'المرتبطة بسمو الوزير'!$I$2:$I$151,$I46,'المرتبطة بسمو الوزير'!$M$2:$M$151,"&lt;&gt;")+COUNTIFS('الشؤون التنفيذية'!$B$2:$B$421,$B46,'الشؤون التنفيذية'!$G$2:$G$421,$G46,'الشؤون التنفيذية'!$I$2:$I$421,$I46,'الشؤون التنفيذية'!$N$2:$N$421,"&lt;&gt;")+COUNTIFS('الجهاز العسكري'!$B$2:$B$631,$B46,'الجهاز العسكري'!$G$2:$G$631,$G46,'الجهاز العسكري'!$I$2:$I$631,$I46,'الجهاز العسكري'!$M$2:$M$631,"&lt;&gt;")</f>
        <v>3</v>
      </c>
      <c r="N46" s="19">
        <f>IF($L46=0,0,ROUND((SUMIFS('المرتبطة بسمو الوزير'!$M$2:$M$151,'المرتبطة بسمو الوزير'!$B$2:$B$151,$B46,'المرتبطة بسمو الوزير'!$G$2:$G$151,$G46,'المرتبطة بسمو الوزير'!$I$2:$I$151,$I46)+SUMIFS('الشؤون التنفيذية'!$N$2:$N$421,'الشؤون التنفيذية'!$B$2:$B$421,$B46,'الشؤون التنفيذية'!$G$2:$G$421,$G46,'الشؤون التنفيذية'!$I$2:$I$421,$I46)+SUMIFS('الجهاز العسكري'!$M$2:$M$631,'الجهاز العسكري'!$B$2:$B$631,$B46,'الجهاز العسكري'!$G$2:$G$631,$G46,'الجهاز العسكري'!$I$2:$I$631,$I46))/$L46,0))</f>
        <v>65</v>
      </c>
      <c r="O46" s="18"/>
      <c r="P46" s="15">
        <f>SUMIFS(المرجع!$G$2:$G$19,المرجع!$B$2:$B$19,$G46,المرجع!$E$2:$E$19,$I46)</f>
        <v>15</v>
      </c>
      <c r="Q46" s="20">
        <f t="shared" si="1"/>
        <v>9.75</v>
      </c>
      <c r="R46" s="21" t="str">
        <f>IF($N46&gt;المرجع!$K$3,"متقدم",IF($N46&lt;=المرجع!$K$2,"أولي","جزئي"))</f>
        <v>جزئي</v>
      </c>
    </row>
    <row r="47" spans="1:18">
      <c r="A47" s="16" t="s">
        <v>1487</v>
      </c>
      <c r="B47" s="16" t="s">
        <v>148</v>
      </c>
      <c r="C47" s="15" t="str">
        <f>IFERROR(INDEX('قائمة الوحدات'!$B$2:$B$41,MATCH($B47,'قائمة الوحدات'!$A$2:$A$41,0)),"")</f>
        <v>TOP</v>
      </c>
      <c r="D47" s="14" t="str">
        <f>IFERROR(INDEX('قائمة الوحدات'!$C$2:$C$41,MATCH($B47,'قائمة الوحدات'!$A$2:$A$41,0)),"")</f>
        <v>المرتبطة بسمو الوزير</v>
      </c>
      <c r="E47" s="14" t="str">
        <f>IFERROR(INDEX('قائمة الوحدات'!$D$2:$D$41,MATCH($B47,'قائمة الوحدات'!$A$2:$A$41,0)),"")</f>
        <v>إدارة الحوكمة والمخاطر</v>
      </c>
      <c r="F47" s="14" t="str">
        <f>IFERROR(INDEX('قائمة الوحدات'!$F$2:$F$41,MATCH($B47,'قائمة الوحدات'!$A$2:$A$41,0)),"")</f>
        <v>إدارة الحوكمة والمخاطر</v>
      </c>
      <c r="G47" s="16" t="s">
        <v>61</v>
      </c>
      <c r="H47" s="14" t="str">
        <f>IFERROR(INDEX(المرجع!$A$2:$A$19,MATCH($G47,المرجع!$B$2:$B$19,0)),"")</f>
        <v>البناء المؤسسي</v>
      </c>
      <c r="I47" s="16" t="s">
        <v>54</v>
      </c>
      <c r="J47" s="14" t="str">
        <f>IFERROR(INDEX(المرجع!$D$2:$D$19,MATCH($I47,المرجع!$E$2:$E$19,0)),"")</f>
        <v>التنظيم</v>
      </c>
      <c r="K47" s="15">
        <f>IFERROR(INDEX(المرجع!$F$2:$F$19,MATCH($I47,المرجع!$E$2:$E$19,0)),"")</f>
        <v>4</v>
      </c>
      <c r="L47" s="15">
        <f>SUMIFS(المرجع!$H$2:$H$19,المرجع!$B$2:$B$19,$G47,المرجع!$E$2:$E$19,$I47)</f>
        <v>3</v>
      </c>
      <c r="M47" s="15">
        <f>COUNTIFS('المرتبطة بسمو الوزير'!$B$2:$B$151,$B47,'المرتبطة بسمو الوزير'!$G$2:$G$151,$G47,'المرتبطة بسمو الوزير'!$I$2:$I$151,$I47,'المرتبطة بسمو الوزير'!$M$2:$M$151,"&lt;&gt;")+COUNTIFS('الشؤون التنفيذية'!$B$2:$B$421,$B47,'الشؤون التنفيذية'!$G$2:$G$421,$G47,'الشؤون التنفيذية'!$I$2:$I$421,$I47,'الشؤون التنفيذية'!$N$2:$N$421,"&lt;&gt;")+COUNTIFS('الجهاز العسكري'!$B$2:$B$631,$B47,'الجهاز العسكري'!$G$2:$G$631,$G47,'الجهاز العسكري'!$I$2:$I$631,$I47,'الجهاز العسكري'!$M$2:$M$631,"&lt;&gt;")</f>
        <v>3</v>
      </c>
      <c r="N47" s="19">
        <f>IF($L47=0,0,ROUND((SUMIFS('المرتبطة بسمو الوزير'!$M$2:$M$151,'المرتبطة بسمو الوزير'!$B$2:$B$151,$B47,'المرتبطة بسمو الوزير'!$G$2:$G$151,$G47,'المرتبطة بسمو الوزير'!$I$2:$I$151,$I47)+SUMIFS('الشؤون التنفيذية'!$N$2:$N$421,'الشؤون التنفيذية'!$B$2:$B$421,$B47,'الشؤون التنفيذية'!$G$2:$G$421,$G47,'الشؤون التنفيذية'!$I$2:$I$421,$I47)+SUMIFS('الجهاز العسكري'!$M$2:$M$631,'الجهاز العسكري'!$B$2:$B$631,$B47,'الجهاز العسكري'!$G$2:$G$631,$G47,'الجهاز العسكري'!$I$2:$I$631,$I47))/$L47,0))</f>
        <v>42</v>
      </c>
      <c r="O47" s="18"/>
      <c r="P47" s="15">
        <f>SUMIFS(المرجع!$G$2:$G$19,المرجع!$B$2:$B$19,$G47,المرجع!$E$2:$E$19,$I47)</f>
        <v>20</v>
      </c>
      <c r="Q47" s="20">
        <f t="shared" si="1"/>
        <v>8.4</v>
      </c>
      <c r="R47" s="21" t="str">
        <f>IF($N47&gt;المرجع!$K$3,"متقدم",IF($N47&lt;=المرجع!$K$2,"أولي","جزئي"))</f>
        <v>جزئي</v>
      </c>
    </row>
    <row r="48" spans="1:18">
      <c r="A48" s="16" t="s">
        <v>1488</v>
      </c>
      <c r="B48" s="16" t="s">
        <v>148</v>
      </c>
      <c r="C48" s="15" t="str">
        <f>IFERROR(INDEX('قائمة الوحدات'!$B$2:$B$41,MATCH($B48,'قائمة الوحدات'!$A$2:$A$41,0)),"")</f>
        <v>TOP</v>
      </c>
      <c r="D48" s="14" t="str">
        <f>IFERROR(INDEX('قائمة الوحدات'!$C$2:$C$41,MATCH($B48,'قائمة الوحدات'!$A$2:$A$41,0)),"")</f>
        <v>المرتبطة بسمو الوزير</v>
      </c>
      <c r="E48" s="14" t="str">
        <f>IFERROR(INDEX('قائمة الوحدات'!$D$2:$D$41,MATCH($B48,'قائمة الوحدات'!$A$2:$A$41,0)),"")</f>
        <v>إدارة الحوكمة والمخاطر</v>
      </c>
      <c r="F48" s="14" t="str">
        <f>IFERROR(INDEX('قائمة الوحدات'!$F$2:$F$41,MATCH($B48,'قائمة الوحدات'!$A$2:$A$41,0)),"")</f>
        <v>إدارة الحوكمة والمخاطر</v>
      </c>
      <c r="G48" s="16" t="s">
        <v>61</v>
      </c>
      <c r="H48" s="14" t="str">
        <f>IFERROR(INDEX(المرجع!$A$2:$A$19,MATCH($G48,المرجع!$B$2:$B$19,0)),"")</f>
        <v>البناء المؤسسي</v>
      </c>
      <c r="I48" s="16" t="s">
        <v>56</v>
      </c>
      <c r="J48" s="14" t="str">
        <f>IFERROR(INDEX(المرجع!$D$2:$D$19,MATCH($I48,المرجع!$E$2:$E$19,0)),"")</f>
        <v>الموارد</v>
      </c>
      <c r="K48" s="15">
        <f>IFERROR(INDEX(المرجع!$F$2:$F$19,MATCH($I48,المرجع!$E$2:$E$19,0)),"")</f>
        <v>5</v>
      </c>
      <c r="L48" s="15">
        <f>SUMIFS(المرجع!$H$2:$H$19,المرجع!$B$2:$B$19,$G48,المرجع!$E$2:$E$19,$I48)</f>
        <v>4</v>
      </c>
      <c r="M48" s="15">
        <f>COUNTIFS('المرتبطة بسمو الوزير'!$B$2:$B$151,$B48,'المرتبطة بسمو الوزير'!$G$2:$G$151,$G48,'المرتبطة بسمو الوزير'!$I$2:$I$151,$I48,'المرتبطة بسمو الوزير'!$M$2:$M$151,"&lt;&gt;")+COUNTIFS('الشؤون التنفيذية'!$B$2:$B$421,$B48,'الشؤون التنفيذية'!$G$2:$G$421,$G48,'الشؤون التنفيذية'!$I$2:$I$421,$I48,'الشؤون التنفيذية'!$N$2:$N$421,"&lt;&gt;")+COUNTIFS('الجهاز العسكري'!$B$2:$B$631,$B48,'الجهاز العسكري'!$G$2:$G$631,$G48,'الجهاز العسكري'!$I$2:$I$631,$I48,'الجهاز العسكري'!$M$2:$M$631,"&lt;&gt;")</f>
        <v>4</v>
      </c>
      <c r="N48" s="19">
        <f>IF($L48=0,0,ROUND((SUMIFS('المرتبطة بسمو الوزير'!$M$2:$M$151,'المرتبطة بسمو الوزير'!$B$2:$B$151,$B48,'المرتبطة بسمو الوزير'!$G$2:$G$151,$G48,'المرتبطة بسمو الوزير'!$I$2:$I$151,$I48)+SUMIFS('الشؤون التنفيذية'!$N$2:$N$421,'الشؤون التنفيذية'!$B$2:$B$421,$B48,'الشؤون التنفيذية'!$G$2:$G$421,$G48,'الشؤون التنفيذية'!$I$2:$I$421,$I48)+SUMIFS('الجهاز العسكري'!$M$2:$M$631,'الجهاز العسكري'!$B$2:$B$631,$B48,'الجهاز العسكري'!$G$2:$G$631,$G48,'الجهاز العسكري'!$I$2:$I$631,$I48))/$L48,0))</f>
        <v>56</v>
      </c>
      <c r="O48" s="18"/>
      <c r="P48" s="15">
        <f>SUMIFS(المرجع!$G$2:$G$19,المرجع!$B$2:$B$19,$G48,المرجع!$E$2:$E$19,$I48)</f>
        <v>25</v>
      </c>
      <c r="Q48" s="20">
        <f t="shared" si="1"/>
        <v>14</v>
      </c>
      <c r="R48" s="21" t="str">
        <f>IF($N48&gt;المرجع!$K$3,"متقدم",IF($N48&lt;=المرجع!$K$2,"أولي","جزئي"))</f>
        <v>جزئي</v>
      </c>
    </row>
    <row r="49" spans="1:18">
      <c r="A49" s="16" t="s">
        <v>1489</v>
      </c>
      <c r="B49" s="16" t="s">
        <v>148</v>
      </c>
      <c r="C49" s="15" t="str">
        <f>IFERROR(INDEX('قائمة الوحدات'!$B$2:$B$41,MATCH($B49,'قائمة الوحدات'!$A$2:$A$41,0)),"")</f>
        <v>TOP</v>
      </c>
      <c r="D49" s="14" t="str">
        <f>IFERROR(INDEX('قائمة الوحدات'!$C$2:$C$41,MATCH($B49,'قائمة الوحدات'!$A$2:$A$41,0)),"")</f>
        <v>المرتبطة بسمو الوزير</v>
      </c>
      <c r="E49" s="14" t="str">
        <f>IFERROR(INDEX('قائمة الوحدات'!$D$2:$D$41,MATCH($B49,'قائمة الوحدات'!$A$2:$A$41,0)),"")</f>
        <v>إدارة الحوكمة والمخاطر</v>
      </c>
      <c r="F49" s="14" t="str">
        <f>IFERROR(INDEX('قائمة الوحدات'!$F$2:$F$41,MATCH($B49,'قائمة الوحدات'!$A$2:$A$41,0)),"")</f>
        <v>إدارة الحوكمة والمخاطر</v>
      </c>
      <c r="G49" s="16" t="s">
        <v>61</v>
      </c>
      <c r="H49" s="14" t="str">
        <f>IFERROR(INDEX(المرجع!$A$2:$A$19,MATCH($G49,المرجع!$B$2:$B$19,0)),"")</f>
        <v>البناء المؤسسي</v>
      </c>
      <c r="I49" s="16" t="s">
        <v>59</v>
      </c>
      <c r="J49" s="14" t="str">
        <f>IFERROR(INDEX(المرجع!$D$2:$D$19,MATCH($I49,المرجع!$E$2:$E$19,0)),"")</f>
        <v>الإجراءات</v>
      </c>
      <c r="K49" s="15">
        <f>IFERROR(INDEX(المرجع!$F$2:$F$19,MATCH($I49,المرجع!$E$2:$E$19,0)),"")</f>
        <v>6</v>
      </c>
      <c r="L49" s="15">
        <f>SUMIFS(المرجع!$H$2:$H$19,المرجع!$B$2:$B$19,$G49,المرجع!$E$2:$E$19,$I49)</f>
        <v>1</v>
      </c>
      <c r="M49" s="15">
        <f>COUNTIFS('المرتبطة بسمو الوزير'!$B$2:$B$151,$B49,'المرتبطة بسمو الوزير'!$G$2:$G$151,$G49,'المرتبطة بسمو الوزير'!$I$2:$I$151,$I49,'المرتبطة بسمو الوزير'!$M$2:$M$151,"&lt;&gt;")+COUNTIFS('الشؤون التنفيذية'!$B$2:$B$421,$B49,'الشؤون التنفيذية'!$G$2:$G$421,$G49,'الشؤون التنفيذية'!$I$2:$I$421,$I49,'الشؤون التنفيذية'!$N$2:$N$421,"&lt;&gt;")+COUNTIFS('الجهاز العسكري'!$B$2:$B$631,$B49,'الجهاز العسكري'!$G$2:$G$631,$G49,'الجهاز العسكري'!$I$2:$I$631,$I49,'الجهاز العسكري'!$M$2:$M$631,"&lt;&gt;")</f>
        <v>1</v>
      </c>
      <c r="N49" s="19">
        <f>IF($L49=0,0,ROUND((SUMIFS('المرتبطة بسمو الوزير'!$M$2:$M$151,'المرتبطة بسمو الوزير'!$B$2:$B$151,$B49,'المرتبطة بسمو الوزير'!$G$2:$G$151,$G49,'المرتبطة بسمو الوزير'!$I$2:$I$151,$I49)+SUMIFS('الشؤون التنفيذية'!$N$2:$N$421,'الشؤون التنفيذية'!$B$2:$B$421,$B49,'الشؤون التنفيذية'!$G$2:$G$421,$G49,'الشؤون التنفيذية'!$I$2:$I$421,$I49)+SUMIFS('الجهاز العسكري'!$M$2:$M$631,'الجهاز العسكري'!$B$2:$B$631,$B49,'الجهاز العسكري'!$G$2:$G$631,$G49,'الجهاز العسكري'!$I$2:$I$631,$I49))/$L49,0))</f>
        <v>53</v>
      </c>
      <c r="O49" s="18"/>
      <c r="P49" s="15">
        <f>SUMIFS(المرجع!$G$2:$G$19,المرجع!$B$2:$B$19,$G49,المرجع!$E$2:$E$19,$I49)</f>
        <v>5</v>
      </c>
      <c r="Q49" s="20">
        <f t="shared" si="1"/>
        <v>2.65</v>
      </c>
      <c r="R49" s="21" t="str">
        <f>IF($N49&gt;المرجع!$K$3,"متقدم",IF($N49&lt;=المرجع!$K$2,"أولي","جزئي"))</f>
        <v>جزئي</v>
      </c>
    </row>
    <row r="50" spans="1:18">
      <c r="A50" s="16" t="s">
        <v>1490</v>
      </c>
      <c r="B50" s="16" t="s">
        <v>148</v>
      </c>
      <c r="C50" s="15" t="str">
        <f>IFERROR(INDEX('قائمة الوحدات'!$B$2:$B$41,MATCH($B50,'قائمة الوحدات'!$A$2:$A$41,0)),"")</f>
        <v>TOP</v>
      </c>
      <c r="D50" s="14" t="str">
        <f>IFERROR(INDEX('قائمة الوحدات'!$C$2:$C$41,MATCH($B50,'قائمة الوحدات'!$A$2:$A$41,0)),"")</f>
        <v>المرتبطة بسمو الوزير</v>
      </c>
      <c r="E50" s="14" t="str">
        <f>IFERROR(INDEX('قائمة الوحدات'!$D$2:$D$41,MATCH($B50,'قائمة الوحدات'!$A$2:$A$41,0)),"")</f>
        <v>إدارة الحوكمة والمخاطر</v>
      </c>
      <c r="F50" s="14" t="str">
        <f>IFERROR(INDEX('قائمة الوحدات'!$F$2:$F$41,MATCH($B50,'قائمة الوحدات'!$A$2:$A$41,0)),"")</f>
        <v>إدارة الحوكمة والمخاطر</v>
      </c>
      <c r="G50" s="16" t="s">
        <v>61</v>
      </c>
      <c r="H50" s="14" t="str">
        <f>IFERROR(INDEX(المرجع!$A$2:$A$19,MATCH($G50,المرجع!$B$2:$B$19,0)),"")</f>
        <v>البناء المؤسسي</v>
      </c>
      <c r="I50" s="16" t="s">
        <v>63</v>
      </c>
      <c r="J50" s="14" t="str">
        <f>IFERROR(INDEX(المرجع!$D$2:$D$19,MATCH($I50,المرجع!$E$2:$E$19,0)),"")</f>
        <v>إنتاج المخرج الأول</v>
      </c>
      <c r="K50" s="15">
        <f>IFERROR(INDEX(المرجع!$F$2:$F$19,MATCH($I50,المرجع!$E$2:$E$19,0)),"")</f>
        <v>7</v>
      </c>
      <c r="L50" s="15">
        <f>SUMIFS(المرجع!$H$2:$H$19,المرجع!$B$2:$B$19,$G50,المرجع!$E$2:$E$19,$I50)</f>
        <v>1</v>
      </c>
      <c r="M50" s="15">
        <f>COUNTIFS('المرتبطة بسمو الوزير'!$B$2:$B$151,$B50,'المرتبطة بسمو الوزير'!$G$2:$G$151,$G50,'المرتبطة بسمو الوزير'!$I$2:$I$151,$I50,'المرتبطة بسمو الوزير'!$M$2:$M$151,"&lt;&gt;")+COUNTIFS('الشؤون التنفيذية'!$B$2:$B$421,$B50,'الشؤون التنفيذية'!$G$2:$G$421,$G50,'الشؤون التنفيذية'!$I$2:$I$421,$I50,'الشؤون التنفيذية'!$N$2:$N$421,"&lt;&gt;")+COUNTIFS('الجهاز العسكري'!$B$2:$B$631,$B50,'الجهاز العسكري'!$G$2:$G$631,$G50,'الجهاز العسكري'!$I$2:$I$631,$I50,'الجهاز العسكري'!$M$2:$M$631,"&lt;&gt;")</f>
        <v>1</v>
      </c>
      <c r="N50" s="19">
        <f>IF($L50=0,0,ROUND((SUMIFS('المرتبطة بسمو الوزير'!$M$2:$M$151,'المرتبطة بسمو الوزير'!$B$2:$B$151,$B50,'المرتبطة بسمو الوزير'!$G$2:$G$151,$G50,'المرتبطة بسمو الوزير'!$I$2:$I$151,$I50)+SUMIFS('الشؤون التنفيذية'!$N$2:$N$421,'الشؤون التنفيذية'!$B$2:$B$421,$B50,'الشؤون التنفيذية'!$G$2:$G$421,$G50,'الشؤون التنفيذية'!$I$2:$I$421,$I50)+SUMIFS('الجهاز العسكري'!$M$2:$M$631,'الجهاز العسكري'!$B$2:$B$631,$B50,'الجهاز العسكري'!$G$2:$G$631,$G50,'الجهاز العسكري'!$I$2:$I$631,$I50))/$L50,0))</f>
        <v>68</v>
      </c>
      <c r="O50" s="18"/>
      <c r="P50" s="15">
        <f>SUMIFS(المرجع!$G$2:$G$19,المرجع!$B$2:$B$19,$G50,المرجع!$E$2:$E$19,$I50)</f>
        <v>5</v>
      </c>
      <c r="Q50" s="20">
        <f t="shared" si="1"/>
        <v>3.4</v>
      </c>
      <c r="R50" s="21" t="str">
        <f>IF($N50&gt;المرجع!$K$3,"متقدم",IF($N50&lt;=المرجع!$K$2,"أولي","جزئي"))</f>
        <v>جزئي</v>
      </c>
    </row>
    <row r="51" spans="1:18">
      <c r="A51" s="16" t="s">
        <v>1491</v>
      </c>
      <c r="B51" s="16" t="s">
        <v>148</v>
      </c>
      <c r="C51" s="15" t="str">
        <f>IFERROR(INDEX('قائمة الوحدات'!$B$2:$B$41,MATCH($B51,'قائمة الوحدات'!$A$2:$A$41,0)),"")</f>
        <v>TOP</v>
      </c>
      <c r="D51" s="14" t="str">
        <f>IFERROR(INDEX('قائمة الوحدات'!$C$2:$C$41,MATCH($B51,'قائمة الوحدات'!$A$2:$A$41,0)),"")</f>
        <v>المرتبطة بسمو الوزير</v>
      </c>
      <c r="E51" s="14" t="str">
        <f>IFERROR(INDEX('قائمة الوحدات'!$D$2:$D$41,MATCH($B51,'قائمة الوحدات'!$A$2:$A$41,0)),"")</f>
        <v>إدارة الحوكمة والمخاطر</v>
      </c>
      <c r="F51" s="14" t="str">
        <f>IFERROR(INDEX('قائمة الوحدات'!$F$2:$F$41,MATCH($B51,'قائمة الوحدات'!$A$2:$A$41,0)),"")</f>
        <v>إدارة الحوكمة والمخاطر</v>
      </c>
      <c r="G51" s="16" t="s">
        <v>65</v>
      </c>
      <c r="H51" s="14" t="str">
        <f>IFERROR(INDEX(المرجع!$A$2:$A$19,MATCH($G51,المرجع!$B$2:$B$19,0)),"")</f>
        <v>التشغيل</v>
      </c>
      <c r="I51" s="16" t="s">
        <v>48</v>
      </c>
      <c r="J51" s="14" t="str">
        <f>IFERROR(INDEX(المرجع!$D$2:$D$19,MATCH($I51,المرجع!$E$2:$E$19,0)),"")</f>
        <v>الأهداف ومؤشرات الأداء</v>
      </c>
      <c r="K51" s="15">
        <f>IFERROR(INDEX(المرجع!$F$2:$F$19,MATCH($I51,المرجع!$E$2:$E$19,0)),"")</f>
        <v>2</v>
      </c>
      <c r="L51" s="15">
        <f>SUMIFS(المرجع!$H$2:$H$19,المرجع!$B$2:$B$19,$G51,المرجع!$E$2:$E$19,$I51)</f>
        <v>2</v>
      </c>
      <c r="M51" s="15">
        <f>COUNTIFS('المرتبطة بسمو الوزير'!$B$2:$B$151,$B51,'المرتبطة بسمو الوزير'!$G$2:$G$151,$G51,'المرتبطة بسمو الوزير'!$I$2:$I$151,$I51,'المرتبطة بسمو الوزير'!$M$2:$M$151,"&lt;&gt;")+COUNTIFS('الشؤون التنفيذية'!$B$2:$B$421,$B51,'الشؤون التنفيذية'!$G$2:$G$421,$G51,'الشؤون التنفيذية'!$I$2:$I$421,$I51,'الشؤون التنفيذية'!$N$2:$N$421,"&lt;&gt;")+COUNTIFS('الجهاز العسكري'!$B$2:$B$631,$B51,'الجهاز العسكري'!$G$2:$G$631,$G51,'الجهاز العسكري'!$I$2:$I$631,$I51,'الجهاز العسكري'!$M$2:$M$631,"&lt;&gt;")</f>
        <v>2</v>
      </c>
      <c r="N51" s="19">
        <f>IF($L51=0,0,ROUND((SUMIFS('المرتبطة بسمو الوزير'!$M$2:$M$151,'المرتبطة بسمو الوزير'!$B$2:$B$151,$B51,'المرتبطة بسمو الوزير'!$G$2:$G$151,$G51,'المرتبطة بسمو الوزير'!$I$2:$I$151,$I51)+SUMIFS('الشؤون التنفيذية'!$N$2:$N$421,'الشؤون التنفيذية'!$B$2:$B$421,$B51,'الشؤون التنفيذية'!$G$2:$G$421,$G51,'الشؤون التنفيذية'!$I$2:$I$421,$I51)+SUMIFS('الجهاز العسكري'!$M$2:$M$631,'الجهاز العسكري'!$B$2:$B$631,$B51,'الجهاز العسكري'!$G$2:$G$631,$G51,'الجهاز العسكري'!$I$2:$I$631,$I51))/$L51,0))</f>
        <v>25</v>
      </c>
      <c r="O51" s="18"/>
      <c r="P51" s="15">
        <f>SUMIFS(المرجع!$G$2:$G$19,المرجع!$B$2:$B$19,$G51,المرجع!$E$2:$E$19,$I51)</f>
        <v>25</v>
      </c>
      <c r="Q51" s="20">
        <f t="shared" si="1"/>
        <v>6.25</v>
      </c>
      <c r="R51" s="21" t="str">
        <f>IF($N51&gt;المرجع!$K$3,"متقدم",IF($N51&lt;=المرجع!$K$2,"أولي","جزئي"))</f>
        <v>أولي</v>
      </c>
    </row>
    <row r="52" spans="1:18">
      <c r="A52" s="16" t="s">
        <v>1492</v>
      </c>
      <c r="B52" s="16" t="s">
        <v>148</v>
      </c>
      <c r="C52" s="15" t="str">
        <f>IFERROR(INDEX('قائمة الوحدات'!$B$2:$B$41,MATCH($B52,'قائمة الوحدات'!$A$2:$A$41,0)),"")</f>
        <v>TOP</v>
      </c>
      <c r="D52" s="14" t="str">
        <f>IFERROR(INDEX('قائمة الوحدات'!$C$2:$C$41,MATCH($B52,'قائمة الوحدات'!$A$2:$A$41,0)),"")</f>
        <v>المرتبطة بسمو الوزير</v>
      </c>
      <c r="E52" s="14" t="str">
        <f>IFERROR(INDEX('قائمة الوحدات'!$D$2:$D$41,MATCH($B52,'قائمة الوحدات'!$A$2:$A$41,0)),"")</f>
        <v>إدارة الحوكمة والمخاطر</v>
      </c>
      <c r="F52" s="14" t="str">
        <f>IFERROR(INDEX('قائمة الوحدات'!$F$2:$F$41,MATCH($B52,'قائمة الوحدات'!$A$2:$A$41,0)),"")</f>
        <v>إدارة الحوكمة والمخاطر</v>
      </c>
      <c r="G52" s="16" t="s">
        <v>65</v>
      </c>
      <c r="H52" s="14" t="str">
        <f>IFERROR(INDEX(المرجع!$A$2:$A$19,MATCH($G52,المرجع!$B$2:$B$19,0)),"")</f>
        <v>التشغيل</v>
      </c>
      <c r="I52" s="16" t="s">
        <v>51</v>
      </c>
      <c r="J52" s="14" t="str">
        <f>IFERROR(INDEX(المرجع!$D$2:$D$19,MATCH($I52,المرجع!$E$2:$E$19,0)),"")</f>
        <v>الحوكمة</v>
      </c>
      <c r="K52" s="15">
        <f>IFERROR(INDEX(المرجع!$F$2:$F$19,MATCH($I52,المرجع!$E$2:$E$19,0)),"")</f>
        <v>3</v>
      </c>
      <c r="L52" s="15">
        <f>SUMIFS(المرجع!$H$2:$H$19,المرجع!$B$2:$B$19,$G52,المرجع!$E$2:$E$19,$I52)</f>
        <v>3</v>
      </c>
      <c r="M52" s="15">
        <f>COUNTIFS('المرتبطة بسمو الوزير'!$B$2:$B$151,$B52,'المرتبطة بسمو الوزير'!$G$2:$G$151,$G52,'المرتبطة بسمو الوزير'!$I$2:$I$151,$I52,'المرتبطة بسمو الوزير'!$M$2:$M$151,"&lt;&gt;")+COUNTIFS('الشؤون التنفيذية'!$B$2:$B$421,$B52,'الشؤون التنفيذية'!$G$2:$G$421,$G52,'الشؤون التنفيذية'!$I$2:$I$421,$I52,'الشؤون التنفيذية'!$N$2:$N$421,"&lt;&gt;")+COUNTIFS('الجهاز العسكري'!$B$2:$B$631,$B52,'الجهاز العسكري'!$G$2:$G$631,$G52,'الجهاز العسكري'!$I$2:$I$631,$I52,'الجهاز العسكري'!$M$2:$M$631,"&lt;&gt;")</f>
        <v>3</v>
      </c>
      <c r="N52" s="19">
        <f>IF($L52=0,0,ROUND((SUMIFS('المرتبطة بسمو الوزير'!$M$2:$M$151,'المرتبطة بسمو الوزير'!$B$2:$B$151,$B52,'المرتبطة بسمو الوزير'!$G$2:$G$151,$G52,'المرتبطة بسمو الوزير'!$I$2:$I$151,$I52)+SUMIFS('الشؤون التنفيذية'!$N$2:$N$421,'الشؤون التنفيذية'!$B$2:$B$421,$B52,'الشؤون التنفيذية'!$G$2:$G$421,$G52,'الشؤون التنفيذية'!$I$2:$I$421,$I52)+SUMIFS('الجهاز العسكري'!$M$2:$M$631,'الجهاز العسكري'!$B$2:$B$631,$B52,'الجهاز العسكري'!$G$2:$G$631,$G52,'الجهاز العسكري'!$I$2:$I$631,$I52))/$L52,0))</f>
        <v>40</v>
      </c>
      <c r="O52" s="18"/>
      <c r="P52" s="15">
        <f>SUMIFS(المرجع!$G$2:$G$19,المرجع!$B$2:$B$19,$G52,المرجع!$E$2:$E$19,$I52)</f>
        <v>15</v>
      </c>
      <c r="Q52" s="20">
        <f t="shared" si="1"/>
        <v>6</v>
      </c>
      <c r="R52" s="21" t="str">
        <f>IF($N52&gt;المرجع!$K$3,"متقدم",IF($N52&lt;=المرجع!$K$2,"أولي","جزئي"))</f>
        <v>جزئي</v>
      </c>
    </row>
    <row r="53" spans="1:18">
      <c r="A53" s="16" t="s">
        <v>1493</v>
      </c>
      <c r="B53" s="16" t="s">
        <v>148</v>
      </c>
      <c r="C53" s="15" t="str">
        <f>IFERROR(INDEX('قائمة الوحدات'!$B$2:$B$41,MATCH($B53,'قائمة الوحدات'!$A$2:$A$41,0)),"")</f>
        <v>TOP</v>
      </c>
      <c r="D53" s="14" t="str">
        <f>IFERROR(INDEX('قائمة الوحدات'!$C$2:$C$41,MATCH($B53,'قائمة الوحدات'!$A$2:$A$41,0)),"")</f>
        <v>المرتبطة بسمو الوزير</v>
      </c>
      <c r="E53" s="14" t="str">
        <f>IFERROR(INDEX('قائمة الوحدات'!$D$2:$D$41,MATCH($B53,'قائمة الوحدات'!$A$2:$A$41,0)),"")</f>
        <v>إدارة الحوكمة والمخاطر</v>
      </c>
      <c r="F53" s="14" t="str">
        <f>IFERROR(INDEX('قائمة الوحدات'!$F$2:$F$41,MATCH($B53,'قائمة الوحدات'!$A$2:$A$41,0)),"")</f>
        <v>إدارة الحوكمة والمخاطر</v>
      </c>
      <c r="G53" s="16" t="s">
        <v>65</v>
      </c>
      <c r="H53" s="14" t="str">
        <f>IFERROR(INDEX(المرجع!$A$2:$A$19,MATCH($G53,المرجع!$B$2:$B$19,0)),"")</f>
        <v>التشغيل</v>
      </c>
      <c r="I53" s="16" t="s">
        <v>56</v>
      </c>
      <c r="J53" s="14" t="str">
        <f>IFERROR(INDEX(المرجع!$D$2:$D$19,MATCH($I53,المرجع!$E$2:$E$19,0)),"")</f>
        <v>الموارد</v>
      </c>
      <c r="K53" s="15">
        <f>IFERROR(INDEX(المرجع!$F$2:$F$19,MATCH($I53,المرجع!$E$2:$E$19,0)),"")</f>
        <v>5</v>
      </c>
      <c r="L53" s="15">
        <f>SUMIFS(المرجع!$H$2:$H$19,المرجع!$B$2:$B$19,$G53,المرجع!$E$2:$E$19,$I53)</f>
        <v>1</v>
      </c>
      <c r="M53" s="15">
        <f>COUNTIFS('المرتبطة بسمو الوزير'!$B$2:$B$151,$B53,'المرتبطة بسمو الوزير'!$G$2:$G$151,$G53,'المرتبطة بسمو الوزير'!$I$2:$I$151,$I53,'المرتبطة بسمو الوزير'!$M$2:$M$151,"&lt;&gt;")+COUNTIFS('الشؤون التنفيذية'!$B$2:$B$421,$B53,'الشؤون التنفيذية'!$G$2:$G$421,$G53,'الشؤون التنفيذية'!$I$2:$I$421,$I53,'الشؤون التنفيذية'!$N$2:$N$421,"&lt;&gt;")+COUNTIFS('الجهاز العسكري'!$B$2:$B$631,$B53,'الجهاز العسكري'!$G$2:$G$631,$G53,'الجهاز العسكري'!$I$2:$I$631,$I53,'الجهاز العسكري'!$M$2:$M$631,"&lt;&gt;")</f>
        <v>1</v>
      </c>
      <c r="N53" s="19">
        <f>IF($L53=0,0,ROUND((SUMIFS('المرتبطة بسمو الوزير'!$M$2:$M$151,'المرتبطة بسمو الوزير'!$B$2:$B$151,$B53,'المرتبطة بسمو الوزير'!$G$2:$G$151,$G53,'المرتبطة بسمو الوزير'!$I$2:$I$151,$I53)+SUMIFS('الشؤون التنفيذية'!$N$2:$N$421,'الشؤون التنفيذية'!$B$2:$B$421,$B53,'الشؤون التنفيذية'!$G$2:$G$421,$G53,'الشؤون التنفيذية'!$I$2:$I$421,$I53)+SUMIFS('الجهاز العسكري'!$M$2:$M$631,'الجهاز العسكري'!$B$2:$B$631,$B53,'الجهاز العسكري'!$G$2:$G$631,$G53,'الجهاز العسكري'!$I$2:$I$631,$I53))/$L53,0))</f>
        <v>32</v>
      </c>
      <c r="O53" s="18"/>
      <c r="P53" s="15">
        <f>SUMIFS(المرجع!$G$2:$G$19,المرجع!$B$2:$B$19,$G53,المرجع!$E$2:$E$19,$I53)</f>
        <v>15</v>
      </c>
      <c r="Q53" s="20">
        <f t="shared" si="1"/>
        <v>4.8</v>
      </c>
      <c r="R53" s="21" t="str">
        <f>IF($N53&gt;المرجع!$K$3,"متقدم",IF($N53&lt;=المرجع!$K$2,"أولي","جزئي"))</f>
        <v>جزئي</v>
      </c>
    </row>
    <row r="54" spans="1:18">
      <c r="A54" s="16" t="s">
        <v>1494</v>
      </c>
      <c r="B54" s="16" t="s">
        <v>148</v>
      </c>
      <c r="C54" s="15" t="str">
        <f>IFERROR(INDEX('قائمة الوحدات'!$B$2:$B$41,MATCH($B54,'قائمة الوحدات'!$A$2:$A$41,0)),"")</f>
        <v>TOP</v>
      </c>
      <c r="D54" s="14" t="str">
        <f>IFERROR(INDEX('قائمة الوحدات'!$C$2:$C$41,MATCH($B54,'قائمة الوحدات'!$A$2:$A$41,0)),"")</f>
        <v>المرتبطة بسمو الوزير</v>
      </c>
      <c r="E54" s="14" t="str">
        <f>IFERROR(INDEX('قائمة الوحدات'!$D$2:$D$41,MATCH($B54,'قائمة الوحدات'!$A$2:$A$41,0)),"")</f>
        <v>إدارة الحوكمة والمخاطر</v>
      </c>
      <c r="F54" s="14" t="str">
        <f>IFERROR(INDEX('قائمة الوحدات'!$F$2:$F$41,MATCH($B54,'قائمة الوحدات'!$A$2:$A$41,0)),"")</f>
        <v>إدارة الحوكمة والمخاطر</v>
      </c>
      <c r="G54" s="16" t="s">
        <v>65</v>
      </c>
      <c r="H54" s="14" t="str">
        <f>IFERROR(INDEX(المرجع!$A$2:$A$19,MATCH($G54,المرجع!$B$2:$B$19,0)),"")</f>
        <v>التشغيل</v>
      </c>
      <c r="I54" s="16" t="s">
        <v>59</v>
      </c>
      <c r="J54" s="14" t="str">
        <f>IFERROR(INDEX(المرجع!$D$2:$D$19,MATCH($I54,المرجع!$E$2:$E$19,0)),"")</f>
        <v>الإجراءات</v>
      </c>
      <c r="K54" s="15">
        <f>IFERROR(INDEX(المرجع!$F$2:$F$19,MATCH($I54,المرجع!$E$2:$E$19,0)),"")</f>
        <v>6</v>
      </c>
      <c r="L54" s="15">
        <f>SUMIFS(المرجع!$H$2:$H$19,المرجع!$B$2:$B$19,$G54,المرجع!$E$2:$E$19,$I54)</f>
        <v>1</v>
      </c>
      <c r="M54" s="15">
        <f>COUNTIFS('المرتبطة بسمو الوزير'!$B$2:$B$151,$B54,'المرتبطة بسمو الوزير'!$G$2:$G$151,$G54,'المرتبطة بسمو الوزير'!$I$2:$I$151,$I54,'المرتبطة بسمو الوزير'!$M$2:$M$151,"&lt;&gt;")+COUNTIFS('الشؤون التنفيذية'!$B$2:$B$421,$B54,'الشؤون التنفيذية'!$G$2:$G$421,$G54,'الشؤون التنفيذية'!$I$2:$I$421,$I54,'الشؤون التنفيذية'!$N$2:$N$421,"&lt;&gt;")+COUNTIFS('الجهاز العسكري'!$B$2:$B$631,$B54,'الجهاز العسكري'!$G$2:$G$631,$G54,'الجهاز العسكري'!$I$2:$I$631,$I54,'الجهاز العسكري'!$M$2:$M$631,"&lt;&gt;")</f>
        <v>1</v>
      </c>
      <c r="N54" s="19">
        <f>IF($L54=0,0,ROUND((SUMIFS('المرتبطة بسمو الوزير'!$M$2:$M$151,'المرتبطة بسمو الوزير'!$B$2:$B$151,$B54,'المرتبطة بسمو الوزير'!$G$2:$G$151,$G54,'المرتبطة بسمو الوزير'!$I$2:$I$151,$I54)+SUMIFS('الشؤون التنفيذية'!$N$2:$N$421,'الشؤون التنفيذية'!$B$2:$B$421,$B54,'الشؤون التنفيذية'!$G$2:$G$421,$G54,'الشؤون التنفيذية'!$I$2:$I$421,$I54)+SUMIFS('الجهاز العسكري'!$M$2:$M$631,'الجهاز العسكري'!$B$2:$B$631,$B54,'الجهاز العسكري'!$G$2:$G$631,$G54,'الجهاز العسكري'!$I$2:$I$631,$I54))/$L54,0))</f>
        <v>47</v>
      </c>
      <c r="O54" s="18"/>
      <c r="P54" s="15">
        <f>SUMIFS(المرجع!$G$2:$G$19,المرجع!$B$2:$B$19,$G54,المرجع!$E$2:$E$19,$I54)</f>
        <v>15</v>
      </c>
      <c r="Q54" s="20">
        <f t="shared" si="1"/>
        <v>7.05</v>
      </c>
      <c r="R54" s="21" t="str">
        <f>IF($N54&gt;المرجع!$K$3,"متقدم",IF($N54&lt;=المرجع!$K$2,"أولي","جزئي"))</f>
        <v>جزئي</v>
      </c>
    </row>
    <row r="55" spans="1:18">
      <c r="A55" s="16" t="s">
        <v>1495</v>
      </c>
      <c r="B55" s="16" t="s">
        <v>148</v>
      </c>
      <c r="C55" s="15" t="str">
        <f>IFERROR(INDEX('قائمة الوحدات'!$B$2:$B$41,MATCH($B55,'قائمة الوحدات'!$A$2:$A$41,0)),"")</f>
        <v>TOP</v>
      </c>
      <c r="D55" s="14" t="str">
        <f>IFERROR(INDEX('قائمة الوحدات'!$C$2:$C$41,MATCH($B55,'قائمة الوحدات'!$A$2:$A$41,0)),"")</f>
        <v>المرتبطة بسمو الوزير</v>
      </c>
      <c r="E55" s="14" t="str">
        <f>IFERROR(INDEX('قائمة الوحدات'!$D$2:$D$41,MATCH($B55,'قائمة الوحدات'!$A$2:$A$41,0)),"")</f>
        <v>إدارة الحوكمة والمخاطر</v>
      </c>
      <c r="F55" s="14" t="str">
        <f>IFERROR(INDEX('قائمة الوحدات'!$F$2:$F$41,MATCH($B55,'قائمة الوحدات'!$A$2:$A$41,0)),"")</f>
        <v>إدارة الحوكمة والمخاطر</v>
      </c>
      <c r="G55" s="16" t="s">
        <v>65</v>
      </c>
      <c r="H55" s="14" t="str">
        <f>IFERROR(INDEX(المرجع!$A$2:$A$19,MATCH($G55,المرجع!$B$2:$B$19,0)),"")</f>
        <v>التشغيل</v>
      </c>
      <c r="I55" s="16" t="s">
        <v>67</v>
      </c>
      <c r="J55" s="14" t="str">
        <f>IFERROR(INDEX(المرجع!$D$2:$D$19,MATCH($I55,المرجع!$E$2:$E$19,0)),"")</f>
        <v>اكتمال المخرجات المستهدفة</v>
      </c>
      <c r="K55" s="15">
        <f>IFERROR(INDEX(المرجع!$F$2:$F$19,MATCH($I55,المرجع!$E$2:$E$19,0)),"")</f>
        <v>8</v>
      </c>
      <c r="L55" s="15">
        <f>SUMIFS(المرجع!$H$2:$H$19,المرجع!$B$2:$B$19,$G55,المرجع!$E$2:$E$19,$I55)</f>
        <v>1</v>
      </c>
      <c r="M55" s="15">
        <f>COUNTIFS('المرتبطة بسمو الوزير'!$B$2:$B$151,$B55,'المرتبطة بسمو الوزير'!$G$2:$G$151,$G55,'المرتبطة بسمو الوزير'!$I$2:$I$151,$I55,'المرتبطة بسمو الوزير'!$M$2:$M$151,"&lt;&gt;")+COUNTIFS('الشؤون التنفيذية'!$B$2:$B$421,$B55,'الشؤون التنفيذية'!$G$2:$G$421,$G55,'الشؤون التنفيذية'!$I$2:$I$421,$I55,'الشؤون التنفيذية'!$N$2:$N$421,"&lt;&gt;")+COUNTIFS('الجهاز العسكري'!$B$2:$B$631,$B55,'الجهاز العسكري'!$G$2:$G$631,$G55,'الجهاز العسكري'!$I$2:$I$631,$I55,'الجهاز العسكري'!$M$2:$M$631,"&lt;&gt;")</f>
        <v>1</v>
      </c>
      <c r="N55" s="19">
        <f>IF($L55=0,0,ROUND((SUMIFS('المرتبطة بسمو الوزير'!$M$2:$M$151,'المرتبطة بسمو الوزير'!$B$2:$B$151,$B55,'المرتبطة بسمو الوزير'!$G$2:$G$151,$G55,'المرتبطة بسمو الوزير'!$I$2:$I$151,$I55)+SUMIFS('الشؤون التنفيذية'!$N$2:$N$421,'الشؤون التنفيذية'!$B$2:$B$421,$B55,'الشؤون التنفيذية'!$G$2:$G$421,$G55,'الشؤون التنفيذية'!$I$2:$I$421,$I55)+SUMIFS('الجهاز العسكري'!$M$2:$M$631,'الجهاز العسكري'!$B$2:$B$631,$B55,'الجهاز العسكري'!$G$2:$G$631,$G55,'الجهاز العسكري'!$I$2:$I$631,$I55))/$L55,0))</f>
        <v>37</v>
      </c>
      <c r="O55" s="18"/>
      <c r="P55" s="15">
        <f>SUMIFS(المرجع!$G$2:$G$19,المرجع!$B$2:$B$19,$G55,المرجع!$E$2:$E$19,$I55)</f>
        <v>30</v>
      </c>
      <c r="Q55" s="20">
        <f t="shared" si="1"/>
        <v>11.1</v>
      </c>
      <c r="R55" s="21" t="str">
        <f>IF($N55&gt;المرجع!$K$3,"متقدم",IF($N55&lt;=المرجع!$K$2,"أولي","جزئي"))</f>
        <v>جزئي</v>
      </c>
    </row>
    <row r="56" spans="1:18">
      <c r="A56" s="16" t="s">
        <v>1496</v>
      </c>
      <c r="B56" s="16" t="s">
        <v>150</v>
      </c>
      <c r="C56" s="15" t="str">
        <f>IFERROR(INDEX('قائمة الوحدات'!$B$2:$B$41,MATCH($B56,'قائمة الوحدات'!$A$2:$A$41,0)),"")</f>
        <v>TOP</v>
      </c>
      <c r="D56" s="14" t="str">
        <f>IFERROR(INDEX('قائمة الوحدات'!$C$2:$C$41,MATCH($B56,'قائمة الوحدات'!$A$2:$A$41,0)),"")</f>
        <v>المرتبطة بسمو الوزير</v>
      </c>
      <c r="E56" s="14" t="str">
        <f>IFERROR(INDEX('قائمة الوحدات'!$D$2:$D$41,MATCH($B56,'قائمة الوحدات'!$A$2:$A$41,0)),"")</f>
        <v>إدارة الشؤون القانونية</v>
      </c>
      <c r="F56" s="14" t="str">
        <f>IFERROR(INDEX('قائمة الوحدات'!$F$2:$F$41,MATCH($B56,'قائمة الوحدات'!$A$2:$A$41,0)),"")</f>
        <v>إدارة الشؤون القانونية</v>
      </c>
      <c r="G56" s="16" t="s">
        <v>43</v>
      </c>
      <c r="H56" s="14" t="str">
        <f>IFERROR(INDEX(المرجع!$A$2:$A$19,MATCH($G56,المرجع!$B$2:$B$19,0)),"")</f>
        <v>التصميم</v>
      </c>
      <c r="I56" s="16" t="s">
        <v>45</v>
      </c>
      <c r="J56" s="14" t="str">
        <f>IFERROR(INDEX(المرجع!$D$2:$D$19,MATCH($I56,المرجع!$E$2:$E$19,0)),"")</f>
        <v>الدور</v>
      </c>
      <c r="K56" s="15">
        <f>IFERROR(INDEX(المرجع!$F$2:$F$19,MATCH($I56,المرجع!$E$2:$E$19,0)),"")</f>
        <v>1</v>
      </c>
      <c r="L56" s="15">
        <f>SUMIFS(المرجع!$H$2:$H$19,المرجع!$B$2:$B$19,$G56,المرجع!$E$2:$E$19,$I56)</f>
        <v>1</v>
      </c>
      <c r="M56" s="15">
        <f>COUNTIFS('المرتبطة بسمو الوزير'!$B$2:$B$151,$B56,'المرتبطة بسمو الوزير'!$G$2:$G$151,$G56,'المرتبطة بسمو الوزير'!$I$2:$I$151,$I56,'المرتبطة بسمو الوزير'!$M$2:$M$151,"&lt;&gt;")+COUNTIFS('الشؤون التنفيذية'!$B$2:$B$421,$B56,'الشؤون التنفيذية'!$G$2:$G$421,$G56,'الشؤون التنفيذية'!$I$2:$I$421,$I56,'الشؤون التنفيذية'!$N$2:$N$421,"&lt;&gt;")+COUNTIFS('الجهاز العسكري'!$B$2:$B$631,$B56,'الجهاز العسكري'!$G$2:$G$631,$G56,'الجهاز العسكري'!$I$2:$I$631,$I56,'الجهاز العسكري'!$M$2:$M$631,"&lt;&gt;")</f>
        <v>1</v>
      </c>
      <c r="N56" s="19">
        <f>IF($L56=0,0,ROUND((SUMIFS('المرتبطة بسمو الوزير'!$M$2:$M$151,'المرتبطة بسمو الوزير'!$B$2:$B$151,$B56,'المرتبطة بسمو الوزير'!$G$2:$G$151,$G56,'المرتبطة بسمو الوزير'!$I$2:$I$151,$I56)+SUMIFS('الشؤون التنفيذية'!$N$2:$N$421,'الشؤون التنفيذية'!$B$2:$B$421,$B56,'الشؤون التنفيذية'!$G$2:$G$421,$G56,'الشؤون التنفيذية'!$I$2:$I$421,$I56)+SUMIFS('الجهاز العسكري'!$M$2:$M$631,'الجهاز العسكري'!$B$2:$B$631,$B56,'الجهاز العسكري'!$G$2:$G$631,$G56,'الجهاز العسكري'!$I$2:$I$631,$I56))/$L56,0))</f>
        <v>84</v>
      </c>
      <c r="O56" s="18"/>
      <c r="P56" s="15">
        <f>SUMIFS(المرجع!$G$2:$G$19,المرجع!$B$2:$B$19,$G56,المرجع!$E$2:$E$19,$I56)</f>
        <v>25</v>
      </c>
      <c r="Q56" s="20">
        <f t="shared" si="1"/>
        <v>21</v>
      </c>
      <c r="R56" s="21" t="str">
        <f>IF($N56&gt;المرجع!$K$3,"متقدم",IF($N56&lt;=المرجع!$K$2,"أولي","جزئي"))</f>
        <v>متقدم</v>
      </c>
    </row>
    <row r="57" spans="1:18">
      <c r="A57" s="16" t="s">
        <v>1497</v>
      </c>
      <c r="B57" s="16" t="s">
        <v>150</v>
      </c>
      <c r="C57" s="15" t="str">
        <f>IFERROR(INDEX('قائمة الوحدات'!$B$2:$B$41,MATCH($B57,'قائمة الوحدات'!$A$2:$A$41,0)),"")</f>
        <v>TOP</v>
      </c>
      <c r="D57" s="14" t="str">
        <f>IFERROR(INDEX('قائمة الوحدات'!$C$2:$C$41,MATCH($B57,'قائمة الوحدات'!$A$2:$A$41,0)),"")</f>
        <v>المرتبطة بسمو الوزير</v>
      </c>
      <c r="E57" s="14" t="str">
        <f>IFERROR(INDEX('قائمة الوحدات'!$D$2:$D$41,MATCH($B57,'قائمة الوحدات'!$A$2:$A$41,0)),"")</f>
        <v>إدارة الشؤون القانونية</v>
      </c>
      <c r="F57" s="14" t="str">
        <f>IFERROR(INDEX('قائمة الوحدات'!$F$2:$F$41,MATCH($B57,'قائمة الوحدات'!$A$2:$A$41,0)),"")</f>
        <v>إدارة الشؤون القانونية</v>
      </c>
      <c r="G57" s="16" t="s">
        <v>43</v>
      </c>
      <c r="H57" s="14" t="str">
        <f>IFERROR(INDEX(المرجع!$A$2:$A$19,MATCH($G57,المرجع!$B$2:$B$19,0)),"")</f>
        <v>التصميم</v>
      </c>
      <c r="I57" s="16" t="s">
        <v>48</v>
      </c>
      <c r="J57" s="14" t="str">
        <f>IFERROR(INDEX(المرجع!$D$2:$D$19,MATCH($I57,المرجع!$E$2:$E$19,0)),"")</f>
        <v>الأهداف ومؤشرات الأداء</v>
      </c>
      <c r="K57" s="15">
        <f>IFERROR(INDEX(المرجع!$F$2:$F$19,MATCH($I57,المرجع!$E$2:$E$19,0)),"")</f>
        <v>2</v>
      </c>
      <c r="L57" s="15">
        <f>SUMIFS(المرجع!$H$2:$H$19,المرجع!$B$2:$B$19,$G57,المرجع!$E$2:$E$19,$I57)</f>
        <v>2</v>
      </c>
      <c r="M57" s="15">
        <f>COUNTIFS('المرتبطة بسمو الوزير'!$B$2:$B$151,$B57,'المرتبطة بسمو الوزير'!$G$2:$G$151,$G57,'المرتبطة بسمو الوزير'!$I$2:$I$151,$I57,'المرتبطة بسمو الوزير'!$M$2:$M$151,"&lt;&gt;")+COUNTIFS('الشؤون التنفيذية'!$B$2:$B$421,$B57,'الشؤون التنفيذية'!$G$2:$G$421,$G57,'الشؤون التنفيذية'!$I$2:$I$421,$I57,'الشؤون التنفيذية'!$N$2:$N$421,"&lt;&gt;")+COUNTIFS('الجهاز العسكري'!$B$2:$B$631,$B57,'الجهاز العسكري'!$G$2:$G$631,$G57,'الجهاز العسكري'!$I$2:$I$631,$I57,'الجهاز العسكري'!$M$2:$M$631,"&lt;&gt;")</f>
        <v>2</v>
      </c>
      <c r="N57" s="19">
        <f>IF($L57=0,0,ROUND((SUMIFS('المرتبطة بسمو الوزير'!$M$2:$M$151,'المرتبطة بسمو الوزير'!$B$2:$B$151,$B57,'المرتبطة بسمو الوزير'!$G$2:$G$151,$G57,'المرتبطة بسمو الوزير'!$I$2:$I$151,$I57)+SUMIFS('الشؤون التنفيذية'!$N$2:$N$421,'الشؤون التنفيذية'!$B$2:$B$421,$B57,'الشؤون التنفيذية'!$G$2:$G$421,$G57,'الشؤون التنفيذية'!$I$2:$I$421,$I57)+SUMIFS('الجهاز العسكري'!$M$2:$M$631,'الجهاز العسكري'!$B$2:$B$631,$B57,'الجهاز العسكري'!$G$2:$G$631,$G57,'الجهاز العسكري'!$I$2:$I$631,$I57))/$L57,0))</f>
        <v>98</v>
      </c>
      <c r="O57" s="18"/>
      <c r="P57" s="15">
        <f>SUMIFS(المرجع!$G$2:$G$19,المرجع!$B$2:$B$19,$G57,المرجع!$E$2:$E$19,$I57)</f>
        <v>15</v>
      </c>
      <c r="Q57" s="20">
        <f t="shared" si="1"/>
        <v>14.7</v>
      </c>
      <c r="R57" s="21" t="str">
        <f>IF($N57&gt;المرجع!$K$3,"متقدم",IF($N57&lt;=المرجع!$K$2,"أولي","جزئي"))</f>
        <v>متقدم</v>
      </c>
    </row>
    <row r="58" spans="1:18">
      <c r="A58" s="16" t="s">
        <v>1498</v>
      </c>
      <c r="B58" s="16" t="s">
        <v>150</v>
      </c>
      <c r="C58" s="15" t="str">
        <f>IFERROR(INDEX('قائمة الوحدات'!$B$2:$B$41,MATCH($B58,'قائمة الوحدات'!$A$2:$A$41,0)),"")</f>
        <v>TOP</v>
      </c>
      <c r="D58" s="14" t="str">
        <f>IFERROR(INDEX('قائمة الوحدات'!$C$2:$C$41,MATCH($B58,'قائمة الوحدات'!$A$2:$A$41,0)),"")</f>
        <v>المرتبطة بسمو الوزير</v>
      </c>
      <c r="E58" s="14" t="str">
        <f>IFERROR(INDEX('قائمة الوحدات'!$D$2:$D$41,MATCH($B58,'قائمة الوحدات'!$A$2:$A$41,0)),"")</f>
        <v>إدارة الشؤون القانونية</v>
      </c>
      <c r="F58" s="14" t="str">
        <f>IFERROR(INDEX('قائمة الوحدات'!$F$2:$F$41,MATCH($B58,'قائمة الوحدات'!$A$2:$A$41,0)),"")</f>
        <v>إدارة الشؤون القانونية</v>
      </c>
      <c r="G58" s="16" t="s">
        <v>43</v>
      </c>
      <c r="H58" s="14" t="str">
        <f>IFERROR(INDEX(المرجع!$A$2:$A$19,MATCH($G58,المرجع!$B$2:$B$19,0)),"")</f>
        <v>التصميم</v>
      </c>
      <c r="I58" s="16" t="s">
        <v>51</v>
      </c>
      <c r="J58" s="14" t="str">
        <f>IFERROR(INDEX(المرجع!$D$2:$D$19,MATCH($I58,المرجع!$E$2:$E$19,0)),"")</f>
        <v>الحوكمة</v>
      </c>
      <c r="K58" s="15">
        <f>IFERROR(INDEX(المرجع!$F$2:$F$19,MATCH($I58,المرجع!$E$2:$E$19,0)),"")</f>
        <v>3</v>
      </c>
      <c r="L58" s="15">
        <f>SUMIFS(المرجع!$H$2:$H$19,المرجع!$B$2:$B$19,$G58,المرجع!$E$2:$E$19,$I58)</f>
        <v>1</v>
      </c>
      <c r="M58" s="15">
        <f>COUNTIFS('المرتبطة بسمو الوزير'!$B$2:$B$151,$B58,'المرتبطة بسمو الوزير'!$G$2:$G$151,$G58,'المرتبطة بسمو الوزير'!$I$2:$I$151,$I58,'المرتبطة بسمو الوزير'!$M$2:$M$151,"&lt;&gt;")+COUNTIFS('الشؤون التنفيذية'!$B$2:$B$421,$B58,'الشؤون التنفيذية'!$G$2:$G$421,$G58,'الشؤون التنفيذية'!$I$2:$I$421,$I58,'الشؤون التنفيذية'!$N$2:$N$421,"&lt;&gt;")+COUNTIFS('الجهاز العسكري'!$B$2:$B$631,$B58,'الجهاز العسكري'!$G$2:$G$631,$G58,'الجهاز العسكري'!$I$2:$I$631,$I58,'الجهاز العسكري'!$M$2:$M$631,"&lt;&gt;")</f>
        <v>1</v>
      </c>
      <c r="N58" s="19">
        <f>IF($L58=0,0,ROUND((SUMIFS('المرتبطة بسمو الوزير'!$M$2:$M$151,'المرتبطة بسمو الوزير'!$B$2:$B$151,$B58,'المرتبطة بسمو الوزير'!$G$2:$G$151,$G58,'المرتبطة بسمو الوزير'!$I$2:$I$151,$I58)+SUMIFS('الشؤون التنفيذية'!$N$2:$N$421,'الشؤون التنفيذية'!$B$2:$B$421,$B58,'الشؤون التنفيذية'!$G$2:$G$421,$G58,'الشؤون التنفيذية'!$I$2:$I$421,$I58)+SUMIFS('الجهاز العسكري'!$M$2:$M$631,'الجهاز العسكري'!$B$2:$B$631,$B58,'الجهاز العسكري'!$G$2:$G$631,$G58,'الجهاز العسكري'!$I$2:$I$631,$I58))/$L58,0))</f>
        <v>84</v>
      </c>
      <c r="O58" s="18"/>
      <c r="P58" s="15">
        <f>SUMIFS(المرجع!$G$2:$G$19,المرجع!$B$2:$B$19,$G58,المرجع!$E$2:$E$19,$I58)</f>
        <v>15</v>
      </c>
      <c r="Q58" s="20">
        <f t="shared" si="1"/>
        <v>12.6</v>
      </c>
      <c r="R58" s="21" t="str">
        <f>IF($N58&gt;المرجع!$K$3,"متقدم",IF($N58&lt;=المرجع!$K$2,"أولي","جزئي"))</f>
        <v>متقدم</v>
      </c>
    </row>
    <row r="59" spans="1:18">
      <c r="A59" s="16" t="s">
        <v>1499</v>
      </c>
      <c r="B59" s="16" t="s">
        <v>150</v>
      </c>
      <c r="C59" s="15" t="str">
        <f>IFERROR(INDEX('قائمة الوحدات'!$B$2:$B$41,MATCH($B59,'قائمة الوحدات'!$A$2:$A$41,0)),"")</f>
        <v>TOP</v>
      </c>
      <c r="D59" s="14" t="str">
        <f>IFERROR(INDEX('قائمة الوحدات'!$C$2:$C$41,MATCH($B59,'قائمة الوحدات'!$A$2:$A$41,0)),"")</f>
        <v>المرتبطة بسمو الوزير</v>
      </c>
      <c r="E59" s="14" t="str">
        <f>IFERROR(INDEX('قائمة الوحدات'!$D$2:$D$41,MATCH($B59,'قائمة الوحدات'!$A$2:$A$41,0)),"")</f>
        <v>إدارة الشؤون القانونية</v>
      </c>
      <c r="F59" s="14" t="str">
        <f>IFERROR(INDEX('قائمة الوحدات'!$F$2:$F$41,MATCH($B59,'قائمة الوحدات'!$A$2:$A$41,0)),"")</f>
        <v>إدارة الشؤون القانونية</v>
      </c>
      <c r="G59" s="16" t="s">
        <v>43</v>
      </c>
      <c r="H59" s="14" t="str">
        <f>IFERROR(INDEX(المرجع!$A$2:$A$19,MATCH($G59,المرجع!$B$2:$B$19,0)),"")</f>
        <v>التصميم</v>
      </c>
      <c r="I59" s="16" t="s">
        <v>54</v>
      </c>
      <c r="J59" s="14" t="str">
        <f>IFERROR(INDEX(المرجع!$D$2:$D$19,MATCH($I59,المرجع!$E$2:$E$19,0)),"")</f>
        <v>التنظيم</v>
      </c>
      <c r="K59" s="15">
        <f>IFERROR(INDEX(المرجع!$F$2:$F$19,MATCH($I59,المرجع!$E$2:$E$19,0)),"")</f>
        <v>4</v>
      </c>
      <c r="L59" s="15">
        <f>SUMIFS(المرجع!$H$2:$H$19,المرجع!$B$2:$B$19,$G59,المرجع!$E$2:$E$19,$I59)</f>
        <v>1</v>
      </c>
      <c r="M59" s="15">
        <f>COUNTIFS('المرتبطة بسمو الوزير'!$B$2:$B$151,$B59,'المرتبطة بسمو الوزير'!$G$2:$G$151,$G59,'المرتبطة بسمو الوزير'!$I$2:$I$151,$I59,'المرتبطة بسمو الوزير'!$M$2:$M$151,"&lt;&gt;")+COUNTIFS('الشؤون التنفيذية'!$B$2:$B$421,$B59,'الشؤون التنفيذية'!$G$2:$G$421,$G59,'الشؤون التنفيذية'!$I$2:$I$421,$I59,'الشؤون التنفيذية'!$N$2:$N$421,"&lt;&gt;")+COUNTIFS('الجهاز العسكري'!$B$2:$B$631,$B59,'الجهاز العسكري'!$G$2:$G$631,$G59,'الجهاز العسكري'!$I$2:$I$631,$I59,'الجهاز العسكري'!$M$2:$M$631,"&lt;&gt;")</f>
        <v>1</v>
      </c>
      <c r="N59" s="19">
        <f>IF($L59=0,0,ROUND((SUMIFS('المرتبطة بسمو الوزير'!$M$2:$M$151,'المرتبطة بسمو الوزير'!$B$2:$B$151,$B59,'المرتبطة بسمو الوزير'!$G$2:$G$151,$G59,'المرتبطة بسمو الوزير'!$I$2:$I$151,$I59)+SUMIFS('الشؤون التنفيذية'!$N$2:$N$421,'الشؤون التنفيذية'!$B$2:$B$421,$B59,'الشؤون التنفيذية'!$G$2:$G$421,$G59,'الشؤون التنفيذية'!$I$2:$I$421,$I59)+SUMIFS('الجهاز العسكري'!$M$2:$M$631,'الجهاز العسكري'!$B$2:$B$631,$B59,'الجهاز العسكري'!$G$2:$G$631,$G59,'الجهاز العسكري'!$I$2:$I$631,$I59))/$L59,0))</f>
        <v>69</v>
      </c>
      <c r="O59" s="18"/>
      <c r="P59" s="15">
        <f>SUMIFS(المرجع!$G$2:$G$19,المرجع!$B$2:$B$19,$G59,المرجع!$E$2:$E$19,$I59)</f>
        <v>20</v>
      </c>
      <c r="Q59" s="20">
        <f t="shared" si="1"/>
        <v>13.8</v>
      </c>
      <c r="R59" s="21" t="str">
        <f>IF($N59&gt;المرجع!$K$3,"متقدم",IF($N59&lt;=المرجع!$K$2,"أولي","جزئي"))</f>
        <v>جزئي</v>
      </c>
    </row>
    <row r="60" spans="1:18">
      <c r="A60" s="16" t="s">
        <v>1500</v>
      </c>
      <c r="B60" s="16" t="s">
        <v>150</v>
      </c>
      <c r="C60" s="15" t="str">
        <f>IFERROR(INDEX('قائمة الوحدات'!$B$2:$B$41,MATCH($B60,'قائمة الوحدات'!$A$2:$A$41,0)),"")</f>
        <v>TOP</v>
      </c>
      <c r="D60" s="14" t="str">
        <f>IFERROR(INDEX('قائمة الوحدات'!$C$2:$C$41,MATCH($B60,'قائمة الوحدات'!$A$2:$A$41,0)),"")</f>
        <v>المرتبطة بسمو الوزير</v>
      </c>
      <c r="E60" s="14" t="str">
        <f>IFERROR(INDEX('قائمة الوحدات'!$D$2:$D$41,MATCH($B60,'قائمة الوحدات'!$A$2:$A$41,0)),"")</f>
        <v>إدارة الشؤون القانونية</v>
      </c>
      <c r="F60" s="14" t="str">
        <f>IFERROR(INDEX('قائمة الوحدات'!$F$2:$F$41,MATCH($B60,'قائمة الوحدات'!$A$2:$A$41,0)),"")</f>
        <v>إدارة الشؤون القانونية</v>
      </c>
      <c r="G60" s="16" t="s">
        <v>43</v>
      </c>
      <c r="H60" s="14" t="str">
        <f>IFERROR(INDEX(المرجع!$A$2:$A$19,MATCH($G60,المرجع!$B$2:$B$19,0)),"")</f>
        <v>التصميم</v>
      </c>
      <c r="I60" s="16" t="s">
        <v>56</v>
      </c>
      <c r="J60" s="14" t="str">
        <f>IFERROR(INDEX(المرجع!$D$2:$D$19,MATCH($I60,المرجع!$E$2:$E$19,0)),"")</f>
        <v>الموارد</v>
      </c>
      <c r="K60" s="15">
        <f>IFERROR(INDEX(المرجع!$F$2:$F$19,MATCH($I60,المرجع!$E$2:$E$19,0)),"")</f>
        <v>5</v>
      </c>
      <c r="L60" s="15">
        <f>SUMIFS(المرجع!$H$2:$H$19,المرجع!$B$2:$B$19,$G60,المرجع!$E$2:$E$19,$I60)</f>
        <v>1</v>
      </c>
      <c r="M60" s="15">
        <f>COUNTIFS('المرتبطة بسمو الوزير'!$B$2:$B$151,$B60,'المرتبطة بسمو الوزير'!$G$2:$G$151,$G60,'المرتبطة بسمو الوزير'!$I$2:$I$151,$I60,'المرتبطة بسمو الوزير'!$M$2:$M$151,"&lt;&gt;")+COUNTIFS('الشؤون التنفيذية'!$B$2:$B$421,$B60,'الشؤون التنفيذية'!$G$2:$G$421,$G60,'الشؤون التنفيذية'!$I$2:$I$421,$I60,'الشؤون التنفيذية'!$N$2:$N$421,"&lt;&gt;")+COUNTIFS('الجهاز العسكري'!$B$2:$B$631,$B60,'الجهاز العسكري'!$G$2:$G$631,$G60,'الجهاز العسكري'!$I$2:$I$631,$I60,'الجهاز العسكري'!$M$2:$M$631,"&lt;&gt;")</f>
        <v>1</v>
      </c>
      <c r="N60" s="19">
        <f>IF($L60=0,0,ROUND((SUMIFS('المرتبطة بسمو الوزير'!$M$2:$M$151,'المرتبطة بسمو الوزير'!$B$2:$B$151,$B60,'المرتبطة بسمو الوزير'!$G$2:$G$151,$G60,'المرتبطة بسمو الوزير'!$I$2:$I$151,$I60)+SUMIFS('الشؤون التنفيذية'!$N$2:$N$421,'الشؤون التنفيذية'!$B$2:$B$421,$B60,'الشؤون التنفيذية'!$G$2:$G$421,$G60,'الشؤون التنفيذية'!$I$2:$I$421,$I60)+SUMIFS('الجهاز العسكري'!$M$2:$M$631,'الجهاز العسكري'!$B$2:$B$631,$B60,'الجهاز العسكري'!$G$2:$G$631,$G60,'الجهاز العسكري'!$I$2:$I$631,$I60))/$L60,0))</f>
        <v>86</v>
      </c>
      <c r="O60" s="18"/>
      <c r="P60" s="15">
        <f>SUMIFS(المرجع!$G$2:$G$19,المرجع!$B$2:$B$19,$G60,المرجع!$E$2:$E$19,$I60)</f>
        <v>20</v>
      </c>
      <c r="Q60" s="20">
        <f t="shared" si="1"/>
        <v>17.2</v>
      </c>
      <c r="R60" s="21" t="str">
        <f>IF($N60&gt;المرجع!$K$3,"متقدم",IF($N60&lt;=المرجع!$K$2,"أولي","جزئي"))</f>
        <v>متقدم</v>
      </c>
    </row>
    <row r="61" spans="1:18">
      <c r="A61" s="16" t="s">
        <v>1501</v>
      </c>
      <c r="B61" s="16" t="s">
        <v>150</v>
      </c>
      <c r="C61" s="15" t="str">
        <f>IFERROR(INDEX('قائمة الوحدات'!$B$2:$B$41,MATCH($B61,'قائمة الوحدات'!$A$2:$A$41,0)),"")</f>
        <v>TOP</v>
      </c>
      <c r="D61" s="14" t="str">
        <f>IFERROR(INDEX('قائمة الوحدات'!$C$2:$C$41,MATCH($B61,'قائمة الوحدات'!$A$2:$A$41,0)),"")</f>
        <v>المرتبطة بسمو الوزير</v>
      </c>
      <c r="E61" s="14" t="str">
        <f>IFERROR(INDEX('قائمة الوحدات'!$D$2:$D$41,MATCH($B61,'قائمة الوحدات'!$A$2:$A$41,0)),"")</f>
        <v>إدارة الشؤون القانونية</v>
      </c>
      <c r="F61" s="14" t="str">
        <f>IFERROR(INDEX('قائمة الوحدات'!$F$2:$F$41,MATCH($B61,'قائمة الوحدات'!$A$2:$A$41,0)),"")</f>
        <v>إدارة الشؤون القانونية</v>
      </c>
      <c r="G61" s="16" t="s">
        <v>43</v>
      </c>
      <c r="H61" s="14" t="str">
        <f>IFERROR(INDEX(المرجع!$A$2:$A$19,MATCH($G61,المرجع!$B$2:$B$19,0)),"")</f>
        <v>التصميم</v>
      </c>
      <c r="I61" s="16" t="s">
        <v>59</v>
      </c>
      <c r="J61" s="14" t="str">
        <f>IFERROR(INDEX(المرجع!$D$2:$D$19,MATCH($I61,المرجع!$E$2:$E$19,0)),"")</f>
        <v>الإجراءات</v>
      </c>
      <c r="K61" s="15">
        <f>IFERROR(INDEX(المرجع!$F$2:$F$19,MATCH($I61,المرجع!$E$2:$E$19,0)),"")</f>
        <v>6</v>
      </c>
      <c r="L61" s="15">
        <f>SUMIFS(المرجع!$H$2:$H$19,المرجع!$B$2:$B$19,$G61,المرجع!$E$2:$E$19,$I61)</f>
        <v>1</v>
      </c>
      <c r="M61" s="15">
        <f>COUNTIFS('المرتبطة بسمو الوزير'!$B$2:$B$151,$B61,'المرتبطة بسمو الوزير'!$G$2:$G$151,$G61,'المرتبطة بسمو الوزير'!$I$2:$I$151,$I61,'المرتبطة بسمو الوزير'!$M$2:$M$151,"&lt;&gt;")+COUNTIFS('الشؤون التنفيذية'!$B$2:$B$421,$B61,'الشؤون التنفيذية'!$G$2:$G$421,$G61,'الشؤون التنفيذية'!$I$2:$I$421,$I61,'الشؤون التنفيذية'!$N$2:$N$421,"&lt;&gt;")+COUNTIFS('الجهاز العسكري'!$B$2:$B$631,$B61,'الجهاز العسكري'!$G$2:$G$631,$G61,'الجهاز العسكري'!$I$2:$I$631,$I61,'الجهاز العسكري'!$M$2:$M$631,"&lt;&gt;")</f>
        <v>1</v>
      </c>
      <c r="N61" s="19">
        <f>IF($L61=0,0,ROUND((SUMIFS('المرتبطة بسمو الوزير'!$M$2:$M$151,'المرتبطة بسمو الوزير'!$B$2:$B$151,$B61,'المرتبطة بسمو الوزير'!$G$2:$G$151,$G61,'المرتبطة بسمو الوزير'!$I$2:$I$151,$I61)+SUMIFS('الشؤون التنفيذية'!$N$2:$N$421,'الشؤون التنفيذية'!$B$2:$B$421,$B61,'الشؤون التنفيذية'!$G$2:$G$421,$G61,'الشؤون التنفيذية'!$I$2:$I$421,$I61)+SUMIFS('الجهاز العسكري'!$M$2:$M$631,'الجهاز العسكري'!$B$2:$B$631,$B61,'الجهاز العسكري'!$G$2:$G$631,$G61,'الجهاز العسكري'!$I$2:$I$631,$I61))/$L61,0))</f>
        <v>87</v>
      </c>
      <c r="O61" s="18"/>
      <c r="P61" s="15">
        <f>SUMIFS(المرجع!$G$2:$G$19,المرجع!$B$2:$B$19,$G61,المرجع!$E$2:$E$19,$I61)</f>
        <v>5</v>
      </c>
      <c r="Q61" s="20">
        <f t="shared" si="1"/>
        <v>4.3499999999999996</v>
      </c>
      <c r="R61" s="21" t="str">
        <f>IF($N61&gt;المرجع!$K$3,"متقدم",IF($N61&lt;=المرجع!$K$2,"أولي","جزئي"))</f>
        <v>متقدم</v>
      </c>
    </row>
    <row r="62" spans="1:18">
      <c r="A62" s="16" t="s">
        <v>1502</v>
      </c>
      <c r="B62" s="16" t="s">
        <v>150</v>
      </c>
      <c r="C62" s="15" t="str">
        <f>IFERROR(INDEX('قائمة الوحدات'!$B$2:$B$41,MATCH($B62,'قائمة الوحدات'!$A$2:$A$41,0)),"")</f>
        <v>TOP</v>
      </c>
      <c r="D62" s="14" t="str">
        <f>IFERROR(INDEX('قائمة الوحدات'!$C$2:$C$41,MATCH($B62,'قائمة الوحدات'!$A$2:$A$41,0)),"")</f>
        <v>المرتبطة بسمو الوزير</v>
      </c>
      <c r="E62" s="14" t="str">
        <f>IFERROR(INDEX('قائمة الوحدات'!$D$2:$D$41,MATCH($B62,'قائمة الوحدات'!$A$2:$A$41,0)),"")</f>
        <v>إدارة الشؤون القانونية</v>
      </c>
      <c r="F62" s="14" t="str">
        <f>IFERROR(INDEX('قائمة الوحدات'!$F$2:$F$41,MATCH($B62,'قائمة الوحدات'!$A$2:$A$41,0)),"")</f>
        <v>إدارة الشؤون القانونية</v>
      </c>
      <c r="G62" s="16" t="s">
        <v>61</v>
      </c>
      <c r="H62" s="14" t="str">
        <f>IFERROR(INDEX(المرجع!$A$2:$A$19,MATCH($G62,المرجع!$B$2:$B$19,0)),"")</f>
        <v>البناء المؤسسي</v>
      </c>
      <c r="I62" s="16" t="s">
        <v>45</v>
      </c>
      <c r="J62" s="14" t="str">
        <f>IFERROR(INDEX(المرجع!$D$2:$D$19,MATCH($I62,المرجع!$E$2:$E$19,0)),"")</f>
        <v>الدور</v>
      </c>
      <c r="K62" s="15">
        <f>IFERROR(INDEX(المرجع!$F$2:$F$19,MATCH($I62,المرجع!$E$2:$E$19,0)),"")</f>
        <v>1</v>
      </c>
      <c r="L62" s="15">
        <f>SUMIFS(المرجع!$H$2:$H$19,المرجع!$B$2:$B$19,$G62,المرجع!$E$2:$E$19,$I62)</f>
        <v>1</v>
      </c>
      <c r="M62" s="15">
        <f>COUNTIFS('المرتبطة بسمو الوزير'!$B$2:$B$151,$B62,'المرتبطة بسمو الوزير'!$G$2:$G$151,$G62,'المرتبطة بسمو الوزير'!$I$2:$I$151,$I62,'المرتبطة بسمو الوزير'!$M$2:$M$151,"&lt;&gt;")+COUNTIFS('الشؤون التنفيذية'!$B$2:$B$421,$B62,'الشؤون التنفيذية'!$G$2:$G$421,$G62,'الشؤون التنفيذية'!$I$2:$I$421,$I62,'الشؤون التنفيذية'!$N$2:$N$421,"&lt;&gt;")+COUNTIFS('الجهاز العسكري'!$B$2:$B$631,$B62,'الجهاز العسكري'!$G$2:$G$631,$G62,'الجهاز العسكري'!$I$2:$I$631,$I62,'الجهاز العسكري'!$M$2:$M$631,"&lt;&gt;")</f>
        <v>1</v>
      </c>
      <c r="N62" s="19">
        <f>IF($L62=0,0,ROUND((SUMIFS('المرتبطة بسمو الوزير'!$M$2:$M$151,'المرتبطة بسمو الوزير'!$B$2:$B$151,$B62,'المرتبطة بسمو الوزير'!$G$2:$G$151,$G62,'المرتبطة بسمو الوزير'!$I$2:$I$151,$I62)+SUMIFS('الشؤون التنفيذية'!$N$2:$N$421,'الشؤون التنفيذية'!$B$2:$B$421,$B62,'الشؤون التنفيذية'!$G$2:$G$421,$G62,'الشؤون التنفيذية'!$I$2:$I$421,$I62)+SUMIFS('الجهاز العسكري'!$M$2:$M$631,'الجهاز العسكري'!$B$2:$B$631,$B62,'الجهاز العسكري'!$G$2:$G$631,$G62,'الجهاز العسكري'!$I$2:$I$631,$I62))/$L62,0))</f>
        <v>48</v>
      </c>
      <c r="O62" s="18"/>
      <c r="P62" s="15">
        <f>SUMIFS(المرجع!$G$2:$G$19,المرجع!$B$2:$B$19,$G62,المرجع!$E$2:$E$19,$I62)</f>
        <v>15</v>
      </c>
      <c r="Q62" s="20">
        <f t="shared" si="1"/>
        <v>7.2</v>
      </c>
      <c r="R62" s="21" t="str">
        <f>IF($N62&gt;المرجع!$K$3,"متقدم",IF($N62&lt;=المرجع!$K$2,"أولي","جزئي"))</f>
        <v>جزئي</v>
      </c>
    </row>
    <row r="63" spans="1:18">
      <c r="A63" s="16" t="s">
        <v>1503</v>
      </c>
      <c r="B63" s="16" t="s">
        <v>150</v>
      </c>
      <c r="C63" s="15" t="str">
        <f>IFERROR(INDEX('قائمة الوحدات'!$B$2:$B$41,MATCH($B63,'قائمة الوحدات'!$A$2:$A$41,0)),"")</f>
        <v>TOP</v>
      </c>
      <c r="D63" s="14" t="str">
        <f>IFERROR(INDEX('قائمة الوحدات'!$C$2:$C$41,MATCH($B63,'قائمة الوحدات'!$A$2:$A$41,0)),"")</f>
        <v>المرتبطة بسمو الوزير</v>
      </c>
      <c r="E63" s="14" t="str">
        <f>IFERROR(INDEX('قائمة الوحدات'!$D$2:$D$41,MATCH($B63,'قائمة الوحدات'!$A$2:$A$41,0)),"")</f>
        <v>إدارة الشؤون القانونية</v>
      </c>
      <c r="F63" s="14" t="str">
        <f>IFERROR(INDEX('قائمة الوحدات'!$F$2:$F$41,MATCH($B63,'قائمة الوحدات'!$A$2:$A$41,0)),"")</f>
        <v>إدارة الشؤون القانونية</v>
      </c>
      <c r="G63" s="16" t="s">
        <v>61</v>
      </c>
      <c r="H63" s="14" t="str">
        <f>IFERROR(INDEX(المرجع!$A$2:$A$19,MATCH($G63,المرجع!$B$2:$B$19,0)),"")</f>
        <v>البناء المؤسسي</v>
      </c>
      <c r="I63" s="16" t="s">
        <v>48</v>
      </c>
      <c r="J63" s="14" t="str">
        <f>IFERROR(INDEX(المرجع!$D$2:$D$19,MATCH($I63,المرجع!$E$2:$E$19,0)),"")</f>
        <v>الأهداف ومؤشرات الأداء</v>
      </c>
      <c r="K63" s="15">
        <f>IFERROR(INDEX(المرجع!$F$2:$F$19,MATCH($I63,المرجع!$E$2:$E$19,0)),"")</f>
        <v>2</v>
      </c>
      <c r="L63" s="15">
        <f>SUMIFS(المرجع!$H$2:$H$19,المرجع!$B$2:$B$19,$G63,المرجع!$E$2:$E$19,$I63)</f>
        <v>2</v>
      </c>
      <c r="M63" s="15">
        <f>COUNTIFS('المرتبطة بسمو الوزير'!$B$2:$B$151,$B63,'المرتبطة بسمو الوزير'!$G$2:$G$151,$G63,'المرتبطة بسمو الوزير'!$I$2:$I$151,$I63,'المرتبطة بسمو الوزير'!$M$2:$M$151,"&lt;&gt;")+COUNTIFS('الشؤون التنفيذية'!$B$2:$B$421,$B63,'الشؤون التنفيذية'!$G$2:$G$421,$G63,'الشؤون التنفيذية'!$I$2:$I$421,$I63,'الشؤون التنفيذية'!$N$2:$N$421,"&lt;&gt;")+COUNTIFS('الجهاز العسكري'!$B$2:$B$631,$B63,'الجهاز العسكري'!$G$2:$G$631,$G63,'الجهاز العسكري'!$I$2:$I$631,$I63,'الجهاز العسكري'!$M$2:$M$631,"&lt;&gt;")</f>
        <v>2</v>
      </c>
      <c r="N63" s="19">
        <f>IF($L63=0,0,ROUND((SUMIFS('المرتبطة بسمو الوزير'!$M$2:$M$151,'المرتبطة بسمو الوزير'!$B$2:$B$151,$B63,'المرتبطة بسمو الوزير'!$G$2:$G$151,$G63,'المرتبطة بسمو الوزير'!$I$2:$I$151,$I63)+SUMIFS('الشؤون التنفيذية'!$N$2:$N$421,'الشؤون التنفيذية'!$B$2:$B$421,$B63,'الشؤون التنفيذية'!$G$2:$G$421,$G63,'الشؤون التنفيذية'!$I$2:$I$421,$I63)+SUMIFS('الجهاز العسكري'!$M$2:$M$631,'الجهاز العسكري'!$B$2:$B$631,$B63,'الجهاز العسكري'!$G$2:$G$631,$G63,'الجهاز العسكري'!$I$2:$I$631,$I63))/$L63,0))</f>
        <v>83</v>
      </c>
      <c r="O63" s="18"/>
      <c r="P63" s="15">
        <f>SUMIFS(المرجع!$G$2:$G$19,المرجع!$B$2:$B$19,$G63,المرجع!$E$2:$E$19,$I63)</f>
        <v>15</v>
      </c>
      <c r="Q63" s="20">
        <f t="shared" si="1"/>
        <v>12.45</v>
      </c>
      <c r="R63" s="21" t="str">
        <f>IF($N63&gt;المرجع!$K$3,"متقدم",IF($N63&lt;=المرجع!$K$2,"أولي","جزئي"))</f>
        <v>متقدم</v>
      </c>
    </row>
    <row r="64" spans="1:18">
      <c r="A64" s="16" t="s">
        <v>1504</v>
      </c>
      <c r="B64" s="16" t="s">
        <v>150</v>
      </c>
      <c r="C64" s="15" t="str">
        <f>IFERROR(INDEX('قائمة الوحدات'!$B$2:$B$41,MATCH($B64,'قائمة الوحدات'!$A$2:$A$41,0)),"")</f>
        <v>TOP</v>
      </c>
      <c r="D64" s="14" t="str">
        <f>IFERROR(INDEX('قائمة الوحدات'!$C$2:$C$41,MATCH($B64,'قائمة الوحدات'!$A$2:$A$41,0)),"")</f>
        <v>المرتبطة بسمو الوزير</v>
      </c>
      <c r="E64" s="14" t="str">
        <f>IFERROR(INDEX('قائمة الوحدات'!$D$2:$D$41,MATCH($B64,'قائمة الوحدات'!$A$2:$A$41,0)),"")</f>
        <v>إدارة الشؤون القانونية</v>
      </c>
      <c r="F64" s="14" t="str">
        <f>IFERROR(INDEX('قائمة الوحدات'!$F$2:$F$41,MATCH($B64,'قائمة الوحدات'!$A$2:$A$41,0)),"")</f>
        <v>إدارة الشؤون القانونية</v>
      </c>
      <c r="G64" s="16" t="s">
        <v>61</v>
      </c>
      <c r="H64" s="14" t="str">
        <f>IFERROR(INDEX(المرجع!$A$2:$A$19,MATCH($G64,المرجع!$B$2:$B$19,0)),"")</f>
        <v>البناء المؤسسي</v>
      </c>
      <c r="I64" s="16" t="s">
        <v>51</v>
      </c>
      <c r="J64" s="14" t="str">
        <f>IFERROR(INDEX(المرجع!$D$2:$D$19,MATCH($I64,المرجع!$E$2:$E$19,0)),"")</f>
        <v>الحوكمة</v>
      </c>
      <c r="K64" s="15">
        <f>IFERROR(INDEX(المرجع!$F$2:$F$19,MATCH($I64,المرجع!$E$2:$E$19,0)),"")</f>
        <v>3</v>
      </c>
      <c r="L64" s="15">
        <f>SUMIFS(المرجع!$H$2:$H$19,المرجع!$B$2:$B$19,$G64,المرجع!$E$2:$E$19,$I64)</f>
        <v>3</v>
      </c>
      <c r="M64" s="15">
        <f>COUNTIFS('المرتبطة بسمو الوزير'!$B$2:$B$151,$B64,'المرتبطة بسمو الوزير'!$G$2:$G$151,$G64,'المرتبطة بسمو الوزير'!$I$2:$I$151,$I64,'المرتبطة بسمو الوزير'!$M$2:$M$151,"&lt;&gt;")+COUNTIFS('الشؤون التنفيذية'!$B$2:$B$421,$B64,'الشؤون التنفيذية'!$G$2:$G$421,$G64,'الشؤون التنفيذية'!$I$2:$I$421,$I64,'الشؤون التنفيذية'!$N$2:$N$421,"&lt;&gt;")+COUNTIFS('الجهاز العسكري'!$B$2:$B$631,$B64,'الجهاز العسكري'!$G$2:$G$631,$G64,'الجهاز العسكري'!$I$2:$I$631,$I64,'الجهاز العسكري'!$M$2:$M$631,"&lt;&gt;")</f>
        <v>3</v>
      </c>
      <c r="N64" s="19">
        <f>IF($L64=0,0,ROUND((SUMIFS('المرتبطة بسمو الوزير'!$M$2:$M$151,'المرتبطة بسمو الوزير'!$B$2:$B$151,$B64,'المرتبطة بسمو الوزير'!$G$2:$G$151,$G64,'المرتبطة بسمو الوزير'!$I$2:$I$151,$I64)+SUMIFS('الشؤون التنفيذية'!$N$2:$N$421,'الشؤون التنفيذية'!$B$2:$B$421,$B64,'الشؤون التنفيذية'!$G$2:$G$421,$G64,'الشؤون التنفيذية'!$I$2:$I$421,$I64)+SUMIFS('الجهاز العسكري'!$M$2:$M$631,'الجهاز العسكري'!$B$2:$B$631,$B64,'الجهاز العسكري'!$G$2:$G$631,$G64,'الجهاز العسكري'!$I$2:$I$631,$I64))/$L64,0))</f>
        <v>57</v>
      </c>
      <c r="O64" s="18"/>
      <c r="P64" s="15">
        <f>SUMIFS(المرجع!$G$2:$G$19,المرجع!$B$2:$B$19,$G64,المرجع!$E$2:$E$19,$I64)</f>
        <v>15</v>
      </c>
      <c r="Q64" s="20">
        <f t="shared" si="1"/>
        <v>8.5500000000000007</v>
      </c>
      <c r="R64" s="21" t="str">
        <f>IF($N64&gt;المرجع!$K$3,"متقدم",IF($N64&lt;=المرجع!$K$2,"أولي","جزئي"))</f>
        <v>جزئي</v>
      </c>
    </row>
    <row r="65" spans="1:18">
      <c r="A65" s="16" t="s">
        <v>1505</v>
      </c>
      <c r="B65" s="16" t="s">
        <v>150</v>
      </c>
      <c r="C65" s="15" t="str">
        <f>IFERROR(INDEX('قائمة الوحدات'!$B$2:$B$41,MATCH($B65,'قائمة الوحدات'!$A$2:$A$41,0)),"")</f>
        <v>TOP</v>
      </c>
      <c r="D65" s="14" t="str">
        <f>IFERROR(INDEX('قائمة الوحدات'!$C$2:$C$41,MATCH($B65,'قائمة الوحدات'!$A$2:$A$41,0)),"")</f>
        <v>المرتبطة بسمو الوزير</v>
      </c>
      <c r="E65" s="14" t="str">
        <f>IFERROR(INDEX('قائمة الوحدات'!$D$2:$D$41,MATCH($B65,'قائمة الوحدات'!$A$2:$A$41,0)),"")</f>
        <v>إدارة الشؤون القانونية</v>
      </c>
      <c r="F65" s="14" t="str">
        <f>IFERROR(INDEX('قائمة الوحدات'!$F$2:$F$41,MATCH($B65,'قائمة الوحدات'!$A$2:$A$41,0)),"")</f>
        <v>إدارة الشؤون القانونية</v>
      </c>
      <c r="G65" s="16" t="s">
        <v>61</v>
      </c>
      <c r="H65" s="14" t="str">
        <f>IFERROR(INDEX(المرجع!$A$2:$A$19,MATCH($G65,المرجع!$B$2:$B$19,0)),"")</f>
        <v>البناء المؤسسي</v>
      </c>
      <c r="I65" s="16" t="s">
        <v>54</v>
      </c>
      <c r="J65" s="14" t="str">
        <f>IFERROR(INDEX(المرجع!$D$2:$D$19,MATCH($I65,المرجع!$E$2:$E$19,0)),"")</f>
        <v>التنظيم</v>
      </c>
      <c r="K65" s="15">
        <f>IFERROR(INDEX(المرجع!$F$2:$F$19,MATCH($I65,المرجع!$E$2:$E$19,0)),"")</f>
        <v>4</v>
      </c>
      <c r="L65" s="15">
        <f>SUMIFS(المرجع!$H$2:$H$19,المرجع!$B$2:$B$19,$G65,المرجع!$E$2:$E$19,$I65)</f>
        <v>3</v>
      </c>
      <c r="M65" s="15">
        <f>COUNTIFS('المرتبطة بسمو الوزير'!$B$2:$B$151,$B65,'المرتبطة بسمو الوزير'!$G$2:$G$151,$G65,'المرتبطة بسمو الوزير'!$I$2:$I$151,$I65,'المرتبطة بسمو الوزير'!$M$2:$M$151,"&lt;&gt;")+COUNTIFS('الشؤون التنفيذية'!$B$2:$B$421,$B65,'الشؤون التنفيذية'!$G$2:$G$421,$G65,'الشؤون التنفيذية'!$I$2:$I$421,$I65,'الشؤون التنفيذية'!$N$2:$N$421,"&lt;&gt;")+COUNTIFS('الجهاز العسكري'!$B$2:$B$631,$B65,'الجهاز العسكري'!$G$2:$G$631,$G65,'الجهاز العسكري'!$I$2:$I$631,$I65,'الجهاز العسكري'!$M$2:$M$631,"&lt;&gt;")</f>
        <v>3</v>
      </c>
      <c r="N65" s="19">
        <f>IF($L65=0,0,ROUND((SUMIFS('المرتبطة بسمو الوزير'!$M$2:$M$151,'المرتبطة بسمو الوزير'!$B$2:$B$151,$B65,'المرتبطة بسمو الوزير'!$G$2:$G$151,$G65,'المرتبطة بسمو الوزير'!$I$2:$I$151,$I65)+SUMIFS('الشؤون التنفيذية'!$N$2:$N$421,'الشؤون التنفيذية'!$B$2:$B$421,$B65,'الشؤون التنفيذية'!$G$2:$G$421,$G65,'الشؤون التنفيذية'!$I$2:$I$421,$I65)+SUMIFS('الجهاز العسكري'!$M$2:$M$631,'الجهاز العسكري'!$B$2:$B$631,$B65,'الجهاز العسكري'!$G$2:$G$631,$G65,'الجهاز العسكري'!$I$2:$I$631,$I65))/$L65,0))</f>
        <v>47</v>
      </c>
      <c r="O65" s="18"/>
      <c r="P65" s="15">
        <f>SUMIFS(المرجع!$G$2:$G$19,المرجع!$B$2:$B$19,$G65,المرجع!$E$2:$E$19,$I65)</f>
        <v>20</v>
      </c>
      <c r="Q65" s="20">
        <f t="shared" si="1"/>
        <v>9.4</v>
      </c>
      <c r="R65" s="21" t="str">
        <f>IF($N65&gt;المرجع!$K$3,"متقدم",IF($N65&lt;=المرجع!$K$2,"أولي","جزئي"))</f>
        <v>جزئي</v>
      </c>
    </row>
    <row r="66" spans="1:18">
      <c r="A66" s="16" t="s">
        <v>1506</v>
      </c>
      <c r="B66" s="16" t="s">
        <v>150</v>
      </c>
      <c r="C66" s="15" t="str">
        <f>IFERROR(INDEX('قائمة الوحدات'!$B$2:$B$41,MATCH($B66,'قائمة الوحدات'!$A$2:$A$41,0)),"")</f>
        <v>TOP</v>
      </c>
      <c r="D66" s="14" t="str">
        <f>IFERROR(INDEX('قائمة الوحدات'!$C$2:$C$41,MATCH($B66,'قائمة الوحدات'!$A$2:$A$41,0)),"")</f>
        <v>المرتبطة بسمو الوزير</v>
      </c>
      <c r="E66" s="14" t="str">
        <f>IFERROR(INDEX('قائمة الوحدات'!$D$2:$D$41,MATCH($B66,'قائمة الوحدات'!$A$2:$A$41,0)),"")</f>
        <v>إدارة الشؤون القانونية</v>
      </c>
      <c r="F66" s="14" t="str">
        <f>IFERROR(INDEX('قائمة الوحدات'!$F$2:$F$41,MATCH($B66,'قائمة الوحدات'!$A$2:$A$41,0)),"")</f>
        <v>إدارة الشؤون القانونية</v>
      </c>
      <c r="G66" s="16" t="s">
        <v>61</v>
      </c>
      <c r="H66" s="14" t="str">
        <f>IFERROR(INDEX(المرجع!$A$2:$A$19,MATCH($G66,المرجع!$B$2:$B$19,0)),"")</f>
        <v>البناء المؤسسي</v>
      </c>
      <c r="I66" s="16" t="s">
        <v>56</v>
      </c>
      <c r="J66" s="14" t="str">
        <f>IFERROR(INDEX(المرجع!$D$2:$D$19,MATCH($I66,المرجع!$E$2:$E$19,0)),"")</f>
        <v>الموارد</v>
      </c>
      <c r="K66" s="15">
        <f>IFERROR(INDEX(المرجع!$F$2:$F$19,MATCH($I66,المرجع!$E$2:$E$19,0)),"")</f>
        <v>5</v>
      </c>
      <c r="L66" s="15">
        <f>SUMIFS(المرجع!$H$2:$H$19,المرجع!$B$2:$B$19,$G66,المرجع!$E$2:$E$19,$I66)</f>
        <v>4</v>
      </c>
      <c r="M66" s="15">
        <f>COUNTIFS('المرتبطة بسمو الوزير'!$B$2:$B$151,$B66,'المرتبطة بسمو الوزير'!$G$2:$G$151,$G66,'المرتبطة بسمو الوزير'!$I$2:$I$151,$I66,'المرتبطة بسمو الوزير'!$M$2:$M$151,"&lt;&gt;")+COUNTIFS('الشؤون التنفيذية'!$B$2:$B$421,$B66,'الشؤون التنفيذية'!$G$2:$G$421,$G66,'الشؤون التنفيذية'!$I$2:$I$421,$I66,'الشؤون التنفيذية'!$N$2:$N$421,"&lt;&gt;")+COUNTIFS('الجهاز العسكري'!$B$2:$B$631,$B66,'الجهاز العسكري'!$G$2:$G$631,$G66,'الجهاز العسكري'!$I$2:$I$631,$I66,'الجهاز العسكري'!$M$2:$M$631,"&lt;&gt;")</f>
        <v>4</v>
      </c>
      <c r="N66" s="19">
        <f>IF($L66=0,0,ROUND((SUMIFS('المرتبطة بسمو الوزير'!$M$2:$M$151,'المرتبطة بسمو الوزير'!$B$2:$B$151,$B66,'المرتبطة بسمو الوزير'!$G$2:$G$151,$G66,'المرتبطة بسمو الوزير'!$I$2:$I$151,$I66)+SUMIFS('الشؤون التنفيذية'!$N$2:$N$421,'الشؤون التنفيذية'!$B$2:$B$421,$B66,'الشؤون التنفيذية'!$G$2:$G$421,$G66,'الشؤون التنفيذية'!$I$2:$I$421,$I66)+SUMIFS('الجهاز العسكري'!$M$2:$M$631,'الجهاز العسكري'!$B$2:$B$631,$B66,'الجهاز العسكري'!$G$2:$G$631,$G66,'الجهاز العسكري'!$I$2:$I$631,$I66))/$L66,0))</f>
        <v>66</v>
      </c>
      <c r="O66" s="18"/>
      <c r="P66" s="15">
        <f>SUMIFS(المرجع!$G$2:$G$19,المرجع!$B$2:$B$19,$G66,المرجع!$E$2:$E$19,$I66)</f>
        <v>25</v>
      </c>
      <c r="Q66" s="20">
        <f t="shared" ref="Q66:Q129" si="2">ROUND($P66*$N66/100,2)</f>
        <v>16.5</v>
      </c>
      <c r="R66" s="21" t="str">
        <f>IF($N66&gt;المرجع!$K$3,"متقدم",IF($N66&lt;=المرجع!$K$2,"أولي","جزئي"))</f>
        <v>جزئي</v>
      </c>
    </row>
    <row r="67" spans="1:18">
      <c r="A67" s="16" t="s">
        <v>1507</v>
      </c>
      <c r="B67" s="16" t="s">
        <v>150</v>
      </c>
      <c r="C67" s="15" t="str">
        <f>IFERROR(INDEX('قائمة الوحدات'!$B$2:$B$41,MATCH($B67,'قائمة الوحدات'!$A$2:$A$41,0)),"")</f>
        <v>TOP</v>
      </c>
      <c r="D67" s="14" t="str">
        <f>IFERROR(INDEX('قائمة الوحدات'!$C$2:$C$41,MATCH($B67,'قائمة الوحدات'!$A$2:$A$41,0)),"")</f>
        <v>المرتبطة بسمو الوزير</v>
      </c>
      <c r="E67" s="14" t="str">
        <f>IFERROR(INDEX('قائمة الوحدات'!$D$2:$D$41,MATCH($B67,'قائمة الوحدات'!$A$2:$A$41,0)),"")</f>
        <v>إدارة الشؤون القانونية</v>
      </c>
      <c r="F67" s="14" t="str">
        <f>IFERROR(INDEX('قائمة الوحدات'!$F$2:$F$41,MATCH($B67,'قائمة الوحدات'!$A$2:$A$41,0)),"")</f>
        <v>إدارة الشؤون القانونية</v>
      </c>
      <c r="G67" s="16" t="s">
        <v>61</v>
      </c>
      <c r="H67" s="14" t="str">
        <f>IFERROR(INDEX(المرجع!$A$2:$A$19,MATCH($G67,المرجع!$B$2:$B$19,0)),"")</f>
        <v>البناء المؤسسي</v>
      </c>
      <c r="I67" s="16" t="s">
        <v>59</v>
      </c>
      <c r="J67" s="14" t="str">
        <f>IFERROR(INDEX(المرجع!$D$2:$D$19,MATCH($I67,المرجع!$E$2:$E$19,0)),"")</f>
        <v>الإجراءات</v>
      </c>
      <c r="K67" s="15">
        <f>IFERROR(INDEX(المرجع!$F$2:$F$19,MATCH($I67,المرجع!$E$2:$E$19,0)),"")</f>
        <v>6</v>
      </c>
      <c r="L67" s="15">
        <f>SUMIFS(المرجع!$H$2:$H$19,المرجع!$B$2:$B$19,$G67,المرجع!$E$2:$E$19,$I67)</f>
        <v>1</v>
      </c>
      <c r="M67" s="15">
        <f>COUNTIFS('المرتبطة بسمو الوزير'!$B$2:$B$151,$B67,'المرتبطة بسمو الوزير'!$G$2:$G$151,$G67,'المرتبطة بسمو الوزير'!$I$2:$I$151,$I67,'المرتبطة بسمو الوزير'!$M$2:$M$151,"&lt;&gt;")+COUNTIFS('الشؤون التنفيذية'!$B$2:$B$421,$B67,'الشؤون التنفيذية'!$G$2:$G$421,$G67,'الشؤون التنفيذية'!$I$2:$I$421,$I67,'الشؤون التنفيذية'!$N$2:$N$421,"&lt;&gt;")+COUNTIFS('الجهاز العسكري'!$B$2:$B$631,$B67,'الجهاز العسكري'!$G$2:$G$631,$G67,'الجهاز العسكري'!$I$2:$I$631,$I67,'الجهاز العسكري'!$M$2:$M$631,"&lt;&gt;")</f>
        <v>1</v>
      </c>
      <c r="N67" s="19">
        <f>IF($L67=0,0,ROUND((SUMIFS('المرتبطة بسمو الوزير'!$M$2:$M$151,'المرتبطة بسمو الوزير'!$B$2:$B$151,$B67,'المرتبطة بسمو الوزير'!$G$2:$G$151,$G67,'المرتبطة بسمو الوزير'!$I$2:$I$151,$I67)+SUMIFS('الشؤون التنفيذية'!$N$2:$N$421,'الشؤون التنفيذية'!$B$2:$B$421,$B67,'الشؤون التنفيذية'!$G$2:$G$421,$G67,'الشؤون التنفيذية'!$I$2:$I$421,$I67)+SUMIFS('الجهاز العسكري'!$M$2:$M$631,'الجهاز العسكري'!$B$2:$B$631,$B67,'الجهاز العسكري'!$G$2:$G$631,$G67,'الجهاز العسكري'!$I$2:$I$631,$I67))/$L67,0))</f>
        <v>71</v>
      </c>
      <c r="O67" s="18"/>
      <c r="P67" s="15">
        <f>SUMIFS(المرجع!$G$2:$G$19,المرجع!$B$2:$B$19,$G67,المرجع!$E$2:$E$19,$I67)</f>
        <v>5</v>
      </c>
      <c r="Q67" s="20">
        <f t="shared" si="2"/>
        <v>3.55</v>
      </c>
      <c r="R67" s="21" t="str">
        <f>IF($N67&gt;المرجع!$K$3,"متقدم",IF($N67&lt;=المرجع!$K$2,"أولي","جزئي"))</f>
        <v>متقدم</v>
      </c>
    </row>
    <row r="68" spans="1:18">
      <c r="A68" s="16" t="s">
        <v>1508</v>
      </c>
      <c r="B68" s="16" t="s">
        <v>150</v>
      </c>
      <c r="C68" s="15" t="str">
        <f>IFERROR(INDEX('قائمة الوحدات'!$B$2:$B$41,MATCH($B68,'قائمة الوحدات'!$A$2:$A$41,0)),"")</f>
        <v>TOP</v>
      </c>
      <c r="D68" s="14" t="str">
        <f>IFERROR(INDEX('قائمة الوحدات'!$C$2:$C$41,MATCH($B68,'قائمة الوحدات'!$A$2:$A$41,0)),"")</f>
        <v>المرتبطة بسمو الوزير</v>
      </c>
      <c r="E68" s="14" t="str">
        <f>IFERROR(INDEX('قائمة الوحدات'!$D$2:$D$41,MATCH($B68,'قائمة الوحدات'!$A$2:$A$41,0)),"")</f>
        <v>إدارة الشؤون القانونية</v>
      </c>
      <c r="F68" s="14" t="str">
        <f>IFERROR(INDEX('قائمة الوحدات'!$F$2:$F$41,MATCH($B68,'قائمة الوحدات'!$A$2:$A$41,0)),"")</f>
        <v>إدارة الشؤون القانونية</v>
      </c>
      <c r="G68" s="16" t="s">
        <v>61</v>
      </c>
      <c r="H68" s="14" t="str">
        <f>IFERROR(INDEX(المرجع!$A$2:$A$19,MATCH($G68,المرجع!$B$2:$B$19,0)),"")</f>
        <v>البناء المؤسسي</v>
      </c>
      <c r="I68" s="16" t="s">
        <v>63</v>
      </c>
      <c r="J68" s="14" t="str">
        <f>IFERROR(INDEX(المرجع!$D$2:$D$19,MATCH($I68,المرجع!$E$2:$E$19,0)),"")</f>
        <v>إنتاج المخرج الأول</v>
      </c>
      <c r="K68" s="15">
        <f>IFERROR(INDEX(المرجع!$F$2:$F$19,MATCH($I68,المرجع!$E$2:$E$19,0)),"")</f>
        <v>7</v>
      </c>
      <c r="L68" s="15">
        <f>SUMIFS(المرجع!$H$2:$H$19,المرجع!$B$2:$B$19,$G68,المرجع!$E$2:$E$19,$I68)</f>
        <v>1</v>
      </c>
      <c r="M68" s="15">
        <f>COUNTIFS('المرتبطة بسمو الوزير'!$B$2:$B$151,$B68,'المرتبطة بسمو الوزير'!$G$2:$G$151,$G68,'المرتبطة بسمو الوزير'!$I$2:$I$151,$I68,'المرتبطة بسمو الوزير'!$M$2:$M$151,"&lt;&gt;")+COUNTIFS('الشؤون التنفيذية'!$B$2:$B$421,$B68,'الشؤون التنفيذية'!$G$2:$G$421,$G68,'الشؤون التنفيذية'!$I$2:$I$421,$I68,'الشؤون التنفيذية'!$N$2:$N$421,"&lt;&gt;")+COUNTIFS('الجهاز العسكري'!$B$2:$B$631,$B68,'الجهاز العسكري'!$G$2:$G$631,$G68,'الجهاز العسكري'!$I$2:$I$631,$I68,'الجهاز العسكري'!$M$2:$M$631,"&lt;&gt;")</f>
        <v>1</v>
      </c>
      <c r="N68" s="19">
        <f>IF($L68=0,0,ROUND((SUMIFS('المرتبطة بسمو الوزير'!$M$2:$M$151,'المرتبطة بسمو الوزير'!$B$2:$B$151,$B68,'المرتبطة بسمو الوزير'!$G$2:$G$151,$G68,'المرتبطة بسمو الوزير'!$I$2:$I$151,$I68)+SUMIFS('الشؤون التنفيذية'!$N$2:$N$421,'الشؤون التنفيذية'!$B$2:$B$421,$B68,'الشؤون التنفيذية'!$G$2:$G$421,$G68,'الشؤون التنفيذية'!$I$2:$I$421,$I68)+SUMIFS('الجهاز العسكري'!$M$2:$M$631,'الجهاز العسكري'!$B$2:$B$631,$B68,'الجهاز العسكري'!$G$2:$G$631,$G68,'الجهاز العسكري'!$I$2:$I$631,$I68))/$L68,0))</f>
        <v>56</v>
      </c>
      <c r="O68" s="18"/>
      <c r="P68" s="15">
        <f>SUMIFS(المرجع!$G$2:$G$19,المرجع!$B$2:$B$19,$G68,المرجع!$E$2:$E$19,$I68)</f>
        <v>5</v>
      </c>
      <c r="Q68" s="20">
        <f t="shared" si="2"/>
        <v>2.8</v>
      </c>
      <c r="R68" s="21" t="str">
        <f>IF($N68&gt;المرجع!$K$3,"متقدم",IF($N68&lt;=المرجع!$K$2,"أولي","جزئي"))</f>
        <v>جزئي</v>
      </c>
    </row>
    <row r="69" spans="1:18">
      <c r="A69" s="16" t="s">
        <v>1509</v>
      </c>
      <c r="B69" s="16" t="s">
        <v>150</v>
      </c>
      <c r="C69" s="15" t="str">
        <f>IFERROR(INDEX('قائمة الوحدات'!$B$2:$B$41,MATCH($B69,'قائمة الوحدات'!$A$2:$A$41,0)),"")</f>
        <v>TOP</v>
      </c>
      <c r="D69" s="14" t="str">
        <f>IFERROR(INDEX('قائمة الوحدات'!$C$2:$C$41,MATCH($B69,'قائمة الوحدات'!$A$2:$A$41,0)),"")</f>
        <v>المرتبطة بسمو الوزير</v>
      </c>
      <c r="E69" s="14" t="str">
        <f>IFERROR(INDEX('قائمة الوحدات'!$D$2:$D$41,MATCH($B69,'قائمة الوحدات'!$A$2:$A$41,0)),"")</f>
        <v>إدارة الشؤون القانونية</v>
      </c>
      <c r="F69" s="14" t="str">
        <f>IFERROR(INDEX('قائمة الوحدات'!$F$2:$F$41,MATCH($B69,'قائمة الوحدات'!$A$2:$A$41,0)),"")</f>
        <v>إدارة الشؤون القانونية</v>
      </c>
      <c r="G69" s="16" t="s">
        <v>65</v>
      </c>
      <c r="H69" s="14" t="str">
        <f>IFERROR(INDEX(المرجع!$A$2:$A$19,MATCH($G69,المرجع!$B$2:$B$19,0)),"")</f>
        <v>التشغيل</v>
      </c>
      <c r="I69" s="16" t="s">
        <v>48</v>
      </c>
      <c r="J69" s="14" t="str">
        <f>IFERROR(INDEX(المرجع!$D$2:$D$19,MATCH($I69,المرجع!$E$2:$E$19,0)),"")</f>
        <v>الأهداف ومؤشرات الأداء</v>
      </c>
      <c r="K69" s="15">
        <f>IFERROR(INDEX(المرجع!$F$2:$F$19,MATCH($I69,المرجع!$E$2:$E$19,0)),"")</f>
        <v>2</v>
      </c>
      <c r="L69" s="15">
        <f>SUMIFS(المرجع!$H$2:$H$19,المرجع!$B$2:$B$19,$G69,المرجع!$E$2:$E$19,$I69)</f>
        <v>2</v>
      </c>
      <c r="M69" s="15">
        <f>COUNTIFS('المرتبطة بسمو الوزير'!$B$2:$B$151,$B69,'المرتبطة بسمو الوزير'!$G$2:$G$151,$G69,'المرتبطة بسمو الوزير'!$I$2:$I$151,$I69,'المرتبطة بسمو الوزير'!$M$2:$M$151,"&lt;&gt;")+COUNTIFS('الشؤون التنفيذية'!$B$2:$B$421,$B69,'الشؤون التنفيذية'!$G$2:$G$421,$G69,'الشؤون التنفيذية'!$I$2:$I$421,$I69,'الشؤون التنفيذية'!$N$2:$N$421,"&lt;&gt;")+COUNTIFS('الجهاز العسكري'!$B$2:$B$631,$B69,'الجهاز العسكري'!$G$2:$G$631,$G69,'الجهاز العسكري'!$I$2:$I$631,$I69,'الجهاز العسكري'!$M$2:$M$631,"&lt;&gt;")</f>
        <v>2</v>
      </c>
      <c r="N69" s="19">
        <f>IF($L69=0,0,ROUND((SUMIFS('المرتبطة بسمو الوزير'!$M$2:$M$151,'المرتبطة بسمو الوزير'!$B$2:$B$151,$B69,'المرتبطة بسمو الوزير'!$G$2:$G$151,$G69,'المرتبطة بسمو الوزير'!$I$2:$I$151,$I69)+SUMIFS('الشؤون التنفيذية'!$N$2:$N$421,'الشؤون التنفيذية'!$B$2:$B$421,$B69,'الشؤون التنفيذية'!$G$2:$G$421,$G69,'الشؤون التنفيذية'!$I$2:$I$421,$I69)+SUMIFS('الجهاز العسكري'!$M$2:$M$631,'الجهاز العسكري'!$B$2:$B$631,$B69,'الجهاز العسكري'!$G$2:$G$631,$G69,'الجهاز العسكري'!$I$2:$I$631,$I69))/$L69,0))</f>
        <v>58</v>
      </c>
      <c r="O69" s="18"/>
      <c r="P69" s="15">
        <f>SUMIFS(المرجع!$G$2:$G$19,المرجع!$B$2:$B$19,$G69,المرجع!$E$2:$E$19,$I69)</f>
        <v>25</v>
      </c>
      <c r="Q69" s="20">
        <f t="shared" si="2"/>
        <v>14.5</v>
      </c>
      <c r="R69" s="21" t="str">
        <f>IF($N69&gt;المرجع!$K$3,"متقدم",IF($N69&lt;=المرجع!$K$2,"أولي","جزئي"))</f>
        <v>جزئي</v>
      </c>
    </row>
    <row r="70" spans="1:18">
      <c r="A70" s="16" t="s">
        <v>1510</v>
      </c>
      <c r="B70" s="16" t="s">
        <v>150</v>
      </c>
      <c r="C70" s="15" t="str">
        <f>IFERROR(INDEX('قائمة الوحدات'!$B$2:$B$41,MATCH($B70,'قائمة الوحدات'!$A$2:$A$41,0)),"")</f>
        <v>TOP</v>
      </c>
      <c r="D70" s="14" t="str">
        <f>IFERROR(INDEX('قائمة الوحدات'!$C$2:$C$41,MATCH($B70,'قائمة الوحدات'!$A$2:$A$41,0)),"")</f>
        <v>المرتبطة بسمو الوزير</v>
      </c>
      <c r="E70" s="14" t="str">
        <f>IFERROR(INDEX('قائمة الوحدات'!$D$2:$D$41,MATCH($B70,'قائمة الوحدات'!$A$2:$A$41,0)),"")</f>
        <v>إدارة الشؤون القانونية</v>
      </c>
      <c r="F70" s="14" t="str">
        <f>IFERROR(INDEX('قائمة الوحدات'!$F$2:$F$41,MATCH($B70,'قائمة الوحدات'!$A$2:$A$41,0)),"")</f>
        <v>إدارة الشؤون القانونية</v>
      </c>
      <c r="G70" s="16" t="s">
        <v>65</v>
      </c>
      <c r="H70" s="14" t="str">
        <f>IFERROR(INDEX(المرجع!$A$2:$A$19,MATCH($G70,المرجع!$B$2:$B$19,0)),"")</f>
        <v>التشغيل</v>
      </c>
      <c r="I70" s="16" t="s">
        <v>51</v>
      </c>
      <c r="J70" s="14" t="str">
        <f>IFERROR(INDEX(المرجع!$D$2:$D$19,MATCH($I70,المرجع!$E$2:$E$19,0)),"")</f>
        <v>الحوكمة</v>
      </c>
      <c r="K70" s="15">
        <f>IFERROR(INDEX(المرجع!$F$2:$F$19,MATCH($I70,المرجع!$E$2:$E$19,0)),"")</f>
        <v>3</v>
      </c>
      <c r="L70" s="15">
        <f>SUMIFS(المرجع!$H$2:$H$19,المرجع!$B$2:$B$19,$G70,المرجع!$E$2:$E$19,$I70)</f>
        <v>3</v>
      </c>
      <c r="M70" s="15">
        <f>COUNTIFS('المرتبطة بسمو الوزير'!$B$2:$B$151,$B70,'المرتبطة بسمو الوزير'!$G$2:$G$151,$G70,'المرتبطة بسمو الوزير'!$I$2:$I$151,$I70,'المرتبطة بسمو الوزير'!$M$2:$M$151,"&lt;&gt;")+COUNTIFS('الشؤون التنفيذية'!$B$2:$B$421,$B70,'الشؤون التنفيذية'!$G$2:$G$421,$G70,'الشؤون التنفيذية'!$I$2:$I$421,$I70,'الشؤون التنفيذية'!$N$2:$N$421,"&lt;&gt;")+COUNTIFS('الجهاز العسكري'!$B$2:$B$631,$B70,'الجهاز العسكري'!$G$2:$G$631,$G70,'الجهاز العسكري'!$I$2:$I$631,$I70,'الجهاز العسكري'!$M$2:$M$631,"&lt;&gt;")</f>
        <v>3</v>
      </c>
      <c r="N70" s="19">
        <f>IF($L70=0,0,ROUND((SUMIFS('المرتبطة بسمو الوزير'!$M$2:$M$151,'المرتبطة بسمو الوزير'!$B$2:$B$151,$B70,'المرتبطة بسمو الوزير'!$G$2:$G$151,$G70,'المرتبطة بسمو الوزير'!$I$2:$I$151,$I70)+SUMIFS('الشؤون التنفيذية'!$N$2:$N$421,'الشؤون التنفيذية'!$B$2:$B$421,$B70,'الشؤون التنفيذية'!$G$2:$G$421,$G70,'الشؤون التنفيذية'!$I$2:$I$421,$I70)+SUMIFS('الجهاز العسكري'!$M$2:$M$631,'الجهاز العسكري'!$B$2:$B$631,$B70,'الجهاز العسكري'!$G$2:$G$631,$G70,'الجهاز العسكري'!$I$2:$I$631,$I70))/$L70,0))</f>
        <v>40</v>
      </c>
      <c r="O70" s="18"/>
      <c r="P70" s="15">
        <f>SUMIFS(المرجع!$G$2:$G$19,المرجع!$B$2:$B$19,$G70,المرجع!$E$2:$E$19,$I70)</f>
        <v>15</v>
      </c>
      <c r="Q70" s="20">
        <f t="shared" si="2"/>
        <v>6</v>
      </c>
      <c r="R70" s="21" t="str">
        <f>IF($N70&gt;المرجع!$K$3,"متقدم",IF($N70&lt;=المرجع!$K$2,"أولي","جزئي"))</f>
        <v>جزئي</v>
      </c>
    </row>
    <row r="71" spans="1:18">
      <c r="A71" s="16" t="s">
        <v>1511</v>
      </c>
      <c r="B71" s="16" t="s">
        <v>150</v>
      </c>
      <c r="C71" s="15" t="str">
        <f>IFERROR(INDEX('قائمة الوحدات'!$B$2:$B$41,MATCH($B71,'قائمة الوحدات'!$A$2:$A$41,0)),"")</f>
        <v>TOP</v>
      </c>
      <c r="D71" s="14" t="str">
        <f>IFERROR(INDEX('قائمة الوحدات'!$C$2:$C$41,MATCH($B71,'قائمة الوحدات'!$A$2:$A$41,0)),"")</f>
        <v>المرتبطة بسمو الوزير</v>
      </c>
      <c r="E71" s="14" t="str">
        <f>IFERROR(INDEX('قائمة الوحدات'!$D$2:$D$41,MATCH($B71,'قائمة الوحدات'!$A$2:$A$41,0)),"")</f>
        <v>إدارة الشؤون القانونية</v>
      </c>
      <c r="F71" s="14" t="str">
        <f>IFERROR(INDEX('قائمة الوحدات'!$F$2:$F$41,MATCH($B71,'قائمة الوحدات'!$A$2:$A$41,0)),"")</f>
        <v>إدارة الشؤون القانونية</v>
      </c>
      <c r="G71" s="16" t="s">
        <v>65</v>
      </c>
      <c r="H71" s="14" t="str">
        <f>IFERROR(INDEX(المرجع!$A$2:$A$19,MATCH($G71,المرجع!$B$2:$B$19,0)),"")</f>
        <v>التشغيل</v>
      </c>
      <c r="I71" s="16" t="s">
        <v>56</v>
      </c>
      <c r="J71" s="14" t="str">
        <f>IFERROR(INDEX(المرجع!$D$2:$D$19,MATCH($I71,المرجع!$E$2:$E$19,0)),"")</f>
        <v>الموارد</v>
      </c>
      <c r="K71" s="15">
        <f>IFERROR(INDEX(المرجع!$F$2:$F$19,MATCH($I71,المرجع!$E$2:$E$19,0)),"")</f>
        <v>5</v>
      </c>
      <c r="L71" s="15">
        <f>SUMIFS(المرجع!$H$2:$H$19,المرجع!$B$2:$B$19,$G71,المرجع!$E$2:$E$19,$I71)</f>
        <v>1</v>
      </c>
      <c r="M71" s="15">
        <f>COUNTIFS('المرتبطة بسمو الوزير'!$B$2:$B$151,$B71,'المرتبطة بسمو الوزير'!$G$2:$G$151,$G71,'المرتبطة بسمو الوزير'!$I$2:$I$151,$I71,'المرتبطة بسمو الوزير'!$M$2:$M$151,"&lt;&gt;")+COUNTIFS('الشؤون التنفيذية'!$B$2:$B$421,$B71,'الشؤون التنفيذية'!$G$2:$G$421,$G71,'الشؤون التنفيذية'!$I$2:$I$421,$I71,'الشؤون التنفيذية'!$N$2:$N$421,"&lt;&gt;")+COUNTIFS('الجهاز العسكري'!$B$2:$B$631,$B71,'الجهاز العسكري'!$G$2:$G$631,$G71,'الجهاز العسكري'!$I$2:$I$631,$I71,'الجهاز العسكري'!$M$2:$M$631,"&lt;&gt;")</f>
        <v>1</v>
      </c>
      <c r="N71" s="19">
        <f>IF($L71=0,0,ROUND((SUMIFS('المرتبطة بسمو الوزير'!$M$2:$M$151,'المرتبطة بسمو الوزير'!$B$2:$B$151,$B71,'المرتبطة بسمو الوزير'!$G$2:$G$151,$G71,'المرتبطة بسمو الوزير'!$I$2:$I$151,$I71)+SUMIFS('الشؤون التنفيذية'!$N$2:$N$421,'الشؤون التنفيذية'!$B$2:$B$421,$B71,'الشؤون التنفيذية'!$G$2:$G$421,$G71,'الشؤون التنفيذية'!$I$2:$I$421,$I71)+SUMIFS('الجهاز العسكري'!$M$2:$M$631,'الجهاز العسكري'!$B$2:$B$631,$B71,'الجهاز العسكري'!$G$2:$G$631,$G71,'الجهاز العسكري'!$I$2:$I$631,$I71))/$L71,0))</f>
        <v>42</v>
      </c>
      <c r="O71" s="18"/>
      <c r="P71" s="15">
        <f>SUMIFS(المرجع!$G$2:$G$19,المرجع!$B$2:$B$19,$G71,المرجع!$E$2:$E$19,$I71)</f>
        <v>15</v>
      </c>
      <c r="Q71" s="20">
        <f t="shared" si="2"/>
        <v>6.3</v>
      </c>
      <c r="R71" s="21" t="str">
        <f>IF($N71&gt;المرجع!$K$3,"متقدم",IF($N71&lt;=المرجع!$K$2,"أولي","جزئي"))</f>
        <v>جزئي</v>
      </c>
    </row>
    <row r="72" spans="1:18">
      <c r="A72" s="16" t="s">
        <v>1512</v>
      </c>
      <c r="B72" s="16" t="s">
        <v>150</v>
      </c>
      <c r="C72" s="15" t="str">
        <f>IFERROR(INDEX('قائمة الوحدات'!$B$2:$B$41,MATCH($B72,'قائمة الوحدات'!$A$2:$A$41,0)),"")</f>
        <v>TOP</v>
      </c>
      <c r="D72" s="14" t="str">
        <f>IFERROR(INDEX('قائمة الوحدات'!$C$2:$C$41,MATCH($B72,'قائمة الوحدات'!$A$2:$A$41,0)),"")</f>
        <v>المرتبطة بسمو الوزير</v>
      </c>
      <c r="E72" s="14" t="str">
        <f>IFERROR(INDEX('قائمة الوحدات'!$D$2:$D$41,MATCH($B72,'قائمة الوحدات'!$A$2:$A$41,0)),"")</f>
        <v>إدارة الشؤون القانونية</v>
      </c>
      <c r="F72" s="14" t="str">
        <f>IFERROR(INDEX('قائمة الوحدات'!$F$2:$F$41,MATCH($B72,'قائمة الوحدات'!$A$2:$A$41,0)),"")</f>
        <v>إدارة الشؤون القانونية</v>
      </c>
      <c r="G72" s="16" t="s">
        <v>65</v>
      </c>
      <c r="H72" s="14" t="str">
        <f>IFERROR(INDEX(المرجع!$A$2:$A$19,MATCH($G72,المرجع!$B$2:$B$19,0)),"")</f>
        <v>التشغيل</v>
      </c>
      <c r="I72" s="16" t="s">
        <v>59</v>
      </c>
      <c r="J72" s="14" t="str">
        <f>IFERROR(INDEX(المرجع!$D$2:$D$19,MATCH($I72,المرجع!$E$2:$E$19,0)),"")</f>
        <v>الإجراءات</v>
      </c>
      <c r="K72" s="15">
        <f>IFERROR(INDEX(المرجع!$F$2:$F$19,MATCH($I72,المرجع!$E$2:$E$19,0)),"")</f>
        <v>6</v>
      </c>
      <c r="L72" s="15">
        <f>SUMIFS(المرجع!$H$2:$H$19,المرجع!$B$2:$B$19,$G72,المرجع!$E$2:$E$19,$I72)</f>
        <v>1</v>
      </c>
      <c r="M72" s="15">
        <f>COUNTIFS('المرتبطة بسمو الوزير'!$B$2:$B$151,$B72,'المرتبطة بسمو الوزير'!$G$2:$G$151,$G72,'المرتبطة بسمو الوزير'!$I$2:$I$151,$I72,'المرتبطة بسمو الوزير'!$M$2:$M$151,"&lt;&gt;")+COUNTIFS('الشؤون التنفيذية'!$B$2:$B$421,$B72,'الشؤون التنفيذية'!$G$2:$G$421,$G72,'الشؤون التنفيذية'!$I$2:$I$421,$I72,'الشؤون التنفيذية'!$N$2:$N$421,"&lt;&gt;")+COUNTIFS('الجهاز العسكري'!$B$2:$B$631,$B72,'الجهاز العسكري'!$G$2:$G$631,$G72,'الجهاز العسكري'!$I$2:$I$631,$I72,'الجهاز العسكري'!$M$2:$M$631,"&lt;&gt;")</f>
        <v>1</v>
      </c>
      <c r="N72" s="19">
        <f>IF($L72=0,0,ROUND((SUMIFS('المرتبطة بسمو الوزير'!$M$2:$M$151,'المرتبطة بسمو الوزير'!$B$2:$B$151,$B72,'المرتبطة بسمو الوزير'!$G$2:$G$151,$G72,'المرتبطة بسمو الوزير'!$I$2:$I$151,$I72)+SUMIFS('الشؤون التنفيذية'!$N$2:$N$421,'الشؤون التنفيذية'!$B$2:$B$421,$B72,'الشؤون التنفيذية'!$G$2:$G$421,$G72,'الشؤون التنفيذية'!$I$2:$I$421,$I72)+SUMIFS('الجهاز العسكري'!$M$2:$M$631,'الجهاز العسكري'!$B$2:$B$631,$B72,'الجهاز العسكري'!$G$2:$G$631,$G72,'الجهاز العسكري'!$I$2:$I$631,$I72))/$L72,0))</f>
        <v>56</v>
      </c>
      <c r="O72" s="18"/>
      <c r="P72" s="15">
        <f>SUMIFS(المرجع!$G$2:$G$19,المرجع!$B$2:$B$19,$G72,المرجع!$E$2:$E$19,$I72)</f>
        <v>15</v>
      </c>
      <c r="Q72" s="20">
        <f t="shared" si="2"/>
        <v>8.4</v>
      </c>
      <c r="R72" s="21" t="str">
        <f>IF($N72&gt;المرجع!$K$3,"متقدم",IF($N72&lt;=المرجع!$K$2,"أولي","جزئي"))</f>
        <v>جزئي</v>
      </c>
    </row>
    <row r="73" spans="1:18">
      <c r="A73" s="16" t="s">
        <v>1513</v>
      </c>
      <c r="B73" s="16" t="s">
        <v>150</v>
      </c>
      <c r="C73" s="15" t="str">
        <f>IFERROR(INDEX('قائمة الوحدات'!$B$2:$B$41,MATCH($B73,'قائمة الوحدات'!$A$2:$A$41,0)),"")</f>
        <v>TOP</v>
      </c>
      <c r="D73" s="14" t="str">
        <f>IFERROR(INDEX('قائمة الوحدات'!$C$2:$C$41,MATCH($B73,'قائمة الوحدات'!$A$2:$A$41,0)),"")</f>
        <v>المرتبطة بسمو الوزير</v>
      </c>
      <c r="E73" s="14" t="str">
        <f>IFERROR(INDEX('قائمة الوحدات'!$D$2:$D$41,MATCH($B73,'قائمة الوحدات'!$A$2:$A$41,0)),"")</f>
        <v>إدارة الشؤون القانونية</v>
      </c>
      <c r="F73" s="14" t="str">
        <f>IFERROR(INDEX('قائمة الوحدات'!$F$2:$F$41,MATCH($B73,'قائمة الوحدات'!$A$2:$A$41,0)),"")</f>
        <v>إدارة الشؤون القانونية</v>
      </c>
      <c r="G73" s="16" t="s">
        <v>65</v>
      </c>
      <c r="H73" s="14" t="str">
        <f>IFERROR(INDEX(المرجع!$A$2:$A$19,MATCH($G73,المرجع!$B$2:$B$19,0)),"")</f>
        <v>التشغيل</v>
      </c>
      <c r="I73" s="16" t="s">
        <v>67</v>
      </c>
      <c r="J73" s="14" t="str">
        <f>IFERROR(INDEX(المرجع!$D$2:$D$19,MATCH($I73,المرجع!$E$2:$E$19,0)),"")</f>
        <v>اكتمال المخرجات المستهدفة</v>
      </c>
      <c r="K73" s="15">
        <f>IFERROR(INDEX(المرجع!$F$2:$F$19,MATCH($I73,المرجع!$E$2:$E$19,0)),"")</f>
        <v>8</v>
      </c>
      <c r="L73" s="15">
        <f>SUMIFS(المرجع!$H$2:$H$19,المرجع!$B$2:$B$19,$G73,المرجع!$E$2:$E$19,$I73)</f>
        <v>1</v>
      </c>
      <c r="M73" s="15">
        <f>COUNTIFS('المرتبطة بسمو الوزير'!$B$2:$B$151,$B73,'المرتبطة بسمو الوزير'!$G$2:$G$151,$G73,'المرتبطة بسمو الوزير'!$I$2:$I$151,$I73,'المرتبطة بسمو الوزير'!$M$2:$M$151,"&lt;&gt;")+COUNTIFS('الشؤون التنفيذية'!$B$2:$B$421,$B73,'الشؤون التنفيذية'!$G$2:$G$421,$G73,'الشؤون التنفيذية'!$I$2:$I$421,$I73,'الشؤون التنفيذية'!$N$2:$N$421,"&lt;&gt;")+COUNTIFS('الجهاز العسكري'!$B$2:$B$631,$B73,'الجهاز العسكري'!$G$2:$G$631,$G73,'الجهاز العسكري'!$I$2:$I$631,$I73,'الجهاز العسكري'!$M$2:$M$631,"&lt;&gt;")</f>
        <v>1</v>
      </c>
      <c r="N73" s="19">
        <f>IF($L73=0,0,ROUND((SUMIFS('المرتبطة بسمو الوزير'!$M$2:$M$151,'المرتبطة بسمو الوزير'!$B$2:$B$151,$B73,'المرتبطة بسمو الوزير'!$G$2:$G$151,$G73,'المرتبطة بسمو الوزير'!$I$2:$I$151,$I73)+SUMIFS('الشؤون التنفيذية'!$N$2:$N$421,'الشؤون التنفيذية'!$B$2:$B$421,$B73,'الشؤون التنفيذية'!$G$2:$G$421,$G73,'الشؤون التنفيذية'!$I$2:$I$421,$I73)+SUMIFS('الجهاز العسكري'!$M$2:$M$631,'الجهاز العسكري'!$B$2:$B$631,$B73,'الجهاز العسكري'!$G$2:$G$631,$G73,'الجهاز العسكري'!$I$2:$I$631,$I73))/$L73,0))</f>
        <v>20</v>
      </c>
      <c r="O73" s="18"/>
      <c r="P73" s="15">
        <f>SUMIFS(المرجع!$G$2:$G$19,المرجع!$B$2:$B$19,$G73,المرجع!$E$2:$E$19,$I73)</f>
        <v>30</v>
      </c>
      <c r="Q73" s="20">
        <f t="shared" si="2"/>
        <v>6</v>
      </c>
      <c r="R73" s="21" t="str">
        <f>IF($N73&gt;المرجع!$K$3,"متقدم",IF($N73&lt;=المرجع!$K$2,"أولي","جزئي"))</f>
        <v>أولي</v>
      </c>
    </row>
    <row r="74" spans="1:18">
      <c r="A74" s="16" t="s">
        <v>1514</v>
      </c>
      <c r="B74" s="16" t="s">
        <v>152</v>
      </c>
      <c r="C74" s="15" t="str">
        <f>IFERROR(INDEX('قائمة الوحدات'!$B$2:$B$41,MATCH($B74,'قائمة الوحدات'!$A$2:$A$41,0)),"")</f>
        <v>TOP</v>
      </c>
      <c r="D74" s="14" t="str">
        <f>IFERROR(INDEX('قائمة الوحدات'!$C$2:$C$41,MATCH($B74,'قائمة الوحدات'!$A$2:$A$41,0)),"")</f>
        <v>المرتبطة بسمو الوزير</v>
      </c>
      <c r="E74" s="14" t="str">
        <f>IFERROR(INDEX('قائمة الوحدات'!$D$2:$D$41,MATCH($B74,'قائمة الوحدات'!$A$2:$A$41,0)),"")</f>
        <v>إدارة التميز المؤسسي</v>
      </c>
      <c r="F74" s="14" t="str">
        <f>IFERROR(INDEX('قائمة الوحدات'!$F$2:$F$41,MATCH($B74,'قائمة الوحدات'!$A$2:$A$41,0)),"")</f>
        <v>إدارة التميز المؤسسي</v>
      </c>
      <c r="G74" s="16" t="s">
        <v>43</v>
      </c>
      <c r="H74" s="14" t="str">
        <f>IFERROR(INDEX(المرجع!$A$2:$A$19,MATCH($G74,المرجع!$B$2:$B$19,0)),"")</f>
        <v>التصميم</v>
      </c>
      <c r="I74" s="16" t="s">
        <v>45</v>
      </c>
      <c r="J74" s="14" t="str">
        <f>IFERROR(INDEX(المرجع!$D$2:$D$19,MATCH($I74,المرجع!$E$2:$E$19,0)),"")</f>
        <v>الدور</v>
      </c>
      <c r="K74" s="15">
        <f>IFERROR(INDEX(المرجع!$F$2:$F$19,MATCH($I74,المرجع!$E$2:$E$19,0)),"")</f>
        <v>1</v>
      </c>
      <c r="L74" s="15">
        <f>SUMIFS(المرجع!$H$2:$H$19,المرجع!$B$2:$B$19,$G74,المرجع!$E$2:$E$19,$I74)</f>
        <v>1</v>
      </c>
      <c r="M74" s="15">
        <f>COUNTIFS('المرتبطة بسمو الوزير'!$B$2:$B$151,$B74,'المرتبطة بسمو الوزير'!$G$2:$G$151,$G74,'المرتبطة بسمو الوزير'!$I$2:$I$151,$I74,'المرتبطة بسمو الوزير'!$M$2:$M$151,"&lt;&gt;")+COUNTIFS('الشؤون التنفيذية'!$B$2:$B$421,$B74,'الشؤون التنفيذية'!$G$2:$G$421,$G74,'الشؤون التنفيذية'!$I$2:$I$421,$I74,'الشؤون التنفيذية'!$N$2:$N$421,"&lt;&gt;")+COUNTIFS('الجهاز العسكري'!$B$2:$B$631,$B74,'الجهاز العسكري'!$G$2:$G$631,$G74,'الجهاز العسكري'!$I$2:$I$631,$I74,'الجهاز العسكري'!$M$2:$M$631,"&lt;&gt;")</f>
        <v>1</v>
      </c>
      <c r="N74" s="19">
        <f>IF($L74=0,0,ROUND((SUMIFS('المرتبطة بسمو الوزير'!$M$2:$M$151,'المرتبطة بسمو الوزير'!$B$2:$B$151,$B74,'المرتبطة بسمو الوزير'!$G$2:$G$151,$G74,'المرتبطة بسمو الوزير'!$I$2:$I$151,$I74)+SUMIFS('الشؤون التنفيذية'!$N$2:$N$421,'الشؤون التنفيذية'!$B$2:$B$421,$B74,'الشؤون التنفيذية'!$G$2:$G$421,$G74,'الشؤون التنفيذية'!$I$2:$I$421,$I74)+SUMIFS('الجهاز العسكري'!$M$2:$M$631,'الجهاز العسكري'!$B$2:$B$631,$B74,'الجهاز العسكري'!$G$2:$G$631,$G74,'الجهاز العسكري'!$I$2:$I$631,$I74))/$L74,0))</f>
        <v>88</v>
      </c>
      <c r="O74" s="18"/>
      <c r="P74" s="15">
        <f>SUMIFS(المرجع!$G$2:$G$19,المرجع!$B$2:$B$19,$G74,المرجع!$E$2:$E$19,$I74)</f>
        <v>25</v>
      </c>
      <c r="Q74" s="20">
        <f t="shared" si="2"/>
        <v>22</v>
      </c>
      <c r="R74" s="21" t="str">
        <f>IF($N74&gt;المرجع!$K$3,"متقدم",IF($N74&lt;=المرجع!$K$2,"أولي","جزئي"))</f>
        <v>متقدم</v>
      </c>
    </row>
    <row r="75" spans="1:18">
      <c r="A75" s="16" t="s">
        <v>1515</v>
      </c>
      <c r="B75" s="16" t="s">
        <v>152</v>
      </c>
      <c r="C75" s="15" t="str">
        <f>IFERROR(INDEX('قائمة الوحدات'!$B$2:$B$41,MATCH($B75,'قائمة الوحدات'!$A$2:$A$41,0)),"")</f>
        <v>TOP</v>
      </c>
      <c r="D75" s="14" t="str">
        <f>IFERROR(INDEX('قائمة الوحدات'!$C$2:$C$41,MATCH($B75,'قائمة الوحدات'!$A$2:$A$41,0)),"")</f>
        <v>المرتبطة بسمو الوزير</v>
      </c>
      <c r="E75" s="14" t="str">
        <f>IFERROR(INDEX('قائمة الوحدات'!$D$2:$D$41,MATCH($B75,'قائمة الوحدات'!$A$2:$A$41,0)),"")</f>
        <v>إدارة التميز المؤسسي</v>
      </c>
      <c r="F75" s="14" t="str">
        <f>IFERROR(INDEX('قائمة الوحدات'!$F$2:$F$41,MATCH($B75,'قائمة الوحدات'!$A$2:$A$41,0)),"")</f>
        <v>إدارة التميز المؤسسي</v>
      </c>
      <c r="G75" s="16" t="s">
        <v>43</v>
      </c>
      <c r="H75" s="14" t="str">
        <f>IFERROR(INDEX(المرجع!$A$2:$A$19,MATCH($G75,المرجع!$B$2:$B$19,0)),"")</f>
        <v>التصميم</v>
      </c>
      <c r="I75" s="16" t="s">
        <v>48</v>
      </c>
      <c r="J75" s="14" t="str">
        <f>IFERROR(INDEX(المرجع!$D$2:$D$19,MATCH($I75,المرجع!$E$2:$E$19,0)),"")</f>
        <v>الأهداف ومؤشرات الأداء</v>
      </c>
      <c r="K75" s="15">
        <f>IFERROR(INDEX(المرجع!$F$2:$F$19,MATCH($I75,المرجع!$E$2:$E$19,0)),"")</f>
        <v>2</v>
      </c>
      <c r="L75" s="15">
        <f>SUMIFS(المرجع!$H$2:$H$19,المرجع!$B$2:$B$19,$G75,المرجع!$E$2:$E$19,$I75)</f>
        <v>2</v>
      </c>
      <c r="M75" s="15">
        <f>COUNTIFS('المرتبطة بسمو الوزير'!$B$2:$B$151,$B75,'المرتبطة بسمو الوزير'!$G$2:$G$151,$G75,'المرتبطة بسمو الوزير'!$I$2:$I$151,$I75,'المرتبطة بسمو الوزير'!$M$2:$M$151,"&lt;&gt;")+COUNTIFS('الشؤون التنفيذية'!$B$2:$B$421,$B75,'الشؤون التنفيذية'!$G$2:$G$421,$G75,'الشؤون التنفيذية'!$I$2:$I$421,$I75,'الشؤون التنفيذية'!$N$2:$N$421,"&lt;&gt;")+COUNTIFS('الجهاز العسكري'!$B$2:$B$631,$B75,'الجهاز العسكري'!$G$2:$G$631,$G75,'الجهاز العسكري'!$I$2:$I$631,$I75,'الجهاز العسكري'!$M$2:$M$631,"&lt;&gt;")</f>
        <v>2</v>
      </c>
      <c r="N75" s="19">
        <f>IF($L75=0,0,ROUND((SUMIFS('المرتبطة بسمو الوزير'!$M$2:$M$151,'المرتبطة بسمو الوزير'!$B$2:$B$151,$B75,'المرتبطة بسمو الوزير'!$G$2:$G$151,$G75,'المرتبطة بسمو الوزير'!$I$2:$I$151,$I75)+SUMIFS('الشؤون التنفيذية'!$N$2:$N$421,'الشؤون التنفيذية'!$B$2:$B$421,$B75,'الشؤون التنفيذية'!$G$2:$G$421,$G75,'الشؤون التنفيذية'!$I$2:$I$421,$I75)+SUMIFS('الجهاز العسكري'!$M$2:$M$631,'الجهاز العسكري'!$B$2:$B$631,$B75,'الجهاز العسكري'!$G$2:$G$631,$G75,'الجهاز العسكري'!$I$2:$I$631,$I75))/$L75,0))</f>
        <v>73</v>
      </c>
      <c r="O75" s="18"/>
      <c r="P75" s="15">
        <f>SUMIFS(المرجع!$G$2:$G$19,المرجع!$B$2:$B$19,$G75,المرجع!$E$2:$E$19,$I75)</f>
        <v>15</v>
      </c>
      <c r="Q75" s="20">
        <f t="shared" si="2"/>
        <v>10.95</v>
      </c>
      <c r="R75" s="21" t="str">
        <f>IF($N75&gt;المرجع!$K$3,"متقدم",IF($N75&lt;=المرجع!$K$2,"أولي","جزئي"))</f>
        <v>متقدم</v>
      </c>
    </row>
    <row r="76" spans="1:18">
      <c r="A76" s="16" t="s">
        <v>1516</v>
      </c>
      <c r="B76" s="16" t="s">
        <v>152</v>
      </c>
      <c r="C76" s="15" t="str">
        <f>IFERROR(INDEX('قائمة الوحدات'!$B$2:$B$41,MATCH($B76,'قائمة الوحدات'!$A$2:$A$41,0)),"")</f>
        <v>TOP</v>
      </c>
      <c r="D76" s="14" t="str">
        <f>IFERROR(INDEX('قائمة الوحدات'!$C$2:$C$41,MATCH($B76,'قائمة الوحدات'!$A$2:$A$41,0)),"")</f>
        <v>المرتبطة بسمو الوزير</v>
      </c>
      <c r="E76" s="14" t="str">
        <f>IFERROR(INDEX('قائمة الوحدات'!$D$2:$D$41,MATCH($B76,'قائمة الوحدات'!$A$2:$A$41,0)),"")</f>
        <v>إدارة التميز المؤسسي</v>
      </c>
      <c r="F76" s="14" t="str">
        <f>IFERROR(INDEX('قائمة الوحدات'!$F$2:$F$41,MATCH($B76,'قائمة الوحدات'!$A$2:$A$41,0)),"")</f>
        <v>إدارة التميز المؤسسي</v>
      </c>
      <c r="G76" s="16" t="s">
        <v>43</v>
      </c>
      <c r="H76" s="14" t="str">
        <f>IFERROR(INDEX(المرجع!$A$2:$A$19,MATCH($G76,المرجع!$B$2:$B$19,0)),"")</f>
        <v>التصميم</v>
      </c>
      <c r="I76" s="16" t="s">
        <v>51</v>
      </c>
      <c r="J76" s="14" t="str">
        <f>IFERROR(INDEX(المرجع!$D$2:$D$19,MATCH($I76,المرجع!$E$2:$E$19,0)),"")</f>
        <v>الحوكمة</v>
      </c>
      <c r="K76" s="15">
        <f>IFERROR(INDEX(المرجع!$F$2:$F$19,MATCH($I76,المرجع!$E$2:$E$19,0)),"")</f>
        <v>3</v>
      </c>
      <c r="L76" s="15">
        <f>SUMIFS(المرجع!$H$2:$H$19,المرجع!$B$2:$B$19,$G76,المرجع!$E$2:$E$19,$I76)</f>
        <v>1</v>
      </c>
      <c r="M76" s="15">
        <f>COUNTIFS('المرتبطة بسمو الوزير'!$B$2:$B$151,$B76,'المرتبطة بسمو الوزير'!$G$2:$G$151,$G76,'المرتبطة بسمو الوزير'!$I$2:$I$151,$I76,'المرتبطة بسمو الوزير'!$M$2:$M$151,"&lt;&gt;")+COUNTIFS('الشؤون التنفيذية'!$B$2:$B$421,$B76,'الشؤون التنفيذية'!$G$2:$G$421,$G76,'الشؤون التنفيذية'!$I$2:$I$421,$I76,'الشؤون التنفيذية'!$N$2:$N$421,"&lt;&gt;")+COUNTIFS('الجهاز العسكري'!$B$2:$B$631,$B76,'الجهاز العسكري'!$G$2:$G$631,$G76,'الجهاز العسكري'!$I$2:$I$631,$I76,'الجهاز العسكري'!$M$2:$M$631,"&lt;&gt;")</f>
        <v>1</v>
      </c>
      <c r="N76" s="19">
        <f>IF($L76=0,0,ROUND((SUMIFS('المرتبطة بسمو الوزير'!$M$2:$M$151,'المرتبطة بسمو الوزير'!$B$2:$B$151,$B76,'المرتبطة بسمو الوزير'!$G$2:$G$151,$G76,'المرتبطة بسمو الوزير'!$I$2:$I$151,$I76)+SUMIFS('الشؤون التنفيذية'!$N$2:$N$421,'الشؤون التنفيذية'!$B$2:$B$421,$B76,'الشؤون التنفيذية'!$G$2:$G$421,$G76,'الشؤون التنفيذية'!$I$2:$I$421,$I76)+SUMIFS('الجهاز العسكري'!$M$2:$M$631,'الجهاز العسكري'!$B$2:$B$631,$B76,'الجهاز العسكري'!$G$2:$G$631,$G76,'الجهاز العسكري'!$I$2:$I$631,$I76))/$L76,0))</f>
        <v>79</v>
      </c>
      <c r="O76" s="18"/>
      <c r="P76" s="15">
        <f>SUMIFS(المرجع!$G$2:$G$19,المرجع!$B$2:$B$19,$G76,المرجع!$E$2:$E$19,$I76)</f>
        <v>15</v>
      </c>
      <c r="Q76" s="20">
        <f t="shared" si="2"/>
        <v>11.85</v>
      </c>
      <c r="R76" s="21" t="str">
        <f>IF($N76&gt;المرجع!$K$3,"متقدم",IF($N76&lt;=المرجع!$K$2,"أولي","جزئي"))</f>
        <v>متقدم</v>
      </c>
    </row>
    <row r="77" spans="1:18">
      <c r="A77" s="16" t="s">
        <v>1517</v>
      </c>
      <c r="B77" s="16" t="s">
        <v>152</v>
      </c>
      <c r="C77" s="15" t="str">
        <f>IFERROR(INDEX('قائمة الوحدات'!$B$2:$B$41,MATCH($B77,'قائمة الوحدات'!$A$2:$A$41,0)),"")</f>
        <v>TOP</v>
      </c>
      <c r="D77" s="14" t="str">
        <f>IFERROR(INDEX('قائمة الوحدات'!$C$2:$C$41,MATCH($B77,'قائمة الوحدات'!$A$2:$A$41,0)),"")</f>
        <v>المرتبطة بسمو الوزير</v>
      </c>
      <c r="E77" s="14" t="str">
        <f>IFERROR(INDEX('قائمة الوحدات'!$D$2:$D$41,MATCH($B77,'قائمة الوحدات'!$A$2:$A$41,0)),"")</f>
        <v>إدارة التميز المؤسسي</v>
      </c>
      <c r="F77" s="14" t="str">
        <f>IFERROR(INDEX('قائمة الوحدات'!$F$2:$F$41,MATCH($B77,'قائمة الوحدات'!$A$2:$A$41,0)),"")</f>
        <v>إدارة التميز المؤسسي</v>
      </c>
      <c r="G77" s="16" t="s">
        <v>43</v>
      </c>
      <c r="H77" s="14" t="str">
        <f>IFERROR(INDEX(المرجع!$A$2:$A$19,MATCH($G77,المرجع!$B$2:$B$19,0)),"")</f>
        <v>التصميم</v>
      </c>
      <c r="I77" s="16" t="s">
        <v>54</v>
      </c>
      <c r="J77" s="14" t="str">
        <f>IFERROR(INDEX(المرجع!$D$2:$D$19,MATCH($I77,المرجع!$E$2:$E$19,0)),"")</f>
        <v>التنظيم</v>
      </c>
      <c r="K77" s="15">
        <f>IFERROR(INDEX(المرجع!$F$2:$F$19,MATCH($I77,المرجع!$E$2:$E$19,0)),"")</f>
        <v>4</v>
      </c>
      <c r="L77" s="15">
        <f>SUMIFS(المرجع!$H$2:$H$19,المرجع!$B$2:$B$19,$G77,المرجع!$E$2:$E$19,$I77)</f>
        <v>1</v>
      </c>
      <c r="M77" s="15">
        <f>COUNTIFS('المرتبطة بسمو الوزير'!$B$2:$B$151,$B77,'المرتبطة بسمو الوزير'!$G$2:$G$151,$G77,'المرتبطة بسمو الوزير'!$I$2:$I$151,$I77,'المرتبطة بسمو الوزير'!$M$2:$M$151,"&lt;&gt;")+COUNTIFS('الشؤون التنفيذية'!$B$2:$B$421,$B77,'الشؤون التنفيذية'!$G$2:$G$421,$G77,'الشؤون التنفيذية'!$I$2:$I$421,$I77,'الشؤون التنفيذية'!$N$2:$N$421,"&lt;&gt;")+COUNTIFS('الجهاز العسكري'!$B$2:$B$631,$B77,'الجهاز العسكري'!$G$2:$G$631,$G77,'الجهاز العسكري'!$I$2:$I$631,$I77,'الجهاز العسكري'!$M$2:$M$631,"&lt;&gt;")</f>
        <v>1</v>
      </c>
      <c r="N77" s="19">
        <f>IF($L77=0,0,ROUND((SUMIFS('المرتبطة بسمو الوزير'!$M$2:$M$151,'المرتبطة بسمو الوزير'!$B$2:$B$151,$B77,'المرتبطة بسمو الوزير'!$G$2:$G$151,$G77,'المرتبطة بسمو الوزير'!$I$2:$I$151,$I77)+SUMIFS('الشؤون التنفيذية'!$N$2:$N$421,'الشؤون التنفيذية'!$B$2:$B$421,$B77,'الشؤون التنفيذية'!$G$2:$G$421,$G77,'الشؤون التنفيذية'!$I$2:$I$421,$I77)+SUMIFS('الجهاز العسكري'!$M$2:$M$631,'الجهاز العسكري'!$B$2:$B$631,$B77,'الجهاز العسكري'!$G$2:$G$631,$G77,'الجهاز العسكري'!$I$2:$I$631,$I77))/$L77,0))</f>
        <v>98</v>
      </c>
      <c r="O77" s="18"/>
      <c r="P77" s="15">
        <f>SUMIFS(المرجع!$G$2:$G$19,المرجع!$B$2:$B$19,$G77,المرجع!$E$2:$E$19,$I77)</f>
        <v>20</v>
      </c>
      <c r="Q77" s="20">
        <f t="shared" si="2"/>
        <v>19.600000000000001</v>
      </c>
      <c r="R77" s="21" t="str">
        <f>IF($N77&gt;المرجع!$K$3,"متقدم",IF($N77&lt;=المرجع!$K$2,"أولي","جزئي"))</f>
        <v>متقدم</v>
      </c>
    </row>
    <row r="78" spans="1:18">
      <c r="A78" s="16" t="s">
        <v>1518</v>
      </c>
      <c r="B78" s="16" t="s">
        <v>152</v>
      </c>
      <c r="C78" s="15" t="str">
        <f>IFERROR(INDEX('قائمة الوحدات'!$B$2:$B$41,MATCH($B78,'قائمة الوحدات'!$A$2:$A$41,0)),"")</f>
        <v>TOP</v>
      </c>
      <c r="D78" s="14" t="str">
        <f>IFERROR(INDEX('قائمة الوحدات'!$C$2:$C$41,MATCH($B78,'قائمة الوحدات'!$A$2:$A$41,0)),"")</f>
        <v>المرتبطة بسمو الوزير</v>
      </c>
      <c r="E78" s="14" t="str">
        <f>IFERROR(INDEX('قائمة الوحدات'!$D$2:$D$41,MATCH($B78,'قائمة الوحدات'!$A$2:$A$41,0)),"")</f>
        <v>إدارة التميز المؤسسي</v>
      </c>
      <c r="F78" s="14" t="str">
        <f>IFERROR(INDEX('قائمة الوحدات'!$F$2:$F$41,MATCH($B78,'قائمة الوحدات'!$A$2:$A$41,0)),"")</f>
        <v>إدارة التميز المؤسسي</v>
      </c>
      <c r="G78" s="16" t="s">
        <v>43</v>
      </c>
      <c r="H78" s="14" t="str">
        <f>IFERROR(INDEX(المرجع!$A$2:$A$19,MATCH($G78,المرجع!$B$2:$B$19,0)),"")</f>
        <v>التصميم</v>
      </c>
      <c r="I78" s="16" t="s">
        <v>56</v>
      </c>
      <c r="J78" s="14" t="str">
        <f>IFERROR(INDEX(المرجع!$D$2:$D$19,MATCH($I78,المرجع!$E$2:$E$19,0)),"")</f>
        <v>الموارد</v>
      </c>
      <c r="K78" s="15">
        <f>IFERROR(INDEX(المرجع!$F$2:$F$19,MATCH($I78,المرجع!$E$2:$E$19,0)),"")</f>
        <v>5</v>
      </c>
      <c r="L78" s="15">
        <f>SUMIFS(المرجع!$H$2:$H$19,المرجع!$B$2:$B$19,$G78,المرجع!$E$2:$E$19,$I78)</f>
        <v>1</v>
      </c>
      <c r="M78" s="15">
        <f>COUNTIFS('المرتبطة بسمو الوزير'!$B$2:$B$151,$B78,'المرتبطة بسمو الوزير'!$G$2:$G$151,$G78,'المرتبطة بسمو الوزير'!$I$2:$I$151,$I78,'المرتبطة بسمو الوزير'!$M$2:$M$151,"&lt;&gt;")+COUNTIFS('الشؤون التنفيذية'!$B$2:$B$421,$B78,'الشؤون التنفيذية'!$G$2:$G$421,$G78,'الشؤون التنفيذية'!$I$2:$I$421,$I78,'الشؤون التنفيذية'!$N$2:$N$421,"&lt;&gt;")+COUNTIFS('الجهاز العسكري'!$B$2:$B$631,$B78,'الجهاز العسكري'!$G$2:$G$631,$G78,'الجهاز العسكري'!$I$2:$I$631,$I78,'الجهاز العسكري'!$M$2:$M$631,"&lt;&gt;")</f>
        <v>1</v>
      </c>
      <c r="N78" s="19">
        <f>IF($L78=0,0,ROUND((SUMIFS('المرتبطة بسمو الوزير'!$M$2:$M$151,'المرتبطة بسمو الوزير'!$B$2:$B$151,$B78,'المرتبطة بسمو الوزير'!$G$2:$G$151,$G78,'المرتبطة بسمو الوزير'!$I$2:$I$151,$I78)+SUMIFS('الشؤون التنفيذية'!$N$2:$N$421,'الشؤون التنفيذية'!$B$2:$B$421,$B78,'الشؤون التنفيذية'!$G$2:$G$421,$G78,'الشؤون التنفيذية'!$I$2:$I$421,$I78)+SUMIFS('الجهاز العسكري'!$M$2:$M$631,'الجهاز العسكري'!$B$2:$B$631,$B78,'الجهاز العسكري'!$G$2:$G$631,$G78,'الجهاز العسكري'!$I$2:$I$631,$I78))/$L78,0))</f>
        <v>70</v>
      </c>
      <c r="O78" s="18"/>
      <c r="P78" s="15">
        <f>SUMIFS(المرجع!$G$2:$G$19,المرجع!$B$2:$B$19,$G78,المرجع!$E$2:$E$19,$I78)</f>
        <v>20</v>
      </c>
      <c r="Q78" s="20">
        <f t="shared" si="2"/>
        <v>14</v>
      </c>
      <c r="R78" s="21" t="str">
        <f>IF($N78&gt;المرجع!$K$3,"متقدم",IF($N78&lt;=المرجع!$K$2,"أولي","جزئي"))</f>
        <v>جزئي</v>
      </c>
    </row>
    <row r="79" spans="1:18">
      <c r="A79" s="16" t="s">
        <v>1519</v>
      </c>
      <c r="B79" s="16" t="s">
        <v>152</v>
      </c>
      <c r="C79" s="15" t="str">
        <f>IFERROR(INDEX('قائمة الوحدات'!$B$2:$B$41,MATCH($B79,'قائمة الوحدات'!$A$2:$A$41,0)),"")</f>
        <v>TOP</v>
      </c>
      <c r="D79" s="14" t="str">
        <f>IFERROR(INDEX('قائمة الوحدات'!$C$2:$C$41,MATCH($B79,'قائمة الوحدات'!$A$2:$A$41,0)),"")</f>
        <v>المرتبطة بسمو الوزير</v>
      </c>
      <c r="E79" s="14" t="str">
        <f>IFERROR(INDEX('قائمة الوحدات'!$D$2:$D$41,MATCH($B79,'قائمة الوحدات'!$A$2:$A$41,0)),"")</f>
        <v>إدارة التميز المؤسسي</v>
      </c>
      <c r="F79" s="14" t="str">
        <f>IFERROR(INDEX('قائمة الوحدات'!$F$2:$F$41,MATCH($B79,'قائمة الوحدات'!$A$2:$A$41,0)),"")</f>
        <v>إدارة التميز المؤسسي</v>
      </c>
      <c r="G79" s="16" t="s">
        <v>43</v>
      </c>
      <c r="H79" s="14" t="str">
        <f>IFERROR(INDEX(المرجع!$A$2:$A$19,MATCH($G79,المرجع!$B$2:$B$19,0)),"")</f>
        <v>التصميم</v>
      </c>
      <c r="I79" s="16" t="s">
        <v>59</v>
      </c>
      <c r="J79" s="14" t="str">
        <f>IFERROR(INDEX(المرجع!$D$2:$D$19,MATCH($I79,المرجع!$E$2:$E$19,0)),"")</f>
        <v>الإجراءات</v>
      </c>
      <c r="K79" s="15">
        <f>IFERROR(INDEX(المرجع!$F$2:$F$19,MATCH($I79,المرجع!$E$2:$E$19,0)),"")</f>
        <v>6</v>
      </c>
      <c r="L79" s="15">
        <f>SUMIFS(المرجع!$H$2:$H$19,المرجع!$B$2:$B$19,$G79,المرجع!$E$2:$E$19,$I79)</f>
        <v>1</v>
      </c>
      <c r="M79" s="15">
        <f>COUNTIFS('المرتبطة بسمو الوزير'!$B$2:$B$151,$B79,'المرتبطة بسمو الوزير'!$G$2:$G$151,$G79,'المرتبطة بسمو الوزير'!$I$2:$I$151,$I79,'المرتبطة بسمو الوزير'!$M$2:$M$151,"&lt;&gt;")+COUNTIFS('الشؤون التنفيذية'!$B$2:$B$421,$B79,'الشؤون التنفيذية'!$G$2:$G$421,$G79,'الشؤون التنفيذية'!$I$2:$I$421,$I79,'الشؤون التنفيذية'!$N$2:$N$421,"&lt;&gt;")+COUNTIFS('الجهاز العسكري'!$B$2:$B$631,$B79,'الجهاز العسكري'!$G$2:$G$631,$G79,'الجهاز العسكري'!$I$2:$I$631,$I79,'الجهاز العسكري'!$M$2:$M$631,"&lt;&gt;")</f>
        <v>1</v>
      </c>
      <c r="N79" s="19">
        <f>IF($L79=0,0,ROUND((SUMIFS('المرتبطة بسمو الوزير'!$M$2:$M$151,'المرتبطة بسمو الوزير'!$B$2:$B$151,$B79,'المرتبطة بسمو الوزير'!$G$2:$G$151,$G79,'المرتبطة بسمو الوزير'!$I$2:$I$151,$I79)+SUMIFS('الشؤون التنفيذية'!$N$2:$N$421,'الشؤون التنفيذية'!$B$2:$B$421,$B79,'الشؤون التنفيذية'!$G$2:$G$421,$G79,'الشؤون التنفيذية'!$I$2:$I$421,$I79)+SUMIFS('الجهاز العسكري'!$M$2:$M$631,'الجهاز العسكري'!$B$2:$B$631,$B79,'الجهاز العسكري'!$G$2:$G$631,$G79,'الجهاز العسكري'!$I$2:$I$631,$I79))/$L79,0))</f>
        <v>70</v>
      </c>
      <c r="O79" s="18"/>
      <c r="P79" s="15">
        <f>SUMIFS(المرجع!$G$2:$G$19,المرجع!$B$2:$B$19,$G79,المرجع!$E$2:$E$19,$I79)</f>
        <v>5</v>
      </c>
      <c r="Q79" s="20">
        <f t="shared" si="2"/>
        <v>3.5</v>
      </c>
      <c r="R79" s="21" t="str">
        <f>IF($N79&gt;المرجع!$K$3,"متقدم",IF($N79&lt;=المرجع!$K$2,"أولي","جزئي"))</f>
        <v>جزئي</v>
      </c>
    </row>
    <row r="80" spans="1:18">
      <c r="A80" s="16" t="s">
        <v>1520</v>
      </c>
      <c r="B80" s="16" t="s">
        <v>152</v>
      </c>
      <c r="C80" s="15" t="str">
        <f>IFERROR(INDEX('قائمة الوحدات'!$B$2:$B$41,MATCH($B80,'قائمة الوحدات'!$A$2:$A$41,0)),"")</f>
        <v>TOP</v>
      </c>
      <c r="D80" s="14" t="str">
        <f>IFERROR(INDEX('قائمة الوحدات'!$C$2:$C$41,MATCH($B80,'قائمة الوحدات'!$A$2:$A$41,0)),"")</f>
        <v>المرتبطة بسمو الوزير</v>
      </c>
      <c r="E80" s="14" t="str">
        <f>IFERROR(INDEX('قائمة الوحدات'!$D$2:$D$41,MATCH($B80,'قائمة الوحدات'!$A$2:$A$41,0)),"")</f>
        <v>إدارة التميز المؤسسي</v>
      </c>
      <c r="F80" s="14" t="str">
        <f>IFERROR(INDEX('قائمة الوحدات'!$F$2:$F$41,MATCH($B80,'قائمة الوحدات'!$A$2:$A$41,0)),"")</f>
        <v>إدارة التميز المؤسسي</v>
      </c>
      <c r="G80" s="16" t="s">
        <v>61</v>
      </c>
      <c r="H80" s="14" t="str">
        <f>IFERROR(INDEX(المرجع!$A$2:$A$19,MATCH($G80,المرجع!$B$2:$B$19,0)),"")</f>
        <v>البناء المؤسسي</v>
      </c>
      <c r="I80" s="16" t="s">
        <v>45</v>
      </c>
      <c r="J80" s="14" t="str">
        <f>IFERROR(INDEX(المرجع!$D$2:$D$19,MATCH($I80,المرجع!$E$2:$E$19,0)),"")</f>
        <v>الدور</v>
      </c>
      <c r="K80" s="15">
        <f>IFERROR(INDEX(المرجع!$F$2:$F$19,MATCH($I80,المرجع!$E$2:$E$19,0)),"")</f>
        <v>1</v>
      </c>
      <c r="L80" s="15">
        <f>SUMIFS(المرجع!$H$2:$H$19,المرجع!$B$2:$B$19,$G80,المرجع!$E$2:$E$19,$I80)</f>
        <v>1</v>
      </c>
      <c r="M80" s="15">
        <f>COUNTIFS('المرتبطة بسمو الوزير'!$B$2:$B$151,$B80,'المرتبطة بسمو الوزير'!$G$2:$G$151,$G80,'المرتبطة بسمو الوزير'!$I$2:$I$151,$I80,'المرتبطة بسمو الوزير'!$M$2:$M$151,"&lt;&gt;")+COUNTIFS('الشؤون التنفيذية'!$B$2:$B$421,$B80,'الشؤون التنفيذية'!$G$2:$G$421,$G80,'الشؤون التنفيذية'!$I$2:$I$421,$I80,'الشؤون التنفيذية'!$N$2:$N$421,"&lt;&gt;")+COUNTIFS('الجهاز العسكري'!$B$2:$B$631,$B80,'الجهاز العسكري'!$G$2:$G$631,$G80,'الجهاز العسكري'!$I$2:$I$631,$I80,'الجهاز العسكري'!$M$2:$M$631,"&lt;&gt;")</f>
        <v>1</v>
      </c>
      <c r="N80" s="19">
        <f>IF($L80=0,0,ROUND((SUMIFS('المرتبطة بسمو الوزير'!$M$2:$M$151,'المرتبطة بسمو الوزير'!$B$2:$B$151,$B80,'المرتبطة بسمو الوزير'!$G$2:$G$151,$G80,'المرتبطة بسمو الوزير'!$I$2:$I$151,$I80)+SUMIFS('الشؤون التنفيذية'!$N$2:$N$421,'الشؤون التنفيذية'!$B$2:$B$421,$B80,'الشؤون التنفيذية'!$G$2:$G$421,$G80,'الشؤون التنفيذية'!$I$2:$I$421,$I80)+SUMIFS('الجهاز العسكري'!$M$2:$M$631,'الجهاز العسكري'!$B$2:$B$631,$B80,'الجهاز العسكري'!$G$2:$G$631,$G80,'الجهاز العسكري'!$I$2:$I$631,$I80))/$L80,0))</f>
        <v>58</v>
      </c>
      <c r="O80" s="18"/>
      <c r="P80" s="15">
        <f>SUMIFS(المرجع!$G$2:$G$19,المرجع!$B$2:$B$19,$G80,المرجع!$E$2:$E$19,$I80)</f>
        <v>15</v>
      </c>
      <c r="Q80" s="20">
        <f t="shared" si="2"/>
        <v>8.6999999999999993</v>
      </c>
      <c r="R80" s="21" t="str">
        <f>IF($N80&gt;المرجع!$K$3,"متقدم",IF($N80&lt;=المرجع!$K$2,"أولي","جزئي"))</f>
        <v>جزئي</v>
      </c>
    </row>
    <row r="81" spans="1:18">
      <c r="A81" s="16" t="s">
        <v>1521</v>
      </c>
      <c r="B81" s="16" t="s">
        <v>152</v>
      </c>
      <c r="C81" s="15" t="str">
        <f>IFERROR(INDEX('قائمة الوحدات'!$B$2:$B$41,MATCH($B81,'قائمة الوحدات'!$A$2:$A$41,0)),"")</f>
        <v>TOP</v>
      </c>
      <c r="D81" s="14" t="str">
        <f>IFERROR(INDEX('قائمة الوحدات'!$C$2:$C$41,MATCH($B81,'قائمة الوحدات'!$A$2:$A$41,0)),"")</f>
        <v>المرتبطة بسمو الوزير</v>
      </c>
      <c r="E81" s="14" t="str">
        <f>IFERROR(INDEX('قائمة الوحدات'!$D$2:$D$41,MATCH($B81,'قائمة الوحدات'!$A$2:$A$41,0)),"")</f>
        <v>إدارة التميز المؤسسي</v>
      </c>
      <c r="F81" s="14" t="str">
        <f>IFERROR(INDEX('قائمة الوحدات'!$F$2:$F$41,MATCH($B81,'قائمة الوحدات'!$A$2:$A$41,0)),"")</f>
        <v>إدارة التميز المؤسسي</v>
      </c>
      <c r="G81" s="16" t="s">
        <v>61</v>
      </c>
      <c r="H81" s="14" t="str">
        <f>IFERROR(INDEX(المرجع!$A$2:$A$19,MATCH($G81,المرجع!$B$2:$B$19,0)),"")</f>
        <v>البناء المؤسسي</v>
      </c>
      <c r="I81" s="16" t="s">
        <v>48</v>
      </c>
      <c r="J81" s="14" t="str">
        <f>IFERROR(INDEX(المرجع!$D$2:$D$19,MATCH($I81,المرجع!$E$2:$E$19,0)),"")</f>
        <v>الأهداف ومؤشرات الأداء</v>
      </c>
      <c r="K81" s="15">
        <f>IFERROR(INDEX(المرجع!$F$2:$F$19,MATCH($I81,المرجع!$E$2:$E$19,0)),"")</f>
        <v>2</v>
      </c>
      <c r="L81" s="15">
        <f>SUMIFS(المرجع!$H$2:$H$19,المرجع!$B$2:$B$19,$G81,المرجع!$E$2:$E$19,$I81)</f>
        <v>2</v>
      </c>
      <c r="M81" s="15">
        <f>COUNTIFS('المرتبطة بسمو الوزير'!$B$2:$B$151,$B81,'المرتبطة بسمو الوزير'!$G$2:$G$151,$G81,'المرتبطة بسمو الوزير'!$I$2:$I$151,$I81,'المرتبطة بسمو الوزير'!$M$2:$M$151,"&lt;&gt;")+COUNTIFS('الشؤون التنفيذية'!$B$2:$B$421,$B81,'الشؤون التنفيذية'!$G$2:$G$421,$G81,'الشؤون التنفيذية'!$I$2:$I$421,$I81,'الشؤون التنفيذية'!$N$2:$N$421,"&lt;&gt;")+COUNTIFS('الجهاز العسكري'!$B$2:$B$631,$B81,'الجهاز العسكري'!$G$2:$G$631,$G81,'الجهاز العسكري'!$I$2:$I$631,$I81,'الجهاز العسكري'!$M$2:$M$631,"&lt;&gt;")</f>
        <v>2</v>
      </c>
      <c r="N81" s="19">
        <f>IF($L81=0,0,ROUND((SUMIFS('المرتبطة بسمو الوزير'!$M$2:$M$151,'المرتبطة بسمو الوزير'!$B$2:$B$151,$B81,'المرتبطة بسمو الوزير'!$G$2:$G$151,$G81,'المرتبطة بسمو الوزير'!$I$2:$I$151,$I81)+SUMIFS('الشؤون التنفيذية'!$N$2:$N$421,'الشؤون التنفيذية'!$B$2:$B$421,$B81,'الشؤون التنفيذية'!$G$2:$G$421,$G81,'الشؤون التنفيذية'!$I$2:$I$421,$I81)+SUMIFS('الجهاز العسكري'!$M$2:$M$631,'الجهاز العسكري'!$B$2:$B$631,$B81,'الجهاز العسكري'!$G$2:$G$631,$G81,'الجهاز العسكري'!$I$2:$I$631,$I81))/$L81,0))</f>
        <v>70</v>
      </c>
      <c r="O81" s="18"/>
      <c r="P81" s="15">
        <f>SUMIFS(المرجع!$G$2:$G$19,المرجع!$B$2:$B$19,$G81,المرجع!$E$2:$E$19,$I81)</f>
        <v>15</v>
      </c>
      <c r="Q81" s="20">
        <f t="shared" si="2"/>
        <v>10.5</v>
      </c>
      <c r="R81" s="21" t="str">
        <f>IF($N81&gt;المرجع!$K$3,"متقدم",IF($N81&lt;=المرجع!$K$2,"أولي","جزئي"))</f>
        <v>جزئي</v>
      </c>
    </row>
    <row r="82" spans="1:18">
      <c r="A82" s="16" t="s">
        <v>1522</v>
      </c>
      <c r="B82" s="16" t="s">
        <v>152</v>
      </c>
      <c r="C82" s="15" t="str">
        <f>IFERROR(INDEX('قائمة الوحدات'!$B$2:$B$41,MATCH($B82,'قائمة الوحدات'!$A$2:$A$41,0)),"")</f>
        <v>TOP</v>
      </c>
      <c r="D82" s="14" t="str">
        <f>IFERROR(INDEX('قائمة الوحدات'!$C$2:$C$41,MATCH($B82,'قائمة الوحدات'!$A$2:$A$41,0)),"")</f>
        <v>المرتبطة بسمو الوزير</v>
      </c>
      <c r="E82" s="14" t="str">
        <f>IFERROR(INDEX('قائمة الوحدات'!$D$2:$D$41,MATCH($B82,'قائمة الوحدات'!$A$2:$A$41,0)),"")</f>
        <v>إدارة التميز المؤسسي</v>
      </c>
      <c r="F82" s="14" t="str">
        <f>IFERROR(INDEX('قائمة الوحدات'!$F$2:$F$41,MATCH($B82,'قائمة الوحدات'!$A$2:$A$41,0)),"")</f>
        <v>إدارة التميز المؤسسي</v>
      </c>
      <c r="G82" s="16" t="s">
        <v>61</v>
      </c>
      <c r="H82" s="14" t="str">
        <f>IFERROR(INDEX(المرجع!$A$2:$A$19,MATCH($G82,المرجع!$B$2:$B$19,0)),"")</f>
        <v>البناء المؤسسي</v>
      </c>
      <c r="I82" s="16" t="s">
        <v>51</v>
      </c>
      <c r="J82" s="14" t="str">
        <f>IFERROR(INDEX(المرجع!$D$2:$D$19,MATCH($I82,المرجع!$E$2:$E$19,0)),"")</f>
        <v>الحوكمة</v>
      </c>
      <c r="K82" s="15">
        <f>IFERROR(INDEX(المرجع!$F$2:$F$19,MATCH($I82,المرجع!$E$2:$E$19,0)),"")</f>
        <v>3</v>
      </c>
      <c r="L82" s="15">
        <f>SUMIFS(المرجع!$H$2:$H$19,المرجع!$B$2:$B$19,$G82,المرجع!$E$2:$E$19,$I82)</f>
        <v>3</v>
      </c>
      <c r="M82" s="15">
        <f>COUNTIFS('المرتبطة بسمو الوزير'!$B$2:$B$151,$B82,'المرتبطة بسمو الوزير'!$G$2:$G$151,$G82,'المرتبطة بسمو الوزير'!$I$2:$I$151,$I82,'المرتبطة بسمو الوزير'!$M$2:$M$151,"&lt;&gt;")+COUNTIFS('الشؤون التنفيذية'!$B$2:$B$421,$B82,'الشؤون التنفيذية'!$G$2:$G$421,$G82,'الشؤون التنفيذية'!$I$2:$I$421,$I82,'الشؤون التنفيذية'!$N$2:$N$421,"&lt;&gt;")+COUNTIFS('الجهاز العسكري'!$B$2:$B$631,$B82,'الجهاز العسكري'!$G$2:$G$631,$G82,'الجهاز العسكري'!$I$2:$I$631,$I82,'الجهاز العسكري'!$M$2:$M$631,"&lt;&gt;")</f>
        <v>3</v>
      </c>
      <c r="N82" s="19">
        <f>IF($L82=0,0,ROUND((SUMIFS('المرتبطة بسمو الوزير'!$M$2:$M$151,'المرتبطة بسمو الوزير'!$B$2:$B$151,$B82,'المرتبطة بسمو الوزير'!$G$2:$G$151,$G82,'المرتبطة بسمو الوزير'!$I$2:$I$151,$I82)+SUMIFS('الشؤون التنفيذية'!$N$2:$N$421,'الشؤون التنفيذية'!$B$2:$B$421,$B82,'الشؤون التنفيذية'!$G$2:$G$421,$G82,'الشؤون التنفيذية'!$I$2:$I$421,$I82)+SUMIFS('الجهاز العسكري'!$M$2:$M$631,'الجهاز العسكري'!$B$2:$B$631,$B82,'الجهاز العسكري'!$G$2:$G$631,$G82,'الجهاز العسكري'!$I$2:$I$631,$I82))/$L82,0))</f>
        <v>60</v>
      </c>
      <c r="O82" s="18"/>
      <c r="P82" s="15">
        <f>SUMIFS(المرجع!$G$2:$G$19,المرجع!$B$2:$B$19,$G82,المرجع!$E$2:$E$19,$I82)</f>
        <v>15</v>
      </c>
      <c r="Q82" s="20">
        <f t="shared" si="2"/>
        <v>9</v>
      </c>
      <c r="R82" s="21" t="str">
        <f>IF($N82&gt;المرجع!$K$3,"متقدم",IF($N82&lt;=المرجع!$K$2,"أولي","جزئي"))</f>
        <v>جزئي</v>
      </c>
    </row>
    <row r="83" spans="1:18">
      <c r="A83" s="16" t="s">
        <v>1523</v>
      </c>
      <c r="B83" s="16" t="s">
        <v>152</v>
      </c>
      <c r="C83" s="15" t="str">
        <f>IFERROR(INDEX('قائمة الوحدات'!$B$2:$B$41,MATCH($B83,'قائمة الوحدات'!$A$2:$A$41,0)),"")</f>
        <v>TOP</v>
      </c>
      <c r="D83" s="14" t="str">
        <f>IFERROR(INDEX('قائمة الوحدات'!$C$2:$C$41,MATCH($B83,'قائمة الوحدات'!$A$2:$A$41,0)),"")</f>
        <v>المرتبطة بسمو الوزير</v>
      </c>
      <c r="E83" s="14" t="str">
        <f>IFERROR(INDEX('قائمة الوحدات'!$D$2:$D$41,MATCH($B83,'قائمة الوحدات'!$A$2:$A$41,0)),"")</f>
        <v>إدارة التميز المؤسسي</v>
      </c>
      <c r="F83" s="14" t="str">
        <f>IFERROR(INDEX('قائمة الوحدات'!$F$2:$F$41,MATCH($B83,'قائمة الوحدات'!$A$2:$A$41,0)),"")</f>
        <v>إدارة التميز المؤسسي</v>
      </c>
      <c r="G83" s="16" t="s">
        <v>61</v>
      </c>
      <c r="H83" s="14" t="str">
        <f>IFERROR(INDEX(المرجع!$A$2:$A$19,MATCH($G83,المرجع!$B$2:$B$19,0)),"")</f>
        <v>البناء المؤسسي</v>
      </c>
      <c r="I83" s="16" t="s">
        <v>54</v>
      </c>
      <c r="J83" s="14" t="str">
        <f>IFERROR(INDEX(المرجع!$D$2:$D$19,MATCH($I83,المرجع!$E$2:$E$19,0)),"")</f>
        <v>التنظيم</v>
      </c>
      <c r="K83" s="15">
        <f>IFERROR(INDEX(المرجع!$F$2:$F$19,MATCH($I83,المرجع!$E$2:$E$19,0)),"")</f>
        <v>4</v>
      </c>
      <c r="L83" s="15">
        <f>SUMIFS(المرجع!$H$2:$H$19,المرجع!$B$2:$B$19,$G83,المرجع!$E$2:$E$19,$I83)</f>
        <v>3</v>
      </c>
      <c r="M83" s="15">
        <f>COUNTIFS('المرتبطة بسمو الوزير'!$B$2:$B$151,$B83,'المرتبطة بسمو الوزير'!$G$2:$G$151,$G83,'المرتبطة بسمو الوزير'!$I$2:$I$151,$I83,'المرتبطة بسمو الوزير'!$M$2:$M$151,"&lt;&gt;")+COUNTIFS('الشؤون التنفيذية'!$B$2:$B$421,$B83,'الشؤون التنفيذية'!$G$2:$G$421,$G83,'الشؤون التنفيذية'!$I$2:$I$421,$I83,'الشؤون التنفيذية'!$N$2:$N$421,"&lt;&gt;")+COUNTIFS('الجهاز العسكري'!$B$2:$B$631,$B83,'الجهاز العسكري'!$G$2:$G$631,$G83,'الجهاز العسكري'!$I$2:$I$631,$I83,'الجهاز العسكري'!$M$2:$M$631,"&lt;&gt;")</f>
        <v>3</v>
      </c>
      <c r="N83" s="19">
        <f>IF($L83=0,0,ROUND((SUMIFS('المرتبطة بسمو الوزير'!$M$2:$M$151,'المرتبطة بسمو الوزير'!$B$2:$B$151,$B83,'المرتبطة بسمو الوزير'!$G$2:$G$151,$G83,'المرتبطة بسمو الوزير'!$I$2:$I$151,$I83)+SUMIFS('الشؤون التنفيذية'!$N$2:$N$421,'الشؤون التنفيذية'!$B$2:$B$421,$B83,'الشؤون التنفيذية'!$G$2:$G$421,$G83,'الشؤون التنفيذية'!$I$2:$I$421,$I83)+SUMIFS('الجهاز العسكري'!$M$2:$M$631,'الجهاز العسكري'!$B$2:$B$631,$B83,'الجهاز العسكري'!$G$2:$G$631,$G83,'الجهاز العسكري'!$I$2:$I$631,$I83))/$L83,0))</f>
        <v>73</v>
      </c>
      <c r="O83" s="18"/>
      <c r="P83" s="15">
        <f>SUMIFS(المرجع!$G$2:$G$19,المرجع!$B$2:$B$19,$G83,المرجع!$E$2:$E$19,$I83)</f>
        <v>20</v>
      </c>
      <c r="Q83" s="20">
        <f t="shared" si="2"/>
        <v>14.6</v>
      </c>
      <c r="R83" s="21" t="str">
        <f>IF($N83&gt;المرجع!$K$3,"متقدم",IF($N83&lt;=المرجع!$K$2,"أولي","جزئي"))</f>
        <v>متقدم</v>
      </c>
    </row>
    <row r="84" spans="1:18">
      <c r="A84" s="16" t="s">
        <v>1524</v>
      </c>
      <c r="B84" s="16" t="s">
        <v>152</v>
      </c>
      <c r="C84" s="15" t="str">
        <f>IFERROR(INDEX('قائمة الوحدات'!$B$2:$B$41,MATCH($B84,'قائمة الوحدات'!$A$2:$A$41,0)),"")</f>
        <v>TOP</v>
      </c>
      <c r="D84" s="14" t="str">
        <f>IFERROR(INDEX('قائمة الوحدات'!$C$2:$C$41,MATCH($B84,'قائمة الوحدات'!$A$2:$A$41,0)),"")</f>
        <v>المرتبطة بسمو الوزير</v>
      </c>
      <c r="E84" s="14" t="str">
        <f>IFERROR(INDEX('قائمة الوحدات'!$D$2:$D$41,MATCH($B84,'قائمة الوحدات'!$A$2:$A$41,0)),"")</f>
        <v>إدارة التميز المؤسسي</v>
      </c>
      <c r="F84" s="14" t="str">
        <f>IFERROR(INDEX('قائمة الوحدات'!$F$2:$F$41,MATCH($B84,'قائمة الوحدات'!$A$2:$A$41,0)),"")</f>
        <v>إدارة التميز المؤسسي</v>
      </c>
      <c r="G84" s="16" t="s">
        <v>61</v>
      </c>
      <c r="H84" s="14" t="str">
        <f>IFERROR(INDEX(المرجع!$A$2:$A$19,MATCH($G84,المرجع!$B$2:$B$19,0)),"")</f>
        <v>البناء المؤسسي</v>
      </c>
      <c r="I84" s="16" t="s">
        <v>56</v>
      </c>
      <c r="J84" s="14" t="str">
        <f>IFERROR(INDEX(المرجع!$D$2:$D$19,MATCH($I84,المرجع!$E$2:$E$19,0)),"")</f>
        <v>الموارد</v>
      </c>
      <c r="K84" s="15">
        <f>IFERROR(INDEX(المرجع!$F$2:$F$19,MATCH($I84,المرجع!$E$2:$E$19,0)),"")</f>
        <v>5</v>
      </c>
      <c r="L84" s="15">
        <f>SUMIFS(المرجع!$H$2:$H$19,المرجع!$B$2:$B$19,$G84,المرجع!$E$2:$E$19,$I84)</f>
        <v>4</v>
      </c>
      <c r="M84" s="15">
        <f>COUNTIFS('المرتبطة بسمو الوزير'!$B$2:$B$151,$B84,'المرتبطة بسمو الوزير'!$G$2:$G$151,$G84,'المرتبطة بسمو الوزير'!$I$2:$I$151,$I84,'المرتبطة بسمو الوزير'!$M$2:$M$151,"&lt;&gt;")+COUNTIFS('الشؤون التنفيذية'!$B$2:$B$421,$B84,'الشؤون التنفيذية'!$G$2:$G$421,$G84,'الشؤون التنفيذية'!$I$2:$I$421,$I84,'الشؤون التنفيذية'!$N$2:$N$421,"&lt;&gt;")+COUNTIFS('الجهاز العسكري'!$B$2:$B$631,$B84,'الجهاز العسكري'!$G$2:$G$631,$G84,'الجهاز العسكري'!$I$2:$I$631,$I84,'الجهاز العسكري'!$M$2:$M$631,"&lt;&gt;")</f>
        <v>4</v>
      </c>
      <c r="N84" s="19">
        <f>IF($L84=0,0,ROUND((SUMIFS('المرتبطة بسمو الوزير'!$M$2:$M$151,'المرتبطة بسمو الوزير'!$B$2:$B$151,$B84,'المرتبطة بسمو الوزير'!$G$2:$G$151,$G84,'المرتبطة بسمو الوزير'!$I$2:$I$151,$I84)+SUMIFS('الشؤون التنفيذية'!$N$2:$N$421,'الشؤون التنفيذية'!$B$2:$B$421,$B84,'الشؤون التنفيذية'!$G$2:$G$421,$G84,'الشؤون التنفيذية'!$I$2:$I$421,$I84)+SUMIFS('الجهاز العسكري'!$M$2:$M$631,'الجهاز العسكري'!$B$2:$B$631,$B84,'الجهاز العسكري'!$G$2:$G$631,$G84,'الجهاز العسكري'!$I$2:$I$631,$I84))/$L84,0))</f>
        <v>66</v>
      </c>
      <c r="O84" s="18"/>
      <c r="P84" s="15">
        <f>SUMIFS(المرجع!$G$2:$G$19,المرجع!$B$2:$B$19,$G84,المرجع!$E$2:$E$19,$I84)</f>
        <v>25</v>
      </c>
      <c r="Q84" s="20">
        <f t="shared" si="2"/>
        <v>16.5</v>
      </c>
      <c r="R84" s="21" t="str">
        <f>IF($N84&gt;المرجع!$K$3,"متقدم",IF($N84&lt;=المرجع!$K$2,"أولي","جزئي"))</f>
        <v>جزئي</v>
      </c>
    </row>
    <row r="85" spans="1:18">
      <c r="A85" s="16" t="s">
        <v>1525</v>
      </c>
      <c r="B85" s="16" t="s">
        <v>152</v>
      </c>
      <c r="C85" s="15" t="str">
        <f>IFERROR(INDEX('قائمة الوحدات'!$B$2:$B$41,MATCH($B85,'قائمة الوحدات'!$A$2:$A$41,0)),"")</f>
        <v>TOP</v>
      </c>
      <c r="D85" s="14" t="str">
        <f>IFERROR(INDEX('قائمة الوحدات'!$C$2:$C$41,MATCH($B85,'قائمة الوحدات'!$A$2:$A$41,0)),"")</f>
        <v>المرتبطة بسمو الوزير</v>
      </c>
      <c r="E85" s="14" t="str">
        <f>IFERROR(INDEX('قائمة الوحدات'!$D$2:$D$41,MATCH($B85,'قائمة الوحدات'!$A$2:$A$41,0)),"")</f>
        <v>إدارة التميز المؤسسي</v>
      </c>
      <c r="F85" s="14" t="str">
        <f>IFERROR(INDEX('قائمة الوحدات'!$F$2:$F$41,MATCH($B85,'قائمة الوحدات'!$A$2:$A$41,0)),"")</f>
        <v>إدارة التميز المؤسسي</v>
      </c>
      <c r="G85" s="16" t="s">
        <v>61</v>
      </c>
      <c r="H85" s="14" t="str">
        <f>IFERROR(INDEX(المرجع!$A$2:$A$19,MATCH($G85,المرجع!$B$2:$B$19,0)),"")</f>
        <v>البناء المؤسسي</v>
      </c>
      <c r="I85" s="16" t="s">
        <v>59</v>
      </c>
      <c r="J85" s="14" t="str">
        <f>IFERROR(INDEX(المرجع!$D$2:$D$19,MATCH($I85,المرجع!$E$2:$E$19,0)),"")</f>
        <v>الإجراءات</v>
      </c>
      <c r="K85" s="15">
        <f>IFERROR(INDEX(المرجع!$F$2:$F$19,MATCH($I85,المرجع!$E$2:$E$19,0)),"")</f>
        <v>6</v>
      </c>
      <c r="L85" s="15">
        <f>SUMIFS(المرجع!$H$2:$H$19,المرجع!$B$2:$B$19,$G85,المرجع!$E$2:$E$19,$I85)</f>
        <v>1</v>
      </c>
      <c r="M85" s="15">
        <f>COUNTIFS('المرتبطة بسمو الوزير'!$B$2:$B$151,$B85,'المرتبطة بسمو الوزير'!$G$2:$G$151,$G85,'المرتبطة بسمو الوزير'!$I$2:$I$151,$I85,'المرتبطة بسمو الوزير'!$M$2:$M$151,"&lt;&gt;")+COUNTIFS('الشؤون التنفيذية'!$B$2:$B$421,$B85,'الشؤون التنفيذية'!$G$2:$G$421,$G85,'الشؤون التنفيذية'!$I$2:$I$421,$I85,'الشؤون التنفيذية'!$N$2:$N$421,"&lt;&gt;")+COUNTIFS('الجهاز العسكري'!$B$2:$B$631,$B85,'الجهاز العسكري'!$G$2:$G$631,$G85,'الجهاز العسكري'!$I$2:$I$631,$I85,'الجهاز العسكري'!$M$2:$M$631,"&lt;&gt;")</f>
        <v>1</v>
      </c>
      <c r="N85" s="19">
        <f>IF($L85=0,0,ROUND((SUMIFS('المرتبطة بسمو الوزير'!$M$2:$M$151,'المرتبطة بسمو الوزير'!$B$2:$B$151,$B85,'المرتبطة بسمو الوزير'!$G$2:$G$151,$G85,'المرتبطة بسمو الوزير'!$I$2:$I$151,$I85)+SUMIFS('الشؤون التنفيذية'!$N$2:$N$421,'الشؤون التنفيذية'!$B$2:$B$421,$B85,'الشؤون التنفيذية'!$G$2:$G$421,$G85,'الشؤون التنفيذية'!$I$2:$I$421,$I85)+SUMIFS('الجهاز العسكري'!$M$2:$M$631,'الجهاز العسكري'!$B$2:$B$631,$B85,'الجهاز العسكري'!$G$2:$G$631,$G85,'الجهاز العسكري'!$I$2:$I$631,$I85))/$L85,0))</f>
        <v>67</v>
      </c>
      <c r="O85" s="18"/>
      <c r="P85" s="15">
        <f>SUMIFS(المرجع!$G$2:$G$19,المرجع!$B$2:$B$19,$G85,المرجع!$E$2:$E$19,$I85)</f>
        <v>5</v>
      </c>
      <c r="Q85" s="20">
        <f t="shared" si="2"/>
        <v>3.35</v>
      </c>
      <c r="R85" s="21" t="str">
        <f>IF($N85&gt;المرجع!$K$3,"متقدم",IF($N85&lt;=المرجع!$K$2,"أولي","جزئي"))</f>
        <v>جزئي</v>
      </c>
    </row>
    <row r="86" spans="1:18">
      <c r="A86" s="16" t="s">
        <v>1526</v>
      </c>
      <c r="B86" s="16" t="s">
        <v>152</v>
      </c>
      <c r="C86" s="15" t="str">
        <f>IFERROR(INDEX('قائمة الوحدات'!$B$2:$B$41,MATCH($B86,'قائمة الوحدات'!$A$2:$A$41,0)),"")</f>
        <v>TOP</v>
      </c>
      <c r="D86" s="14" t="str">
        <f>IFERROR(INDEX('قائمة الوحدات'!$C$2:$C$41,MATCH($B86,'قائمة الوحدات'!$A$2:$A$41,0)),"")</f>
        <v>المرتبطة بسمو الوزير</v>
      </c>
      <c r="E86" s="14" t="str">
        <f>IFERROR(INDEX('قائمة الوحدات'!$D$2:$D$41,MATCH($B86,'قائمة الوحدات'!$A$2:$A$41,0)),"")</f>
        <v>إدارة التميز المؤسسي</v>
      </c>
      <c r="F86" s="14" t="str">
        <f>IFERROR(INDEX('قائمة الوحدات'!$F$2:$F$41,MATCH($B86,'قائمة الوحدات'!$A$2:$A$41,0)),"")</f>
        <v>إدارة التميز المؤسسي</v>
      </c>
      <c r="G86" s="16" t="s">
        <v>61</v>
      </c>
      <c r="H86" s="14" t="str">
        <f>IFERROR(INDEX(المرجع!$A$2:$A$19,MATCH($G86,المرجع!$B$2:$B$19,0)),"")</f>
        <v>البناء المؤسسي</v>
      </c>
      <c r="I86" s="16" t="s">
        <v>63</v>
      </c>
      <c r="J86" s="14" t="str">
        <f>IFERROR(INDEX(المرجع!$D$2:$D$19,MATCH($I86,المرجع!$E$2:$E$19,0)),"")</f>
        <v>إنتاج المخرج الأول</v>
      </c>
      <c r="K86" s="15">
        <f>IFERROR(INDEX(المرجع!$F$2:$F$19,MATCH($I86,المرجع!$E$2:$E$19,0)),"")</f>
        <v>7</v>
      </c>
      <c r="L86" s="15">
        <f>SUMIFS(المرجع!$H$2:$H$19,المرجع!$B$2:$B$19,$G86,المرجع!$E$2:$E$19,$I86)</f>
        <v>1</v>
      </c>
      <c r="M86" s="15">
        <f>COUNTIFS('المرتبطة بسمو الوزير'!$B$2:$B$151,$B86,'المرتبطة بسمو الوزير'!$G$2:$G$151,$G86,'المرتبطة بسمو الوزير'!$I$2:$I$151,$I86,'المرتبطة بسمو الوزير'!$M$2:$M$151,"&lt;&gt;")+COUNTIFS('الشؤون التنفيذية'!$B$2:$B$421,$B86,'الشؤون التنفيذية'!$G$2:$G$421,$G86,'الشؤون التنفيذية'!$I$2:$I$421,$I86,'الشؤون التنفيذية'!$N$2:$N$421,"&lt;&gt;")+COUNTIFS('الجهاز العسكري'!$B$2:$B$631,$B86,'الجهاز العسكري'!$G$2:$G$631,$G86,'الجهاز العسكري'!$I$2:$I$631,$I86,'الجهاز العسكري'!$M$2:$M$631,"&lt;&gt;")</f>
        <v>1</v>
      </c>
      <c r="N86" s="19">
        <f>IF($L86=0,0,ROUND((SUMIFS('المرتبطة بسمو الوزير'!$M$2:$M$151,'المرتبطة بسمو الوزير'!$B$2:$B$151,$B86,'المرتبطة بسمو الوزير'!$G$2:$G$151,$G86,'المرتبطة بسمو الوزير'!$I$2:$I$151,$I86)+SUMIFS('الشؤون التنفيذية'!$N$2:$N$421,'الشؤون التنفيذية'!$B$2:$B$421,$B86,'الشؤون التنفيذية'!$G$2:$G$421,$G86,'الشؤون التنفيذية'!$I$2:$I$421,$I86)+SUMIFS('الجهاز العسكري'!$M$2:$M$631,'الجهاز العسكري'!$B$2:$B$631,$B86,'الجهاز العسكري'!$G$2:$G$631,$G86,'الجهاز العسكري'!$I$2:$I$631,$I86))/$L86,0))</f>
        <v>43</v>
      </c>
      <c r="O86" s="18"/>
      <c r="P86" s="15">
        <f>SUMIFS(المرجع!$G$2:$G$19,المرجع!$B$2:$B$19,$G86,المرجع!$E$2:$E$19,$I86)</f>
        <v>5</v>
      </c>
      <c r="Q86" s="20">
        <f t="shared" si="2"/>
        <v>2.15</v>
      </c>
      <c r="R86" s="21" t="str">
        <f>IF($N86&gt;المرجع!$K$3,"متقدم",IF($N86&lt;=المرجع!$K$2,"أولي","جزئي"))</f>
        <v>جزئي</v>
      </c>
    </row>
    <row r="87" spans="1:18">
      <c r="A87" s="16" t="s">
        <v>1527</v>
      </c>
      <c r="B87" s="16" t="s">
        <v>152</v>
      </c>
      <c r="C87" s="15" t="str">
        <f>IFERROR(INDEX('قائمة الوحدات'!$B$2:$B$41,MATCH($B87,'قائمة الوحدات'!$A$2:$A$41,0)),"")</f>
        <v>TOP</v>
      </c>
      <c r="D87" s="14" t="str">
        <f>IFERROR(INDEX('قائمة الوحدات'!$C$2:$C$41,MATCH($B87,'قائمة الوحدات'!$A$2:$A$41,0)),"")</f>
        <v>المرتبطة بسمو الوزير</v>
      </c>
      <c r="E87" s="14" t="str">
        <f>IFERROR(INDEX('قائمة الوحدات'!$D$2:$D$41,MATCH($B87,'قائمة الوحدات'!$A$2:$A$41,0)),"")</f>
        <v>إدارة التميز المؤسسي</v>
      </c>
      <c r="F87" s="14" t="str">
        <f>IFERROR(INDEX('قائمة الوحدات'!$F$2:$F$41,MATCH($B87,'قائمة الوحدات'!$A$2:$A$41,0)),"")</f>
        <v>إدارة التميز المؤسسي</v>
      </c>
      <c r="G87" s="16" t="s">
        <v>65</v>
      </c>
      <c r="H87" s="14" t="str">
        <f>IFERROR(INDEX(المرجع!$A$2:$A$19,MATCH($G87,المرجع!$B$2:$B$19,0)),"")</f>
        <v>التشغيل</v>
      </c>
      <c r="I87" s="16" t="s">
        <v>48</v>
      </c>
      <c r="J87" s="14" t="str">
        <f>IFERROR(INDEX(المرجع!$D$2:$D$19,MATCH($I87,المرجع!$E$2:$E$19,0)),"")</f>
        <v>الأهداف ومؤشرات الأداء</v>
      </c>
      <c r="K87" s="15">
        <f>IFERROR(INDEX(المرجع!$F$2:$F$19,MATCH($I87,المرجع!$E$2:$E$19,0)),"")</f>
        <v>2</v>
      </c>
      <c r="L87" s="15">
        <f>SUMIFS(المرجع!$H$2:$H$19,المرجع!$B$2:$B$19,$G87,المرجع!$E$2:$E$19,$I87)</f>
        <v>2</v>
      </c>
      <c r="M87" s="15">
        <f>COUNTIFS('المرتبطة بسمو الوزير'!$B$2:$B$151,$B87,'المرتبطة بسمو الوزير'!$G$2:$G$151,$G87,'المرتبطة بسمو الوزير'!$I$2:$I$151,$I87,'المرتبطة بسمو الوزير'!$M$2:$M$151,"&lt;&gt;")+COUNTIFS('الشؤون التنفيذية'!$B$2:$B$421,$B87,'الشؤون التنفيذية'!$G$2:$G$421,$G87,'الشؤون التنفيذية'!$I$2:$I$421,$I87,'الشؤون التنفيذية'!$N$2:$N$421,"&lt;&gt;")+COUNTIFS('الجهاز العسكري'!$B$2:$B$631,$B87,'الجهاز العسكري'!$G$2:$G$631,$G87,'الجهاز العسكري'!$I$2:$I$631,$I87,'الجهاز العسكري'!$M$2:$M$631,"&lt;&gt;")</f>
        <v>2</v>
      </c>
      <c r="N87" s="19">
        <f>IF($L87=0,0,ROUND((SUMIFS('المرتبطة بسمو الوزير'!$M$2:$M$151,'المرتبطة بسمو الوزير'!$B$2:$B$151,$B87,'المرتبطة بسمو الوزير'!$G$2:$G$151,$G87,'المرتبطة بسمو الوزير'!$I$2:$I$151,$I87)+SUMIFS('الشؤون التنفيذية'!$N$2:$N$421,'الشؤون التنفيذية'!$B$2:$B$421,$B87,'الشؤون التنفيذية'!$G$2:$G$421,$G87,'الشؤون التنفيذية'!$I$2:$I$421,$I87)+SUMIFS('الجهاز العسكري'!$M$2:$M$631,'الجهاز العسكري'!$B$2:$B$631,$B87,'الجهاز العسكري'!$G$2:$G$631,$G87,'الجهاز العسكري'!$I$2:$I$631,$I87))/$L87,0))</f>
        <v>5</v>
      </c>
      <c r="O87" s="18"/>
      <c r="P87" s="15">
        <f>SUMIFS(المرجع!$G$2:$G$19,المرجع!$B$2:$B$19,$G87,المرجع!$E$2:$E$19,$I87)</f>
        <v>25</v>
      </c>
      <c r="Q87" s="20">
        <f t="shared" si="2"/>
        <v>1.25</v>
      </c>
      <c r="R87" s="21" t="str">
        <f>IF($N87&gt;المرجع!$K$3,"متقدم",IF($N87&lt;=المرجع!$K$2,"أولي","جزئي"))</f>
        <v>أولي</v>
      </c>
    </row>
    <row r="88" spans="1:18">
      <c r="A88" s="16" t="s">
        <v>1528</v>
      </c>
      <c r="B88" s="16" t="s">
        <v>152</v>
      </c>
      <c r="C88" s="15" t="str">
        <f>IFERROR(INDEX('قائمة الوحدات'!$B$2:$B$41,MATCH($B88,'قائمة الوحدات'!$A$2:$A$41,0)),"")</f>
        <v>TOP</v>
      </c>
      <c r="D88" s="14" t="str">
        <f>IFERROR(INDEX('قائمة الوحدات'!$C$2:$C$41,MATCH($B88,'قائمة الوحدات'!$A$2:$A$41,0)),"")</f>
        <v>المرتبطة بسمو الوزير</v>
      </c>
      <c r="E88" s="14" t="str">
        <f>IFERROR(INDEX('قائمة الوحدات'!$D$2:$D$41,MATCH($B88,'قائمة الوحدات'!$A$2:$A$41,0)),"")</f>
        <v>إدارة التميز المؤسسي</v>
      </c>
      <c r="F88" s="14" t="str">
        <f>IFERROR(INDEX('قائمة الوحدات'!$F$2:$F$41,MATCH($B88,'قائمة الوحدات'!$A$2:$A$41,0)),"")</f>
        <v>إدارة التميز المؤسسي</v>
      </c>
      <c r="G88" s="16" t="s">
        <v>65</v>
      </c>
      <c r="H88" s="14" t="str">
        <f>IFERROR(INDEX(المرجع!$A$2:$A$19,MATCH($G88,المرجع!$B$2:$B$19,0)),"")</f>
        <v>التشغيل</v>
      </c>
      <c r="I88" s="16" t="s">
        <v>51</v>
      </c>
      <c r="J88" s="14" t="str">
        <f>IFERROR(INDEX(المرجع!$D$2:$D$19,MATCH($I88,المرجع!$E$2:$E$19,0)),"")</f>
        <v>الحوكمة</v>
      </c>
      <c r="K88" s="15">
        <f>IFERROR(INDEX(المرجع!$F$2:$F$19,MATCH($I88,المرجع!$E$2:$E$19,0)),"")</f>
        <v>3</v>
      </c>
      <c r="L88" s="15">
        <f>SUMIFS(المرجع!$H$2:$H$19,المرجع!$B$2:$B$19,$G88,المرجع!$E$2:$E$19,$I88)</f>
        <v>3</v>
      </c>
      <c r="M88" s="15">
        <f>COUNTIFS('المرتبطة بسمو الوزير'!$B$2:$B$151,$B88,'المرتبطة بسمو الوزير'!$G$2:$G$151,$G88,'المرتبطة بسمو الوزير'!$I$2:$I$151,$I88,'المرتبطة بسمو الوزير'!$M$2:$M$151,"&lt;&gt;")+COUNTIFS('الشؤون التنفيذية'!$B$2:$B$421,$B88,'الشؤون التنفيذية'!$G$2:$G$421,$G88,'الشؤون التنفيذية'!$I$2:$I$421,$I88,'الشؤون التنفيذية'!$N$2:$N$421,"&lt;&gt;")+COUNTIFS('الجهاز العسكري'!$B$2:$B$631,$B88,'الجهاز العسكري'!$G$2:$G$631,$G88,'الجهاز العسكري'!$I$2:$I$631,$I88,'الجهاز العسكري'!$M$2:$M$631,"&lt;&gt;")</f>
        <v>3</v>
      </c>
      <c r="N88" s="19">
        <f>IF($L88=0,0,ROUND((SUMIFS('المرتبطة بسمو الوزير'!$M$2:$M$151,'المرتبطة بسمو الوزير'!$B$2:$B$151,$B88,'المرتبطة بسمو الوزير'!$G$2:$G$151,$G88,'المرتبطة بسمو الوزير'!$I$2:$I$151,$I88)+SUMIFS('الشؤون التنفيذية'!$N$2:$N$421,'الشؤون التنفيذية'!$B$2:$B$421,$B88,'الشؤون التنفيذية'!$G$2:$G$421,$G88,'الشؤون التنفيذية'!$I$2:$I$421,$I88)+SUMIFS('الجهاز العسكري'!$M$2:$M$631,'الجهاز العسكري'!$B$2:$B$631,$B88,'الجهاز العسكري'!$G$2:$G$631,$G88,'الجهاز العسكري'!$I$2:$I$631,$I88))/$L88,0))</f>
        <v>43</v>
      </c>
      <c r="O88" s="18"/>
      <c r="P88" s="15">
        <f>SUMIFS(المرجع!$G$2:$G$19,المرجع!$B$2:$B$19,$G88,المرجع!$E$2:$E$19,$I88)</f>
        <v>15</v>
      </c>
      <c r="Q88" s="20">
        <f t="shared" si="2"/>
        <v>6.45</v>
      </c>
      <c r="R88" s="21" t="str">
        <f>IF($N88&gt;المرجع!$K$3,"متقدم",IF($N88&lt;=المرجع!$K$2,"أولي","جزئي"))</f>
        <v>جزئي</v>
      </c>
    </row>
    <row r="89" spans="1:18">
      <c r="A89" s="16" t="s">
        <v>1529</v>
      </c>
      <c r="B89" s="16" t="s">
        <v>152</v>
      </c>
      <c r="C89" s="15" t="str">
        <f>IFERROR(INDEX('قائمة الوحدات'!$B$2:$B$41,MATCH($B89,'قائمة الوحدات'!$A$2:$A$41,0)),"")</f>
        <v>TOP</v>
      </c>
      <c r="D89" s="14" t="str">
        <f>IFERROR(INDEX('قائمة الوحدات'!$C$2:$C$41,MATCH($B89,'قائمة الوحدات'!$A$2:$A$41,0)),"")</f>
        <v>المرتبطة بسمو الوزير</v>
      </c>
      <c r="E89" s="14" t="str">
        <f>IFERROR(INDEX('قائمة الوحدات'!$D$2:$D$41,MATCH($B89,'قائمة الوحدات'!$A$2:$A$41,0)),"")</f>
        <v>إدارة التميز المؤسسي</v>
      </c>
      <c r="F89" s="14" t="str">
        <f>IFERROR(INDEX('قائمة الوحدات'!$F$2:$F$41,MATCH($B89,'قائمة الوحدات'!$A$2:$A$41,0)),"")</f>
        <v>إدارة التميز المؤسسي</v>
      </c>
      <c r="G89" s="16" t="s">
        <v>65</v>
      </c>
      <c r="H89" s="14" t="str">
        <f>IFERROR(INDEX(المرجع!$A$2:$A$19,MATCH($G89,المرجع!$B$2:$B$19,0)),"")</f>
        <v>التشغيل</v>
      </c>
      <c r="I89" s="16" t="s">
        <v>56</v>
      </c>
      <c r="J89" s="14" t="str">
        <f>IFERROR(INDEX(المرجع!$D$2:$D$19,MATCH($I89,المرجع!$E$2:$E$19,0)),"")</f>
        <v>الموارد</v>
      </c>
      <c r="K89" s="15">
        <f>IFERROR(INDEX(المرجع!$F$2:$F$19,MATCH($I89,المرجع!$E$2:$E$19,0)),"")</f>
        <v>5</v>
      </c>
      <c r="L89" s="15">
        <f>SUMIFS(المرجع!$H$2:$H$19,المرجع!$B$2:$B$19,$G89,المرجع!$E$2:$E$19,$I89)</f>
        <v>1</v>
      </c>
      <c r="M89" s="15">
        <f>COUNTIFS('المرتبطة بسمو الوزير'!$B$2:$B$151,$B89,'المرتبطة بسمو الوزير'!$G$2:$G$151,$G89,'المرتبطة بسمو الوزير'!$I$2:$I$151,$I89,'المرتبطة بسمو الوزير'!$M$2:$M$151,"&lt;&gt;")+COUNTIFS('الشؤون التنفيذية'!$B$2:$B$421,$B89,'الشؤون التنفيذية'!$G$2:$G$421,$G89,'الشؤون التنفيذية'!$I$2:$I$421,$I89,'الشؤون التنفيذية'!$N$2:$N$421,"&lt;&gt;")+COUNTIFS('الجهاز العسكري'!$B$2:$B$631,$B89,'الجهاز العسكري'!$G$2:$G$631,$G89,'الجهاز العسكري'!$I$2:$I$631,$I89,'الجهاز العسكري'!$M$2:$M$631,"&lt;&gt;")</f>
        <v>1</v>
      </c>
      <c r="N89" s="19">
        <f>IF($L89=0,0,ROUND((SUMIFS('المرتبطة بسمو الوزير'!$M$2:$M$151,'المرتبطة بسمو الوزير'!$B$2:$B$151,$B89,'المرتبطة بسمو الوزير'!$G$2:$G$151,$G89,'المرتبطة بسمو الوزير'!$I$2:$I$151,$I89)+SUMIFS('الشؤون التنفيذية'!$N$2:$N$421,'الشؤون التنفيذية'!$B$2:$B$421,$B89,'الشؤون التنفيذية'!$G$2:$G$421,$G89,'الشؤون التنفيذية'!$I$2:$I$421,$I89)+SUMIFS('الجهاز العسكري'!$M$2:$M$631,'الجهاز العسكري'!$B$2:$B$631,$B89,'الجهاز العسكري'!$G$2:$G$631,$G89,'الجهاز العسكري'!$I$2:$I$631,$I89))/$L89,0))</f>
        <v>33</v>
      </c>
      <c r="O89" s="18"/>
      <c r="P89" s="15">
        <f>SUMIFS(المرجع!$G$2:$G$19,المرجع!$B$2:$B$19,$G89,المرجع!$E$2:$E$19,$I89)</f>
        <v>15</v>
      </c>
      <c r="Q89" s="20">
        <f t="shared" si="2"/>
        <v>4.95</v>
      </c>
      <c r="R89" s="21" t="str">
        <f>IF($N89&gt;المرجع!$K$3,"متقدم",IF($N89&lt;=المرجع!$K$2,"أولي","جزئي"))</f>
        <v>جزئي</v>
      </c>
    </row>
    <row r="90" spans="1:18">
      <c r="A90" s="16" t="s">
        <v>1530</v>
      </c>
      <c r="B90" s="16" t="s">
        <v>152</v>
      </c>
      <c r="C90" s="15" t="str">
        <f>IFERROR(INDEX('قائمة الوحدات'!$B$2:$B$41,MATCH($B90,'قائمة الوحدات'!$A$2:$A$41,0)),"")</f>
        <v>TOP</v>
      </c>
      <c r="D90" s="14" t="str">
        <f>IFERROR(INDEX('قائمة الوحدات'!$C$2:$C$41,MATCH($B90,'قائمة الوحدات'!$A$2:$A$41,0)),"")</f>
        <v>المرتبطة بسمو الوزير</v>
      </c>
      <c r="E90" s="14" t="str">
        <f>IFERROR(INDEX('قائمة الوحدات'!$D$2:$D$41,MATCH($B90,'قائمة الوحدات'!$A$2:$A$41,0)),"")</f>
        <v>إدارة التميز المؤسسي</v>
      </c>
      <c r="F90" s="14" t="str">
        <f>IFERROR(INDEX('قائمة الوحدات'!$F$2:$F$41,MATCH($B90,'قائمة الوحدات'!$A$2:$A$41,0)),"")</f>
        <v>إدارة التميز المؤسسي</v>
      </c>
      <c r="G90" s="16" t="s">
        <v>65</v>
      </c>
      <c r="H90" s="14" t="str">
        <f>IFERROR(INDEX(المرجع!$A$2:$A$19,MATCH($G90,المرجع!$B$2:$B$19,0)),"")</f>
        <v>التشغيل</v>
      </c>
      <c r="I90" s="16" t="s">
        <v>59</v>
      </c>
      <c r="J90" s="14" t="str">
        <f>IFERROR(INDEX(المرجع!$D$2:$D$19,MATCH($I90,المرجع!$E$2:$E$19,0)),"")</f>
        <v>الإجراءات</v>
      </c>
      <c r="K90" s="15">
        <f>IFERROR(INDEX(المرجع!$F$2:$F$19,MATCH($I90,المرجع!$E$2:$E$19,0)),"")</f>
        <v>6</v>
      </c>
      <c r="L90" s="15">
        <f>SUMIFS(المرجع!$H$2:$H$19,المرجع!$B$2:$B$19,$G90,المرجع!$E$2:$E$19,$I90)</f>
        <v>1</v>
      </c>
      <c r="M90" s="15">
        <f>COUNTIFS('المرتبطة بسمو الوزير'!$B$2:$B$151,$B90,'المرتبطة بسمو الوزير'!$G$2:$G$151,$G90,'المرتبطة بسمو الوزير'!$I$2:$I$151,$I90,'المرتبطة بسمو الوزير'!$M$2:$M$151,"&lt;&gt;")+COUNTIFS('الشؤون التنفيذية'!$B$2:$B$421,$B90,'الشؤون التنفيذية'!$G$2:$G$421,$G90,'الشؤون التنفيذية'!$I$2:$I$421,$I90,'الشؤون التنفيذية'!$N$2:$N$421,"&lt;&gt;")+COUNTIFS('الجهاز العسكري'!$B$2:$B$631,$B90,'الجهاز العسكري'!$G$2:$G$631,$G90,'الجهاز العسكري'!$I$2:$I$631,$I90,'الجهاز العسكري'!$M$2:$M$631,"&lt;&gt;")</f>
        <v>1</v>
      </c>
      <c r="N90" s="19">
        <f>IF($L90=0,0,ROUND((SUMIFS('المرتبطة بسمو الوزير'!$M$2:$M$151,'المرتبطة بسمو الوزير'!$B$2:$B$151,$B90,'المرتبطة بسمو الوزير'!$G$2:$G$151,$G90,'المرتبطة بسمو الوزير'!$I$2:$I$151,$I90)+SUMIFS('الشؤون التنفيذية'!$N$2:$N$421,'الشؤون التنفيذية'!$B$2:$B$421,$B90,'الشؤون التنفيذية'!$G$2:$G$421,$G90,'الشؤون التنفيذية'!$I$2:$I$421,$I90)+SUMIFS('الجهاز العسكري'!$M$2:$M$631,'الجهاز العسكري'!$B$2:$B$631,$B90,'الجهاز العسكري'!$G$2:$G$631,$G90,'الجهاز العسكري'!$I$2:$I$631,$I90))/$L90,0))</f>
        <v>40</v>
      </c>
      <c r="O90" s="18"/>
      <c r="P90" s="15">
        <f>SUMIFS(المرجع!$G$2:$G$19,المرجع!$B$2:$B$19,$G90,المرجع!$E$2:$E$19,$I90)</f>
        <v>15</v>
      </c>
      <c r="Q90" s="20">
        <f t="shared" si="2"/>
        <v>6</v>
      </c>
      <c r="R90" s="21" t="str">
        <f>IF($N90&gt;المرجع!$K$3,"متقدم",IF($N90&lt;=المرجع!$K$2,"أولي","جزئي"))</f>
        <v>جزئي</v>
      </c>
    </row>
    <row r="91" spans="1:18">
      <c r="A91" s="16" t="s">
        <v>1531</v>
      </c>
      <c r="B91" s="16" t="s">
        <v>152</v>
      </c>
      <c r="C91" s="15" t="str">
        <f>IFERROR(INDEX('قائمة الوحدات'!$B$2:$B$41,MATCH($B91,'قائمة الوحدات'!$A$2:$A$41,0)),"")</f>
        <v>TOP</v>
      </c>
      <c r="D91" s="14" t="str">
        <f>IFERROR(INDEX('قائمة الوحدات'!$C$2:$C$41,MATCH($B91,'قائمة الوحدات'!$A$2:$A$41,0)),"")</f>
        <v>المرتبطة بسمو الوزير</v>
      </c>
      <c r="E91" s="14" t="str">
        <f>IFERROR(INDEX('قائمة الوحدات'!$D$2:$D$41,MATCH($B91,'قائمة الوحدات'!$A$2:$A$41,0)),"")</f>
        <v>إدارة التميز المؤسسي</v>
      </c>
      <c r="F91" s="14" t="str">
        <f>IFERROR(INDEX('قائمة الوحدات'!$F$2:$F$41,MATCH($B91,'قائمة الوحدات'!$A$2:$A$41,0)),"")</f>
        <v>إدارة التميز المؤسسي</v>
      </c>
      <c r="G91" s="16" t="s">
        <v>65</v>
      </c>
      <c r="H91" s="14" t="str">
        <f>IFERROR(INDEX(المرجع!$A$2:$A$19,MATCH($G91,المرجع!$B$2:$B$19,0)),"")</f>
        <v>التشغيل</v>
      </c>
      <c r="I91" s="16" t="s">
        <v>67</v>
      </c>
      <c r="J91" s="14" t="str">
        <f>IFERROR(INDEX(المرجع!$D$2:$D$19,MATCH($I91,المرجع!$E$2:$E$19,0)),"")</f>
        <v>اكتمال المخرجات المستهدفة</v>
      </c>
      <c r="K91" s="15">
        <f>IFERROR(INDEX(المرجع!$F$2:$F$19,MATCH($I91,المرجع!$E$2:$E$19,0)),"")</f>
        <v>8</v>
      </c>
      <c r="L91" s="15">
        <f>SUMIFS(المرجع!$H$2:$H$19,المرجع!$B$2:$B$19,$G91,المرجع!$E$2:$E$19,$I91)</f>
        <v>1</v>
      </c>
      <c r="M91" s="15">
        <f>COUNTIFS('المرتبطة بسمو الوزير'!$B$2:$B$151,$B91,'المرتبطة بسمو الوزير'!$G$2:$G$151,$G91,'المرتبطة بسمو الوزير'!$I$2:$I$151,$I91,'المرتبطة بسمو الوزير'!$M$2:$M$151,"&lt;&gt;")+COUNTIFS('الشؤون التنفيذية'!$B$2:$B$421,$B91,'الشؤون التنفيذية'!$G$2:$G$421,$G91,'الشؤون التنفيذية'!$I$2:$I$421,$I91,'الشؤون التنفيذية'!$N$2:$N$421,"&lt;&gt;")+COUNTIFS('الجهاز العسكري'!$B$2:$B$631,$B91,'الجهاز العسكري'!$G$2:$G$631,$G91,'الجهاز العسكري'!$I$2:$I$631,$I91,'الجهاز العسكري'!$M$2:$M$631,"&lt;&gt;")</f>
        <v>1</v>
      </c>
      <c r="N91" s="19">
        <f>IF($L91=0,0,ROUND((SUMIFS('المرتبطة بسمو الوزير'!$M$2:$M$151,'المرتبطة بسمو الوزير'!$B$2:$B$151,$B91,'المرتبطة بسمو الوزير'!$G$2:$G$151,$G91,'المرتبطة بسمو الوزير'!$I$2:$I$151,$I91)+SUMIFS('الشؤون التنفيذية'!$N$2:$N$421,'الشؤون التنفيذية'!$B$2:$B$421,$B91,'الشؤون التنفيذية'!$G$2:$G$421,$G91,'الشؤون التنفيذية'!$I$2:$I$421,$I91)+SUMIFS('الجهاز العسكري'!$M$2:$M$631,'الجهاز العسكري'!$B$2:$B$631,$B91,'الجهاز العسكري'!$G$2:$G$631,$G91,'الجهاز العسكري'!$I$2:$I$631,$I91))/$L91,0))</f>
        <v>49</v>
      </c>
      <c r="O91" s="18"/>
      <c r="P91" s="15">
        <f>SUMIFS(المرجع!$G$2:$G$19,المرجع!$B$2:$B$19,$G91,المرجع!$E$2:$E$19,$I91)</f>
        <v>30</v>
      </c>
      <c r="Q91" s="20">
        <f t="shared" si="2"/>
        <v>14.7</v>
      </c>
      <c r="R91" s="21" t="str">
        <f>IF($N91&gt;المرجع!$K$3,"متقدم",IF($N91&lt;=المرجع!$K$2,"أولي","جزئي"))</f>
        <v>جزئي</v>
      </c>
    </row>
    <row r="92" spans="1:18">
      <c r="A92" s="16" t="s">
        <v>1532</v>
      </c>
      <c r="B92" s="16" t="s">
        <v>154</v>
      </c>
      <c r="C92" s="15" t="str">
        <f>IFERROR(INDEX('قائمة الوحدات'!$B$2:$B$41,MATCH($B92,'قائمة الوحدات'!$A$2:$A$41,0)),"")</f>
        <v>EXE</v>
      </c>
      <c r="D92" s="14" t="str">
        <f>IFERROR(INDEX('قائمة الوحدات'!$C$2:$C$41,MATCH($B92,'قائمة الوحدات'!$A$2:$A$41,0)),"")</f>
        <v>الشؤون التنفيذية</v>
      </c>
      <c r="E92" s="14" t="str">
        <f>IFERROR(INDEX('قائمة الوحدات'!$D$2:$D$41,MATCH($B92,'قائمة الوحدات'!$A$2:$A$41,0)),"")</f>
        <v>وكالة الشؤون الفنية</v>
      </c>
      <c r="F92" s="14" t="str">
        <f>IFERROR(INDEX('قائمة الوحدات'!$F$2:$F$41,MATCH($B92,'قائمة الوحدات'!$A$2:$A$41,0)),"")</f>
        <v>الإدارة العامة للتخطيط والدراسات</v>
      </c>
      <c r="G92" s="16" t="s">
        <v>43</v>
      </c>
      <c r="H92" s="14" t="str">
        <f>IFERROR(INDEX(المرجع!$A$2:$A$19,MATCH($G92,المرجع!$B$2:$B$19,0)),"")</f>
        <v>التصميم</v>
      </c>
      <c r="I92" s="16" t="s">
        <v>45</v>
      </c>
      <c r="J92" s="14" t="str">
        <f>IFERROR(INDEX(المرجع!$D$2:$D$19,MATCH($I92,المرجع!$E$2:$E$19,0)),"")</f>
        <v>الدور</v>
      </c>
      <c r="K92" s="15">
        <f>IFERROR(INDEX(المرجع!$F$2:$F$19,MATCH($I92,المرجع!$E$2:$E$19,0)),"")</f>
        <v>1</v>
      </c>
      <c r="L92" s="15">
        <f>SUMIFS(المرجع!$H$2:$H$19,المرجع!$B$2:$B$19,$G92,المرجع!$E$2:$E$19,$I92)</f>
        <v>1</v>
      </c>
      <c r="M92" s="15">
        <f>COUNTIFS('المرتبطة بسمو الوزير'!$B$2:$B$151,$B92,'المرتبطة بسمو الوزير'!$G$2:$G$151,$G92,'المرتبطة بسمو الوزير'!$I$2:$I$151,$I92,'المرتبطة بسمو الوزير'!$M$2:$M$151,"&lt;&gt;")+COUNTIFS('الشؤون التنفيذية'!$B$2:$B$421,$B92,'الشؤون التنفيذية'!$G$2:$G$421,$G92,'الشؤون التنفيذية'!$I$2:$I$421,$I92,'الشؤون التنفيذية'!$N$2:$N$421,"&lt;&gt;")+COUNTIFS('الجهاز العسكري'!$B$2:$B$631,$B92,'الجهاز العسكري'!$G$2:$G$631,$G92,'الجهاز العسكري'!$I$2:$I$631,$I92,'الجهاز العسكري'!$M$2:$M$631,"&lt;&gt;")</f>
        <v>1</v>
      </c>
      <c r="N92" s="19">
        <f>IF($L92=0,0,ROUND((SUMIFS('المرتبطة بسمو الوزير'!$M$2:$M$151,'المرتبطة بسمو الوزير'!$B$2:$B$151,$B92,'المرتبطة بسمو الوزير'!$G$2:$G$151,$G92,'المرتبطة بسمو الوزير'!$I$2:$I$151,$I92)+SUMIFS('الشؤون التنفيذية'!$N$2:$N$421,'الشؤون التنفيذية'!$B$2:$B$421,$B92,'الشؤون التنفيذية'!$G$2:$G$421,$G92,'الشؤون التنفيذية'!$I$2:$I$421,$I92)+SUMIFS('الجهاز العسكري'!$M$2:$M$631,'الجهاز العسكري'!$B$2:$B$631,$B92,'الجهاز العسكري'!$G$2:$G$631,$G92,'الجهاز العسكري'!$I$2:$I$631,$I92))/$L92,0))</f>
        <v>87</v>
      </c>
      <c r="O92" s="18"/>
      <c r="P92" s="15">
        <f>SUMIFS(المرجع!$G$2:$G$19,المرجع!$B$2:$B$19,$G92,المرجع!$E$2:$E$19,$I92)</f>
        <v>25</v>
      </c>
      <c r="Q92" s="20">
        <f t="shared" si="2"/>
        <v>21.75</v>
      </c>
      <c r="R92" s="21" t="str">
        <f>IF($N92&gt;المرجع!$K$3,"متقدم",IF($N92&lt;=المرجع!$K$2,"أولي","جزئي"))</f>
        <v>متقدم</v>
      </c>
    </row>
    <row r="93" spans="1:18">
      <c r="A93" s="16" t="s">
        <v>1533</v>
      </c>
      <c r="B93" s="16" t="s">
        <v>154</v>
      </c>
      <c r="C93" s="15" t="str">
        <f>IFERROR(INDEX('قائمة الوحدات'!$B$2:$B$41,MATCH($B93,'قائمة الوحدات'!$A$2:$A$41,0)),"")</f>
        <v>EXE</v>
      </c>
      <c r="D93" s="14" t="str">
        <f>IFERROR(INDEX('قائمة الوحدات'!$C$2:$C$41,MATCH($B93,'قائمة الوحدات'!$A$2:$A$41,0)),"")</f>
        <v>الشؤون التنفيذية</v>
      </c>
      <c r="E93" s="14" t="str">
        <f>IFERROR(INDEX('قائمة الوحدات'!$D$2:$D$41,MATCH($B93,'قائمة الوحدات'!$A$2:$A$41,0)),"")</f>
        <v>وكالة الشؤون الفنية</v>
      </c>
      <c r="F93" s="14" t="str">
        <f>IFERROR(INDEX('قائمة الوحدات'!$F$2:$F$41,MATCH($B93,'قائمة الوحدات'!$A$2:$A$41,0)),"")</f>
        <v>الإدارة العامة للتخطيط والدراسات</v>
      </c>
      <c r="G93" s="16" t="s">
        <v>43</v>
      </c>
      <c r="H93" s="14" t="str">
        <f>IFERROR(INDEX(المرجع!$A$2:$A$19,MATCH($G93,المرجع!$B$2:$B$19,0)),"")</f>
        <v>التصميم</v>
      </c>
      <c r="I93" s="16" t="s">
        <v>48</v>
      </c>
      <c r="J93" s="14" t="str">
        <f>IFERROR(INDEX(المرجع!$D$2:$D$19,MATCH($I93,المرجع!$E$2:$E$19,0)),"")</f>
        <v>الأهداف ومؤشرات الأداء</v>
      </c>
      <c r="K93" s="15">
        <f>IFERROR(INDEX(المرجع!$F$2:$F$19,MATCH($I93,المرجع!$E$2:$E$19,0)),"")</f>
        <v>2</v>
      </c>
      <c r="L93" s="15">
        <f>SUMIFS(المرجع!$H$2:$H$19,المرجع!$B$2:$B$19,$G93,المرجع!$E$2:$E$19,$I93)</f>
        <v>2</v>
      </c>
      <c r="M93" s="15">
        <f>COUNTIFS('المرتبطة بسمو الوزير'!$B$2:$B$151,$B93,'المرتبطة بسمو الوزير'!$G$2:$G$151,$G93,'المرتبطة بسمو الوزير'!$I$2:$I$151,$I93,'المرتبطة بسمو الوزير'!$M$2:$M$151,"&lt;&gt;")+COUNTIFS('الشؤون التنفيذية'!$B$2:$B$421,$B93,'الشؤون التنفيذية'!$G$2:$G$421,$G93,'الشؤون التنفيذية'!$I$2:$I$421,$I93,'الشؤون التنفيذية'!$N$2:$N$421,"&lt;&gt;")+COUNTIFS('الجهاز العسكري'!$B$2:$B$631,$B93,'الجهاز العسكري'!$G$2:$G$631,$G93,'الجهاز العسكري'!$I$2:$I$631,$I93,'الجهاز العسكري'!$M$2:$M$631,"&lt;&gt;")</f>
        <v>2</v>
      </c>
      <c r="N93" s="19">
        <f>IF($L93=0,0,ROUND((SUMIFS('المرتبطة بسمو الوزير'!$M$2:$M$151,'المرتبطة بسمو الوزير'!$B$2:$B$151,$B93,'المرتبطة بسمو الوزير'!$G$2:$G$151,$G93,'المرتبطة بسمو الوزير'!$I$2:$I$151,$I93)+SUMIFS('الشؤون التنفيذية'!$N$2:$N$421,'الشؤون التنفيذية'!$B$2:$B$421,$B93,'الشؤون التنفيذية'!$G$2:$G$421,$G93,'الشؤون التنفيذية'!$I$2:$I$421,$I93)+SUMIFS('الجهاز العسكري'!$M$2:$M$631,'الجهاز العسكري'!$B$2:$B$631,$B93,'الجهاز العسكري'!$G$2:$G$631,$G93,'الجهاز العسكري'!$I$2:$I$631,$I93))/$L93,0))</f>
        <v>83</v>
      </c>
      <c r="O93" s="18"/>
      <c r="P93" s="15">
        <f>SUMIFS(المرجع!$G$2:$G$19,المرجع!$B$2:$B$19,$G93,المرجع!$E$2:$E$19,$I93)</f>
        <v>15</v>
      </c>
      <c r="Q93" s="20">
        <f t="shared" si="2"/>
        <v>12.45</v>
      </c>
      <c r="R93" s="21" t="str">
        <f>IF($N93&gt;المرجع!$K$3,"متقدم",IF($N93&lt;=المرجع!$K$2,"أولي","جزئي"))</f>
        <v>متقدم</v>
      </c>
    </row>
    <row r="94" spans="1:18">
      <c r="A94" s="16" t="s">
        <v>1534</v>
      </c>
      <c r="B94" s="16" t="s">
        <v>154</v>
      </c>
      <c r="C94" s="15" t="str">
        <f>IFERROR(INDEX('قائمة الوحدات'!$B$2:$B$41,MATCH($B94,'قائمة الوحدات'!$A$2:$A$41,0)),"")</f>
        <v>EXE</v>
      </c>
      <c r="D94" s="14" t="str">
        <f>IFERROR(INDEX('قائمة الوحدات'!$C$2:$C$41,MATCH($B94,'قائمة الوحدات'!$A$2:$A$41,0)),"")</f>
        <v>الشؤون التنفيذية</v>
      </c>
      <c r="E94" s="14" t="str">
        <f>IFERROR(INDEX('قائمة الوحدات'!$D$2:$D$41,MATCH($B94,'قائمة الوحدات'!$A$2:$A$41,0)),"")</f>
        <v>وكالة الشؤون الفنية</v>
      </c>
      <c r="F94" s="14" t="str">
        <f>IFERROR(INDEX('قائمة الوحدات'!$F$2:$F$41,MATCH($B94,'قائمة الوحدات'!$A$2:$A$41,0)),"")</f>
        <v>الإدارة العامة للتخطيط والدراسات</v>
      </c>
      <c r="G94" s="16" t="s">
        <v>43</v>
      </c>
      <c r="H94" s="14" t="str">
        <f>IFERROR(INDEX(المرجع!$A$2:$A$19,MATCH($G94,المرجع!$B$2:$B$19,0)),"")</f>
        <v>التصميم</v>
      </c>
      <c r="I94" s="16" t="s">
        <v>51</v>
      </c>
      <c r="J94" s="14" t="str">
        <f>IFERROR(INDEX(المرجع!$D$2:$D$19,MATCH($I94,المرجع!$E$2:$E$19,0)),"")</f>
        <v>الحوكمة</v>
      </c>
      <c r="K94" s="15">
        <f>IFERROR(INDEX(المرجع!$F$2:$F$19,MATCH($I94,المرجع!$E$2:$E$19,0)),"")</f>
        <v>3</v>
      </c>
      <c r="L94" s="15">
        <f>SUMIFS(المرجع!$H$2:$H$19,المرجع!$B$2:$B$19,$G94,المرجع!$E$2:$E$19,$I94)</f>
        <v>1</v>
      </c>
      <c r="M94" s="15">
        <f>COUNTIFS('المرتبطة بسمو الوزير'!$B$2:$B$151,$B94,'المرتبطة بسمو الوزير'!$G$2:$G$151,$G94,'المرتبطة بسمو الوزير'!$I$2:$I$151,$I94,'المرتبطة بسمو الوزير'!$M$2:$M$151,"&lt;&gt;")+COUNTIFS('الشؤون التنفيذية'!$B$2:$B$421,$B94,'الشؤون التنفيذية'!$G$2:$G$421,$G94,'الشؤون التنفيذية'!$I$2:$I$421,$I94,'الشؤون التنفيذية'!$N$2:$N$421,"&lt;&gt;")+COUNTIFS('الجهاز العسكري'!$B$2:$B$631,$B94,'الجهاز العسكري'!$G$2:$G$631,$G94,'الجهاز العسكري'!$I$2:$I$631,$I94,'الجهاز العسكري'!$M$2:$M$631,"&lt;&gt;")</f>
        <v>1</v>
      </c>
      <c r="N94" s="19">
        <f>IF($L94=0,0,ROUND((SUMIFS('المرتبطة بسمو الوزير'!$M$2:$M$151,'المرتبطة بسمو الوزير'!$B$2:$B$151,$B94,'المرتبطة بسمو الوزير'!$G$2:$G$151,$G94,'المرتبطة بسمو الوزير'!$I$2:$I$151,$I94)+SUMIFS('الشؤون التنفيذية'!$N$2:$N$421,'الشؤون التنفيذية'!$B$2:$B$421,$B94,'الشؤون التنفيذية'!$G$2:$G$421,$G94,'الشؤون التنفيذية'!$I$2:$I$421,$I94)+SUMIFS('الجهاز العسكري'!$M$2:$M$631,'الجهاز العسكري'!$B$2:$B$631,$B94,'الجهاز العسكري'!$G$2:$G$631,$G94,'الجهاز العسكري'!$I$2:$I$631,$I94))/$L94,0))</f>
        <v>93</v>
      </c>
      <c r="O94" s="18"/>
      <c r="P94" s="15">
        <f>SUMIFS(المرجع!$G$2:$G$19,المرجع!$B$2:$B$19,$G94,المرجع!$E$2:$E$19,$I94)</f>
        <v>15</v>
      </c>
      <c r="Q94" s="20">
        <f t="shared" si="2"/>
        <v>13.95</v>
      </c>
      <c r="R94" s="21" t="str">
        <f>IF($N94&gt;المرجع!$K$3,"متقدم",IF($N94&lt;=المرجع!$K$2,"أولي","جزئي"))</f>
        <v>متقدم</v>
      </c>
    </row>
    <row r="95" spans="1:18">
      <c r="A95" s="16" t="s">
        <v>1535</v>
      </c>
      <c r="B95" s="16" t="s">
        <v>154</v>
      </c>
      <c r="C95" s="15" t="str">
        <f>IFERROR(INDEX('قائمة الوحدات'!$B$2:$B$41,MATCH($B95,'قائمة الوحدات'!$A$2:$A$41,0)),"")</f>
        <v>EXE</v>
      </c>
      <c r="D95" s="14" t="str">
        <f>IFERROR(INDEX('قائمة الوحدات'!$C$2:$C$41,MATCH($B95,'قائمة الوحدات'!$A$2:$A$41,0)),"")</f>
        <v>الشؤون التنفيذية</v>
      </c>
      <c r="E95" s="14" t="str">
        <f>IFERROR(INDEX('قائمة الوحدات'!$D$2:$D$41,MATCH($B95,'قائمة الوحدات'!$A$2:$A$41,0)),"")</f>
        <v>وكالة الشؤون الفنية</v>
      </c>
      <c r="F95" s="14" t="str">
        <f>IFERROR(INDEX('قائمة الوحدات'!$F$2:$F$41,MATCH($B95,'قائمة الوحدات'!$A$2:$A$41,0)),"")</f>
        <v>الإدارة العامة للتخطيط والدراسات</v>
      </c>
      <c r="G95" s="16" t="s">
        <v>43</v>
      </c>
      <c r="H95" s="14" t="str">
        <f>IFERROR(INDEX(المرجع!$A$2:$A$19,MATCH($G95,المرجع!$B$2:$B$19,0)),"")</f>
        <v>التصميم</v>
      </c>
      <c r="I95" s="16" t="s">
        <v>54</v>
      </c>
      <c r="J95" s="14" t="str">
        <f>IFERROR(INDEX(المرجع!$D$2:$D$19,MATCH($I95,المرجع!$E$2:$E$19,0)),"")</f>
        <v>التنظيم</v>
      </c>
      <c r="K95" s="15">
        <f>IFERROR(INDEX(المرجع!$F$2:$F$19,MATCH($I95,المرجع!$E$2:$E$19,0)),"")</f>
        <v>4</v>
      </c>
      <c r="L95" s="15">
        <f>SUMIFS(المرجع!$H$2:$H$19,المرجع!$B$2:$B$19,$G95,المرجع!$E$2:$E$19,$I95)</f>
        <v>1</v>
      </c>
      <c r="M95" s="15">
        <f>COUNTIFS('المرتبطة بسمو الوزير'!$B$2:$B$151,$B95,'المرتبطة بسمو الوزير'!$G$2:$G$151,$G95,'المرتبطة بسمو الوزير'!$I$2:$I$151,$I95,'المرتبطة بسمو الوزير'!$M$2:$M$151,"&lt;&gt;")+COUNTIFS('الشؤون التنفيذية'!$B$2:$B$421,$B95,'الشؤون التنفيذية'!$G$2:$G$421,$G95,'الشؤون التنفيذية'!$I$2:$I$421,$I95,'الشؤون التنفيذية'!$N$2:$N$421,"&lt;&gt;")+COUNTIFS('الجهاز العسكري'!$B$2:$B$631,$B95,'الجهاز العسكري'!$G$2:$G$631,$G95,'الجهاز العسكري'!$I$2:$I$631,$I95,'الجهاز العسكري'!$M$2:$M$631,"&lt;&gt;")</f>
        <v>1</v>
      </c>
      <c r="N95" s="19">
        <f>IF($L95=0,0,ROUND((SUMIFS('المرتبطة بسمو الوزير'!$M$2:$M$151,'المرتبطة بسمو الوزير'!$B$2:$B$151,$B95,'المرتبطة بسمو الوزير'!$G$2:$G$151,$G95,'المرتبطة بسمو الوزير'!$I$2:$I$151,$I95)+SUMIFS('الشؤون التنفيذية'!$N$2:$N$421,'الشؤون التنفيذية'!$B$2:$B$421,$B95,'الشؤون التنفيذية'!$G$2:$G$421,$G95,'الشؤون التنفيذية'!$I$2:$I$421,$I95)+SUMIFS('الجهاز العسكري'!$M$2:$M$631,'الجهاز العسكري'!$B$2:$B$631,$B95,'الجهاز العسكري'!$G$2:$G$631,$G95,'الجهاز العسكري'!$I$2:$I$631,$I95))/$L95,0))</f>
        <v>74</v>
      </c>
      <c r="O95" s="18"/>
      <c r="P95" s="15">
        <f>SUMIFS(المرجع!$G$2:$G$19,المرجع!$B$2:$B$19,$G95,المرجع!$E$2:$E$19,$I95)</f>
        <v>20</v>
      </c>
      <c r="Q95" s="20">
        <f t="shared" si="2"/>
        <v>14.8</v>
      </c>
      <c r="R95" s="21" t="str">
        <f>IF($N95&gt;المرجع!$K$3,"متقدم",IF($N95&lt;=المرجع!$K$2,"أولي","جزئي"))</f>
        <v>متقدم</v>
      </c>
    </row>
    <row r="96" spans="1:18">
      <c r="A96" s="16" t="s">
        <v>1536</v>
      </c>
      <c r="B96" s="16" t="s">
        <v>154</v>
      </c>
      <c r="C96" s="15" t="str">
        <f>IFERROR(INDEX('قائمة الوحدات'!$B$2:$B$41,MATCH($B96,'قائمة الوحدات'!$A$2:$A$41,0)),"")</f>
        <v>EXE</v>
      </c>
      <c r="D96" s="14" t="str">
        <f>IFERROR(INDEX('قائمة الوحدات'!$C$2:$C$41,MATCH($B96,'قائمة الوحدات'!$A$2:$A$41,0)),"")</f>
        <v>الشؤون التنفيذية</v>
      </c>
      <c r="E96" s="14" t="str">
        <f>IFERROR(INDEX('قائمة الوحدات'!$D$2:$D$41,MATCH($B96,'قائمة الوحدات'!$A$2:$A$41,0)),"")</f>
        <v>وكالة الشؤون الفنية</v>
      </c>
      <c r="F96" s="14" t="str">
        <f>IFERROR(INDEX('قائمة الوحدات'!$F$2:$F$41,MATCH($B96,'قائمة الوحدات'!$A$2:$A$41,0)),"")</f>
        <v>الإدارة العامة للتخطيط والدراسات</v>
      </c>
      <c r="G96" s="16" t="s">
        <v>43</v>
      </c>
      <c r="H96" s="14" t="str">
        <f>IFERROR(INDEX(المرجع!$A$2:$A$19,MATCH($G96,المرجع!$B$2:$B$19,0)),"")</f>
        <v>التصميم</v>
      </c>
      <c r="I96" s="16" t="s">
        <v>56</v>
      </c>
      <c r="J96" s="14" t="str">
        <f>IFERROR(INDEX(المرجع!$D$2:$D$19,MATCH($I96,المرجع!$E$2:$E$19,0)),"")</f>
        <v>الموارد</v>
      </c>
      <c r="K96" s="15">
        <f>IFERROR(INDEX(المرجع!$F$2:$F$19,MATCH($I96,المرجع!$E$2:$E$19,0)),"")</f>
        <v>5</v>
      </c>
      <c r="L96" s="15">
        <f>SUMIFS(المرجع!$H$2:$H$19,المرجع!$B$2:$B$19,$G96,المرجع!$E$2:$E$19,$I96)</f>
        <v>1</v>
      </c>
      <c r="M96" s="15">
        <f>COUNTIFS('المرتبطة بسمو الوزير'!$B$2:$B$151,$B96,'المرتبطة بسمو الوزير'!$G$2:$G$151,$G96,'المرتبطة بسمو الوزير'!$I$2:$I$151,$I96,'المرتبطة بسمو الوزير'!$M$2:$M$151,"&lt;&gt;")+COUNTIFS('الشؤون التنفيذية'!$B$2:$B$421,$B96,'الشؤون التنفيذية'!$G$2:$G$421,$G96,'الشؤون التنفيذية'!$I$2:$I$421,$I96,'الشؤون التنفيذية'!$N$2:$N$421,"&lt;&gt;")+COUNTIFS('الجهاز العسكري'!$B$2:$B$631,$B96,'الجهاز العسكري'!$G$2:$G$631,$G96,'الجهاز العسكري'!$I$2:$I$631,$I96,'الجهاز العسكري'!$M$2:$M$631,"&lt;&gt;")</f>
        <v>1</v>
      </c>
      <c r="N96" s="19">
        <f>IF($L96=0,0,ROUND((SUMIFS('المرتبطة بسمو الوزير'!$M$2:$M$151,'المرتبطة بسمو الوزير'!$B$2:$B$151,$B96,'المرتبطة بسمو الوزير'!$G$2:$G$151,$G96,'المرتبطة بسمو الوزير'!$I$2:$I$151,$I96)+SUMIFS('الشؤون التنفيذية'!$N$2:$N$421,'الشؤون التنفيذية'!$B$2:$B$421,$B96,'الشؤون التنفيذية'!$G$2:$G$421,$G96,'الشؤون التنفيذية'!$I$2:$I$421,$I96)+SUMIFS('الجهاز العسكري'!$M$2:$M$631,'الجهاز العسكري'!$B$2:$B$631,$B96,'الجهاز العسكري'!$G$2:$G$631,$G96,'الجهاز العسكري'!$I$2:$I$631,$I96))/$L96,0))</f>
        <v>68</v>
      </c>
      <c r="O96" s="18"/>
      <c r="P96" s="15">
        <f>SUMIFS(المرجع!$G$2:$G$19,المرجع!$B$2:$B$19,$G96,المرجع!$E$2:$E$19,$I96)</f>
        <v>20</v>
      </c>
      <c r="Q96" s="20">
        <f t="shared" si="2"/>
        <v>13.6</v>
      </c>
      <c r="R96" s="21" t="str">
        <f>IF($N96&gt;المرجع!$K$3,"متقدم",IF($N96&lt;=المرجع!$K$2,"أولي","جزئي"))</f>
        <v>جزئي</v>
      </c>
    </row>
    <row r="97" spans="1:18">
      <c r="A97" s="16" t="s">
        <v>1537</v>
      </c>
      <c r="B97" s="16" t="s">
        <v>154</v>
      </c>
      <c r="C97" s="15" t="str">
        <f>IFERROR(INDEX('قائمة الوحدات'!$B$2:$B$41,MATCH($B97,'قائمة الوحدات'!$A$2:$A$41,0)),"")</f>
        <v>EXE</v>
      </c>
      <c r="D97" s="14" t="str">
        <f>IFERROR(INDEX('قائمة الوحدات'!$C$2:$C$41,MATCH($B97,'قائمة الوحدات'!$A$2:$A$41,0)),"")</f>
        <v>الشؤون التنفيذية</v>
      </c>
      <c r="E97" s="14" t="str">
        <f>IFERROR(INDEX('قائمة الوحدات'!$D$2:$D$41,MATCH($B97,'قائمة الوحدات'!$A$2:$A$41,0)),"")</f>
        <v>وكالة الشؤون الفنية</v>
      </c>
      <c r="F97" s="14" t="str">
        <f>IFERROR(INDEX('قائمة الوحدات'!$F$2:$F$41,MATCH($B97,'قائمة الوحدات'!$A$2:$A$41,0)),"")</f>
        <v>الإدارة العامة للتخطيط والدراسات</v>
      </c>
      <c r="G97" s="16" t="s">
        <v>43</v>
      </c>
      <c r="H97" s="14" t="str">
        <f>IFERROR(INDEX(المرجع!$A$2:$A$19,MATCH($G97,المرجع!$B$2:$B$19,0)),"")</f>
        <v>التصميم</v>
      </c>
      <c r="I97" s="16" t="s">
        <v>59</v>
      </c>
      <c r="J97" s="14" t="str">
        <f>IFERROR(INDEX(المرجع!$D$2:$D$19,MATCH($I97,المرجع!$E$2:$E$19,0)),"")</f>
        <v>الإجراءات</v>
      </c>
      <c r="K97" s="15">
        <f>IFERROR(INDEX(المرجع!$F$2:$F$19,MATCH($I97,المرجع!$E$2:$E$19,0)),"")</f>
        <v>6</v>
      </c>
      <c r="L97" s="15">
        <f>SUMIFS(المرجع!$H$2:$H$19,المرجع!$B$2:$B$19,$G97,المرجع!$E$2:$E$19,$I97)</f>
        <v>1</v>
      </c>
      <c r="M97" s="15">
        <f>COUNTIFS('المرتبطة بسمو الوزير'!$B$2:$B$151,$B97,'المرتبطة بسمو الوزير'!$G$2:$G$151,$G97,'المرتبطة بسمو الوزير'!$I$2:$I$151,$I97,'المرتبطة بسمو الوزير'!$M$2:$M$151,"&lt;&gt;")+COUNTIFS('الشؤون التنفيذية'!$B$2:$B$421,$B97,'الشؤون التنفيذية'!$G$2:$G$421,$G97,'الشؤون التنفيذية'!$I$2:$I$421,$I97,'الشؤون التنفيذية'!$N$2:$N$421,"&lt;&gt;")+COUNTIFS('الجهاز العسكري'!$B$2:$B$631,$B97,'الجهاز العسكري'!$G$2:$G$631,$G97,'الجهاز العسكري'!$I$2:$I$631,$I97,'الجهاز العسكري'!$M$2:$M$631,"&lt;&gt;")</f>
        <v>1</v>
      </c>
      <c r="N97" s="19">
        <f>IF($L97=0,0,ROUND((SUMIFS('المرتبطة بسمو الوزير'!$M$2:$M$151,'المرتبطة بسمو الوزير'!$B$2:$B$151,$B97,'المرتبطة بسمو الوزير'!$G$2:$G$151,$G97,'المرتبطة بسمو الوزير'!$I$2:$I$151,$I97)+SUMIFS('الشؤون التنفيذية'!$N$2:$N$421,'الشؤون التنفيذية'!$B$2:$B$421,$B97,'الشؤون التنفيذية'!$G$2:$G$421,$G97,'الشؤون التنفيذية'!$I$2:$I$421,$I97)+SUMIFS('الجهاز العسكري'!$M$2:$M$631,'الجهاز العسكري'!$B$2:$B$631,$B97,'الجهاز العسكري'!$G$2:$G$631,$G97,'الجهاز العسكري'!$I$2:$I$631,$I97))/$L97,0))</f>
        <v>91</v>
      </c>
      <c r="O97" s="18"/>
      <c r="P97" s="15">
        <f>SUMIFS(المرجع!$G$2:$G$19,المرجع!$B$2:$B$19,$G97,المرجع!$E$2:$E$19,$I97)</f>
        <v>5</v>
      </c>
      <c r="Q97" s="20">
        <f t="shared" si="2"/>
        <v>4.55</v>
      </c>
      <c r="R97" s="21" t="str">
        <f>IF($N97&gt;المرجع!$K$3,"متقدم",IF($N97&lt;=المرجع!$K$2,"أولي","جزئي"))</f>
        <v>متقدم</v>
      </c>
    </row>
    <row r="98" spans="1:18">
      <c r="A98" s="16" t="s">
        <v>1538</v>
      </c>
      <c r="B98" s="16" t="s">
        <v>154</v>
      </c>
      <c r="C98" s="15" t="str">
        <f>IFERROR(INDEX('قائمة الوحدات'!$B$2:$B$41,MATCH($B98,'قائمة الوحدات'!$A$2:$A$41,0)),"")</f>
        <v>EXE</v>
      </c>
      <c r="D98" s="14" t="str">
        <f>IFERROR(INDEX('قائمة الوحدات'!$C$2:$C$41,MATCH($B98,'قائمة الوحدات'!$A$2:$A$41,0)),"")</f>
        <v>الشؤون التنفيذية</v>
      </c>
      <c r="E98" s="14" t="str">
        <f>IFERROR(INDEX('قائمة الوحدات'!$D$2:$D$41,MATCH($B98,'قائمة الوحدات'!$A$2:$A$41,0)),"")</f>
        <v>وكالة الشؤون الفنية</v>
      </c>
      <c r="F98" s="14" t="str">
        <f>IFERROR(INDEX('قائمة الوحدات'!$F$2:$F$41,MATCH($B98,'قائمة الوحدات'!$A$2:$A$41,0)),"")</f>
        <v>الإدارة العامة للتخطيط والدراسات</v>
      </c>
      <c r="G98" s="16" t="s">
        <v>61</v>
      </c>
      <c r="H98" s="14" t="str">
        <f>IFERROR(INDEX(المرجع!$A$2:$A$19,MATCH($G98,المرجع!$B$2:$B$19,0)),"")</f>
        <v>البناء المؤسسي</v>
      </c>
      <c r="I98" s="16" t="s">
        <v>45</v>
      </c>
      <c r="J98" s="14" t="str">
        <f>IFERROR(INDEX(المرجع!$D$2:$D$19,MATCH($I98,المرجع!$E$2:$E$19,0)),"")</f>
        <v>الدور</v>
      </c>
      <c r="K98" s="15">
        <f>IFERROR(INDEX(المرجع!$F$2:$F$19,MATCH($I98,المرجع!$E$2:$E$19,0)),"")</f>
        <v>1</v>
      </c>
      <c r="L98" s="15">
        <f>SUMIFS(المرجع!$H$2:$H$19,المرجع!$B$2:$B$19,$G98,المرجع!$E$2:$E$19,$I98)</f>
        <v>1</v>
      </c>
      <c r="M98" s="15">
        <f>COUNTIFS('المرتبطة بسمو الوزير'!$B$2:$B$151,$B98,'المرتبطة بسمو الوزير'!$G$2:$G$151,$G98,'المرتبطة بسمو الوزير'!$I$2:$I$151,$I98,'المرتبطة بسمو الوزير'!$M$2:$M$151,"&lt;&gt;")+COUNTIFS('الشؤون التنفيذية'!$B$2:$B$421,$B98,'الشؤون التنفيذية'!$G$2:$G$421,$G98,'الشؤون التنفيذية'!$I$2:$I$421,$I98,'الشؤون التنفيذية'!$N$2:$N$421,"&lt;&gt;")+COUNTIFS('الجهاز العسكري'!$B$2:$B$631,$B98,'الجهاز العسكري'!$G$2:$G$631,$G98,'الجهاز العسكري'!$I$2:$I$631,$I98,'الجهاز العسكري'!$M$2:$M$631,"&lt;&gt;")</f>
        <v>1</v>
      </c>
      <c r="N98" s="19">
        <f>IF($L98=0,0,ROUND((SUMIFS('المرتبطة بسمو الوزير'!$M$2:$M$151,'المرتبطة بسمو الوزير'!$B$2:$B$151,$B98,'المرتبطة بسمو الوزير'!$G$2:$G$151,$G98,'المرتبطة بسمو الوزير'!$I$2:$I$151,$I98)+SUMIFS('الشؤون التنفيذية'!$N$2:$N$421,'الشؤون التنفيذية'!$B$2:$B$421,$B98,'الشؤون التنفيذية'!$G$2:$G$421,$G98,'الشؤون التنفيذية'!$I$2:$I$421,$I98)+SUMIFS('الجهاز العسكري'!$M$2:$M$631,'الجهاز العسكري'!$B$2:$B$631,$B98,'الجهاز العسكري'!$G$2:$G$631,$G98,'الجهاز العسكري'!$I$2:$I$631,$I98))/$L98,0))</f>
        <v>49</v>
      </c>
      <c r="O98" s="18"/>
      <c r="P98" s="15">
        <f>SUMIFS(المرجع!$G$2:$G$19,المرجع!$B$2:$B$19,$G98,المرجع!$E$2:$E$19,$I98)</f>
        <v>15</v>
      </c>
      <c r="Q98" s="20">
        <f t="shared" si="2"/>
        <v>7.35</v>
      </c>
      <c r="R98" s="21" t="str">
        <f>IF($N98&gt;المرجع!$K$3,"متقدم",IF($N98&lt;=المرجع!$K$2,"أولي","جزئي"))</f>
        <v>جزئي</v>
      </c>
    </row>
    <row r="99" spans="1:18">
      <c r="A99" s="16" t="s">
        <v>1539</v>
      </c>
      <c r="B99" s="16" t="s">
        <v>154</v>
      </c>
      <c r="C99" s="15" t="str">
        <f>IFERROR(INDEX('قائمة الوحدات'!$B$2:$B$41,MATCH($B99,'قائمة الوحدات'!$A$2:$A$41,0)),"")</f>
        <v>EXE</v>
      </c>
      <c r="D99" s="14" t="str">
        <f>IFERROR(INDEX('قائمة الوحدات'!$C$2:$C$41,MATCH($B99,'قائمة الوحدات'!$A$2:$A$41,0)),"")</f>
        <v>الشؤون التنفيذية</v>
      </c>
      <c r="E99" s="14" t="str">
        <f>IFERROR(INDEX('قائمة الوحدات'!$D$2:$D$41,MATCH($B99,'قائمة الوحدات'!$A$2:$A$41,0)),"")</f>
        <v>وكالة الشؤون الفنية</v>
      </c>
      <c r="F99" s="14" t="str">
        <f>IFERROR(INDEX('قائمة الوحدات'!$F$2:$F$41,MATCH($B99,'قائمة الوحدات'!$A$2:$A$41,0)),"")</f>
        <v>الإدارة العامة للتخطيط والدراسات</v>
      </c>
      <c r="G99" s="16" t="s">
        <v>61</v>
      </c>
      <c r="H99" s="14" t="str">
        <f>IFERROR(INDEX(المرجع!$A$2:$A$19,MATCH($G99,المرجع!$B$2:$B$19,0)),"")</f>
        <v>البناء المؤسسي</v>
      </c>
      <c r="I99" s="16" t="s">
        <v>48</v>
      </c>
      <c r="J99" s="14" t="str">
        <f>IFERROR(INDEX(المرجع!$D$2:$D$19,MATCH($I99,المرجع!$E$2:$E$19,0)),"")</f>
        <v>الأهداف ومؤشرات الأداء</v>
      </c>
      <c r="K99" s="15">
        <f>IFERROR(INDEX(المرجع!$F$2:$F$19,MATCH($I99,المرجع!$E$2:$E$19,0)),"")</f>
        <v>2</v>
      </c>
      <c r="L99" s="15">
        <f>SUMIFS(المرجع!$H$2:$H$19,المرجع!$B$2:$B$19,$G99,المرجع!$E$2:$E$19,$I99)</f>
        <v>2</v>
      </c>
      <c r="M99" s="15">
        <f>COUNTIFS('المرتبطة بسمو الوزير'!$B$2:$B$151,$B99,'المرتبطة بسمو الوزير'!$G$2:$G$151,$G99,'المرتبطة بسمو الوزير'!$I$2:$I$151,$I99,'المرتبطة بسمو الوزير'!$M$2:$M$151,"&lt;&gt;")+COUNTIFS('الشؤون التنفيذية'!$B$2:$B$421,$B99,'الشؤون التنفيذية'!$G$2:$G$421,$G99,'الشؤون التنفيذية'!$I$2:$I$421,$I99,'الشؤون التنفيذية'!$N$2:$N$421,"&lt;&gt;")+COUNTIFS('الجهاز العسكري'!$B$2:$B$631,$B99,'الجهاز العسكري'!$G$2:$G$631,$G99,'الجهاز العسكري'!$I$2:$I$631,$I99,'الجهاز العسكري'!$M$2:$M$631,"&lt;&gt;")</f>
        <v>2</v>
      </c>
      <c r="N99" s="19">
        <f>IF($L99=0,0,ROUND((SUMIFS('المرتبطة بسمو الوزير'!$M$2:$M$151,'المرتبطة بسمو الوزير'!$B$2:$B$151,$B99,'المرتبطة بسمو الوزير'!$G$2:$G$151,$G99,'المرتبطة بسمو الوزير'!$I$2:$I$151,$I99)+SUMIFS('الشؤون التنفيذية'!$N$2:$N$421,'الشؤون التنفيذية'!$B$2:$B$421,$B99,'الشؤون التنفيذية'!$G$2:$G$421,$G99,'الشؤون التنفيذية'!$I$2:$I$421,$I99)+SUMIFS('الجهاز العسكري'!$M$2:$M$631,'الجهاز العسكري'!$B$2:$B$631,$B99,'الجهاز العسكري'!$G$2:$G$631,$G99,'الجهاز العسكري'!$I$2:$I$631,$I99))/$L99,0))</f>
        <v>70</v>
      </c>
      <c r="O99" s="18"/>
      <c r="P99" s="15">
        <f>SUMIFS(المرجع!$G$2:$G$19,المرجع!$B$2:$B$19,$G99,المرجع!$E$2:$E$19,$I99)</f>
        <v>15</v>
      </c>
      <c r="Q99" s="20">
        <f t="shared" si="2"/>
        <v>10.5</v>
      </c>
      <c r="R99" s="21" t="str">
        <f>IF($N99&gt;المرجع!$K$3,"متقدم",IF($N99&lt;=المرجع!$K$2,"أولي","جزئي"))</f>
        <v>جزئي</v>
      </c>
    </row>
    <row r="100" spans="1:18">
      <c r="A100" s="16" t="s">
        <v>1540</v>
      </c>
      <c r="B100" s="16" t="s">
        <v>154</v>
      </c>
      <c r="C100" s="15" t="str">
        <f>IFERROR(INDEX('قائمة الوحدات'!$B$2:$B$41,MATCH($B100,'قائمة الوحدات'!$A$2:$A$41,0)),"")</f>
        <v>EXE</v>
      </c>
      <c r="D100" s="14" t="str">
        <f>IFERROR(INDEX('قائمة الوحدات'!$C$2:$C$41,MATCH($B100,'قائمة الوحدات'!$A$2:$A$41,0)),"")</f>
        <v>الشؤون التنفيذية</v>
      </c>
      <c r="E100" s="14" t="str">
        <f>IFERROR(INDEX('قائمة الوحدات'!$D$2:$D$41,MATCH($B100,'قائمة الوحدات'!$A$2:$A$41,0)),"")</f>
        <v>وكالة الشؤون الفنية</v>
      </c>
      <c r="F100" s="14" t="str">
        <f>IFERROR(INDEX('قائمة الوحدات'!$F$2:$F$41,MATCH($B100,'قائمة الوحدات'!$A$2:$A$41,0)),"")</f>
        <v>الإدارة العامة للتخطيط والدراسات</v>
      </c>
      <c r="G100" s="16" t="s">
        <v>61</v>
      </c>
      <c r="H100" s="14" t="str">
        <f>IFERROR(INDEX(المرجع!$A$2:$A$19,MATCH($G100,المرجع!$B$2:$B$19,0)),"")</f>
        <v>البناء المؤسسي</v>
      </c>
      <c r="I100" s="16" t="s">
        <v>51</v>
      </c>
      <c r="J100" s="14" t="str">
        <f>IFERROR(INDEX(المرجع!$D$2:$D$19,MATCH($I100,المرجع!$E$2:$E$19,0)),"")</f>
        <v>الحوكمة</v>
      </c>
      <c r="K100" s="15">
        <f>IFERROR(INDEX(المرجع!$F$2:$F$19,MATCH($I100,المرجع!$E$2:$E$19,0)),"")</f>
        <v>3</v>
      </c>
      <c r="L100" s="15">
        <f>SUMIFS(المرجع!$H$2:$H$19,المرجع!$B$2:$B$19,$G100,المرجع!$E$2:$E$19,$I100)</f>
        <v>3</v>
      </c>
      <c r="M100" s="15">
        <f>COUNTIFS('المرتبطة بسمو الوزير'!$B$2:$B$151,$B100,'المرتبطة بسمو الوزير'!$G$2:$G$151,$G100,'المرتبطة بسمو الوزير'!$I$2:$I$151,$I100,'المرتبطة بسمو الوزير'!$M$2:$M$151,"&lt;&gt;")+COUNTIFS('الشؤون التنفيذية'!$B$2:$B$421,$B100,'الشؤون التنفيذية'!$G$2:$G$421,$G100,'الشؤون التنفيذية'!$I$2:$I$421,$I100,'الشؤون التنفيذية'!$N$2:$N$421,"&lt;&gt;")+COUNTIFS('الجهاز العسكري'!$B$2:$B$631,$B100,'الجهاز العسكري'!$G$2:$G$631,$G100,'الجهاز العسكري'!$I$2:$I$631,$I100,'الجهاز العسكري'!$M$2:$M$631,"&lt;&gt;")</f>
        <v>3</v>
      </c>
      <c r="N100" s="19">
        <f>IF($L100=0,0,ROUND((SUMIFS('المرتبطة بسمو الوزير'!$M$2:$M$151,'المرتبطة بسمو الوزير'!$B$2:$B$151,$B100,'المرتبطة بسمو الوزير'!$G$2:$G$151,$G100,'المرتبطة بسمو الوزير'!$I$2:$I$151,$I100)+SUMIFS('الشؤون التنفيذية'!$N$2:$N$421,'الشؤون التنفيذية'!$B$2:$B$421,$B100,'الشؤون التنفيذية'!$G$2:$G$421,$G100,'الشؤون التنفيذية'!$I$2:$I$421,$I100)+SUMIFS('الجهاز العسكري'!$M$2:$M$631,'الجهاز العسكري'!$B$2:$B$631,$B100,'الجهاز العسكري'!$G$2:$G$631,$G100,'الجهاز العسكري'!$I$2:$I$631,$I100))/$L100,0))</f>
        <v>82</v>
      </c>
      <c r="O100" s="18"/>
      <c r="P100" s="15">
        <f>SUMIFS(المرجع!$G$2:$G$19,المرجع!$B$2:$B$19,$G100,المرجع!$E$2:$E$19,$I100)</f>
        <v>15</v>
      </c>
      <c r="Q100" s="20">
        <f t="shared" si="2"/>
        <v>12.3</v>
      </c>
      <c r="R100" s="21" t="str">
        <f>IF($N100&gt;المرجع!$K$3,"متقدم",IF($N100&lt;=المرجع!$K$2,"أولي","جزئي"))</f>
        <v>متقدم</v>
      </c>
    </row>
    <row r="101" spans="1:18">
      <c r="A101" s="16" t="s">
        <v>1541</v>
      </c>
      <c r="B101" s="16" t="s">
        <v>154</v>
      </c>
      <c r="C101" s="15" t="str">
        <f>IFERROR(INDEX('قائمة الوحدات'!$B$2:$B$41,MATCH($B101,'قائمة الوحدات'!$A$2:$A$41,0)),"")</f>
        <v>EXE</v>
      </c>
      <c r="D101" s="14" t="str">
        <f>IFERROR(INDEX('قائمة الوحدات'!$C$2:$C$41,MATCH($B101,'قائمة الوحدات'!$A$2:$A$41,0)),"")</f>
        <v>الشؤون التنفيذية</v>
      </c>
      <c r="E101" s="14" t="str">
        <f>IFERROR(INDEX('قائمة الوحدات'!$D$2:$D$41,MATCH($B101,'قائمة الوحدات'!$A$2:$A$41,0)),"")</f>
        <v>وكالة الشؤون الفنية</v>
      </c>
      <c r="F101" s="14" t="str">
        <f>IFERROR(INDEX('قائمة الوحدات'!$F$2:$F$41,MATCH($B101,'قائمة الوحدات'!$A$2:$A$41,0)),"")</f>
        <v>الإدارة العامة للتخطيط والدراسات</v>
      </c>
      <c r="G101" s="16" t="s">
        <v>61</v>
      </c>
      <c r="H101" s="14" t="str">
        <f>IFERROR(INDEX(المرجع!$A$2:$A$19,MATCH($G101,المرجع!$B$2:$B$19,0)),"")</f>
        <v>البناء المؤسسي</v>
      </c>
      <c r="I101" s="16" t="s">
        <v>54</v>
      </c>
      <c r="J101" s="14" t="str">
        <f>IFERROR(INDEX(المرجع!$D$2:$D$19,MATCH($I101,المرجع!$E$2:$E$19,0)),"")</f>
        <v>التنظيم</v>
      </c>
      <c r="K101" s="15">
        <f>IFERROR(INDEX(المرجع!$F$2:$F$19,MATCH($I101,المرجع!$E$2:$E$19,0)),"")</f>
        <v>4</v>
      </c>
      <c r="L101" s="15">
        <f>SUMIFS(المرجع!$H$2:$H$19,المرجع!$B$2:$B$19,$G101,المرجع!$E$2:$E$19,$I101)</f>
        <v>3</v>
      </c>
      <c r="M101" s="15">
        <f>COUNTIFS('المرتبطة بسمو الوزير'!$B$2:$B$151,$B101,'المرتبطة بسمو الوزير'!$G$2:$G$151,$G101,'المرتبطة بسمو الوزير'!$I$2:$I$151,$I101,'المرتبطة بسمو الوزير'!$M$2:$M$151,"&lt;&gt;")+COUNTIFS('الشؤون التنفيذية'!$B$2:$B$421,$B101,'الشؤون التنفيذية'!$G$2:$G$421,$G101,'الشؤون التنفيذية'!$I$2:$I$421,$I101,'الشؤون التنفيذية'!$N$2:$N$421,"&lt;&gt;")+COUNTIFS('الجهاز العسكري'!$B$2:$B$631,$B101,'الجهاز العسكري'!$G$2:$G$631,$G101,'الجهاز العسكري'!$I$2:$I$631,$I101,'الجهاز العسكري'!$M$2:$M$631,"&lt;&gt;")</f>
        <v>3</v>
      </c>
      <c r="N101" s="19">
        <f>IF($L101=0,0,ROUND((SUMIFS('المرتبطة بسمو الوزير'!$M$2:$M$151,'المرتبطة بسمو الوزير'!$B$2:$B$151,$B101,'المرتبطة بسمو الوزير'!$G$2:$G$151,$G101,'المرتبطة بسمو الوزير'!$I$2:$I$151,$I101)+SUMIFS('الشؤون التنفيذية'!$N$2:$N$421,'الشؤون التنفيذية'!$B$2:$B$421,$B101,'الشؤون التنفيذية'!$G$2:$G$421,$G101,'الشؤون التنفيذية'!$I$2:$I$421,$I101)+SUMIFS('الجهاز العسكري'!$M$2:$M$631,'الجهاز العسكري'!$B$2:$B$631,$B101,'الجهاز العسكري'!$G$2:$G$631,$G101,'الجهاز العسكري'!$I$2:$I$631,$I101))/$L101,0))</f>
        <v>82</v>
      </c>
      <c r="O101" s="18"/>
      <c r="P101" s="15">
        <f>SUMIFS(المرجع!$G$2:$G$19,المرجع!$B$2:$B$19,$G101,المرجع!$E$2:$E$19,$I101)</f>
        <v>20</v>
      </c>
      <c r="Q101" s="20">
        <f t="shared" si="2"/>
        <v>16.399999999999999</v>
      </c>
      <c r="R101" s="21" t="str">
        <f>IF($N101&gt;المرجع!$K$3,"متقدم",IF($N101&lt;=المرجع!$K$2,"أولي","جزئي"))</f>
        <v>متقدم</v>
      </c>
    </row>
    <row r="102" spans="1:18">
      <c r="A102" s="16" t="s">
        <v>1542</v>
      </c>
      <c r="B102" s="16" t="s">
        <v>154</v>
      </c>
      <c r="C102" s="15" t="str">
        <f>IFERROR(INDEX('قائمة الوحدات'!$B$2:$B$41,MATCH($B102,'قائمة الوحدات'!$A$2:$A$41,0)),"")</f>
        <v>EXE</v>
      </c>
      <c r="D102" s="14" t="str">
        <f>IFERROR(INDEX('قائمة الوحدات'!$C$2:$C$41,MATCH($B102,'قائمة الوحدات'!$A$2:$A$41,0)),"")</f>
        <v>الشؤون التنفيذية</v>
      </c>
      <c r="E102" s="14" t="str">
        <f>IFERROR(INDEX('قائمة الوحدات'!$D$2:$D$41,MATCH($B102,'قائمة الوحدات'!$A$2:$A$41,0)),"")</f>
        <v>وكالة الشؤون الفنية</v>
      </c>
      <c r="F102" s="14" t="str">
        <f>IFERROR(INDEX('قائمة الوحدات'!$F$2:$F$41,MATCH($B102,'قائمة الوحدات'!$A$2:$A$41,0)),"")</f>
        <v>الإدارة العامة للتخطيط والدراسات</v>
      </c>
      <c r="G102" s="16" t="s">
        <v>61</v>
      </c>
      <c r="H102" s="14" t="str">
        <f>IFERROR(INDEX(المرجع!$A$2:$A$19,MATCH($G102,المرجع!$B$2:$B$19,0)),"")</f>
        <v>البناء المؤسسي</v>
      </c>
      <c r="I102" s="16" t="s">
        <v>56</v>
      </c>
      <c r="J102" s="14" t="str">
        <f>IFERROR(INDEX(المرجع!$D$2:$D$19,MATCH($I102,المرجع!$E$2:$E$19,0)),"")</f>
        <v>الموارد</v>
      </c>
      <c r="K102" s="15">
        <f>IFERROR(INDEX(المرجع!$F$2:$F$19,MATCH($I102,المرجع!$E$2:$E$19,0)),"")</f>
        <v>5</v>
      </c>
      <c r="L102" s="15">
        <f>SUMIFS(المرجع!$H$2:$H$19,المرجع!$B$2:$B$19,$G102,المرجع!$E$2:$E$19,$I102)</f>
        <v>4</v>
      </c>
      <c r="M102" s="15">
        <f>COUNTIFS('المرتبطة بسمو الوزير'!$B$2:$B$151,$B102,'المرتبطة بسمو الوزير'!$G$2:$G$151,$G102,'المرتبطة بسمو الوزير'!$I$2:$I$151,$I102,'المرتبطة بسمو الوزير'!$M$2:$M$151,"&lt;&gt;")+COUNTIFS('الشؤون التنفيذية'!$B$2:$B$421,$B102,'الشؤون التنفيذية'!$G$2:$G$421,$G102,'الشؤون التنفيذية'!$I$2:$I$421,$I102,'الشؤون التنفيذية'!$N$2:$N$421,"&lt;&gt;")+COUNTIFS('الجهاز العسكري'!$B$2:$B$631,$B102,'الجهاز العسكري'!$G$2:$G$631,$G102,'الجهاز العسكري'!$I$2:$I$631,$I102,'الجهاز العسكري'!$M$2:$M$631,"&lt;&gt;")</f>
        <v>4</v>
      </c>
      <c r="N102" s="19">
        <f>IF($L102=0,0,ROUND((SUMIFS('المرتبطة بسمو الوزير'!$M$2:$M$151,'المرتبطة بسمو الوزير'!$B$2:$B$151,$B102,'المرتبطة بسمو الوزير'!$G$2:$G$151,$G102,'المرتبطة بسمو الوزير'!$I$2:$I$151,$I102)+SUMIFS('الشؤون التنفيذية'!$N$2:$N$421,'الشؤون التنفيذية'!$B$2:$B$421,$B102,'الشؤون التنفيذية'!$G$2:$G$421,$G102,'الشؤون التنفيذية'!$I$2:$I$421,$I102)+SUMIFS('الجهاز العسكري'!$M$2:$M$631,'الجهاز العسكري'!$B$2:$B$631,$B102,'الجهاز العسكري'!$G$2:$G$631,$G102,'الجهاز العسكري'!$I$2:$I$631,$I102))/$L102,0))</f>
        <v>53</v>
      </c>
      <c r="O102" s="18"/>
      <c r="P102" s="15">
        <f>SUMIFS(المرجع!$G$2:$G$19,المرجع!$B$2:$B$19,$G102,المرجع!$E$2:$E$19,$I102)</f>
        <v>25</v>
      </c>
      <c r="Q102" s="20">
        <f t="shared" si="2"/>
        <v>13.25</v>
      </c>
      <c r="R102" s="21" t="str">
        <f>IF($N102&gt;المرجع!$K$3,"متقدم",IF($N102&lt;=المرجع!$K$2,"أولي","جزئي"))</f>
        <v>جزئي</v>
      </c>
    </row>
    <row r="103" spans="1:18">
      <c r="A103" s="16" t="s">
        <v>1543</v>
      </c>
      <c r="B103" s="16" t="s">
        <v>154</v>
      </c>
      <c r="C103" s="15" t="str">
        <f>IFERROR(INDEX('قائمة الوحدات'!$B$2:$B$41,MATCH($B103,'قائمة الوحدات'!$A$2:$A$41,0)),"")</f>
        <v>EXE</v>
      </c>
      <c r="D103" s="14" t="str">
        <f>IFERROR(INDEX('قائمة الوحدات'!$C$2:$C$41,MATCH($B103,'قائمة الوحدات'!$A$2:$A$41,0)),"")</f>
        <v>الشؤون التنفيذية</v>
      </c>
      <c r="E103" s="14" t="str">
        <f>IFERROR(INDEX('قائمة الوحدات'!$D$2:$D$41,MATCH($B103,'قائمة الوحدات'!$A$2:$A$41,0)),"")</f>
        <v>وكالة الشؤون الفنية</v>
      </c>
      <c r="F103" s="14" t="str">
        <f>IFERROR(INDEX('قائمة الوحدات'!$F$2:$F$41,MATCH($B103,'قائمة الوحدات'!$A$2:$A$41,0)),"")</f>
        <v>الإدارة العامة للتخطيط والدراسات</v>
      </c>
      <c r="G103" s="16" t="s">
        <v>61</v>
      </c>
      <c r="H103" s="14" t="str">
        <f>IFERROR(INDEX(المرجع!$A$2:$A$19,MATCH($G103,المرجع!$B$2:$B$19,0)),"")</f>
        <v>البناء المؤسسي</v>
      </c>
      <c r="I103" s="16" t="s">
        <v>59</v>
      </c>
      <c r="J103" s="14" t="str">
        <f>IFERROR(INDEX(المرجع!$D$2:$D$19,MATCH($I103,المرجع!$E$2:$E$19,0)),"")</f>
        <v>الإجراءات</v>
      </c>
      <c r="K103" s="15">
        <f>IFERROR(INDEX(المرجع!$F$2:$F$19,MATCH($I103,المرجع!$E$2:$E$19,0)),"")</f>
        <v>6</v>
      </c>
      <c r="L103" s="15">
        <f>SUMIFS(المرجع!$H$2:$H$19,المرجع!$B$2:$B$19,$G103,المرجع!$E$2:$E$19,$I103)</f>
        <v>1</v>
      </c>
      <c r="M103" s="15">
        <f>COUNTIFS('المرتبطة بسمو الوزير'!$B$2:$B$151,$B103,'المرتبطة بسمو الوزير'!$G$2:$G$151,$G103,'المرتبطة بسمو الوزير'!$I$2:$I$151,$I103,'المرتبطة بسمو الوزير'!$M$2:$M$151,"&lt;&gt;")+COUNTIFS('الشؤون التنفيذية'!$B$2:$B$421,$B103,'الشؤون التنفيذية'!$G$2:$G$421,$G103,'الشؤون التنفيذية'!$I$2:$I$421,$I103,'الشؤون التنفيذية'!$N$2:$N$421,"&lt;&gt;")+COUNTIFS('الجهاز العسكري'!$B$2:$B$631,$B103,'الجهاز العسكري'!$G$2:$G$631,$G103,'الجهاز العسكري'!$I$2:$I$631,$I103,'الجهاز العسكري'!$M$2:$M$631,"&lt;&gt;")</f>
        <v>1</v>
      </c>
      <c r="N103" s="19">
        <f>IF($L103=0,0,ROUND((SUMIFS('المرتبطة بسمو الوزير'!$M$2:$M$151,'المرتبطة بسمو الوزير'!$B$2:$B$151,$B103,'المرتبطة بسمو الوزير'!$G$2:$G$151,$G103,'المرتبطة بسمو الوزير'!$I$2:$I$151,$I103)+SUMIFS('الشؤون التنفيذية'!$N$2:$N$421,'الشؤون التنفيذية'!$B$2:$B$421,$B103,'الشؤون التنفيذية'!$G$2:$G$421,$G103,'الشؤون التنفيذية'!$I$2:$I$421,$I103)+SUMIFS('الجهاز العسكري'!$M$2:$M$631,'الجهاز العسكري'!$B$2:$B$631,$B103,'الجهاز العسكري'!$G$2:$G$631,$G103,'الجهاز العسكري'!$I$2:$I$631,$I103))/$L103,0))</f>
        <v>59</v>
      </c>
      <c r="O103" s="18"/>
      <c r="P103" s="15">
        <f>SUMIFS(المرجع!$G$2:$G$19,المرجع!$B$2:$B$19,$G103,المرجع!$E$2:$E$19,$I103)</f>
        <v>5</v>
      </c>
      <c r="Q103" s="20">
        <f t="shared" si="2"/>
        <v>2.95</v>
      </c>
      <c r="R103" s="21" t="str">
        <f>IF($N103&gt;المرجع!$K$3,"متقدم",IF($N103&lt;=المرجع!$K$2,"أولي","جزئي"))</f>
        <v>جزئي</v>
      </c>
    </row>
    <row r="104" spans="1:18">
      <c r="A104" s="16" t="s">
        <v>1544</v>
      </c>
      <c r="B104" s="16" t="s">
        <v>154</v>
      </c>
      <c r="C104" s="15" t="str">
        <f>IFERROR(INDEX('قائمة الوحدات'!$B$2:$B$41,MATCH($B104,'قائمة الوحدات'!$A$2:$A$41,0)),"")</f>
        <v>EXE</v>
      </c>
      <c r="D104" s="14" t="str">
        <f>IFERROR(INDEX('قائمة الوحدات'!$C$2:$C$41,MATCH($B104,'قائمة الوحدات'!$A$2:$A$41,0)),"")</f>
        <v>الشؤون التنفيذية</v>
      </c>
      <c r="E104" s="14" t="str">
        <f>IFERROR(INDEX('قائمة الوحدات'!$D$2:$D$41,MATCH($B104,'قائمة الوحدات'!$A$2:$A$41,0)),"")</f>
        <v>وكالة الشؤون الفنية</v>
      </c>
      <c r="F104" s="14" t="str">
        <f>IFERROR(INDEX('قائمة الوحدات'!$F$2:$F$41,MATCH($B104,'قائمة الوحدات'!$A$2:$A$41,0)),"")</f>
        <v>الإدارة العامة للتخطيط والدراسات</v>
      </c>
      <c r="G104" s="16" t="s">
        <v>61</v>
      </c>
      <c r="H104" s="14" t="str">
        <f>IFERROR(INDEX(المرجع!$A$2:$A$19,MATCH($G104,المرجع!$B$2:$B$19,0)),"")</f>
        <v>البناء المؤسسي</v>
      </c>
      <c r="I104" s="16" t="s">
        <v>63</v>
      </c>
      <c r="J104" s="14" t="str">
        <f>IFERROR(INDEX(المرجع!$D$2:$D$19,MATCH($I104,المرجع!$E$2:$E$19,0)),"")</f>
        <v>إنتاج المخرج الأول</v>
      </c>
      <c r="K104" s="15">
        <f>IFERROR(INDEX(المرجع!$F$2:$F$19,MATCH($I104,المرجع!$E$2:$E$19,0)),"")</f>
        <v>7</v>
      </c>
      <c r="L104" s="15">
        <f>SUMIFS(المرجع!$H$2:$H$19,المرجع!$B$2:$B$19,$G104,المرجع!$E$2:$E$19,$I104)</f>
        <v>1</v>
      </c>
      <c r="M104" s="15">
        <f>COUNTIFS('المرتبطة بسمو الوزير'!$B$2:$B$151,$B104,'المرتبطة بسمو الوزير'!$G$2:$G$151,$G104,'المرتبطة بسمو الوزير'!$I$2:$I$151,$I104,'المرتبطة بسمو الوزير'!$M$2:$M$151,"&lt;&gt;")+COUNTIFS('الشؤون التنفيذية'!$B$2:$B$421,$B104,'الشؤون التنفيذية'!$G$2:$G$421,$G104,'الشؤون التنفيذية'!$I$2:$I$421,$I104,'الشؤون التنفيذية'!$N$2:$N$421,"&lt;&gt;")+COUNTIFS('الجهاز العسكري'!$B$2:$B$631,$B104,'الجهاز العسكري'!$G$2:$G$631,$G104,'الجهاز العسكري'!$I$2:$I$631,$I104,'الجهاز العسكري'!$M$2:$M$631,"&lt;&gt;")</f>
        <v>1</v>
      </c>
      <c r="N104" s="19">
        <f>IF($L104=0,0,ROUND((SUMIFS('المرتبطة بسمو الوزير'!$M$2:$M$151,'المرتبطة بسمو الوزير'!$B$2:$B$151,$B104,'المرتبطة بسمو الوزير'!$G$2:$G$151,$G104,'المرتبطة بسمو الوزير'!$I$2:$I$151,$I104)+SUMIFS('الشؤون التنفيذية'!$N$2:$N$421,'الشؤون التنفيذية'!$B$2:$B$421,$B104,'الشؤون التنفيذية'!$G$2:$G$421,$G104,'الشؤون التنفيذية'!$I$2:$I$421,$I104)+SUMIFS('الجهاز العسكري'!$M$2:$M$631,'الجهاز العسكري'!$B$2:$B$631,$B104,'الجهاز العسكري'!$G$2:$G$631,$G104,'الجهاز العسكري'!$I$2:$I$631,$I104))/$L104,0))</f>
        <v>56</v>
      </c>
      <c r="O104" s="18"/>
      <c r="P104" s="15">
        <f>SUMIFS(المرجع!$G$2:$G$19,المرجع!$B$2:$B$19,$G104,المرجع!$E$2:$E$19,$I104)</f>
        <v>5</v>
      </c>
      <c r="Q104" s="20">
        <f t="shared" si="2"/>
        <v>2.8</v>
      </c>
      <c r="R104" s="21" t="str">
        <f>IF($N104&gt;المرجع!$K$3,"متقدم",IF($N104&lt;=المرجع!$K$2,"أولي","جزئي"))</f>
        <v>جزئي</v>
      </c>
    </row>
    <row r="105" spans="1:18">
      <c r="A105" s="16" t="s">
        <v>1545</v>
      </c>
      <c r="B105" s="16" t="s">
        <v>154</v>
      </c>
      <c r="C105" s="15" t="str">
        <f>IFERROR(INDEX('قائمة الوحدات'!$B$2:$B$41,MATCH($B105,'قائمة الوحدات'!$A$2:$A$41,0)),"")</f>
        <v>EXE</v>
      </c>
      <c r="D105" s="14" t="str">
        <f>IFERROR(INDEX('قائمة الوحدات'!$C$2:$C$41,MATCH($B105,'قائمة الوحدات'!$A$2:$A$41,0)),"")</f>
        <v>الشؤون التنفيذية</v>
      </c>
      <c r="E105" s="14" t="str">
        <f>IFERROR(INDEX('قائمة الوحدات'!$D$2:$D$41,MATCH($B105,'قائمة الوحدات'!$A$2:$A$41,0)),"")</f>
        <v>وكالة الشؤون الفنية</v>
      </c>
      <c r="F105" s="14" t="str">
        <f>IFERROR(INDEX('قائمة الوحدات'!$F$2:$F$41,MATCH($B105,'قائمة الوحدات'!$A$2:$A$41,0)),"")</f>
        <v>الإدارة العامة للتخطيط والدراسات</v>
      </c>
      <c r="G105" s="16" t="s">
        <v>65</v>
      </c>
      <c r="H105" s="14" t="str">
        <f>IFERROR(INDEX(المرجع!$A$2:$A$19,MATCH($G105,المرجع!$B$2:$B$19,0)),"")</f>
        <v>التشغيل</v>
      </c>
      <c r="I105" s="16" t="s">
        <v>48</v>
      </c>
      <c r="J105" s="14" t="str">
        <f>IFERROR(INDEX(المرجع!$D$2:$D$19,MATCH($I105,المرجع!$E$2:$E$19,0)),"")</f>
        <v>الأهداف ومؤشرات الأداء</v>
      </c>
      <c r="K105" s="15">
        <f>IFERROR(INDEX(المرجع!$F$2:$F$19,MATCH($I105,المرجع!$E$2:$E$19,0)),"")</f>
        <v>2</v>
      </c>
      <c r="L105" s="15">
        <f>SUMIFS(المرجع!$H$2:$H$19,المرجع!$B$2:$B$19,$G105,المرجع!$E$2:$E$19,$I105)</f>
        <v>2</v>
      </c>
      <c r="M105" s="15">
        <f>COUNTIFS('المرتبطة بسمو الوزير'!$B$2:$B$151,$B105,'المرتبطة بسمو الوزير'!$G$2:$G$151,$G105,'المرتبطة بسمو الوزير'!$I$2:$I$151,$I105,'المرتبطة بسمو الوزير'!$M$2:$M$151,"&lt;&gt;")+COUNTIFS('الشؤون التنفيذية'!$B$2:$B$421,$B105,'الشؤون التنفيذية'!$G$2:$G$421,$G105,'الشؤون التنفيذية'!$I$2:$I$421,$I105,'الشؤون التنفيذية'!$N$2:$N$421,"&lt;&gt;")+COUNTIFS('الجهاز العسكري'!$B$2:$B$631,$B105,'الجهاز العسكري'!$G$2:$G$631,$G105,'الجهاز العسكري'!$I$2:$I$631,$I105,'الجهاز العسكري'!$M$2:$M$631,"&lt;&gt;")</f>
        <v>2</v>
      </c>
      <c r="N105" s="19">
        <f>IF($L105=0,0,ROUND((SUMIFS('المرتبطة بسمو الوزير'!$M$2:$M$151,'المرتبطة بسمو الوزير'!$B$2:$B$151,$B105,'المرتبطة بسمو الوزير'!$G$2:$G$151,$G105,'المرتبطة بسمو الوزير'!$I$2:$I$151,$I105)+SUMIFS('الشؤون التنفيذية'!$N$2:$N$421,'الشؤون التنفيذية'!$B$2:$B$421,$B105,'الشؤون التنفيذية'!$G$2:$G$421,$G105,'الشؤون التنفيذية'!$I$2:$I$421,$I105)+SUMIFS('الجهاز العسكري'!$M$2:$M$631,'الجهاز العسكري'!$B$2:$B$631,$B105,'الجهاز العسكري'!$G$2:$G$631,$G105,'الجهاز العسكري'!$I$2:$I$631,$I105))/$L105,0))</f>
        <v>58</v>
      </c>
      <c r="O105" s="18"/>
      <c r="P105" s="15">
        <f>SUMIFS(المرجع!$G$2:$G$19,المرجع!$B$2:$B$19,$G105,المرجع!$E$2:$E$19,$I105)</f>
        <v>25</v>
      </c>
      <c r="Q105" s="20">
        <f t="shared" si="2"/>
        <v>14.5</v>
      </c>
      <c r="R105" s="21" t="str">
        <f>IF($N105&gt;المرجع!$K$3,"متقدم",IF($N105&lt;=المرجع!$K$2,"أولي","جزئي"))</f>
        <v>جزئي</v>
      </c>
    </row>
    <row r="106" spans="1:18">
      <c r="A106" s="16" t="s">
        <v>1546</v>
      </c>
      <c r="B106" s="16" t="s">
        <v>154</v>
      </c>
      <c r="C106" s="15" t="str">
        <f>IFERROR(INDEX('قائمة الوحدات'!$B$2:$B$41,MATCH($B106,'قائمة الوحدات'!$A$2:$A$41,0)),"")</f>
        <v>EXE</v>
      </c>
      <c r="D106" s="14" t="str">
        <f>IFERROR(INDEX('قائمة الوحدات'!$C$2:$C$41,MATCH($B106,'قائمة الوحدات'!$A$2:$A$41,0)),"")</f>
        <v>الشؤون التنفيذية</v>
      </c>
      <c r="E106" s="14" t="str">
        <f>IFERROR(INDEX('قائمة الوحدات'!$D$2:$D$41,MATCH($B106,'قائمة الوحدات'!$A$2:$A$41,0)),"")</f>
        <v>وكالة الشؤون الفنية</v>
      </c>
      <c r="F106" s="14" t="str">
        <f>IFERROR(INDEX('قائمة الوحدات'!$F$2:$F$41,MATCH($B106,'قائمة الوحدات'!$A$2:$A$41,0)),"")</f>
        <v>الإدارة العامة للتخطيط والدراسات</v>
      </c>
      <c r="G106" s="16" t="s">
        <v>65</v>
      </c>
      <c r="H106" s="14" t="str">
        <f>IFERROR(INDEX(المرجع!$A$2:$A$19,MATCH($G106,المرجع!$B$2:$B$19,0)),"")</f>
        <v>التشغيل</v>
      </c>
      <c r="I106" s="16" t="s">
        <v>51</v>
      </c>
      <c r="J106" s="14" t="str">
        <f>IFERROR(INDEX(المرجع!$D$2:$D$19,MATCH($I106,المرجع!$E$2:$E$19,0)),"")</f>
        <v>الحوكمة</v>
      </c>
      <c r="K106" s="15">
        <f>IFERROR(INDEX(المرجع!$F$2:$F$19,MATCH($I106,المرجع!$E$2:$E$19,0)),"")</f>
        <v>3</v>
      </c>
      <c r="L106" s="15">
        <f>SUMIFS(المرجع!$H$2:$H$19,المرجع!$B$2:$B$19,$G106,المرجع!$E$2:$E$19,$I106)</f>
        <v>3</v>
      </c>
      <c r="M106" s="15">
        <f>COUNTIFS('المرتبطة بسمو الوزير'!$B$2:$B$151,$B106,'المرتبطة بسمو الوزير'!$G$2:$G$151,$G106,'المرتبطة بسمو الوزير'!$I$2:$I$151,$I106,'المرتبطة بسمو الوزير'!$M$2:$M$151,"&lt;&gt;")+COUNTIFS('الشؤون التنفيذية'!$B$2:$B$421,$B106,'الشؤون التنفيذية'!$G$2:$G$421,$G106,'الشؤون التنفيذية'!$I$2:$I$421,$I106,'الشؤون التنفيذية'!$N$2:$N$421,"&lt;&gt;")+COUNTIFS('الجهاز العسكري'!$B$2:$B$631,$B106,'الجهاز العسكري'!$G$2:$G$631,$G106,'الجهاز العسكري'!$I$2:$I$631,$I106,'الجهاز العسكري'!$M$2:$M$631,"&lt;&gt;")</f>
        <v>3</v>
      </c>
      <c r="N106" s="19">
        <f>IF($L106=0,0,ROUND((SUMIFS('المرتبطة بسمو الوزير'!$M$2:$M$151,'المرتبطة بسمو الوزير'!$B$2:$B$151,$B106,'المرتبطة بسمو الوزير'!$G$2:$G$151,$G106,'المرتبطة بسمو الوزير'!$I$2:$I$151,$I106)+SUMIFS('الشؤون التنفيذية'!$N$2:$N$421,'الشؤون التنفيذية'!$B$2:$B$421,$B106,'الشؤون التنفيذية'!$G$2:$G$421,$G106,'الشؤون التنفيذية'!$I$2:$I$421,$I106)+SUMIFS('الجهاز العسكري'!$M$2:$M$631,'الجهاز العسكري'!$B$2:$B$631,$B106,'الجهاز العسكري'!$G$2:$G$631,$G106,'الجهاز العسكري'!$I$2:$I$631,$I106))/$L106,0))</f>
        <v>33</v>
      </c>
      <c r="O106" s="18"/>
      <c r="P106" s="15">
        <f>SUMIFS(المرجع!$G$2:$G$19,المرجع!$B$2:$B$19,$G106,المرجع!$E$2:$E$19,$I106)</f>
        <v>15</v>
      </c>
      <c r="Q106" s="20">
        <f t="shared" si="2"/>
        <v>4.95</v>
      </c>
      <c r="R106" s="21" t="str">
        <f>IF($N106&gt;المرجع!$K$3,"متقدم",IF($N106&lt;=المرجع!$K$2,"أولي","جزئي"))</f>
        <v>جزئي</v>
      </c>
    </row>
    <row r="107" spans="1:18">
      <c r="A107" s="16" t="s">
        <v>1547</v>
      </c>
      <c r="B107" s="16" t="s">
        <v>154</v>
      </c>
      <c r="C107" s="15" t="str">
        <f>IFERROR(INDEX('قائمة الوحدات'!$B$2:$B$41,MATCH($B107,'قائمة الوحدات'!$A$2:$A$41,0)),"")</f>
        <v>EXE</v>
      </c>
      <c r="D107" s="14" t="str">
        <f>IFERROR(INDEX('قائمة الوحدات'!$C$2:$C$41,MATCH($B107,'قائمة الوحدات'!$A$2:$A$41,0)),"")</f>
        <v>الشؤون التنفيذية</v>
      </c>
      <c r="E107" s="14" t="str">
        <f>IFERROR(INDEX('قائمة الوحدات'!$D$2:$D$41,MATCH($B107,'قائمة الوحدات'!$A$2:$A$41,0)),"")</f>
        <v>وكالة الشؤون الفنية</v>
      </c>
      <c r="F107" s="14" t="str">
        <f>IFERROR(INDEX('قائمة الوحدات'!$F$2:$F$41,MATCH($B107,'قائمة الوحدات'!$A$2:$A$41,0)),"")</f>
        <v>الإدارة العامة للتخطيط والدراسات</v>
      </c>
      <c r="G107" s="16" t="s">
        <v>65</v>
      </c>
      <c r="H107" s="14" t="str">
        <f>IFERROR(INDEX(المرجع!$A$2:$A$19,MATCH($G107,المرجع!$B$2:$B$19,0)),"")</f>
        <v>التشغيل</v>
      </c>
      <c r="I107" s="16" t="s">
        <v>56</v>
      </c>
      <c r="J107" s="14" t="str">
        <f>IFERROR(INDEX(المرجع!$D$2:$D$19,MATCH($I107,المرجع!$E$2:$E$19,0)),"")</f>
        <v>الموارد</v>
      </c>
      <c r="K107" s="15">
        <f>IFERROR(INDEX(المرجع!$F$2:$F$19,MATCH($I107,المرجع!$E$2:$E$19,0)),"")</f>
        <v>5</v>
      </c>
      <c r="L107" s="15">
        <f>SUMIFS(المرجع!$H$2:$H$19,المرجع!$B$2:$B$19,$G107,المرجع!$E$2:$E$19,$I107)</f>
        <v>1</v>
      </c>
      <c r="M107" s="15">
        <f>COUNTIFS('المرتبطة بسمو الوزير'!$B$2:$B$151,$B107,'المرتبطة بسمو الوزير'!$G$2:$G$151,$G107,'المرتبطة بسمو الوزير'!$I$2:$I$151,$I107,'المرتبطة بسمو الوزير'!$M$2:$M$151,"&lt;&gt;")+COUNTIFS('الشؤون التنفيذية'!$B$2:$B$421,$B107,'الشؤون التنفيذية'!$G$2:$G$421,$G107,'الشؤون التنفيذية'!$I$2:$I$421,$I107,'الشؤون التنفيذية'!$N$2:$N$421,"&lt;&gt;")+COUNTIFS('الجهاز العسكري'!$B$2:$B$631,$B107,'الجهاز العسكري'!$G$2:$G$631,$G107,'الجهاز العسكري'!$I$2:$I$631,$I107,'الجهاز العسكري'!$M$2:$M$631,"&lt;&gt;")</f>
        <v>1</v>
      </c>
      <c r="N107" s="19">
        <f>IF($L107=0,0,ROUND((SUMIFS('المرتبطة بسمو الوزير'!$M$2:$M$151,'المرتبطة بسمو الوزير'!$B$2:$B$151,$B107,'المرتبطة بسمو الوزير'!$G$2:$G$151,$G107,'المرتبطة بسمو الوزير'!$I$2:$I$151,$I107)+SUMIFS('الشؤون التنفيذية'!$N$2:$N$421,'الشؤون التنفيذية'!$B$2:$B$421,$B107,'الشؤون التنفيذية'!$G$2:$G$421,$G107,'الشؤون التنفيذية'!$I$2:$I$421,$I107)+SUMIFS('الجهاز العسكري'!$M$2:$M$631,'الجهاز العسكري'!$B$2:$B$631,$B107,'الجهاز العسكري'!$G$2:$G$631,$G107,'الجهاز العسكري'!$I$2:$I$631,$I107))/$L107,0))</f>
        <v>24</v>
      </c>
      <c r="O107" s="18"/>
      <c r="P107" s="15">
        <f>SUMIFS(المرجع!$G$2:$G$19,المرجع!$B$2:$B$19,$G107,المرجع!$E$2:$E$19,$I107)</f>
        <v>15</v>
      </c>
      <c r="Q107" s="20">
        <f t="shared" si="2"/>
        <v>3.6</v>
      </c>
      <c r="R107" s="21" t="str">
        <f>IF($N107&gt;المرجع!$K$3,"متقدم",IF($N107&lt;=المرجع!$K$2,"أولي","جزئي"))</f>
        <v>أولي</v>
      </c>
    </row>
    <row r="108" spans="1:18">
      <c r="A108" s="16" t="s">
        <v>1548</v>
      </c>
      <c r="B108" s="16" t="s">
        <v>154</v>
      </c>
      <c r="C108" s="15" t="str">
        <f>IFERROR(INDEX('قائمة الوحدات'!$B$2:$B$41,MATCH($B108,'قائمة الوحدات'!$A$2:$A$41,0)),"")</f>
        <v>EXE</v>
      </c>
      <c r="D108" s="14" t="str">
        <f>IFERROR(INDEX('قائمة الوحدات'!$C$2:$C$41,MATCH($B108,'قائمة الوحدات'!$A$2:$A$41,0)),"")</f>
        <v>الشؤون التنفيذية</v>
      </c>
      <c r="E108" s="14" t="str">
        <f>IFERROR(INDEX('قائمة الوحدات'!$D$2:$D$41,MATCH($B108,'قائمة الوحدات'!$A$2:$A$41,0)),"")</f>
        <v>وكالة الشؤون الفنية</v>
      </c>
      <c r="F108" s="14" t="str">
        <f>IFERROR(INDEX('قائمة الوحدات'!$F$2:$F$41,MATCH($B108,'قائمة الوحدات'!$A$2:$A$41,0)),"")</f>
        <v>الإدارة العامة للتخطيط والدراسات</v>
      </c>
      <c r="G108" s="16" t="s">
        <v>65</v>
      </c>
      <c r="H108" s="14" t="str">
        <f>IFERROR(INDEX(المرجع!$A$2:$A$19,MATCH($G108,المرجع!$B$2:$B$19,0)),"")</f>
        <v>التشغيل</v>
      </c>
      <c r="I108" s="16" t="s">
        <v>59</v>
      </c>
      <c r="J108" s="14" t="str">
        <f>IFERROR(INDEX(المرجع!$D$2:$D$19,MATCH($I108,المرجع!$E$2:$E$19,0)),"")</f>
        <v>الإجراءات</v>
      </c>
      <c r="K108" s="15">
        <f>IFERROR(INDEX(المرجع!$F$2:$F$19,MATCH($I108,المرجع!$E$2:$E$19,0)),"")</f>
        <v>6</v>
      </c>
      <c r="L108" s="15">
        <f>SUMIFS(المرجع!$H$2:$H$19,المرجع!$B$2:$B$19,$G108,المرجع!$E$2:$E$19,$I108)</f>
        <v>1</v>
      </c>
      <c r="M108" s="15">
        <f>COUNTIFS('المرتبطة بسمو الوزير'!$B$2:$B$151,$B108,'المرتبطة بسمو الوزير'!$G$2:$G$151,$G108,'المرتبطة بسمو الوزير'!$I$2:$I$151,$I108,'المرتبطة بسمو الوزير'!$M$2:$M$151,"&lt;&gt;")+COUNTIFS('الشؤون التنفيذية'!$B$2:$B$421,$B108,'الشؤون التنفيذية'!$G$2:$G$421,$G108,'الشؤون التنفيذية'!$I$2:$I$421,$I108,'الشؤون التنفيذية'!$N$2:$N$421,"&lt;&gt;")+COUNTIFS('الجهاز العسكري'!$B$2:$B$631,$B108,'الجهاز العسكري'!$G$2:$G$631,$G108,'الجهاز العسكري'!$I$2:$I$631,$I108,'الجهاز العسكري'!$M$2:$M$631,"&lt;&gt;")</f>
        <v>1</v>
      </c>
      <c r="N108" s="19">
        <f>IF($L108=0,0,ROUND((SUMIFS('المرتبطة بسمو الوزير'!$M$2:$M$151,'المرتبطة بسمو الوزير'!$B$2:$B$151,$B108,'المرتبطة بسمو الوزير'!$G$2:$G$151,$G108,'المرتبطة بسمو الوزير'!$I$2:$I$151,$I108)+SUMIFS('الشؤون التنفيذية'!$N$2:$N$421,'الشؤون التنفيذية'!$B$2:$B$421,$B108,'الشؤون التنفيذية'!$G$2:$G$421,$G108,'الشؤون التنفيذية'!$I$2:$I$421,$I108)+SUMIFS('الجهاز العسكري'!$M$2:$M$631,'الجهاز العسكري'!$B$2:$B$631,$B108,'الجهاز العسكري'!$G$2:$G$631,$G108,'الجهاز العسكري'!$I$2:$I$631,$I108))/$L108,0))</f>
        <v>37</v>
      </c>
      <c r="O108" s="18"/>
      <c r="P108" s="15">
        <f>SUMIFS(المرجع!$G$2:$G$19,المرجع!$B$2:$B$19,$G108,المرجع!$E$2:$E$19,$I108)</f>
        <v>15</v>
      </c>
      <c r="Q108" s="20">
        <f t="shared" si="2"/>
        <v>5.55</v>
      </c>
      <c r="R108" s="21" t="str">
        <f>IF($N108&gt;المرجع!$K$3,"متقدم",IF($N108&lt;=المرجع!$K$2,"أولي","جزئي"))</f>
        <v>جزئي</v>
      </c>
    </row>
    <row r="109" spans="1:18">
      <c r="A109" s="16" t="s">
        <v>1549</v>
      </c>
      <c r="B109" s="16" t="s">
        <v>154</v>
      </c>
      <c r="C109" s="15" t="str">
        <f>IFERROR(INDEX('قائمة الوحدات'!$B$2:$B$41,MATCH($B109,'قائمة الوحدات'!$A$2:$A$41,0)),"")</f>
        <v>EXE</v>
      </c>
      <c r="D109" s="14" t="str">
        <f>IFERROR(INDEX('قائمة الوحدات'!$C$2:$C$41,MATCH($B109,'قائمة الوحدات'!$A$2:$A$41,0)),"")</f>
        <v>الشؤون التنفيذية</v>
      </c>
      <c r="E109" s="14" t="str">
        <f>IFERROR(INDEX('قائمة الوحدات'!$D$2:$D$41,MATCH($B109,'قائمة الوحدات'!$A$2:$A$41,0)),"")</f>
        <v>وكالة الشؤون الفنية</v>
      </c>
      <c r="F109" s="14" t="str">
        <f>IFERROR(INDEX('قائمة الوحدات'!$F$2:$F$41,MATCH($B109,'قائمة الوحدات'!$A$2:$A$41,0)),"")</f>
        <v>الإدارة العامة للتخطيط والدراسات</v>
      </c>
      <c r="G109" s="16" t="s">
        <v>65</v>
      </c>
      <c r="H109" s="14" t="str">
        <f>IFERROR(INDEX(المرجع!$A$2:$A$19,MATCH($G109,المرجع!$B$2:$B$19,0)),"")</f>
        <v>التشغيل</v>
      </c>
      <c r="I109" s="16" t="s">
        <v>67</v>
      </c>
      <c r="J109" s="14" t="str">
        <f>IFERROR(INDEX(المرجع!$D$2:$D$19,MATCH($I109,المرجع!$E$2:$E$19,0)),"")</f>
        <v>اكتمال المخرجات المستهدفة</v>
      </c>
      <c r="K109" s="15">
        <f>IFERROR(INDEX(المرجع!$F$2:$F$19,MATCH($I109,المرجع!$E$2:$E$19,0)),"")</f>
        <v>8</v>
      </c>
      <c r="L109" s="15">
        <f>SUMIFS(المرجع!$H$2:$H$19,المرجع!$B$2:$B$19,$G109,المرجع!$E$2:$E$19,$I109)</f>
        <v>1</v>
      </c>
      <c r="M109" s="15">
        <f>COUNTIFS('المرتبطة بسمو الوزير'!$B$2:$B$151,$B109,'المرتبطة بسمو الوزير'!$G$2:$G$151,$G109,'المرتبطة بسمو الوزير'!$I$2:$I$151,$I109,'المرتبطة بسمو الوزير'!$M$2:$M$151,"&lt;&gt;")+COUNTIFS('الشؤون التنفيذية'!$B$2:$B$421,$B109,'الشؤون التنفيذية'!$G$2:$G$421,$G109,'الشؤون التنفيذية'!$I$2:$I$421,$I109,'الشؤون التنفيذية'!$N$2:$N$421,"&lt;&gt;")+COUNTIFS('الجهاز العسكري'!$B$2:$B$631,$B109,'الجهاز العسكري'!$G$2:$G$631,$G109,'الجهاز العسكري'!$I$2:$I$631,$I109,'الجهاز العسكري'!$M$2:$M$631,"&lt;&gt;")</f>
        <v>1</v>
      </c>
      <c r="N109" s="19">
        <f>IF($L109=0,0,ROUND((SUMIFS('المرتبطة بسمو الوزير'!$M$2:$M$151,'المرتبطة بسمو الوزير'!$B$2:$B$151,$B109,'المرتبطة بسمو الوزير'!$G$2:$G$151,$G109,'المرتبطة بسمو الوزير'!$I$2:$I$151,$I109)+SUMIFS('الشؤون التنفيذية'!$N$2:$N$421,'الشؤون التنفيذية'!$B$2:$B$421,$B109,'الشؤون التنفيذية'!$G$2:$G$421,$G109,'الشؤون التنفيذية'!$I$2:$I$421,$I109)+SUMIFS('الجهاز العسكري'!$M$2:$M$631,'الجهاز العسكري'!$B$2:$B$631,$B109,'الجهاز العسكري'!$G$2:$G$631,$G109,'الجهاز العسكري'!$I$2:$I$631,$I109))/$L109,0))</f>
        <v>46</v>
      </c>
      <c r="O109" s="18"/>
      <c r="P109" s="15">
        <f>SUMIFS(المرجع!$G$2:$G$19,المرجع!$B$2:$B$19,$G109,المرجع!$E$2:$E$19,$I109)</f>
        <v>30</v>
      </c>
      <c r="Q109" s="20">
        <f t="shared" si="2"/>
        <v>13.8</v>
      </c>
      <c r="R109" s="21" t="str">
        <f>IF($N109&gt;المرجع!$K$3,"متقدم",IF($N109&lt;=المرجع!$K$2,"أولي","جزئي"))</f>
        <v>جزئي</v>
      </c>
    </row>
    <row r="110" spans="1:18">
      <c r="A110" s="16" t="s">
        <v>1550</v>
      </c>
      <c r="B110" s="16" t="s">
        <v>160</v>
      </c>
      <c r="C110" s="15" t="str">
        <f>IFERROR(INDEX('قائمة الوحدات'!$B$2:$B$41,MATCH($B110,'قائمة الوحدات'!$A$2:$A$41,0)),"")</f>
        <v>EXE</v>
      </c>
      <c r="D110" s="14" t="str">
        <f>IFERROR(INDEX('قائمة الوحدات'!$C$2:$C$41,MATCH($B110,'قائمة الوحدات'!$A$2:$A$41,0)),"")</f>
        <v>الشؤون التنفيذية</v>
      </c>
      <c r="E110" s="14" t="str">
        <f>IFERROR(INDEX('قائمة الوحدات'!$D$2:$D$41,MATCH($B110,'قائمة الوحدات'!$A$2:$A$41,0)),"")</f>
        <v>وكالة الشؤون الفنية</v>
      </c>
      <c r="F110" s="14" t="str">
        <f>IFERROR(INDEX('قائمة الوحدات'!$F$2:$F$41,MATCH($B110,'قائمة الوحدات'!$A$2:$A$41,0)),"")</f>
        <v>الإدارة العامة للجودة والتطوير</v>
      </c>
      <c r="G110" s="16" t="s">
        <v>43</v>
      </c>
      <c r="H110" s="14" t="str">
        <f>IFERROR(INDEX(المرجع!$A$2:$A$19,MATCH($G110,المرجع!$B$2:$B$19,0)),"")</f>
        <v>التصميم</v>
      </c>
      <c r="I110" s="16" t="s">
        <v>45</v>
      </c>
      <c r="J110" s="14" t="str">
        <f>IFERROR(INDEX(المرجع!$D$2:$D$19,MATCH($I110,المرجع!$E$2:$E$19,0)),"")</f>
        <v>الدور</v>
      </c>
      <c r="K110" s="15">
        <f>IFERROR(INDEX(المرجع!$F$2:$F$19,MATCH($I110,المرجع!$E$2:$E$19,0)),"")</f>
        <v>1</v>
      </c>
      <c r="L110" s="15">
        <f>SUMIFS(المرجع!$H$2:$H$19,المرجع!$B$2:$B$19,$G110,المرجع!$E$2:$E$19,$I110)</f>
        <v>1</v>
      </c>
      <c r="M110" s="15">
        <f>COUNTIFS('المرتبطة بسمو الوزير'!$B$2:$B$151,$B110,'المرتبطة بسمو الوزير'!$G$2:$G$151,$G110,'المرتبطة بسمو الوزير'!$I$2:$I$151,$I110,'المرتبطة بسمو الوزير'!$M$2:$M$151,"&lt;&gt;")+COUNTIFS('الشؤون التنفيذية'!$B$2:$B$421,$B110,'الشؤون التنفيذية'!$G$2:$G$421,$G110,'الشؤون التنفيذية'!$I$2:$I$421,$I110,'الشؤون التنفيذية'!$N$2:$N$421,"&lt;&gt;")+COUNTIFS('الجهاز العسكري'!$B$2:$B$631,$B110,'الجهاز العسكري'!$G$2:$G$631,$G110,'الجهاز العسكري'!$I$2:$I$631,$I110,'الجهاز العسكري'!$M$2:$M$631,"&lt;&gt;")</f>
        <v>1</v>
      </c>
      <c r="N110" s="19">
        <f>IF($L110=0,0,ROUND((SUMIFS('المرتبطة بسمو الوزير'!$M$2:$M$151,'المرتبطة بسمو الوزير'!$B$2:$B$151,$B110,'المرتبطة بسمو الوزير'!$G$2:$G$151,$G110,'المرتبطة بسمو الوزير'!$I$2:$I$151,$I110)+SUMIFS('الشؤون التنفيذية'!$N$2:$N$421,'الشؤون التنفيذية'!$B$2:$B$421,$B110,'الشؤون التنفيذية'!$G$2:$G$421,$G110,'الشؤون التنفيذية'!$I$2:$I$421,$I110)+SUMIFS('الجهاز العسكري'!$M$2:$M$631,'الجهاز العسكري'!$B$2:$B$631,$B110,'الجهاز العسكري'!$G$2:$G$631,$G110,'الجهاز العسكري'!$I$2:$I$631,$I110))/$L110,0))</f>
        <v>76</v>
      </c>
      <c r="O110" s="18"/>
      <c r="P110" s="15">
        <f>SUMIFS(المرجع!$G$2:$G$19,المرجع!$B$2:$B$19,$G110,المرجع!$E$2:$E$19,$I110)</f>
        <v>25</v>
      </c>
      <c r="Q110" s="20">
        <f t="shared" si="2"/>
        <v>19</v>
      </c>
      <c r="R110" s="21" t="str">
        <f>IF($N110&gt;المرجع!$K$3,"متقدم",IF($N110&lt;=المرجع!$K$2,"أولي","جزئي"))</f>
        <v>متقدم</v>
      </c>
    </row>
    <row r="111" spans="1:18">
      <c r="A111" s="16" t="s">
        <v>1551</v>
      </c>
      <c r="B111" s="16" t="s">
        <v>160</v>
      </c>
      <c r="C111" s="15" t="str">
        <f>IFERROR(INDEX('قائمة الوحدات'!$B$2:$B$41,MATCH($B111,'قائمة الوحدات'!$A$2:$A$41,0)),"")</f>
        <v>EXE</v>
      </c>
      <c r="D111" s="14" t="str">
        <f>IFERROR(INDEX('قائمة الوحدات'!$C$2:$C$41,MATCH($B111,'قائمة الوحدات'!$A$2:$A$41,0)),"")</f>
        <v>الشؤون التنفيذية</v>
      </c>
      <c r="E111" s="14" t="str">
        <f>IFERROR(INDEX('قائمة الوحدات'!$D$2:$D$41,MATCH($B111,'قائمة الوحدات'!$A$2:$A$41,0)),"")</f>
        <v>وكالة الشؤون الفنية</v>
      </c>
      <c r="F111" s="14" t="str">
        <f>IFERROR(INDEX('قائمة الوحدات'!$F$2:$F$41,MATCH($B111,'قائمة الوحدات'!$A$2:$A$41,0)),"")</f>
        <v>الإدارة العامة للجودة والتطوير</v>
      </c>
      <c r="G111" s="16" t="s">
        <v>43</v>
      </c>
      <c r="H111" s="14" t="str">
        <f>IFERROR(INDEX(المرجع!$A$2:$A$19,MATCH($G111,المرجع!$B$2:$B$19,0)),"")</f>
        <v>التصميم</v>
      </c>
      <c r="I111" s="16" t="s">
        <v>48</v>
      </c>
      <c r="J111" s="14" t="str">
        <f>IFERROR(INDEX(المرجع!$D$2:$D$19,MATCH($I111,المرجع!$E$2:$E$19,0)),"")</f>
        <v>الأهداف ومؤشرات الأداء</v>
      </c>
      <c r="K111" s="15">
        <f>IFERROR(INDEX(المرجع!$F$2:$F$19,MATCH($I111,المرجع!$E$2:$E$19,0)),"")</f>
        <v>2</v>
      </c>
      <c r="L111" s="15">
        <f>SUMIFS(المرجع!$H$2:$H$19,المرجع!$B$2:$B$19,$G111,المرجع!$E$2:$E$19,$I111)</f>
        <v>2</v>
      </c>
      <c r="M111" s="15">
        <f>COUNTIFS('المرتبطة بسمو الوزير'!$B$2:$B$151,$B111,'المرتبطة بسمو الوزير'!$G$2:$G$151,$G111,'المرتبطة بسمو الوزير'!$I$2:$I$151,$I111,'المرتبطة بسمو الوزير'!$M$2:$M$151,"&lt;&gt;")+COUNTIFS('الشؤون التنفيذية'!$B$2:$B$421,$B111,'الشؤون التنفيذية'!$G$2:$G$421,$G111,'الشؤون التنفيذية'!$I$2:$I$421,$I111,'الشؤون التنفيذية'!$N$2:$N$421,"&lt;&gt;")+COUNTIFS('الجهاز العسكري'!$B$2:$B$631,$B111,'الجهاز العسكري'!$G$2:$G$631,$G111,'الجهاز العسكري'!$I$2:$I$631,$I111,'الجهاز العسكري'!$M$2:$M$631,"&lt;&gt;")</f>
        <v>2</v>
      </c>
      <c r="N111" s="19">
        <f>IF($L111=0,0,ROUND((SUMIFS('المرتبطة بسمو الوزير'!$M$2:$M$151,'المرتبطة بسمو الوزير'!$B$2:$B$151,$B111,'المرتبطة بسمو الوزير'!$G$2:$G$151,$G111,'المرتبطة بسمو الوزير'!$I$2:$I$151,$I111)+SUMIFS('الشؤون التنفيذية'!$N$2:$N$421,'الشؤون التنفيذية'!$B$2:$B$421,$B111,'الشؤون التنفيذية'!$G$2:$G$421,$G111,'الشؤون التنفيذية'!$I$2:$I$421,$I111)+SUMIFS('الجهاز العسكري'!$M$2:$M$631,'الجهاز العسكري'!$B$2:$B$631,$B111,'الجهاز العسكري'!$G$2:$G$631,$G111,'الجهاز العسكري'!$I$2:$I$631,$I111))/$L111,0))</f>
        <v>88</v>
      </c>
      <c r="O111" s="18"/>
      <c r="P111" s="15">
        <f>SUMIFS(المرجع!$G$2:$G$19,المرجع!$B$2:$B$19,$G111,المرجع!$E$2:$E$19,$I111)</f>
        <v>15</v>
      </c>
      <c r="Q111" s="20">
        <f t="shared" si="2"/>
        <v>13.2</v>
      </c>
      <c r="R111" s="21" t="str">
        <f>IF($N111&gt;المرجع!$K$3,"متقدم",IF($N111&lt;=المرجع!$K$2,"أولي","جزئي"))</f>
        <v>متقدم</v>
      </c>
    </row>
    <row r="112" spans="1:18">
      <c r="A112" s="16" t="s">
        <v>1552</v>
      </c>
      <c r="B112" s="16" t="s">
        <v>160</v>
      </c>
      <c r="C112" s="15" t="str">
        <f>IFERROR(INDEX('قائمة الوحدات'!$B$2:$B$41,MATCH($B112,'قائمة الوحدات'!$A$2:$A$41,0)),"")</f>
        <v>EXE</v>
      </c>
      <c r="D112" s="14" t="str">
        <f>IFERROR(INDEX('قائمة الوحدات'!$C$2:$C$41,MATCH($B112,'قائمة الوحدات'!$A$2:$A$41,0)),"")</f>
        <v>الشؤون التنفيذية</v>
      </c>
      <c r="E112" s="14" t="str">
        <f>IFERROR(INDEX('قائمة الوحدات'!$D$2:$D$41,MATCH($B112,'قائمة الوحدات'!$A$2:$A$41,0)),"")</f>
        <v>وكالة الشؤون الفنية</v>
      </c>
      <c r="F112" s="14" t="str">
        <f>IFERROR(INDEX('قائمة الوحدات'!$F$2:$F$41,MATCH($B112,'قائمة الوحدات'!$A$2:$A$41,0)),"")</f>
        <v>الإدارة العامة للجودة والتطوير</v>
      </c>
      <c r="G112" s="16" t="s">
        <v>43</v>
      </c>
      <c r="H112" s="14" t="str">
        <f>IFERROR(INDEX(المرجع!$A$2:$A$19,MATCH($G112,المرجع!$B$2:$B$19,0)),"")</f>
        <v>التصميم</v>
      </c>
      <c r="I112" s="16" t="s">
        <v>51</v>
      </c>
      <c r="J112" s="14" t="str">
        <f>IFERROR(INDEX(المرجع!$D$2:$D$19,MATCH($I112,المرجع!$E$2:$E$19,0)),"")</f>
        <v>الحوكمة</v>
      </c>
      <c r="K112" s="15">
        <f>IFERROR(INDEX(المرجع!$F$2:$F$19,MATCH($I112,المرجع!$E$2:$E$19,0)),"")</f>
        <v>3</v>
      </c>
      <c r="L112" s="15">
        <f>SUMIFS(المرجع!$H$2:$H$19,المرجع!$B$2:$B$19,$G112,المرجع!$E$2:$E$19,$I112)</f>
        <v>1</v>
      </c>
      <c r="M112" s="15">
        <f>COUNTIFS('المرتبطة بسمو الوزير'!$B$2:$B$151,$B112,'المرتبطة بسمو الوزير'!$G$2:$G$151,$G112,'المرتبطة بسمو الوزير'!$I$2:$I$151,$I112,'المرتبطة بسمو الوزير'!$M$2:$M$151,"&lt;&gt;")+COUNTIFS('الشؤون التنفيذية'!$B$2:$B$421,$B112,'الشؤون التنفيذية'!$G$2:$G$421,$G112,'الشؤون التنفيذية'!$I$2:$I$421,$I112,'الشؤون التنفيذية'!$N$2:$N$421,"&lt;&gt;")+COUNTIFS('الجهاز العسكري'!$B$2:$B$631,$B112,'الجهاز العسكري'!$G$2:$G$631,$G112,'الجهاز العسكري'!$I$2:$I$631,$I112,'الجهاز العسكري'!$M$2:$M$631,"&lt;&gt;")</f>
        <v>1</v>
      </c>
      <c r="N112" s="19">
        <f>IF($L112=0,0,ROUND((SUMIFS('المرتبطة بسمو الوزير'!$M$2:$M$151,'المرتبطة بسمو الوزير'!$B$2:$B$151,$B112,'المرتبطة بسمو الوزير'!$G$2:$G$151,$G112,'المرتبطة بسمو الوزير'!$I$2:$I$151,$I112)+SUMIFS('الشؤون التنفيذية'!$N$2:$N$421,'الشؤون التنفيذية'!$B$2:$B$421,$B112,'الشؤون التنفيذية'!$G$2:$G$421,$G112,'الشؤون التنفيذية'!$I$2:$I$421,$I112)+SUMIFS('الجهاز العسكري'!$M$2:$M$631,'الجهاز العسكري'!$B$2:$B$631,$B112,'الجهاز العسكري'!$G$2:$G$631,$G112,'الجهاز العسكري'!$I$2:$I$631,$I112))/$L112,0))</f>
        <v>85</v>
      </c>
      <c r="O112" s="18"/>
      <c r="P112" s="15">
        <f>SUMIFS(المرجع!$G$2:$G$19,المرجع!$B$2:$B$19,$G112,المرجع!$E$2:$E$19,$I112)</f>
        <v>15</v>
      </c>
      <c r="Q112" s="20">
        <f t="shared" si="2"/>
        <v>12.75</v>
      </c>
      <c r="R112" s="21" t="str">
        <f>IF($N112&gt;المرجع!$K$3,"متقدم",IF($N112&lt;=المرجع!$K$2,"أولي","جزئي"))</f>
        <v>متقدم</v>
      </c>
    </row>
    <row r="113" spans="1:18">
      <c r="A113" s="16" t="s">
        <v>1553</v>
      </c>
      <c r="B113" s="16" t="s">
        <v>160</v>
      </c>
      <c r="C113" s="15" t="str">
        <f>IFERROR(INDEX('قائمة الوحدات'!$B$2:$B$41,MATCH($B113,'قائمة الوحدات'!$A$2:$A$41,0)),"")</f>
        <v>EXE</v>
      </c>
      <c r="D113" s="14" t="str">
        <f>IFERROR(INDEX('قائمة الوحدات'!$C$2:$C$41,MATCH($B113,'قائمة الوحدات'!$A$2:$A$41,0)),"")</f>
        <v>الشؤون التنفيذية</v>
      </c>
      <c r="E113" s="14" t="str">
        <f>IFERROR(INDEX('قائمة الوحدات'!$D$2:$D$41,MATCH($B113,'قائمة الوحدات'!$A$2:$A$41,0)),"")</f>
        <v>وكالة الشؤون الفنية</v>
      </c>
      <c r="F113" s="14" t="str">
        <f>IFERROR(INDEX('قائمة الوحدات'!$F$2:$F$41,MATCH($B113,'قائمة الوحدات'!$A$2:$A$41,0)),"")</f>
        <v>الإدارة العامة للجودة والتطوير</v>
      </c>
      <c r="G113" s="16" t="s">
        <v>43</v>
      </c>
      <c r="H113" s="14" t="str">
        <f>IFERROR(INDEX(المرجع!$A$2:$A$19,MATCH($G113,المرجع!$B$2:$B$19,0)),"")</f>
        <v>التصميم</v>
      </c>
      <c r="I113" s="16" t="s">
        <v>54</v>
      </c>
      <c r="J113" s="14" t="str">
        <f>IFERROR(INDEX(المرجع!$D$2:$D$19,MATCH($I113,المرجع!$E$2:$E$19,0)),"")</f>
        <v>التنظيم</v>
      </c>
      <c r="K113" s="15">
        <f>IFERROR(INDEX(المرجع!$F$2:$F$19,MATCH($I113,المرجع!$E$2:$E$19,0)),"")</f>
        <v>4</v>
      </c>
      <c r="L113" s="15">
        <f>SUMIFS(المرجع!$H$2:$H$19,المرجع!$B$2:$B$19,$G113,المرجع!$E$2:$E$19,$I113)</f>
        <v>1</v>
      </c>
      <c r="M113" s="15">
        <f>COUNTIFS('المرتبطة بسمو الوزير'!$B$2:$B$151,$B113,'المرتبطة بسمو الوزير'!$G$2:$G$151,$G113,'المرتبطة بسمو الوزير'!$I$2:$I$151,$I113,'المرتبطة بسمو الوزير'!$M$2:$M$151,"&lt;&gt;")+COUNTIFS('الشؤون التنفيذية'!$B$2:$B$421,$B113,'الشؤون التنفيذية'!$G$2:$G$421,$G113,'الشؤون التنفيذية'!$I$2:$I$421,$I113,'الشؤون التنفيذية'!$N$2:$N$421,"&lt;&gt;")+COUNTIFS('الجهاز العسكري'!$B$2:$B$631,$B113,'الجهاز العسكري'!$G$2:$G$631,$G113,'الجهاز العسكري'!$I$2:$I$631,$I113,'الجهاز العسكري'!$M$2:$M$631,"&lt;&gt;")</f>
        <v>1</v>
      </c>
      <c r="N113" s="19">
        <f>IF($L113=0,0,ROUND((SUMIFS('المرتبطة بسمو الوزير'!$M$2:$M$151,'المرتبطة بسمو الوزير'!$B$2:$B$151,$B113,'المرتبطة بسمو الوزير'!$G$2:$G$151,$G113,'المرتبطة بسمو الوزير'!$I$2:$I$151,$I113)+SUMIFS('الشؤون التنفيذية'!$N$2:$N$421,'الشؤون التنفيذية'!$B$2:$B$421,$B113,'الشؤون التنفيذية'!$G$2:$G$421,$G113,'الشؤون التنفيذية'!$I$2:$I$421,$I113)+SUMIFS('الجهاز العسكري'!$M$2:$M$631,'الجهاز العسكري'!$B$2:$B$631,$B113,'الجهاز العسكري'!$G$2:$G$631,$G113,'الجهاز العسكري'!$I$2:$I$631,$I113))/$L113,0))</f>
        <v>74</v>
      </c>
      <c r="O113" s="18"/>
      <c r="P113" s="15">
        <f>SUMIFS(المرجع!$G$2:$G$19,المرجع!$B$2:$B$19,$G113,المرجع!$E$2:$E$19,$I113)</f>
        <v>20</v>
      </c>
      <c r="Q113" s="20">
        <f t="shared" si="2"/>
        <v>14.8</v>
      </c>
      <c r="R113" s="21" t="str">
        <f>IF($N113&gt;المرجع!$K$3,"متقدم",IF($N113&lt;=المرجع!$K$2,"أولي","جزئي"))</f>
        <v>متقدم</v>
      </c>
    </row>
    <row r="114" spans="1:18">
      <c r="A114" s="16" t="s">
        <v>1554</v>
      </c>
      <c r="B114" s="16" t="s">
        <v>160</v>
      </c>
      <c r="C114" s="15" t="str">
        <f>IFERROR(INDEX('قائمة الوحدات'!$B$2:$B$41,MATCH($B114,'قائمة الوحدات'!$A$2:$A$41,0)),"")</f>
        <v>EXE</v>
      </c>
      <c r="D114" s="14" t="str">
        <f>IFERROR(INDEX('قائمة الوحدات'!$C$2:$C$41,MATCH($B114,'قائمة الوحدات'!$A$2:$A$41,0)),"")</f>
        <v>الشؤون التنفيذية</v>
      </c>
      <c r="E114" s="14" t="str">
        <f>IFERROR(INDEX('قائمة الوحدات'!$D$2:$D$41,MATCH($B114,'قائمة الوحدات'!$A$2:$A$41,0)),"")</f>
        <v>وكالة الشؤون الفنية</v>
      </c>
      <c r="F114" s="14" t="str">
        <f>IFERROR(INDEX('قائمة الوحدات'!$F$2:$F$41,MATCH($B114,'قائمة الوحدات'!$A$2:$A$41,0)),"")</f>
        <v>الإدارة العامة للجودة والتطوير</v>
      </c>
      <c r="G114" s="16" t="s">
        <v>43</v>
      </c>
      <c r="H114" s="14" t="str">
        <f>IFERROR(INDEX(المرجع!$A$2:$A$19,MATCH($G114,المرجع!$B$2:$B$19,0)),"")</f>
        <v>التصميم</v>
      </c>
      <c r="I114" s="16" t="s">
        <v>56</v>
      </c>
      <c r="J114" s="14" t="str">
        <f>IFERROR(INDEX(المرجع!$D$2:$D$19,MATCH($I114,المرجع!$E$2:$E$19,0)),"")</f>
        <v>الموارد</v>
      </c>
      <c r="K114" s="15">
        <f>IFERROR(INDEX(المرجع!$F$2:$F$19,MATCH($I114,المرجع!$E$2:$E$19,0)),"")</f>
        <v>5</v>
      </c>
      <c r="L114" s="15">
        <f>SUMIFS(المرجع!$H$2:$H$19,المرجع!$B$2:$B$19,$G114,المرجع!$E$2:$E$19,$I114)</f>
        <v>1</v>
      </c>
      <c r="M114" s="15">
        <f>COUNTIFS('المرتبطة بسمو الوزير'!$B$2:$B$151,$B114,'المرتبطة بسمو الوزير'!$G$2:$G$151,$G114,'المرتبطة بسمو الوزير'!$I$2:$I$151,$I114,'المرتبطة بسمو الوزير'!$M$2:$M$151,"&lt;&gt;")+COUNTIFS('الشؤون التنفيذية'!$B$2:$B$421,$B114,'الشؤون التنفيذية'!$G$2:$G$421,$G114,'الشؤون التنفيذية'!$I$2:$I$421,$I114,'الشؤون التنفيذية'!$N$2:$N$421,"&lt;&gt;")+COUNTIFS('الجهاز العسكري'!$B$2:$B$631,$B114,'الجهاز العسكري'!$G$2:$G$631,$G114,'الجهاز العسكري'!$I$2:$I$631,$I114,'الجهاز العسكري'!$M$2:$M$631,"&lt;&gt;")</f>
        <v>1</v>
      </c>
      <c r="N114" s="19">
        <f>IF($L114=0,0,ROUND((SUMIFS('المرتبطة بسمو الوزير'!$M$2:$M$151,'المرتبطة بسمو الوزير'!$B$2:$B$151,$B114,'المرتبطة بسمو الوزير'!$G$2:$G$151,$G114,'المرتبطة بسمو الوزير'!$I$2:$I$151,$I114)+SUMIFS('الشؤون التنفيذية'!$N$2:$N$421,'الشؤون التنفيذية'!$B$2:$B$421,$B114,'الشؤون التنفيذية'!$G$2:$G$421,$G114,'الشؤون التنفيذية'!$I$2:$I$421,$I114)+SUMIFS('الجهاز العسكري'!$M$2:$M$631,'الجهاز العسكري'!$B$2:$B$631,$B114,'الجهاز العسكري'!$G$2:$G$631,$G114,'الجهاز العسكري'!$I$2:$I$631,$I114))/$L114,0))</f>
        <v>90</v>
      </c>
      <c r="O114" s="18"/>
      <c r="P114" s="15">
        <f>SUMIFS(المرجع!$G$2:$G$19,المرجع!$B$2:$B$19,$G114,المرجع!$E$2:$E$19,$I114)</f>
        <v>20</v>
      </c>
      <c r="Q114" s="20">
        <f t="shared" si="2"/>
        <v>18</v>
      </c>
      <c r="R114" s="21" t="str">
        <f>IF($N114&gt;المرجع!$K$3,"متقدم",IF($N114&lt;=المرجع!$K$2,"أولي","جزئي"))</f>
        <v>متقدم</v>
      </c>
    </row>
    <row r="115" spans="1:18">
      <c r="A115" s="16" t="s">
        <v>1555</v>
      </c>
      <c r="B115" s="16" t="s">
        <v>160</v>
      </c>
      <c r="C115" s="15" t="str">
        <f>IFERROR(INDEX('قائمة الوحدات'!$B$2:$B$41,MATCH($B115,'قائمة الوحدات'!$A$2:$A$41,0)),"")</f>
        <v>EXE</v>
      </c>
      <c r="D115" s="14" t="str">
        <f>IFERROR(INDEX('قائمة الوحدات'!$C$2:$C$41,MATCH($B115,'قائمة الوحدات'!$A$2:$A$41,0)),"")</f>
        <v>الشؤون التنفيذية</v>
      </c>
      <c r="E115" s="14" t="str">
        <f>IFERROR(INDEX('قائمة الوحدات'!$D$2:$D$41,MATCH($B115,'قائمة الوحدات'!$A$2:$A$41,0)),"")</f>
        <v>وكالة الشؤون الفنية</v>
      </c>
      <c r="F115" s="14" t="str">
        <f>IFERROR(INDEX('قائمة الوحدات'!$F$2:$F$41,MATCH($B115,'قائمة الوحدات'!$A$2:$A$41,0)),"")</f>
        <v>الإدارة العامة للجودة والتطوير</v>
      </c>
      <c r="G115" s="16" t="s">
        <v>43</v>
      </c>
      <c r="H115" s="14" t="str">
        <f>IFERROR(INDEX(المرجع!$A$2:$A$19,MATCH($G115,المرجع!$B$2:$B$19,0)),"")</f>
        <v>التصميم</v>
      </c>
      <c r="I115" s="16" t="s">
        <v>59</v>
      </c>
      <c r="J115" s="14" t="str">
        <f>IFERROR(INDEX(المرجع!$D$2:$D$19,MATCH($I115,المرجع!$E$2:$E$19,0)),"")</f>
        <v>الإجراءات</v>
      </c>
      <c r="K115" s="15">
        <f>IFERROR(INDEX(المرجع!$F$2:$F$19,MATCH($I115,المرجع!$E$2:$E$19,0)),"")</f>
        <v>6</v>
      </c>
      <c r="L115" s="15">
        <f>SUMIFS(المرجع!$H$2:$H$19,المرجع!$B$2:$B$19,$G115,المرجع!$E$2:$E$19,$I115)</f>
        <v>1</v>
      </c>
      <c r="M115" s="15">
        <f>COUNTIFS('المرتبطة بسمو الوزير'!$B$2:$B$151,$B115,'المرتبطة بسمو الوزير'!$G$2:$G$151,$G115,'المرتبطة بسمو الوزير'!$I$2:$I$151,$I115,'المرتبطة بسمو الوزير'!$M$2:$M$151,"&lt;&gt;")+COUNTIFS('الشؤون التنفيذية'!$B$2:$B$421,$B115,'الشؤون التنفيذية'!$G$2:$G$421,$G115,'الشؤون التنفيذية'!$I$2:$I$421,$I115,'الشؤون التنفيذية'!$N$2:$N$421,"&lt;&gt;")+COUNTIFS('الجهاز العسكري'!$B$2:$B$631,$B115,'الجهاز العسكري'!$G$2:$G$631,$G115,'الجهاز العسكري'!$I$2:$I$631,$I115,'الجهاز العسكري'!$M$2:$M$631,"&lt;&gt;")</f>
        <v>1</v>
      </c>
      <c r="N115" s="19">
        <f>IF($L115=0,0,ROUND((SUMIFS('المرتبطة بسمو الوزير'!$M$2:$M$151,'المرتبطة بسمو الوزير'!$B$2:$B$151,$B115,'المرتبطة بسمو الوزير'!$G$2:$G$151,$G115,'المرتبطة بسمو الوزير'!$I$2:$I$151,$I115)+SUMIFS('الشؤون التنفيذية'!$N$2:$N$421,'الشؤون التنفيذية'!$B$2:$B$421,$B115,'الشؤون التنفيذية'!$G$2:$G$421,$G115,'الشؤون التنفيذية'!$I$2:$I$421,$I115)+SUMIFS('الجهاز العسكري'!$M$2:$M$631,'الجهاز العسكري'!$B$2:$B$631,$B115,'الجهاز العسكري'!$G$2:$G$631,$G115,'الجهاز العسكري'!$I$2:$I$631,$I115))/$L115,0))</f>
        <v>83</v>
      </c>
      <c r="O115" s="18"/>
      <c r="P115" s="15">
        <f>SUMIFS(المرجع!$G$2:$G$19,المرجع!$B$2:$B$19,$G115,المرجع!$E$2:$E$19,$I115)</f>
        <v>5</v>
      </c>
      <c r="Q115" s="20">
        <f t="shared" si="2"/>
        <v>4.1500000000000004</v>
      </c>
      <c r="R115" s="21" t="str">
        <f>IF($N115&gt;المرجع!$K$3,"متقدم",IF($N115&lt;=المرجع!$K$2,"أولي","جزئي"))</f>
        <v>متقدم</v>
      </c>
    </row>
    <row r="116" spans="1:18">
      <c r="A116" s="16" t="s">
        <v>1556</v>
      </c>
      <c r="B116" s="16" t="s">
        <v>160</v>
      </c>
      <c r="C116" s="15" t="str">
        <f>IFERROR(INDEX('قائمة الوحدات'!$B$2:$B$41,MATCH($B116,'قائمة الوحدات'!$A$2:$A$41,0)),"")</f>
        <v>EXE</v>
      </c>
      <c r="D116" s="14" t="str">
        <f>IFERROR(INDEX('قائمة الوحدات'!$C$2:$C$41,MATCH($B116,'قائمة الوحدات'!$A$2:$A$41,0)),"")</f>
        <v>الشؤون التنفيذية</v>
      </c>
      <c r="E116" s="14" t="str">
        <f>IFERROR(INDEX('قائمة الوحدات'!$D$2:$D$41,MATCH($B116,'قائمة الوحدات'!$A$2:$A$41,0)),"")</f>
        <v>وكالة الشؤون الفنية</v>
      </c>
      <c r="F116" s="14" t="str">
        <f>IFERROR(INDEX('قائمة الوحدات'!$F$2:$F$41,MATCH($B116,'قائمة الوحدات'!$A$2:$A$41,0)),"")</f>
        <v>الإدارة العامة للجودة والتطوير</v>
      </c>
      <c r="G116" s="16" t="s">
        <v>61</v>
      </c>
      <c r="H116" s="14" t="str">
        <f>IFERROR(INDEX(المرجع!$A$2:$A$19,MATCH($G116,المرجع!$B$2:$B$19,0)),"")</f>
        <v>البناء المؤسسي</v>
      </c>
      <c r="I116" s="16" t="s">
        <v>45</v>
      </c>
      <c r="J116" s="14" t="str">
        <f>IFERROR(INDEX(المرجع!$D$2:$D$19,MATCH($I116,المرجع!$E$2:$E$19,0)),"")</f>
        <v>الدور</v>
      </c>
      <c r="K116" s="15">
        <f>IFERROR(INDEX(المرجع!$F$2:$F$19,MATCH($I116,المرجع!$E$2:$E$19,0)),"")</f>
        <v>1</v>
      </c>
      <c r="L116" s="15">
        <f>SUMIFS(المرجع!$H$2:$H$19,المرجع!$B$2:$B$19,$G116,المرجع!$E$2:$E$19,$I116)</f>
        <v>1</v>
      </c>
      <c r="M116" s="15">
        <f>COUNTIFS('المرتبطة بسمو الوزير'!$B$2:$B$151,$B116,'المرتبطة بسمو الوزير'!$G$2:$G$151,$G116,'المرتبطة بسمو الوزير'!$I$2:$I$151,$I116,'المرتبطة بسمو الوزير'!$M$2:$M$151,"&lt;&gt;")+COUNTIFS('الشؤون التنفيذية'!$B$2:$B$421,$B116,'الشؤون التنفيذية'!$G$2:$G$421,$G116,'الشؤون التنفيذية'!$I$2:$I$421,$I116,'الشؤون التنفيذية'!$N$2:$N$421,"&lt;&gt;")+COUNTIFS('الجهاز العسكري'!$B$2:$B$631,$B116,'الجهاز العسكري'!$G$2:$G$631,$G116,'الجهاز العسكري'!$I$2:$I$631,$I116,'الجهاز العسكري'!$M$2:$M$631,"&lt;&gt;")</f>
        <v>1</v>
      </c>
      <c r="N116" s="19">
        <f>IF($L116=0,0,ROUND((SUMIFS('المرتبطة بسمو الوزير'!$M$2:$M$151,'المرتبطة بسمو الوزير'!$B$2:$B$151,$B116,'المرتبطة بسمو الوزير'!$G$2:$G$151,$G116,'المرتبطة بسمو الوزير'!$I$2:$I$151,$I116)+SUMIFS('الشؤون التنفيذية'!$N$2:$N$421,'الشؤون التنفيذية'!$B$2:$B$421,$B116,'الشؤون التنفيذية'!$G$2:$G$421,$G116,'الشؤون التنفيذية'!$I$2:$I$421,$I116)+SUMIFS('الجهاز العسكري'!$M$2:$M$631,'الجهاز العسكري'!$B$2:$B$631,$B116,'الجهاز العسكري'!$G$2:$G$631,$G116,'الجهاز العسكري'!$I$2:$I$631,$I116))/$L116,0))</f>
        <v>73</v>
      </c>
      <c r="O116" s="18"/>
      <c r="P116" s="15">
        <f>SUMIFS(المرجع!$G$2:$G$19,المرجع!$B$2:$B$19,$G116,المرجع!$E$2:$E$19,$I116)</f>
        <v>15</v>
      </c>
      <c r="Q116" s="20">
        <f t="shared" si="2"/>
        <v>10.95</v>
      </c>
      <c r="R116" s="21" t="str">
        <f>IF($N116&gt;المرجع!$K$3,"متقدم",IF($N116&lt;=المرجع!$K$2,"أولي","جزئي"))</f>
        <v>متقدم</v>
      </c>
    </row>
    <row r="117" spans="1:18">
      <c r="A117" s="16" t="s">
        <v>1557</v>
      </c>
      <c r="B117" s="16" t="s">
        <v>160</v>
      </c>
      <c r="C117" s="15" t="str">
        <f>IFERROR(INDEX('قائمة الوحدات'!$B$2:$B$41,MATCH($B117,'قائمة الوحدات'!$A$2:$A$41,0)),"")</f>
        <v>EXE</v>
      </c>
      <c r="D117" s="14" t="str">
        <f>IFERROR(INDEX('قائمة الوحدات'!$C$2:$C$41,MATCH($B117,'قائمة الوحدات'!$A$2:$A$41,0)),"")</f>
        <v>الشؤون التنفيذية</v>
      </c>
      <c r="E117" s="14" t="str">
        <f>IFERROR(INDEX('قائمة الوحدات'!$D$2:$D$41,MATCH($B117,'قائمة الوحدات'!$A$2:$A$41,0)),"")</f>
        <v>وكالة الشؤون الفنية</v>
      </c>
      <c r="F117" s="14" t="str">
        <f>IFERROR(INDEX('قائمة الوحدات'!$F$2:$F$41,MATCH($B117,'قائمة الوحدات'!$A$2:$A$41,0)),"")</f>
        <v>الإدارة العامة للجودة والتطوير</v>
      </c>
      <c r="G117" s="16" t="s">
        <v>61</v>
      </c>
      <c r="H117" s="14" t="str">
        <f>IFERROR(INDEX(المرجع!$A$2:$A$19,MATCH($G117,المرجع!$B$2:$B$19,0)),"")</f>
        <v>البناء المؤسسي</v>
      </c>
      <c r="I117" s="16" t="s">
        <v>48</v>
      </c>
      <c r="J117" s="14" t="str">
        <f>IFERROR(INDEX(المرجع!$D$2:$D$19,MATCH($I117,المرجع!$E$2:$E$19,0)),"")</f>
        <v>الأهداف ومؤشرات الأداء</v>
      </c>
      <c r="K117" s="15">
        <f>IFERROR(INDEX(المرجع!$F$2:$F$19,MATCH($I117,المرجع!$E$2:$E$19,0)),"")</f>
        <v>2</v>
      </c>
      <c r="L117" s="15">
        <f>SUMIFS(المرجع!$H$2:$H$19,المرجع!$B$2:$B$19,$G117,المرجع!$E$2:$E$19,$I117)</f>
        <v>2</v>
      </c>
      <c r="M117" s="15">
        <f>COUNTIFS('المرتبطة بسمو الوزير'!$B$2:$B$151,$B117,'المرتبطة بسمو الوزير'!$G$2:$G$151,$G117,'المرتبطة بسمو الوزير'!$I$2:$I$151,$I117,'المرتبطة بسمو الوزير'!$M$2:$M$151,"&lt;&gt;")+COUNTIFS('الشؤون التنفيذية'!$B$2:$B$421,$B117,'الشؤون التنفيذية'!$G$2:$G$421,$G117,'الشؤون التنفيذية'!$I$2:$I$421,$I117,'الشؤون التنفيذية'!$N$2:$N$421,"&lt;&gt;")+COUNTIFS('الجهاز العسكري'!$B$2:$B$631,$B117,'الجهاز العسكري'!$G$2:$G$631,$G117,'الجهاز العسكري'!$I$2:$I$631,$I117,'الجهاز العسكري'!$M$2:$M$631,"&lt;&gt;")</f>
        <v>2</v>
      </c>
      <c r="N117" s="19">
        <f>IF($L117=0,0,ROUND((SUMIFS('المرتبطة بسمو الوزير'!$M$2:$M$151,'المرتبطة بسمو الوزير'!$B$2:$B$151,$B117,'المرتبطة بسمو الوزير'!$G$2:$G$151,$G117,'المرتبطة بسمو الوزير'!$I$2:$I$151,$I117)+SUMIFS('الشؤون التنفيذية'!$N$2:$N$421,'الشؤون التنفيذية'!$B$2:$B$421,$B117,'الشؤون التنفيذية'!$G$2:$G$421,$G117,'الشؤون التنفيذية'!$I$2:$I$421,$I117)+SUMIFS('الجهاز العسكري'!$M$2:$M$631,'الجهاز العسكري'!$B$2:$B$631,$B117,'الجهاز العسكري'!$G$2:$G$631,$G117,'الجهاز العسكري'!$I$2:$I$631,$I117))/$L117,0))</f>
        <v>70</v>
      </c>
      <c r="O117" s="18"/>
      <c r="P117" s="15">
        <f>SUMIFS(المرجع!$G$2:$G$19,المرجع!$B$2:$B$19,$G117,المرجع!$E$2:$E$19,$I117)</f>
        <v>15</v>
      </c>
      <c r="Q117" s="20">
        <f t="shared" si="2"/>
        <v>10.5</v>
      </c>
      <c r="R117" s="21" t="str">
        <f>IF($N117&gt;المرجع!$K$3,"متقدم",IF($N117&lt;=المرجع!$K$2,"أولي","جزئي"))</f>
        <v>جزئي</v>
      </c>
    </row>
    <row r="118" spans="1:18">
      <c r="A118" s="16" t="s">
        <v>1558</v>
      </c>
      <c r="B118" s="16" t="s">
        <v>160</v>
      </c>
      <c r="C118" s="15" t="str">
        <f>IFERROR(INDEX('قائمة الوحدات'!$B$2:$B$41,MATCH($B118,'قائمة الوحدات'!$A$2:$A$41,0)),"")</f>
        <v>EXE</v>
      </c>
      <c r="D118" s="14" t="str">
        <f>IFERROR(INDEX('قائمة الوحدات'!$C$2:$C$41,MATCH($B118,'قائمة الوحدات'!$A$2:$A$41,0)),"")</f>
        <v>الشؤون التنفيذية</v>
      </c>
      <c r="E118" s="14" t="str">
        <f>IFERROR(INDEX('قائمة الوحدات'!$D$2:$D$41,MATCH($B118,'قائمة الوحدات'!$A$2:$A$41,0)),"")</f>
        <v>وكالة الشؤون الفنية</v>
      </c>
      <c r="F118" s="14" t="str">
        <f>IFERROR(INDEX('قائمة الوحدات'!$F$2:$F$41,MATCH($B118,'قائمة الوحدات'!$A$2:$A$41,0)),"")</f>
        <v>الإدارة العامة للجودة والتطوير</v>
      </c>
      <c r="G118" s="16" t="s">
        <v>61</v>
      </c>
      <c r="H118" s="14" t="str">
        <f>IFERROR(INDEX(المرجع!$A$2:$A$19,MATCH($G118,المرجع!$B$2:$B$19,0)),"")</f>
        <v>البناء المؤسسي</v>
      </c>
      <c r="I118" s="16" t="s">
        <v>51</v>
      </c>
      <c r="J118" s="14" t="str">
        <f>IFERROR(INDEX(المرجع!$D$2:$D$19,MATCH($I118,المرجع!$E$2:$E$19,0)),"")</f>
        <v>الحوكمة</v>
      </c>
      <c r="K118" s="15">
        <f>IFERROR(INDEX(المرجع!$F$2:$F$19,MATCH($I118,المرجع!$E$2:$E$19,0)),"")</f>
        <v>3</v>
      </c>
      <c r="L118" s="15">
        <f>SUMIFS(المرجع!$H$2:$H$19,المرجع!$B$2:$B$19,$G118,المرجع!$E$2:$E$19,$I118)</f>
        <v>3</v>
      </c>
      <c r="M118" s="15">
        <f>COUNTIFS('المرتبطة بسمو الوزير'!$B$2:$B$151,$B118,'المرتبطة بسمو الوزير'!$G$2:$G$151,$G118,'المرتبطة بسمو الوزير'!$I$2:$I$151,$I118,'المرتبطة بسمو الوزير'!$M$2:$M$151,"&lt;&gt;")+COUNTIFS('الشؤون التنفيذية'!$B$2:$B$421,$B118,'الشؤون التنفيذية'!$G$2:$G$421,$G118,'الشؤون التنفيذية'!$I$2:$I$421,$I118,'الشؤون التنفيذية'!$N$2:$N$421,"&lt;&gt;")+COUNTIFS('الجهاز العسكري'!$B$2:$B$631,$B118,'الجهاز العسكري'!$G$2:$G$631,$G118,'الجهاز العسكري'!$I$2:$I$631,$I118,'الجهاز العسكري'!$M$2:$M$631,"&lt;&gt;")</f>
        <v>3</v>
      </c>
      <c r="N118" s="19">
        <f>IF($L118=0,0,ROUND((SUMIFS('المرتبطة بسمو الوزير'!$M$2:$M$151,'المرتبطة بسمو الوزير'!$B$2:$B$151,$B118,'المرتبطة بسمو الوزير'!$G$2:$G$151,$G118,'المرتبطة بسمو الوزير'!$I$2:$I$151,$I118)+SUMIFS('الشؤون التنفيذية'!$N$2:$N$421,'الشؤون التنفيذية'!$B$2:$B$421,$B118,'الشؤون التنفيذية'!$G$2:$G$421,$G118,'الشؤون التنفيذية'!$I$2:$I$421,$I118)+SUMIFS('الجهاز العسكري'!$M$2:$M$631,'الجهاز العسكري'!$B$2:$B$631,$B118,'الجهاز العسكري'!$G$2:$G$631,$G118,'الجهاز العسكري'!$I$2:$I$631,$I118))/$L118,0))</f>
        <v>77</v>
      </c>
      <c r="O118" s="18"/>
      <c r="P118" s="15">
        <f>SUMIFS(المرجع!$G$2:$G$19,المرجع!$B$2:$B$19,$G118,المرجع!$E$2:$E$19,$I118)</f>
        <v>15</v>
      </c>
      <c r="Q118" s="20">
        <f t="shared" si="2"/>
        <v>11.55</v>
      </c>
      <c r="R118" s="21" t="str">
        <f>IF($N118&gt;المرجع!$K$3,"متقدم",IF($N118&lt;=المرجع!$K$2,"أولي","جزئي"))</f>
        <v>متقدم</v>
      </c>
    </row>
    <row r="119" spans="1:18">
      <c r="A119" s="16" t="s">
        <v>1559</v>
      </c>
      <c r="B119" s="16" t="s">
        <v>160</v>
      </c>
      <c r="C119" s="15" t="str">
        <f>IFERROR(INDEX('قائمة الوحدات'!$B$2:$B$41,MATCH($B119,'قائمة الوحدات'!$A$2:$A$41,0)),"")</f>
        <v>EXE</v>
      </c>
      <c r="D119" s="14" t="str">
        <f>IFERROR(INDEX('قائمة الوحدات'!$C$2:$C$41,MATCH($B119,'قائمة الوحدات'!$A$2:$A$41,0)),"")</f>
        <v>الشؤون التنفيذية</v>
      </c>
      <c r="E119" s="14" t="str">
        <f>IFERROR(INDEX('قائمة الوحدات'!$D$2:$D$41,MATCH($B119,'قائمة الوحدات'!$A$2:$A$41,0)),"")</f>
        <v>وكالة الشؤون الفنية</v>
      </c>
      <c r="F119" s="14" t="str">
        <f>IFERROR(INDEX('قائمة الوحدات'!$F$2:$F$41,MATCH($B119,'قائمة الوحدات'!$A$2:$A$41,0)),"")</f>
        <v>الإدارة العامة للجودة والتطوير</v>
      </c>
      <c r="G119" s="16" t="s">
        <v>61</v>
      </c>
      <c r="H119" s="14" t="str">
        <f>IFERROR(INDEX(المرجع!$A$2:$A$19,MATCH($G119,المرجع!$B$2:$B$19,0)),"")</f>
        <v>البناء المؤسسي</v>
      </c>
      <c r="I119" s="16" t="s">
        <v>54</v>
      </c>
      <c r="J119" s="14" t="str">
        <f>IFERROR(INDEX(المرجع!$D$2:$D$19,MATCH($I119,المرجع!$E$2:$E$19,0)),"")</f>
        <v>التنظيم</v>
      </c>
      <c r="K119" s="15">
        <f>IFERROR(INDEX(المرجع!$F$2:$F$19,MATCH($I119,المرجع!$E$2:$E$19,0)),"")</f>
        <v>4</v>
      </c>
      <c r="L119" s="15">
        <f>SUMIFS(المرجع!$H$2:$H$19,المرجع!$B$2:$B$19,$G119,المرجع!$E$2:$E$19,$I119)</f>
        <v>3</v>
      </c>
      <c r="M119" s="15">
        <f>COUNTIFS('المرتبطة بسمو الوزير'!$B$2:$B$151,$B119,'المرتبطة بسمو الوزير'!$G$2:$G$151,$G119,'المرتبطة بسمو الوزير'!$I$2:$I$151,$I119,'المرتبطة بسمو الوزير'!$M$2:$M$151,"&lt;&gt;")+COUNTIFS('الشؤون التنفيذية'!$B$2:$B$421,$B119,'الشؤون التنفيذية'!$G$2:$G$421,$G119,'الشؤون التنفيذية'!$I$2:$I$421,$I119,'الشؤون التنفيذية'!$N$2:$N$421,"&lt;&gt;")+COUNTIFS('الجهاز العسكري'!$B$2:$B$631,$B119,'الجهاز العسكري'!$G$2:$G$631,$G119,'الجهاز العسكري'!$I$2:$I$631,$I119,'الجهاز العسكري'!$M$2:$M$631,"&lt;&gt;")</f>
        <v>3</v>
      </c>
      <c r="N119" s="19">
        <f>IF($L119=0,0,ROUND((SUMIFS('المرتبطة بسمو الوزير'!$M$2:$M$151,'المرتبطة بسمو الوزير'!$B$2:$B$151,$B119,'المرتبطة بسمو الوزير'!$G$2:$G$151,$G119,'المرتبطة بسمو الوزير'!$I$2:$I$151,$I119)+SUMIFS('الشؤون التنفيذية'!$N$2:$N$421,'الشؤون التنفيذية'!$B$2:$B$421,$B119,'الشؤون التنفيذية'!$G$2:$G$421,$G119,'الشؤون التنفيذية'!$I$2:$I$421,$I119)+SUMIFS('الجهاز العسكري'!$M$2:$M$631,'الجهاز العسكري'!$B$2:$B$631,$B119,'الجهاز العسكري'!$G$2:$G$631,$G119,'الجهاز العسكري'!$I$2:$I$631,$I119))/$L119,0))</f>
        <v>58</v>
      </c>
      <c r="O119" s="18"/>
      <c r="P119" s="15">
        <f>SUMIFS(المرجع!$G$2:$G$19,المرجع!$B$2:$B$19,$G119,المرجع!$E$2:$E$19,$I119)</f>
        <v>20</v>
      </c>
      <c r="Q119" s="20">
        <f t="shared" si="2"/>
        <v>11.6</v>
      </c>
      <c r="R119" s="21" t="str">
        <f>IF($N119&gt;المرجع!$K$3,"متقدم",IF($N119&lt;=المرجع!$K$2,"أولي","جزئي"))</f>
        <v>جزئي</v>
      </c>
    </row>
    <row r="120" spans="1:18">
      <c r="A120" s="16" t="s">
        <v>1560</v>
      </c>
      <c r="B120" s="16" t="s">
        <v>160</v>
      </c>
      <c r="C120" s="15" t="str">
        <f>IFERROR(INDEX('قائمة الوحدات'!$B$2:$B$41,MATCH($B120,'قائمة الوحدات'!$A$2:$A$41,0)),"")</f>
        <v>EXE</v>
      </c>
      <c r="D120" s="14" t="str">
        <f>IFERROR(INDEX('قائمة الوحدات'!$C$2:$C$41,MATCH($B120,'قائمة الوحدات'!$A$2:$A$41,0)),"")</f>
        <v>الشؤون التنفيذية</v>
      </c>
      <c r="E120" s="14" t="str">
        <f>IFERROR(INDEX('قائمة الوحدات'!$D$2:$D$41,MATCH($B120,'قائمة الوحدات'!$A$2:$A$41,0)),"")</f>
        <v>وكالة الشؤون الفنية</v>
      </c>
      <c r="F120" s="14" t="str">
        <f>IFERROR(INDEX('قائمة الوحدات'!$F$2:$F$41,MATCH($B120,'قائمة الوحدات'!$A$2:$A$41,0)),"")</f>
        <v>الإدارة العامة للجودة والتطوير</v>
      </c>
      <c r="G120" s="16" t="s">
        <v>61</v>
      </c>
      <c r="H120" s="14" t="str">
        <f>IFERROR(INDEX(المرجع!$A$2:$A$19,MATCH($G120,المرجع!$B$2:$B$19,0)),"")</f>
        <v>البناء المؤسسي</v>
      </c>
      <c r="I120" s="16" t="s">
        <v>56</v>
      </c>
      <c r="J120" s="14" t="str">
        <f>IFERROR(INDEX(المرجع!$D$2:$D$19,MATCH($I120,المرجع!$E$2:$E$19,0)),"")</f>
        <v>الموارد</v>
      </c>
      <c r="K120" s="15">
        <f>IFERROR(INDEX(المرجع!$F$2:$F$19,MATCH($I120,المرجع!$E$2:$E$19,0)),"")</f>
        <v>5</v>
      </c>
      <c r="L120" s="15">
        <f>SUMIFS(المرجع!$H$2:$H$19,المرجع!$B$2:$B$19,$G120,المرجع!$E$2:$E$19,$I120)</f>
        <v>4</v>
      </c>
      <c r="M120" s="15">
        <f>COUNTIFS('المرتبطة بسمو الوزير'!$B$2:$B$151,$B120,'المرتبطة بسمو الوزير'!$G$2:$G$151,$G120,'المرتبطة بسمو الوزير'!$I$2:$I$151,$I120,'المرتبطة بسمو الوزير'!$M$2:$M$151,"&lt;&gt;")+COUNTIFS('الشؤون التنفيذية'!$B$2:$B$421,$B120,'الشؤون التنفيذية'!$G$2:$G$421,$G120,'الشؤون التنفيذية'!$I$2:$I$421,$I120,'الشؤون التنفيذية'!$N$2:$N$421,"&lt;&gt;")+COUNTIFS('الجهاز العسكري'!$B$2:$B$631,$B120,'الجهاز العسكري'!$G$2:$G$631,$G120,'الجهاز العسكري'!$I$2:$I$631,$I120,'الجهاز العسكري'!$M$2:$M$631,"&lt;&gt;")</f>
        <v>4</v>
      </c>
      <c r="N120" s="19">
        <f>IF($L120=0,0,ROUND((SUMIFS('المرتبطة بسمو الوزير'!$M$2:$M$151,'المرتبطة بسمو الوزير'!$B$2:$B$151,$B120,'المرتبطة بسمو الوزير'!$G$2:$G$151,$G120,'المرتبطة بسمو الوزير'!$I$2:$I$151,$I120)+SUMIFS('الشؤون التنفيذية'!$N$2:$N$421,'الشؤون التنفيذية'!$B$2:$B$421,$B120,'الشؤون التنفيذية'!$G$2:$G$421,$G120,'الشؤون التنفيذية'!$I$2:$I$421,$I120)+SUMIFS('الجهاز العسكري'!$M$2:$M$631,'الجهاز العسكري'!$B$2:$B$631,$B120,'الجهاز العسكري'!$G$2:$G$631,$G120,'الجهاز العسكري'!$I$2:$I$631,$I120))/$L120,0))</f>
        <v>50</v>
      </c>
      <c r="O120" s="18"/>
      <c r="P120" s="15">
        <f>SUMIFS(المرجع!$G$2:$G$19,المرجع!$B$2:$B$19,$G120,المرجع!$E$2:$E$19,$I120)</f>
        <v>25</v>
      </c>
      <c r="Q120" s="20">
        <f t="shared" si="2"/>
        <v>12.5</v>
      </c>
      <c r="R120" s="21" t="str">
        <f>IF($N120&gt;المرجع!$K$3,"متقدم",IF($N120&lt;=المرجع!$K$2,"أولي","جزئي"))</f>
        <v>جزئي</v>
      </c>
    </row>
    <row r="121" spans="1:18">
      <c r="A121" s="16" t="s">
        <v>1561</v>
      </c>
      <c r="B121" s="16" t="s">
        <v>160</v>
      </c>
      <c r="C121" s="15" t="str">
        <f>IFERROR(INDEX('قائمة الوحدات'!$B$2:$B$41,MATCH($B121,'قائمة الوحدات'!$A$2:$A$41,0)),"")</f>
        <v>EXE</v>
      </c>
      <c r="D121" s="14" t="str">
        <f>IFERROR(INDEX('قائمة الوحدات'!$C$2:$C$41,MATCH($B121,'قائمة الوحدات'!$A$2:$A$41,0)),"")</f>
        <v>الشؤون التنفيذية</v>
      </c>
      <c r="E121" s="14" t="str">
        <f>IFERROR(INDEX('قائمة الوحدات'!$D$2:$D$41,MATCH($B121,'قائمة الوحدات'!$A$2:$A$41,0)),"")</f>
        <v>وكالة الشؤون الفنية</v>
      </c>
      <c r="F121" s="14" t="str">
        <f>IFERROR(INDEX('قائمة الوحدات'!$F$2:$F$41,MATCH($B121,'قائمة الوحدات'!$A$2:$A$41,0)),"")</f>
        <v>الإدارة العامة للجودة والتطوير</v>
      </c>
      <c r="G121" s="16" t="s">
        <v>61</v>
      </c>
      <c r="H121" s="14" t="str">
        <f>IFERROR(INDEX(المرجع!$A$2:$A$19,MATCH($G121,المرجع!$B$2:$B$19,0)),"")</f>
        <v>البناء المؤسسي</v>
      </c>
      <c r="I121" s="16" t="s">
        <v>59</v>
      </c>
      <c r="J121" s="14" t="str">
        <f>IFERROR(INDEX(المرجع!$D$2:$D$19,MATCH($I121,المرجع!$E$2:$E$19,0)),"")</f>
        <v>الإجراءات</v>
      </c>
      <c r="K121" s="15">
        <f>IFERROR(INDEX(المرجع!$F$2:$F$19,MATCH($I121,المرجع!$E$2:$E$19,0)),"")</f>
        <v>6</v>
      </c>
      <c r="L121" s="15">
        <f>SUMIFS(المرجع!$H$2:$H$19,المرجع!$B$2:$B$19,$G121,المرجع!$E$2:$E$19,$I121)</f>
        <v>1</v>
      </c>
      <c r="M121" s="15">
        <f>COUNTIFS('المرتبطة بسمو الوزير'!$B$2:$B$151,$B121,'المرتبطة بسمو الوزير'!$G$2:$G$151,$G121,'المرتبطة بسمو الوزير'!$I$2:$I$151,$I121,'المرتبطة بسمو الوزير'!$M$2:$M$151,"&lt;&gt;")+COUNTIFS('الشؤون التنفيذية'!$B$2:$B$421,$B121,'الشؤون التنفيذية'!$G$2:$G$421,$G121,'الشؤون التنفيذية'!$I$2:$I$421,$I121,'الشؤون التنفيذية'!$N$2:$N$421,"&lt;&gt;")+COUNTIFS('الجهاز العسكري'!$B$2:$B$631,$B121,'الجهاز العسكري'!$G$2:$G$631,$G121,'الجهاز العسكري'!$I$2:$I$631,$I121,'الجهاز العسكري'!$M$2:$M$631,"&lt;&gt;")</f>
        <v>1</v>
      </c>
      <c r="N121" s="19">
        <f>IF($L121=0,0,ROUND((SUMIFS('المرتبطة بسمو الوزير'!$M$2:$M$151,'المرتبطة بسمو الوزير'!$B$2:$B$151,$B121,'المرتبطة بسمو الوزير'!$G$2:$G$151,$G121,'المرتبطة بسمو الوزير'!$I$2:$I$151,$I121)+SUMIFS('الشؤون التنفيذية'!$N$2:$N$421,'الشؤون التنفيذية'!$B$2:$B$421,$B121,'الشؤون التنفيذية'!$G$2:$G$421,$G121,'الشؤون التنفيذية'!$I$2:$I$421,$I121)+SUMIFS('الجهاز العسكري'!$M$2:$M$631,'الجهاز العسكري'!$B$2:$B$631,$B121,'الجهاز العسكري'!$G$2:$G$631,$G121,'الجهاز العسكري'!$I$2:$I$631,$I121))/$L121,0))</f>
        <v>50</v>
      </c>
      <c r="O121" s="18"/>
      <c r="P121" s="15">
        <f>SUMIFS(المرجع!$G$2:$G$19,المرجع!$B$2:$B$19,$G121,المرجع!$E$2:$E$19,$I121)</f>
        <v>5</v>
      </c>
      <c r="Q121" s="20">
        <f t="shared" si="2"/>
        <v>2.5</v>
      </c>
      <c r="R121" s="21" t="str">
        <f>IF($N121&gt;المرجع!$K$3,"متقدم",IF($N121&lt;=المرجع!$K$2,"أولي","جزئي"))</f>
        <v>جزئي</v>
      </c>
    </row>
    <row r="122" spans="1:18">
      <c r="A122" s="16" t="s">
        <v>1562</v>
      </c>
      <c r="B122" s="16" t="s">
        <v>160</v>
      </c>
      <c r="C122" s="15" t="str">
        <f>IFERROR(INDEX('قائمة الوحدات'!$B$2:$B$41,MATCH($B122,'قائمة الوحدات'!$A$2:$A$41,0)),"")</f>
        <v>EXE</v>
      </c>
      <c r="D122" s="14" t="str">
        <f>IFERROR(INDEX('قائمة الوحدات'!$C$2:$C$41,MATCH($B122,'قائمة الوحدات'!$A$2:$A$41,0)),"")</f>
        <v>الشؤون التنفيذية</v>
      </c>
      <c r="E122" s="14" t="str">
        <f>IFERROR(INDEX('قائمة الوحدات'!$D$2:$D$41,MATCH($B122,'قائمة الوحدات'!$A$2:$A$41,0)),"")</f>
        <v>وكالة الشؤون الفنية</v>
      </c>
      <c r="F122" s="14" t="str">
        <f>IFERROR(INDEX('قائمة الوحدات'!$F$2:$F$41,MATCH($B122,'قائمة الوحدات'!$A$2:$A$41,0)),"")</f>
        <v>الإدارة العامة للجودة والتطوير</v>
      </c>
      <c r="G122" s="16" t="s">
        <v>61</v>
      </c>
      <c r="H122" s="14" t="str">
        <f>IFERROR(INDEX(المرجع!$A$2:$A$19,MATCH($G122,المرجع!$B$2:$B$19,0)),"")</f>
        <v>البناء المؤسسي</v>
      </c>
      <c r="I122" s="16" t="s">
        <v>63</v>
      </c>
      <c r="J122" s="14" t="str">
        <f>IFERROR(INDEX(المرجع!$D$2:$D$19,MATCH($I122,المرجع!$E$2:$E$19,0)),"")</f>
        <v>إنتاج المخرج الأول</v>
      </c>
      <c r="K122" s="15">
        <f>IFERROR(INDEX(المرجع!$F$2:$F$19,MATCH($I122,المرجع!$E$2:$E$19,0)),"")</f>
        <v>7</v>
      </c>
      <c r="L122" s="15">
        <f>SUMIFS(المرجع!$H$2:$H$19,المرجع!$B$2:$B$19,$G122,المرجع!$E$2:$E$19,$I122)</f>
        <v>1</v>
      </c>
      <c r="M122" s="15">
        <f>COUNTIFS('المرتبطة بسمو الوزير'!$B$2:$B$151,$B122,'المرتبطة بسمو الوزير'!$G$2:$G$151,$G122,'المرتبطة بسمو الوزير'!$I$2:$I$151,$I122,'المرتبطة بسمو الوزير'!$M$2:$M$151,"&lt;&gt;")+COUNTIFS('الشؤون التنفيذية'!$B$2:$B$421,$B122,'الشؤون التنفيذية'!$G$2:$G$421,$G122,'الشؤون التنفيذية'!$I$2:$I$421,$I122,'الشؤون التنفيذية'!$N$2:$N$421,"&lt;&gt;")+COUNTIFS('الجهاز العسكري'!$B$2:$B$631,$B122,'الجهاز العسكري'!$G$2:$G$631,$G122,'الجهاز العسكري'!$I$2:$I$631,$I122,'الجهاز العسكري'!$M$2:$M$631,"&lt;&gt;")</f>
        <v>1</v>
      </c>
      <c r="N122" s="19">
        <f>IF($L122=0,0,ROUND((SUMIFS('المرتبطة بسمو الوزير'!$M$2:$M$151,'المرتبطة بسمو الوزير'!$B$2:$B$151,$B122,'المرتبطة بسمو الوزير'!$G$2:$G$151,$G122,'المرتبطة بسمو الوزير'!$I$2:$I$151,$I122)+SUMIFS('الشؤون التنفيذية'!$N$2:$N$421,'الشؤون التنفيذية'!$B$2:$B$421,$B122,'الشؤون التنفيذية'!$G$2:$G$421,$G122,'الشؤون التنفيذية'!$I$2:$I$421,$I122)+SUMIFS('الجهاز العسكري'!$M$2:$M$631,'الجهاز العسكري'!$B$2:$B$631,$B122,'الجهاز العسكري'!$G$2:$G$631,$G122,'الجهاز العسكري'!$I$2:$I$631,$I122))/$L122,0))</f>
        <v>81</v>
      </c>
      <c r="O122" s="18"/>
      <c r="P122" s="15">
        <f>SUMIFS(المرجع!$G$2:$G$19,المرجع!$B$2:$B$19,$G122,المرجع!$E$2:$E$19,$I122)</f>
        <v>5</v>
      </c>
      <c r="Q122" s="20">
        <f t="shared" si="2"/>
        <v>4.05</v>
      </c>
      <c r="R122" s="21" t="str">
        <f>IF($N122&gt;المرجع!$K$3,"متقدم",IF($N122&lt;=المرجع!$K$2,"أولي","جزئي"))</f>
        <v>متقدم</v>
      </c>
    </row>
    <row r="123" spans="1:18">
      <c r="A123" s="16" t="s">
        <v>1563</v>
      </c>
      <c r="B123" s="16" t="s">
        <v>160</v>
      </c>
      <c r="C123" s="15" t="str">
        <f>IFERROR(INDEX('قائمة الوحدات'!$B$2:$B$41,MATCH($B123,'قائمة الوحدات'!$A$2:$A$41,0)),"")</f>
        <v>EXE</v>
      </c>
      <c r="D123" s="14" t="str">
        <f>IFERROR(INDEX('قائمة الوحدات'!$C$2:$C$41,MATCH($B123,'قائمة الوحدات'!$A$2:$A$41,0)),"")</f>
        <v>الشؤون التنفيذية</v>
      </c>
      <c r="E123" s="14" t="str">
        <f>IFERROR(INDEX('قائمة الوحدات'!$D$2:$D$41,MATCH($B123,'قائمة الوحدات'!$A$2:$A$41,0)),"")</f>
        <v>وكالة الشؤون الفنية</v>
      </c>
      <c r="F123" s="14" t="str">
        <f>IFERROR(INDEX('قائمة الوحدات'!$F$2:$F$41,MATCH($B123,'قائمة الوحدات'!$A$2:$A$41,0)),"")</f>
        <v>الإدارة العامة للجودة والتطوير</v>
      </c>
      <c r="G123" s="16" t="s">
        <v>65</v>
      </c>
      <c r="H123" s="14" t="str">
        <f>IFERROR(INDEX(المرجع!$A$2:$A$19,MATCH($G123,المرجع!$B$2:$B$19,0)),"")</f>
        <v>التشغيل</v>
      </c>
      <c r="I123" s="16" t="s">
        <v>48</v>
      </c>
      <c r="J123" s="14" t="str">
        <f>IFERROR(INDEX(المرجع!$D$2:$D$19,MATCH($I123,المرجع!$E$2:$E$19,0)),"")</f>
        <v>الأهداف ومؤشرات الأداء</v>
      </c>
      <c r="K123" s="15">
        <f>IFERROR(INDEX(المرجع!$F$2:$F$19,MATCH($I123,المرجع!$E$2:$E$19,0)),"")</f>
        <v>2</v>
      </c>
      <c r="L123" s="15">
        <f>SUMIFS(المرجع!$H$2:$H$19,المرجع!$B$2:$B$19,$G123,المرجع!$E$2:$E$19,$I123)</f>
        <v>2</v>
      </c>
      <c r="M123" s="15">
        <f>COUNTIFS('المرتبطة بسمو الوزير'!$B$2:$B$151,$B123,'المرتبطة بسمو الوزير'!$G$2:$G$151,$G123,'المرتبطة بسمو الوزير'!$I$2:$I$151,$I123,'المرتبطة بسمو الوزير'!$M$2:$M$151,"&lt;&gt;")+COUNTIFS('الشؤون التنفيذية'!$B$2:$B$421,$B123,'الشؤون التنفيذية'!$G$2:$G$421,$G123,'الشؤون التنفيذية'!$I$2:$I$421,$I123,'الشؤون التنفيذية'!$N$2:$N$421,"&lt;&gt;")+COUNTIFS('الجهاز العسكري'!$B$2:$B$631,$B123,'الجهاز العسكري'!$G$2:$G$631,$G123,'الجهاز العسكري'!$I$2:$I$631,$I123,'الجهاز العسكري'!$M$2:$M$631,"&lt;&gt;")</f>
        <v>2</v>
      </c>
      <c r="N123" s="19">
        <f>IF($L123=0,0,ROUND((SUMIFS('المرتبطة بسمو الوزير'!$M$2:$M$151,'المرتبطة بسمو الوزير'!$B$2:$B$151,$B123,'المرتبطة بسمو الوزير'!$G$2:$G$151,$G123,'المرتبطة بسمو الوزير'!$I$2:$I$151,$I123)+SUMIFS('الشؤون التنفيذية'!$N$2:$N$421,'الشؤون التنفيذية'!$B$2:$B$421,$B123,'الشؤون التنفيذية'!$G$2:$G$421,$G123,'الشؤون التنفيذية'!$I$2:$I$421,$I123)+SUMIFS('الجهاز العسكري'!$M$2:$M$631,'الجهاز العسكري'!$B$2:$B$631,$B123,'الجهاز العسكري'!$G$2:$G$631,$G123,'الجهاز العسكري'!$I$2:$I$631,$I123))/$L123,0))</f>
        <v>20</v>
      </c>
      <c r="O123" s="18"/>
      <c r="P123" s="15">
        <f>SUMIFS(المرجع!$G$2:$G$19,المرجع!$B$2:$B$19,$G123,المرجع!$E$2:$E$19,$I123)</f>
        <v>25</v>
      </c>
      <c r="Q123" s="20">
        <f t="shared" si="2"/>
        <v>5</v>
      </c>
      <c r="R123" s="21" t="str">
        <f>IF($N123&gt;المرجع!$K$3,"متقدم",IF($N123&lt;=المرجع!$K$2,"أولي","جزئي"))</f>
        <v>أولي</v>
      </c>
    </row>
    <row r="124" spans="1:18">
      <c r="A124" s="16" t="s">
        <v>1564</v>
      </c>
      <c r="B124" s="16" t="s">
        <v>160</v>
      </c>
      <c r="C124" s="15" t="str">
        <f>IFERROR(INDEX('قائمة الوحدات'!$B$2:$B$41,MATCH($B124,'قائمة الوحدات'!$A$2:$A$41,0)),"")</f>
        <v>EXE</v>
      </c>
      <c r="D124" s="14" t="str">
        <f>IFERROR(INDEX('قائمة الوحدات'!$C$2:$C$41,MATCH($B124,'قائمة الوحدات'!$A$2:$A$41,0)),"")</f>
        <v>الشؤون التنفيذية</v>
      </c>
      <c r="E124" s="14" t="str">
        <f>IFERROR(INDEX('قائمة الوحدات'!$D$2:$D$41,MATCH($B124,'قائمة الوحدات'!$A$2:$A$41,0)),"")</f>
        <v>وكالة الشؤون الفنية</v>
      </c>
      <c r="F124" s="14" t="str">
        <f>IFERROR(INDEX('قائمة الوحدات'!$F$2:$F$41,MATCH($B124,'قائمة الوحدات'!$A$2:$A$41,0)),"")</f>
        <v>الإدارة العامة للجودة والتطوير</v>
      </c>
      <c r="G124" s="16" t="s">
        <v>65</v>
      </c>
      <c r="H124" s="14" t="str">
        <f>IFERROR(INDEX(المرجع!$A$2:$A$19,MATCH($G124,المرجع!$B$2:$B$19,0)),"")</f>
        <v>التشغيل</v>
      </c>
      <c r="I124" s="16" t="s">
        <v>51</v>
      </c>
      <c r="J124" s="14" t="str">
        <f>IFERROR(INDEX(المرجع!$D$2:$D$19,MATCH($I124,المرجع!$E$2:$E$19,0)),"")</f>
        <v>الحوكمة</v>
      </c>
      <c r="K124" s="15">
        <f>IFERROR(INDEX(المرجع!$F$2:$F$19,MATCH($I124,المرجع!$E$2:$E$19,0)),"")</f>
        <v>3</v>
      </c>
      <c r="L124" s="15">
        <f>SUMIFS(المرجع!$H$2:$H$19,المرجع!$B$2:$B$19,$G124,المرجع!$E$2:$E$19,$I124)</f>
        <v>3</v>
      </c>
      <c r="M124" s="15">
        <f>COUNTIFS('المرتبطة بسمو الوزير'!$B$2:$B$151,$B124,'المرتبطة بسمو الوزير'!$G$2:$G$151,$G124,'المرتبطة بسمو الوزير'!$I$2:$I$151,$I124,'المرتبطة بسمو الوزير'!$M$2:$M$151,"&lt;&gt;")+COUNTIFS('الشؤون التنفيذية'!$B$2:$B$421,$B124,'الشؤون التنفيذية'!$G$2:$G$421,$G124,'الشؤون التنفيذية'!$I$2:$I$421,$I124,'الشؤون التنفيذية'!$N$2:$N$421,"&lt;&gt;")+COUNTIFS('الجهاز العسكري'!$B$2:$B$631,$B124,'الجهاز العسكري'!$G$2:$G$631,$G124,'الجهاز العسكري'!$I$2:$I$631,$I124,'الجهاز العسكري'!$M$2:$M$631,"&lt;&gt;")</f>
        <v>3</v>
      </c>
      <c r="N124" s="19">
        <f>IF($L124=0,0,ROUND((SUMIFS('المرتبطة بسمو الوزير'!$M$2:$M$151,'المرتبطة بسمو الوزير'!$B$2:$B$151,$B124,'المرتبطة بسمو الوزير'!$G$2:$G$151,$G124,'المرتبطة بسمو الوزير'!$I$2:$I$151,$I124)+SUMIFS('الشؤون التنفيذية'!$N$2:$N$421,'الشؤون التنفيذية'!$B$2:$B$421,$B124,'الشؤون التنفيذية'!$G$2:$G$421,$G124,'الشؤون التنفيذية'!$I$2:$I$421,$I124)+SUMIFS('الجهاز العسكري'!$M$2:$M$631,'الجهاز العسكري'!$B$2:$B$631,$B124,'الجهاز العسكري'!$G$2:$G$631,$G124,'الجهاز العسكري'!$I$2:$I$631,$I124))/$L124,0))</f>
        <v>42</v>
      </c>
      <c r="O124" s="18"/>
      <c r="P124" s="15">
        <f>SUMIFS(المرجع!$G$2:$G$19,المرجع!$B$2:$B$19,$G124,المرجع!$E$2:$E$19,$I124)</f>
        <v>15</v>
      </c>
      <c r="Q124" s="20">
        <f t="shared" si="2"/>
        <v>6.3</v>
      </c>
      <c r="R124" s="21" t="str">
        <f>IF($N124&gt;المرجع!$K$3,"متقدم",IF($N124&lt;=المرجع!$K$2,"أولي","جزئي"))</f>
        <v>جزئي</v>
      </c>
    </row>
    <row r="125" spans="1:18">
      <c r="A125" s="16" t="s">
        <v>1565</v>
      </c>
      <c r="B125" s="16" t="s">
        <v>160</v>
      </c>
      <c r="C125" s="15" t="str">
        <f>IFERROR(INDEX('قائمة الوحدات'!$B$2:$B$41,MATCH($B125,'قائمة الوحدات'!$A$2:$A$41,0)),"")</f>
        <v>EXE</v>
      </c>
      <c r="D125" s="14" t="str">
        <f>IFERROR(INDEX('قائمة الوحدات'!$C$2:$C$41,MATCH($B125,'قائمة الوحدات'!$A$2:$A$41,0)),"")</f>
        <v>الشؤون التنفيذية</v>
      </c>
      <c r="E125" s="14" t="str">
        <f>IFERROR(INDEX('قائمة الوحدات'!$D$2:$D$41,MATCH($B125,'قائمة الوحدات'!$A$2:$A$41,0)),"")</f>
        <v>وكالة الشؤون الفنية</v>
      </c>
      <c r="F125" s="14" t="str">
        <f>IFERROR(INDEX('قائمة الوحدات'!$F$2:$F$41,MATCH($B125,'قائمة الوحدات'!$A$2:$A$41,0)),"")</f>
        <v>الإدارة العامة للجودة والتطوير</v>
      </c>
      <c r="G125" s="16" t="s">
        <v>65</v>
      </c>
      <c r="H125" s="14" t="str">
        <f>IFERROR(INDEX(المرجع!$A$2:$A$19,MATCH($G125,المرجع!$B$2:$B$19,0)),"")</f>
        <v>التشغيل</v>
      </c>
      <c r="I125" s="16" t="s">
        <v>56</v>
      </c>
      <c r="J125" s="14" t="str">
        <f>IFERROR(INDEX(المرجع!$D$2:$D$19,MATCH($I125,المرجع!$E$2:$E$19,0)),"")</f>
        <v>الموارد</v>
      </c>
      <c r="K125" s="15">
        <f>IFERROR(INDEX(المرجع!$F$2:$F$19,MATCH($I125,المرجع!$E$2:$E$19,0)),"")</f>
        <v>5</v>
      </c>
      <c r="L125" s="15">
        <f>SUMIFS(المرجع!$H$2:$H$19,المرجع!$B$2:$B$19,$G125,المرجع!$E$2:$E$19,$I125)</f>
        <v>1</v>
      </c>
      <c r="M125" s="15">
        <f>COUNTIFS('المرتبطة بسمو الوزير'!$B$2:$B$151,$B125,'المرتبطة بسمو الوزير'!$G$2:$G$151,$G125,'المرتبطة بسمو الوزير'!$I$2:$I$151,$I125,'المرتبطة بسمو الوزير'!$M$2:$M$151,"&lt;&gt;")+COUNTIFS('الشؤون التنفيذية'!$B$2:$B$421,$B125,'الشؤون التنفيذية'!$G$2:$G$421,$G125,'الشؤون التنفيذية'!$I$2:$I$421,$I125,'الشؤون التنفيذية'!$N$2:$N$421,"&lt;&gt;")+COUNTIFS('الجهاز العسكري'!$B$2:$B$631,$B125,'الجهاز العسكري'!$G$2:$G$631,$G125,'الجهاز العسكري'!$I$2:$I$631,$I125,'الجهاز العسكري'!$M$2:$M$631,"&lt;&gt;")</f>
        <v>1</v>
      </c>
      <c r="N125" s="19">
        <f>IF($L125=0,0,ROUND((SUMIFS('المرتبطة بسمو الوزير'!$M$2:$M$151,'المرتبطة بسمو الوزير'!$B$2:$B$151,$B125,'المرتبطة بسمو الوزير'!$G$2:$G$151,$G125,'المرتبطة بسمو الوزير'!$I$2:$I$151,$I125)+SUMIFS('الشؤون التنفيذية'!$N$2:$N$421,'الشؤون التنفيذية'!$B$2:$B$421,$B125,'الشؤون التنفيذية'!$G$2:$G$421,$G125,'الشؤون التنفيذية'!$I$2:$I$421,$I125)+SUMIFS('الجهاز العسكري'!$M$2:$M$631,'الجهاز العسكري'!$B$2:$B$631,$B125,'الجهاز العسكري'!$G$2:$G$631,$G125,'الجهاز العسكري'!$I$2:$I$631,$I125))/$L125,0))</f>
        <v>54</v>
      </c>
      <c r="O125" s="18"/>
      <c r="P125" s="15">
        <f>SUMIFS(المرجع!$G$2:$G$19,المرجع!$B$2:$B$19,$G125,المرجع!$E$2:$E$19,$I125)</f>
        <v>15</v>
      </c>
      <c r="Q125" s="20">
        <f t="shared" si="2"/>
        <v>8.1</v>
      </c>
      <c r="R125" s="21" t="str">
        <f>IF($N125&gt;المرجع!$K$3,"متقدم",IF($N125&lt;=المرجع!$K$2,"أولي","جزئي"))</f>
        <v>جزئي</v>
      </c>
    </row>
    <row r="126" spans="1:18">
      <c r="A126" s="16" t="s">
        <v>1566</v>
      </c>
      <c r="B126" s="16" t="s">
        <v>160</v>
      </c>
      <c r="C126" s="15" t="str">
        <f>IFERROR(INDEX('قائمة الوحدات'!$B$2:$B$41,MATCH($B126,'قائمة الوحدات'!$A$2:$A$41,0)),"")</f>
        <v>EXE</v>
      </c>
      <c r="D126" s="14" t="str">
        <f>IFERROR(INDEX('قائمة الوحدات'!$C$2:$C$41,MATCH($B126,'قائمة الوحدات'!$A$2:$A$41,0)),"")</f>
        <v>الشؤون التنفيذية</v>
      </c>
      <c r="E126" s="14" t="str">
        <f>IFERROR(INDEX('قائمة الوحدات'!$D$2:$D$41,MATCH($B126,'قائمة الوحدات'!$A$2:$A$41,0)),"")</f>
        <v>وكالة الشؤون الفنية</v>
      </c>
      <c r="F126" s="14" t="str">
        <f>IFERROR(INDEX('قائمة الوحدات'!$F$2:$F$41,MATCH($B126,'قائمة الوحدات'!$A$2:$A$41,0)),"")</f>
        <v>الإدارة العامة للجودة والتطوير</v>
      </c>
      <c r="G126" s="16" t="s">
        <v>65</v>
      </c>
      <c r="H126" s="14" t="str">
        <f>IFERROR(INDEX(المرجع!$A$2:$A$19,MATCH($G126,المرجع!$B$2:$B$19,0)),"")</f>
        <v>التشغيل</v>
      </c>
      <c r="I126" s="16" t="s">
        <v>59</v>
      </c>
      <c r="J126" s="14" t="str">
        <f>IFERROR(INDEX(المرجع!$D$2:$D$19,MATCH($I126,المرجع!$E$2:$E$19,0)),"")</f>
        <v>الإجراءات</v>
      </c>
      <c r="K126" s="15">
        <f>IFERROR(INDEX(المرجع!$F$2:$F$19,MATCH($I126,المرجع!$E$2:$E$19,0)),"")</f>
        <v>6</v>
      </c>
      <c r="L126" s="15">
        <f>SUMIFS(المرجع!$H$2:$H$19,المرجع!$B$2:$B$19,$G126,المرجع!$E$2:$E$19,$I126)</f>
        <v>1</v>
      </c>
      <c r="M126" s="15">
        <f>COUNTIFS('المرتبطة بسمو الوزير'!$B$2:$B$151,$B126,'المرتبطة بسمو الوزير'!$G$2:$G$151,$G126,'المرتبطة بسمو الوزير'!$I$2:$I$151,$I126,'المرتبطة بسمو الوزير'!$M$2:$M$151,"&lt;&gt;")+COUNTIFS('الشؤون التنفيذية'!$B$2:$B$421,$B126,'الشؤون التنفيذية'!$G$2:$G$421,$G126,'الشؤون التنفيذية'!$I$2:$I$421,$I126,'الشؤون التنفيذية'!$N$2:$N$421,"&lt;&gt;")+COUNTIFS('الجهاز العسكري'!$B$2:$B$631,$B126,'الجهاز العسكري'!$G$2:$G$631,$G126,'الجهاز العسكري'!$I$2:$I$631,$I126,'الجهاز العسكري'!$M$2:$M$631,"&lt;&gt;")</f>
        <v>1</v>
      </c>
      <c r="N126" s="19">
        <f>IF($L126=0,0,ROUND((SUMIFS('المرتبطة بسمو الوزير'!$M$2:$M$151,'المرتبطة بسمو الوزير'!$B$2:$B$151,$B126,'المرتبطة بسمو الوزير'!$G$2:$G$151,$G126,'المرتبطة بسمو الوزير'!$I$2:$I$151,$I126)+SUMIFS('الشؤون التنفيذية'!$N$2:$N$421,'الشؤون التنفيذية'!$B$2:$B$421,$B126,'الشؤون التنفيذية'!$G$2:$G$421,$G126,'الشؤون التنفيذية'!$I$2:$I$421,$I126)+SUMIFS('الجهاز العسكري'!$M$2:$M$631,'الجهاز العسكري'!$B$2:$B$631,$B126,'الجهاز العسكري'!$G$2:$G$631,$G126,'الجهاز العسكري'!$I$2:$I$631,$I126))/$L126,0))</f>
        <v>61</v>
      </c>
      <c r="O126" s="18"/>
      <c r="P126" s="15">
        <f>SUMIFS(المرجع!$G$2:$G$19,المرجع!$B$2:$B$19,$G126,المرجع!$E$2:$E$19,$I126)</f>
        <v>15</v>
      </c>
      <c r="Q126" s="20">
        <f t="shared" si="2"/>
        <v>9.15</v>
      </c>
      <c r="R126" s="21" t="str">
        <f>IF($N126&gt;المرجع!$K$3,"متقدم",IF($N126&lt;=المرجع!$K$2,"أولي","جزئي"))</f>
        <v>جزئي</v>
      </c>
    </row>
    <row r="127" spans="1:18">
      <c r="A127" s="16" t="s">
        <v>1567</v>
      </c>
      <c r="B127" s="16" t="s">
        <v>160</v>
      </c>
      <c r="C127" s="15" t="str">
        <f>IFERROR(INDEX('قائمة الوحدات'!$B$2:$B$41,MATCH($B127,'قائمة الوحدات'!$A$2:$A$41,0)),"")</f>
        <v>EXE</v>
      </c>
      <c r="D127" s="14" t="str">
        <f>IFERROR(INDEX('قائمة الوحدات'!$C$2:$C$41,MATCH($B127,'قائمة الوحدات'!$A$2:$A$41,0)),"")</f>
        <v>الشؤون التنفيذية</v>
      </c>
      <c r="E127" s="14" t="str">
        <f>IFERROR(INDEX('قائمة الوحدات'!$D$2:$D$41,MATCH($B127,'قائمة الوحدات'!$A$2:$A$41,0)),"")</f>
        <v>وكالة الشؤون الفنية</v>
      </c>
      <c r="F127" s="14" t="str">
        <f>IFERROR(INDEX('قائمة الوحدات'!$F$2:$F$41,MATCH($B127,'قائمة الوحدات'!$A$2:$A$41,0)),"")</f>
        <v>الإدارة العامة للجودة والتطوير</v>
      </c>
      <c r="G127" s="16" t="s">
        <v>65</v>
      </c>
      <c r="H127" s="14" t="str">
        <f>IFERROR(INDEX(المرجع!$A$2:$A$19,MATCH($G127,المرجع!$B$2:$B$19,0)),"")</f>
        <v>التشغيل</v>
      </c>
      <c r="I127" s="16" t="s">
        <v>67</v>
      </c>
      <c r="J127" s="14" t="str">
        <f>IFERROR(INDEX(المرجع!$D$2:$D$19,MATCH($I127,المرجع!$E$2:$E$19,0)),"")</f>
        <v>اكتمال المخرجات المستهدفة</v>
      </c>
      <c r="K127" s="15">
        <f>IFERROR(INDEX(المرجع!$F$2:$F$19,MATCH($I127,المرجع!$E$2:$E$19,0)),"")</f>
        <v>8</v>
      </c>
      <c r="L127" s="15">
        <f>SUMIFS(المرجع!$H$2:$H$19,المرجع!$B$2:$B$19,$G127,المرجع!$E$2:$E$19,$I127)</f>
        <v>1</v>
      </c>
      <c r="M127" s="15">
        <f>COUNTIFS('المرتبطة بسمو الوزير'!$B$2:$B$151,$B127,'المرتبطة بسمو الوزير'!$G$2:$G$151,$G127,'المرتبطة بسمو الوزير'!$I$2:$I$151,$I127,'المرتبطة بسمو الوزير'!$M$2:$M$151,"&lt;&gt;")+COUNTIFS('الشؤون التنفيذية'!$B$2:$B$421,$B127,'الشؤون التنفيذية'!$G$2:$G$421,$G127,'الشؤون التنفيذية'!$I$2:$I$421,$I127,'الشؤون التنفيذية'!$N$2:$N$421,"&lt;&gt;")+COUNTIFS('الجهاز العسكري'!$B$2:$B$631,$B127,'الجهاز العسكري'!$G$2:$G$631,$G127,'الجهاز العسكري'!$I$2:$I$631,$I127,'الجهاز العسكري'!$M$2:$M$631,"&lt;&gt;")</f>
        <v>1</v>
      </c>
      <c r="N127" s="19">
        <f>IF($L127=0,0,ROUND((SUMIFS('المرتبطة بسمو الوزير'!$M$2:$M$151,'المرتبطة بسمو الوزير'!$B$2:$B$151,$B127,'المرتبطة بسمو الوزير'!$G$2:$G$151,$G127,'المرتبطة بسمو الوزير'!$I$2:$I$151,$I127)+SUMIFS('الشؤون التنفيذية'!$N$2:$N$421,'الشؤون التنفيذية'!$B$2:$B$421,$B127,'الشؤون التنفيذية'!$G$2:$G$421,$G127,'الشؤون التنفيذية'!$I$2:$I$421,$I127)+SUMIFS('الجهاز العسكري'!$M$2:$M$631,'الجهاز العسكري'!$B$2:$B$631,$B127,'الجهاز العسكري'!$G$2:$G$631,$G127,'الجهاز العسكري'!$I$2:$I$631,$I127))/$L127,0))</f>
        <v>38</v>
      </c>
      <c r="O127" s="18"/>
      <c r="P127" s="15">
        <f>SUMIFS(المرجع!$G$2:$G$19,المرجع!$B$2:$B$19,$G127,المرجع!$E$2:$E$19,$I127)</f>
        <v>30</v>
      </c>
      <c r="Q127" s="20">
        <f t="shared" si="2"/>
        <v>11.4</v>
      </c>
      <c r="R127" s="21" t="str">
        <f>IF($N127&gt;المرجع!$K$3,"متقدم",IF($N127&lt;=المرجع!$K$2,"أولي","جزئي"))</f>
        <v>جزئي</v>
      </c>
    </row>
    <row r="128" spans="1:18">
      <c r="A128" s="16" t="s">
        <v>1568</v>
      </c>
      <c r="B128" s="16" t="s">
        <v>162</v>
      </c>
      <c r="C128" s="15" t="str">
        <f>IFERROR(INDEX('قائمة الوحدات'!$B$2:$B$41,MATCH($B128,'قائمة الوحدات'!$A$2:$A$41,0)),"")</f>
        <v>EXE</v>
      </c>
      <c r="D128" s="14" t="str">
        <f>IFERROR(INDEX('قائمة الوحدات'!$C$2:$C$41,MATCH($B128,'قائمة الوحدات'!$A$2:$A$41,0)),"")</f>
        <v>الشؤون التنفيذية</v>
      </c>
      <c r="E128" s="14" t="str">
        <f>IFERROR(INDEX('قائمة الوحدات'!$D$2:$D$41,MATCH($B128,'قائمة الوحدات'!$A$2:$A$41,0)),"")</f>
        <v>وكالة الشؤون الفنية</v>
      </c>
      <c r="F128" s="14" t="str">
        <f>IFERROR(INDEX('قائمة الوحدات'!$F$2:$F$41,MATCH($B128,'قائمة الوحدات'!$A$2:$A$41,0)),"")</f>
        <v>الإدارة العامة للمشاريع</v>
      </c>
      <c r="G128" s="16" t="s">
        <v>43</v>
      </c>
      <c r="H128" s="14" t="str">
        <f>IFERROR(INDEX(المرجع!$A$2:$A$19,MATCH($G128,المرجع!$B$2:$B$19,0)),"")</f>
        <v>التصميم</v>
      </c>
      <c r="I128" s="16" t="s">
        <v>45</v>
      </c>
      <c r="J128" s="14" t="str">
        <f>IFERROR(INDEX(المرجع!$D$2:$D$19,MATCH($I128,المرجع!$E$2:$E$19,0)),"")</f>
        <v>الدور</v>
      </c>
      <c r="K128" s="15">
        <f>IFERROR(INDEX(المرجع!$F$2:$F$19,MATCH($I128,المرجع!$E$2:$E$19,0)),"")</f>
        <v>1</v>
      </c>
      <c r="L128" s="15">
        <f>SUMIFS(المرجع!$H$2:$H$19,المرجع!$B$2:$B$19,$G128,المرجع!$E$2:$E$19,$I128)</f>
        <v>1</v>
      </c>
      <c r="M128" s="15">
        <f>COUNTIFS('المرتبطة بسمو الوزير'!$B$2:$B$151,$B128,'المرتبطة بسمو الوزير'!$G$2:$G$151,$G128,'المرتبطة بسمو الوزير'!$I$2:$I$151,$I128,'المرتبطة بسمو الوزير'!$M$2:$M$151,"&lt;&gt;")+COUNTIFS('الشؤون التنفيذية'!$B$2:$B$421,$B128,'الشؤون التنفيذية'!$G$2:$G$421,$G128,'الشؤون التنفيذية'!$I$2:$I$421,$I128,'الشؤون التنفيذية'!$N$2:$N$421,"&lt;&gt;")+COUNTIFS('الجهاز العسكري'!$B$2:$B$631,$B128,'الجهاز العسكري'!$G$2:$G$631,$G128,'الجهاز العسكري'!$I$2:$I$631,$I128,'الجهاز العسكري'!$M$2:$M$631,"&lt;&gt;")</f>
        <v>1</v>
      </c>
      <c r="N128" s="19">
        <f>IF($L128=0,0,ROUND((SUMIFS('المرتبطة بسمو الوزير'!$M$2:$M$151,'المرتبطة بسمو الوزير'!$B$2:$B$151,$B128,'المرتبطة بسمو الوزير'!$G$2:$G$151,$G128,'المرتبطة بسمو الوزير'!$I$2:$I$151,$I128)+SUMIFS('الشؤون التنفيذية'!$N$2:$N$421,'الشؤون التنفيذية'!$B$2:$B$421,$B128,'الشؤون التنفيذية'!$G$2:$G$421,$G128,'الشؤون التنفيذية'!$I$2:$I$421,$I128)+SUMIFS('الجهاز العسكري'!$M$2:$M$631,'الجهاز العسكري'!$B$2:$B$631,$B128,'الجهاز العسكري'!$G$2:$G$631,$G128,'الجهاز العسكري'!$I$2:$I$631,$I128))/$L128,0))</f>
        <v>94</v>
      </c>
      <c r="O128" s="18"/>
      <c r="P128" s="15">
        <f>SUMIFS(المرجع!$G$2:$G$19,المرجع!$B$2:$B$19,$G128,المرجع!$E$2:$E$19,$I128)</f>
        <v>25</v>
      </c>
      <c r="Q128" s="20">
        <f t="shared" si="2"/>
        <v>23.5</v>
      </c>
      <c r="R128" s="21" t="str">
        <f>IF($N128&gt;المرجع!$K$3,"متقدم",IF($N128&lt;=المرجع!$K$2,"أولي","جزئي"))</f>
        <v>متقدم</v>
      </c>
    </row>
    <row r="129" spans="1:18">
      <c r="A129" s="16" t="s">
        <v>1569</v>
      </c>
      <c r="B129" s="16" t="s">
        <v>162</v>
      </c>
      <c r="C129" s="15" t="str">
        <f>IFERROR(INDEX('قائمة الوحدات'!$B$2:$B$41,MATCH($B129,'قائمة الوحدات'!$A$2:$A$41,0)),"")</f>
        <v>EXE</v>
      </c>
      <c r="D129" s="14" t="str">
        <f>IFERROR(INDEX('قائمة الوحدات'!$C$2:$C$41,MATCH($B129,'قائمة الوحدات'!$A$2:$A$41,0)),"")</f>
        <v>الشؤون التنفيذية</v>
      </c>
      <c r="E129" s="14" t="str">
        <f>IFERROR(INDEX('قائمة الوحدات'!$D$2:$D$41,MATCH($B129,'قائمة الوحدات'!$A$2:$A$41,0)),"")</f>
        <v>وكالة الشؤون الفنية</v>
      </c>
      <c r="F129" s="14" t="str">
        <f>IFERROR(INDEX('قائمة الوحدات'!$F$2:$F$41,MATCH($B129,'قائمة الوحدات'!$A$2:$A$41,0)),"")</f>
        <v>الإدارة العامة للمشاريع</v>
      </c>
      <c r="G129" s="16" t="s">
        <v>43</v>
      </c>
      <c r="H129" s="14" t="str">
        <f>IFERROR(INDEX(المرجع!$A$2:$A$19,MATCH($G129,المرجع!$B$2:$B$19,0)),"")</f>
        <v>التصميم</v>
      </c>
      <c r="I129" s="16" t="s">
        <v>48</v>
      </c>
      <c r="J129" s="14" t="str">
        <f>IFERROR(INDEX(المرجع!$D$2:$D$19,MATCH($I129,المرجع!$E$2:$E$19,0)),"")</f>
        <v>الأهداف ومؤشرات الأداء</v>
      </c>
      <c r="K129" s="15">
        <f>IFERROR(INDEX(المرجع!$F$2:$F$19,MATCH($I129,المرجع!$E$2:$E$19,0)),"")</f>
        <v>2</v>
      </c>
      <c r="L129" s="15">
        <f>SUMIFS(المرجع!$H$2:$H$19,المرجع!$B$2:$B$19,$G129,المرجع!$E$2:$E$19,$I129)</f>
        <v>2</v>
      </c>
      <c r="M129" s="15">
        <f>COUNTIFS('المرتبطة بسمو الوزير'!$B$2:$B$151,$B129,'المرتبطة بسمو الوزير'!$G$2:$G$151,$G129,'المرتبطة بسمو الوزير'!$I$2:$I$151,$I129,'المرتبطة بسمو الوزير'!$M$2:$M$151,"&lt;&gt;")+COUNTIFS('الشؤون التنفيذية'!$B$2:$B$421,$B129,'الشؤون التنفيذية'!$G$2:$G$421,$G129,'الشؤون التنفيذية'!$I$2:$I$421,$I129,'الشؤون التنفيذية'!$N$2:$N$421,"&lt;&gt;")+COUNTIFS('الجهاز العسكري'!$B$2:$B$631,$B129,'الجهاز العسكري'!$G$2:$G$631,$G129,'الجهاز العسكري'!$I$2:$I$631,$I129,'الجهاز العسكري'!$M$2:$M$631,"&lt;&gt;")</f>
        <v>2</v>
      </c>
      <c r="N129" s="19">
        <f>IF($L129=0,0,ROUND((SUMIFS('المرتبطة بسمو الوزير'!$M$2:$M$151,'المرتبطة بسمو الوزير'!$B$2:$B$151,$B129,'المرتبطة بسمو الوزير'!$G$2:$G$151,$G129,'المرتبطة بسمو الوزير'!$I$2:$I$151,$I129)+SUMIFS('الشؤون التنفيذية'!$N$2:$N$421,'الشؤون التنفيذية'!$B$2:$B$421,$B129,'الشؤون التنفيذية'!$G$2:$G$421,$G129,'الشؤون التنفيذية'!$I$2:$I$421,$I129)+SUMIFS('الجهاز العسكري'!$M$2:$M$631,'الجهاز العسكري'!$B$2:$B$631,$B129,'الجهاز العسكري'!$G$2:$G$631,$G129,'الجهاز العسكري'!$I$2:$I$631,$I129))/$L129,0))</f>
        <v>93</v>
      </c>
      <c r="O129" s="18"/>
      <c r="P129" s="15">
        <f>SUMIFS(المرجع!$G$2:$G$19,المرجع!$B$2:$B$19,$G129,المرجع!$E$2:$E$19,$I129)</f>
        <v>15</v>
      </c>
      <c r="Q129" s="20">
        <f t="shared" si="2"/>
        <v>13.95</v>
      </c>
      <c r="R129" s="21" t="str">
        <f>IF($N129&gt;المرجع!$K$3,"متقدم",IF($N129&lt;=المرجع!$K$2,"أولي","جزئي"))</f>
        <v>متقدم</v>
      </c>
    </row>
    <row r="130" spans="1:18">
      <c r="A130" s="16" t="s">
        <v>1570</v>
      </c>
      <c r="B130" s="16" t="s">
        <v>162</v>
      </c>
      <c r="C130" s="15" t="str">
        <f>IFERROR(INDEX('قائمة الوحدات'!$B$2:$B$41,MATCH($B130,'قائمة الوحدات'!$A$2:$A$41,0)),"")</f>
        <v>EXE</v>
      </c>
      <c r="D130" s="14" t="str">
        <f>IFERROR(INDEX('قائمة الوحدات'!$C$2:$C$41,MATCH($B130,'قائمة الوحدات'!$A$2:$A$41,0)),"")</f>
        <v>الشؤون التنفيذية</v>
      </c>
      <c r="E130" s="14" t="str">
        <f>IFERROR(INDEX('قائمة الوحدات'!$D$2:$D$41,MATCH($B130,'قائمة الوحدات'!$A$2:$A$41,0)),"")</f>
        <v>وكالة الشؤون الفنية</v>
      </c>
      <c r="F130" s="14" t="str">
        <f>IFERROR(INDEX('قائمة الوحدات'!$F$2:$F$41,MATCH($B130,'قائمة الوحدات'!$A$2:$A$41,0)),"")</f>
        <v>الإدارة العامة للمشاريع</v>
      </c>
      <c r="G130" s="16" t="s">
        <v>43</v>
      </c>
      <c r="H130" s="14" t="str">
        <f>IFERROR(INDEX(المرجع!$A$2:$A$19,MATCH($G130,المرجع!$B$2:$B$19,0)),"")</f>
        <v>التصميم</v>
      </c>
      <c r="I130" s="16" t="s">
        <v>51</v>
      </c>
      <c r="J130" s="14" t="str">
        <f>IFERROR(INDEX(المرجع!$D$2:$D$19,MATCH($I130,المرجع!$E$2:$E$19,0)),"")</f>
        <v>الحوكمة</v>
      </c>
      <c r="K130" s="15">
        <f>IFERROR(INDEX(المرجع!$F$2:$F$19,MATCH($I130,المرجع!$E$2:$E$19,0)),"")</f>
        <v>3</v>
      </c>
      <c r="L130" s="15">
        <f>SUMIFS(المرجع!$H$2:$H$19,المرجع!$B$2:$B$19,$G130,المرجع!$E$2:$E$19,$I130)</f>
        <v>1</v>
      </c>
      <c r="M130" s="15">
        <f>COUNTIFS('المرتبطة بسمو الوزير'!$B$2:$B$151,$B130,'المرتبطة بسمو الوزير'!$G$2:$G$151,$G130,'المرتبطة بسمو الوزير'!$I$2:$I$151,$I130,'المرتبطة بسمو الوزير'!$M$2:$M$151,"&lt;&gt;")+COUNTIFS('الشؤون التنفيذية'!$B$2:$B$421,$B130,'الشؤون التنفيذية'!$G$2:$G$421,$G130,'الشؤون التنفيذية'!$I$2:$I$421,$I130,'الشؤون التنفيذية'!$N$2:$N$421,"&lt;&gt;")+COUNTIFS('الجهاز العسكري'!$B$2:$B$631,$B130,'الجهاز العسكري'!$G$2:$G$631,$G130,'الجهاز العسكري'!$I$2:$I$631,$I130,'الجهاز العسكري'!$M$2:$M$631,"&lt;&gt;")</f>
        <v>1</v>
      </c>
      <c r="N130" s="19">
        <f>IF($L130=0,0,ROUND((SUMIFS('المرتبطة بسمو الوزير'!$M$2:$M$151,'المرتبطة بسمو الوزير'!$B$2:$B$151,$B130,'المرتبطة بسمو الوزير'!$G$2:$G$151,$G130,'المرتبطة بسمو الوزير'!$I$2:$I$151,$I130)+SUMIFS('الشؤون التنفيذية'!$N$2:$N$421,'الشؤون التنفيذية'!$B$2:$B$421,$B130,'الشؤون التنفيذية'!$G$2:$G$421,$G130,'الشؤون التنفيذية'!$I$2:$I$421,$I130)+SUMIFS('الجهاز العسكري'!$M$2:$M$631,'الجهاز العسكري'!$B$2:$B$631,$B130,'الجهاز العسكري'!$G$2:$G$631,$G130,'الجهاز العسكري'!$I$2:$I$631,$I130))/$L130,0))</f>
        <v>81</v>
      </c>
      <c r="O130" s="18"/>
      <c r="P130" s="15">
        <f>SUMIFS(المرجع!$G$2:$G$19,المرجع!$B$2:$B$19,$G130,المرجع!$E$2:$E$19,$I130)</f>
        <v>15</v>
      </c>
      <c r="Q130" s="20">
        <f t="shared" ref="Q130:Q193" si="3">ROUND($P130*$N130/100,2)</f>
        <v>12.15</v>
      </c>
      <c r="R130" s="21" t="str">
        <f>IF($N130&gt;المرجع!$K$3,"متقدم",IF($N130&lt;=المرجع!$K$2,"أولي","جزئي"))</f>
        <v>متقدم</v>
      </c>
    </row>
    <row r="131" spans="1:18">
      <c r="A131" s="16" t="s">
        <v>1571</v>
      </c>
      <c r="B131" s="16" t="s">
        <v>162</v>
      </c>
      <c r="C131" s="15" t="str">
        <f>IFERROR(INDEX('قائمة الوحدات'!$B$2:$B$41,MATCH($B131,'قائمة الوحدات'!$A$2:$A$41,0)),"")</f>
        <v>EXE</v>
      </c>
      <c r="D131" s="14" t="str">
        <f>IFERROR(INDEX('قائمة الوحدات'!$C$2:$C$41,MATCH($B131,'قائمة الوحدات'!$A$2:$A$41,0)),"")</f>
        <v>الشؤون التنفيذية</v>
      </c>
      <c r="E131" s="14" t="str">
        <f>IFERROR(INDEX('قائمة الوحدات'!$D$2:$D$41,MATCH($B131,'قائمة الوحدات'!$A$2:$A$41,0)),"")</f>
        <v>وكالة الشؤون الفنية</v>
      </c>
      <c r="F131" s="14" t="str">
        <f>IFERROR(INDEX('قائمة الوحدات'!$F$2:$F$41,MATCH($B131,'قائمة الوحدات'!$A$2:$A$41,0)),"")</f>
        <v>الإدارة العامة للمشاريع</v>
      </c>
      <c r="G131" s="16" t="s">
        <v>43</v>
      </c>
      <c r="H131" s="14" t="str">
        <f>IFERROR(INDEX(المرجع!$A$2:$A$19,MATCH($G131,المرجع!$B$2:$B$19,0)),"")</f>
        <v>التصميم</v>
      </c>
      <c r="I131" s="16" t="s">
        <v>54</v>
      </c>
      <c r="J131" s="14" t="str">
        <f>IFERROR(INDEX(المرجع!$D$2:$D$19,MATCH($I131,المرجع!$E$2:$E$19,0)),"")</f>
        <v>التنظيم</v>
      </c>
      <c r="K131" s="15">
        <f>IFERROR(INDEX(المرجع!$F$2:$F$19,MATCH($I131,المرجع!$E$2:$E$19,0)),"")</f>
        <v>4</v>
      </c>
      <c r="L131" s="15">
        <f>SUMIFS(المرجع!$H$2:$H$19,المرجع!$B$2:$B$19,$G131,المرجع!$E$2:$E$19,$I131)</f>
        <v>1</v>
      </c>
      <c r="M131" s="15">
        <f>COUNTIFS('المرتبطة بسمو الوزير'!$B$2:$B$151,$B131,'المرتبطة بسمو الوزير'!$G$2:$G$151,$G131,'المرتبطة بسمو الوزير'!$I$2:$I$151,$I131,'المرتبطة بسمو الوزير'!$M$2:$M$151,"&lt;&gt;")+COUNTIFS('الشؤون التنفيذية'!$B$2:$B$421,$B131,'الشؤون التنفيذية'!$G$2:$G$421,$G131,'الشؤون التنفيذية'!$I$2:$I$421,$I131,'الشؤون التنفيذية'!$N$2:$N$421,"&lt;&gt;")+COUNTIFS('الجهاز العسكري'!$B$2:$B$631,$B131,'الجهاز العسكري'!$G$2:$G$631,$G131,'الجهاز العسكري'!$I$2:$I$631,$I131,'الجهاز العسكري'!$M$2:$M$631,"&lt;&gt;")</f>
        <v>1</v>
      </c>
      <c r="N131" s="19">
        <f>IF($L131=0,0,ROUND((SUMIFS('المرتبطة بسمو الوزير'!$M$2:$M$151,'المرتبطة بسمو الوزير'!$B$2:$B$151,$B131,'المرتبطة بسمو الوزير'!$G$2:$G$151,$G131,'المرتبطة بسمو الوزير'!$I$2:$I$151,$I131)+SUMIFS('الشؤون التنفيذية'!$N$2:$N$421,'الشؤون التنفيذية'!$B$2:$B$421,$B131,'الشؤون التنفيذية'!$G$2:$G$421,$G131,'الشؤون التنفيذية'!$I$2:$I$421,$I131)+SUMIFS('الجهاز العسكري'!$M$2:$M$631,'الجهاز العسكري'!$B$2:$B$631,$B131,'الجهاز العسكري'!$G$2:$G$631,$G131,'الجهاز العسكري'!$I$2:$I$631,$I131))/$L131,0))</f>
        <v>91</v>
      </c>
      <c r="O131" s="18"/>
      <c r="P131" s="15">
        <f>SUMIFS(المرجع!$G$2:$G$19,المرجع!$B$2:$B$19,$G131,المرجع!$E$2:$E$19,$I131)</f>
        <v>20</v>
      </c>
      <c r="Q131" s="20">
        <f t="shared" si="3"/>
        <v>18.2</v>
      </c>
      <c r="R131" s="21" t="str">
        <f>IF($N131&gt;المرجع!$K$3,"متقدم",IF($N131&lt;=المرجع!$K$2,"أولي","جزئي"))</f>
        <v>متقدم</v>
      </c>
    </row>
    <row r="132" spans="1:18">
      <c r="A132" s="16" t="s">
        <v>1572</v>
      </c>
      <c r="B132" s="16" t="s">
        <v>162</v>
      </c>
      <c r="C132" s="15" t="str">
        <f>IFERROR(INDEX('قائمة الوحدات'!$B$2:$B$41,MATCH($B132,'قائمة الوحدات'!$A$2:$A$41,0)),"")</f>
        <v>EXE</v>
      </c>
      <c r="D132" s="14" t="str">
        <f>IFERROR(INDEX('قائمة الوحدات'!$C$2:$C$41,MATCH($B132,'قائمة الوحدات'!$A$2:$A$41,0)),"")</f>
        <v>الشؤون التنفيذية</v>
      </c>
      <c r="E132" s="14" t="str">
        <f>IFERROR(INDEX('قائمة الوحدات'!$D$2:$D$41,MATCH($B132,'قائمة الوحدات'!$A$2:$A$41,0)),"")</f>
        <v>وكالة الشؤون الفنية</v>
      </c>
      <c r="F132" s="14" t="str">
        <f>IFERROR(INDEX('قائمة الوحدات'!$F$2:$F$41,MATCH($B132,'قائمة الوحدات'!$A$2:$A$41,0)),"")</f>
        <v>الإدارة العامة للمشاريع</v>
      </c>
      <c r="G132" s="16" t="s">
        <v>43</v>
      </c>
      <c r="H132" s="14" t="str">
        <f>IFERROR(INDEX(المرجع!$A$2:$A$19,MATCH($G132,المرجع!$B$2:$B$19,0)),"")</f>
        <v>التصميم</v>
      </c>
      <c r="I132" s="16" t="s">
        <v>56</v>
      </c>
      <c r="J132" s="14" t="str">
        <f>IFERROR(INDEX(المرجع!$D$2:$D$19,MATCH($I132,المرجع!$E$2:$E$19,0)),"")</f>
        <v>الموارد</v>
      </c>
      <c r="K132" s="15">
        <f>IFERROR(INDEX(المرجع!$F$2:$F$19,MATCH($I132,المرجع!$E$2:$E$19,0)),"")</f>
        <v>5</v>
      </c>
      <c r="L132" s="15">
        <f>SUMIFS(المرجع!$H$2:$H$19,المرجع!$B$2:$B$19,$G132,المرجع!$E$2:$E$19,$I132)</f>
        <v>1</v>
      </c>
      <c r="M132" s="15">
        <f>COUNTIFS('المرتبطة بسمو الوزير'!$B$2:$B$151,$B132,'المرتبطة بسمو الوزير'!$G$2:$G$151,$G132,'المرتبطة بسمو الوزير'!$I$2:$I$151,$I132,'المرتبطة بسمو الوزير'!$M$2:$M$151,"&lt;&gt;")+COUNTIFS('الشؤون التنفيذية'!$B$2:$B$421,$B132,'الشؤون التنفيذية'!$G$2:$G$421,$G132,'الشؤون التنفيذية'!$I$2:$I$421,$I132,'الشؤون التنفيذية'!$N$2:$N$421,"&lt;&gt;")+COUNTIFS('الجهاز العسكري'!$B$2:$B$631,$B132,'الجهاز العسكري'!$G$2:$G$631,$G132,'الجهاز العسكري'!$I$2:$I$631,$I132,'الجهاز العسكري'!$M$2:$M$631,"&lt;&gt;")</f>
        <v>1</v>
      </c>
      <c r="N132" s="19">
        <f>IF($L132=0,0,ROUND((SUMIFS('المرتبطة بسمو الوزير'!$M$2:$M$151,'المرتبطة بسمو الوزير'!$B$2:$B$151,$B132,'المرتبطة بسمو الوزير'!$G$2:$G$151,$G132,'المرتبطة بسمو الوزير'!$I$2:$I$151,$I132)+SUMIFS('الشؤون التنفيذية'!$N$2:$N$421,'الشؤون التنفيذية'!$B$2:$B$421,$B132,'الشؤون التنفيذية'!$G$2:$G$421,$G132,'الشؤون التنفيذية'!$I$2:$I$421,$I132)+SUMIFS('الجهاز العسكري'!$M$2:$M$631,'الجهاز العسكري'!$B$2:$B$631,$B132,'الجهاز العسكري'!$G$2:$G$631,$G132,'الجهاز العسكري'!$I$2:$I$631,$I132))/$L132,0))</f>
        <v>71</v>
      </c>
      <c r="O132" s="18"/>
      <c r="P132" s="15">
        <f>SUMIFS(المرجع!$G$2:$G$19,المرجع!$B$2:$B$19,$G132,المرجع!$E$2:$E$19,$I132)</f>
        <v>20</v>
      </c>
      <c r="Q132" s="20">
        <f t="shared" si="3"/>
        <v>14.2</v>
      </c>
      <c r="R132" s="21" t="str">
        <f>IF($N132&gt;المرجع!$K$3,"متقدم",IF($N132&lt;=المرجع!$K$2,"أولي","جزئي"))</f>
        <v>متقدم</v>
      </c>
    </row>
    <row r="133" spans="1:18">
      <c r="A133" s="16" t="s">
        <v>1573</v>
      </c>
      <c r="B133" s="16" t="s">
        <v>162</v>
      </c>
      <c r="C133" s="15" t="str">
        <f>IFERROR(INDEX('قائمة الوحدات'!$B$2:$B$41,MATCH($B133,'قائمة الوحدات'!$A$2:$A$41,0)),"")</f>
        <v>EXE</v>
      </c>
      <c r="D133" s="14" t="str">
        <f>IFERROR(INDEX('قائمة الوحدات'!$C$2:$C$41,MATCH($B133,'قائمة الوحدات'!$A$2:$A$41,0)),"")</f>
        <v>الشؤون التنفيذية</v>
      </c>
      <c r="E133" s="14" t="str">
        <f>IFERROR(INDEX('قائمة الوحدات'!$D$2:$D$41,MATCH($B133,'قائمة الوحدات'!$A$2:$A$41,0)),"")</f>
        <v>وكالة الشؤون الفنية</v>
      </c>
      <c r="F133" s="14" t="str">
        <f>IFERROR(INDEX('قائمة الوحدات'!$F$2:$F$41,MATCH($B133,'قائمة الوحدات'!$A$2:$A$41,0)),"")</f>
        <v>الإدارة العامة للمشاريع</v>
      </c>
      <c r="G133" s="16" t="s">
        <v>43</v>
      </c>
      <c r="H133" s="14" t="str">
        <f>IFERROR(INDEX(المرجع!$A$2:$A$19,MATCH($G133,المرجع!$B$2:$B$19,0)),"")</f>
        <v>التصميم</v>
      </c>
      <c r="I133" s="16" t="s">
        <v>59</v>
      </c>
      <c r="J133" s="14" t="str">
        <f>IFERROR(INDEX(المرجع!$D$2:$D$19,MATCH($I133,المرجع!$E$2:$E$19,0)),"")</f>
        <v>الإجراءات</v>
      </c>
      <c r="K133" s="15">
        <f>IFERROR(INDEX(المرجع!$F$2:$F$19,MATCH($I133,المرجع!$E$2:$E$19,0)),"")</f>
        <v>6</v>
      </c>
      <c r="L133" s="15">
        <f>SUMIFS(المرجع!$H$2:$H$19,المرجع!$B$2:$B$19,$G133,المرجع!$E$2:$E$19,$I133)</f>
        <v>1</v>
      </c>
      <c r="M133" s="15">
        <f>COUNTIFS('المرتبطة بسمو الوزير'!$B$2:$B$151,$B133,'المرتبطة بسمو الوزير'!$G$2:$G$151,$G133,'المرتبطة بسمو الوزير'!$I$2:$I$151,$I133,'المرتبطة بسمو الوزير'!$M$2:$M$151,"&lt;&gt;")+COUNTIFS('الشؤون التنفيذية'!$B$2:$B$421,$B133,'الشؤون التنفيذية'!$G$2:$G$421,$G133,'الشؤون التنفيذية'!$I$2:$I$421,$I133,'الشؤون التنفيذية'!$N$2:$N$421,"&lt;&gt;")+COUNTIFS('الجهاز العسكري'!$B$2:$B$631,$B133,'الجهاز العسكري'!$G$2:$G$631,$G133,'الجهاز العسكري'!$I$2:$I$631,$I133,'الجهاز العسكري'!$M$2:$M$631,"&lt;&gt;")</f>
        <v>1</v>
      </c>
      <c r="N133" s="19">
        <f>IF($L133=0,0,ROUND((SUMIFS('المرتبطة بسمو الوزير'!$M$2:$M$151,'المرتبطة بسمو الوزير'!$B$2:$B$151,$B133,'المرتبطة بسمو الوزير'!$G$2:$G$151,$G133,'المرتبطة بسمو الوزير'!$I$2:$I$151,$I133)+SUMIFS('الشؤون التنفيذية'!$N$2:$N$421,'الشؤون التنفيذية'!$B$2:$B$421,$B133,'الشؤون التنفيذية'!$G$2:$G$421,$G133,'الشؤون التنفيذية'!$I$2:$I$421,$I133)+SUMIFS('الجهاز العسكري'!$M$2:$M$631,'الجهاز العسكري'!$B$2:$B$631,$B133,'الجهاز العسكري'!$G$2:$G$631,$G133,'الجهاز العسكري'!$I$2:$I$631,$I133))/$L133,0))</f>
        <v>98</v>
      </c>
      <c r="O133" s="18"/>
      <c r="P133" s="15">
        <f>SUMIFS(المرجع!$G$2:$G$19,المرجع!$B$2:$B$19,$G133,المرجع!$E$2:$E$19,$I133)</f>
        <v>5</v>
      </c>
      <c r="Q133" s="20">
        <f t="shared" si="3"/>
        <v>4.9000000000000004</v>
      </c>
      <c r="R133" s="21" t="str">
        <f>IF($N133&gt;المرجع!$K$3,"متقدم",IF($N133&lt;=المرجع!$K$2,"أولي","جزئي"))</f>
        <v>متقدم</v>
      </c>
    </row>
    <row r="134" spans="1:18">
      <c r="A134" s="16" t="s">
        <v>1574</v>
      </c>
      <c r="B134" s="16" t="s">
        <v>162</v>
      </c>
      <c r="C134" s="15" t="str">
        <f>IFERROR(INDEX('قائمة الوحدات'!$B$2:$B$41,MATCH($B134,'قائمة الوحدات'!$A$2:$A$41,0)),"")</f>
        <v>EXE</v>
      </c>
      <c r="D134" s="14" t="str">
        <f>IFERROR(INDEX('قائمة الوحدات'!$C$2:$C$41,MATCH($B134,'قائمة الوحدات'!$A$2:$A$41,0)),"")</f>
        <v>الشؤون التنفيذية</v>
      </c>
      <c r="E134" s="14" t="str">
        <f>IFERROR(INDEX('قائمة الوحدات'!$D$2:$D$41,MATCH($B134,'قائمة الوحدات'!$A$2:$A$41,0)),"")</f>
        <v>وكالة الشؤون الفنية</v>
      </c>
      <c r="F134" s="14" t="str">
        <f>IFERROR(INDEX('قائمة الوحدات'!$F$2:$F$41,MATCH($B134,'قائمة الوحدات'!$A$2:$A$41,0)),"")</f>
        <v>الإدارة العامة للمشاريع</v>
      </c>
      <c r="G134" s="16" t="s">
        <v>61</v>
      </c>
      <c r="H134" s="14" t="str">
        <f>IFERROR(INDEX(المرجع!$A$2:$A$19,MATCH($G134,المرجع!$B$2:$B$19,0)),"")</f>
        <v>البناء المؤسسي</v>
      </c>
      <c r="I134" s="16" t="s">
        <v>45</v>
      </c>
      <c r="J134" s="14" t="str">
        <f>IFERROR(INDEX(المرجع!$D$2:$D$19,MATCH($I134,المرجع!$E$2:$E$19,0)),"")</f>
        <v>الدور</v>
      </c>
      <c r="K134" s="15">
        <f>IFERROR(INDEX(المرجع!$F$2:$F$19,MATCH($I134,المرجع!$E$2:$E$19,0)),"")</f>
        <v>1</v>
      </c>
      <c r="L134" s="15">
        <f>SUMIFS(المرجع!$H$2:$H$19,المرجع!$B$2:$B$19,$G134,المرجع!$E$2:$E$19,$I134)</f>
        <v>1</v>
      </c>
      <c r="M134" s="15">
        <f>COUNTIFS('المرتبطة بسمو الوزير'!$B$2:$B$151,$B134,'المرتبطة بسمو الوزير'!$G$2:$G$151,$G134,'المرتبطة بسمو الوزير'!$I$2:$I$151,$I134,'المرتبطة بسمو الوزير'!$M$2:$M$151,"&lt;&gt;")+COUNTIFS('الشؤون التنفيذية'!$B$2:$B$421,$B134,'الشؤون التنفيذية'!$G$2:$G$421,$G134,'الشؤون التنفيذية'!$I$2:$I$421,$I134,'الشؤون التنفيذية'!$N$2:$N$421,"&lt;&gt;")+COUNTIFS('الجهاز العسكري'!$B$2:$B$631,$B134,'الجهاز العسكري'!$G$2:$G$631,$G134,'الجهاز العسكري'!$I$2:$I$631,$I134,'الجهاز العسكري'!$M$2:$M$631,"&lt;&gt;")</f>
        <v>1</v>
      </c>
      <c r="N134" s="19">
        <f>IF($L134=0,0,ROUND((SUMIFS('المرتبطة بسمو الوزير'!$M$2:$M$151,'المرتبطة بسمو الوزير'!$B$2:$B$151,$B134,'المرتبطة بسمو الوزير'!$G$2:$G$151,$G134,'المرتبطة بسمو الوزير'!$I$2:$I$151,$I134)+SUMIFS('الشؤون التنفيذية'!$N$2:$N$421,'الشؤون التنفيذية'!$B$2:$B$421,$B134,'الشؤون التنفيذية'!$G$2:$G$421,$G134,'الشؤون التنفيذية'!$I$2:$I$421,$I134)+SUMIFS('الجهاز العسكري'!$M$2:$M$631,'الجهاز العسكري'!$B$2:$B$631,$B134,'الجهاز العسكري'!$G$2:$G$631,$G134,'الجهاز العسكري'!$I$2:$I$631,$I134))/$L134,0))</f>
        <v>80</v>
      </c>
      <c r="O134" s="18"/>
      <c r="P134" s="15">
        <f>SUMIFS(المرجع!$G$2:$G$19,المرجع!$B$2:$B$19,$G134,المرجع!$E$2:$E$19,$I134)</f>
        <v>15</v>
      </c>
      <c r="Q134" s="20">
        <f t="shared" si="3"/>
        <v>12</v>
      </c>
      <c r="R134" s="21" t="str">
        <f>IF($N134&gt;المرجع!$K$3,"متقدم",IF($N134&lt;=المرجع!$K$2,"أولي","جزئي"))</f>
        <v>متقدم</v>
      </c>
    </row>
    <row r="135" spans="1:18">
      <c r="A135" s="16" t="s">
        <v>1575</v>
      </c>
      <c r="B135" s="16" t="s">
        <v>162</v>
      </c>
      <c r="C135" s="15" t="str">
        <f>IFERROR(INDEX('قائمة الوحدات'!$B$2:$B$41,MATCH($B135,'قائمة الوحدات'!$A$2:$A$41,0)),"")</f>
        <v>EXE</v>
      </c>
      <c r="D135" s="14" t="str">
        <f>IFERROR(INDEX('قائمة الوحدات'!$C$2:$C$41,MATCH($B135,'قائمة الوحدات'!$A$2:$A$41,0)),"")</f>
        <v>الشؤون التنفيذية</v>
      </c>
      <c r="E135" s="14" t="str">
        <f>IFERROR(INDEX('قائمة الوحدات'!$D$2:$D$41,MATCH($B135,'قائمة الوحدات'!$A$2:$A$41,0)),"")</f>
        <v>وكالة الشؤون الفنية</v>
      </c>
      <c r="F135" s="14" t="str">
        <f>IFERROR(INDEX('قائمة الوحدات'!$F$2:$F$41,MATCH($B135,'قائمة الوحدات'!$A$2:$A$41,0)),"")</f>
        <v>الإدارة العامة للمشاريع</v>
      </c>
      <c r="G135" s="16" t="s">
        <v>61</v>
      </c>
      <c r="H135" s="14" t="str">
        <f>IFERROR(INDEX(المرجع!$A$2:$A$19,MATCH($G135,المرجع!$B$2:$B$19,0)),"")</f>
        <v>البناء المؤسسي</v>
      </c>
      <c r="I135" s="16" t="s">
        <v>48</v>
      </c>
      <c r="J135" s="14" t="str">
        <f>IFERROR(INDEX(المرجع!$D$2:$D$19,MATCH($I135,المرجع!$E$2:$E$19,0)),"")</f>
        <v>الأهداف ومؤشرات الأداء</v>
      </c>
      <c r="K135" s="15">
        <f>IFERROR(INDEX(المرجع!$F$2:$F$19,MATCH($I135,المرجع!$E$2:$E$19,0)),"")</f>
        <v>2</v>
      </c>
      <c r="L135" s="15">
        <f>SUMIFS(المرجع!$H$2:$H$19,المرجع!$B$2:$B$19,$G135,المرجع!$E$2:$E$19,$I135)</f>
        <v>2</v>
      </c>
      <c r="M135" s="15">
        <f>COUNTIFS('المرتبطة بسمو الوزير'!$B$2:$B$151,$B135,'المرتبطة بسمو الوزير'!$G$2:$G$151,$G135,'المرتبطة بسمو الوزير'!$I$2:$I$151,$I135,'المرتبطة بسمو الوزير'!$M$2:$M$151,"&lt;&gt;")+COUNTIFS('الشؤون التنفيذية'!$B$2:$B$421,$B135,'الشؤون التنفيذية'!$G$2:$G$421,$G135,'الشؤون التنفيذية'!$I$2:$I$421,$I135,'الشؤون التنفيذية'!$N$2:$N$421,"&lt;&gt;")+COUNTIFS('الجهاز العسكري'!$B$2:$B$631,$B135,'الجهاز العسكري'!$G$2:$G$631,$G135,'الجهاز العسكري'!$I$2:$I$631,$I135,'الجهاز العسكري'!$M$2:$M$631,"&lt;&gt;")</f>
        <v>2</v>
      </c>
      <c r="N135" s="19">
        <f>IF($L135=0,0,ROUND((SUMIFS('المرتبطة بسمو الوزير'!$M$2:$M$151,'المرتبطة بسمو الوزير'!$B$2:$B$151,$B135,'المرتبطة بسمو الوزير'!$G$2:$G$151,$G135,'المرتبطة بسمو الوزير'!$I$2:$I$151,$I135)+SUMIFS('الشؤون التنفيذية'!$N$2:$N$421,'الشؤون التنفيذية'!$B$2:$B$421,$B135,'الشؤون التنفيذية'!$G$2:$G$421,$G135,'الشؤون التنفيذية'!$I$2:$I$421,$I135)+SUMIFS('الجهاز العسكري'!$M$2:$M$631,'الجهاز العسكري'!$B$2:$B$631,$B135,'الجهاز العسكري'!$G$2:$G$631,$G135,'الجهاز العسكري'!$I$2:$I$631,$I135))/$L135,0))</f>
        <v>43</v>
      </c>
      <c r="O135" s="18"/>
      <c r="P135" s="15">
        <f>SUMIFS(المرجع!$G$2:$G$19,المرجع!$B$2:$B$19,$G135,المرجع!$E$2:$E$19,$I135)</f>
        <v>15</v>
      </c>
      <c r="Q135" s="20">
        <f t="shared" si="3"/>
        <v>6.45</v>
      </c>
      <c r="R135" s="21" t="str">
        <f>IF($N135&gt;المرجع!$K$3,"متقدم",IF($N135&lt;=المرجع!$K$2,"أولي","جزئي"))</f>
        <v>جزئي</v>
      </c>
    </row>
    <row r="136" spans="1:18">
      <c r="A136" s="16" t="s">
        <v>1576</v>
      </c>
      <c r="B136" s="16" t="s">
        <v>162</v>
      </c>
      <c r="C136" s="15" t="str">
        <f>IFERROR(INDEX('قائمة الوحدات'!$B$2:$B$41,MATCH($B136,'قائمة الوحدات'!$A$2:$A$41,0)),"")</f>
        <v>EXE</v>
      </c>
      <c r="D136" s="14" t="str">
        <f>IFERROR(INDEX('قائمة الوحدات'!$C$2:$C$41,MATCH($B136,'قائمة الوحدات'!$A$2:$A$41,0)),"")</f>
        <v>الشؤون التنفيذية</v>
      </c>
      <c r="E136" s="14" t="str">
        <f>IFERROR(INDEX('قائمة الوحدات'!$D$2:$D$41,MATCH($B136,'قائمة الوحدات'!$A$2:$A$41,0)),"")</f>
        <v>وكالة الشؤون الفنية</v>
      </c>
      <c r="F136" s="14" t="str">
        <f>IFERROR(INDEX('قائمة الوحدات'!$F$2:$F$41,MATCH($B136,'قائمة الوحدات'!$A$2:$A$41,0)),"")</f>
        <v>الإدارة العامة للمشاريع</v>
      </c>
      <c r="G136" s="16" t="s">
        <v>61</v>
      </c>
      <c r="H136" s="14" t="str">
        <f>IFERROR(INDEX(المرجع!$A$2:$A$19,MATCH($G136,المرجع!$B$2:$B$19,0)),"")</f>
        <v>البناء المؤسسي</v>
      </c>
      <c r="I136" s="16" t="s">
        <v>51</v>
      </c>
      <c r="J136" s="14" t="str">
        <f>IFERROR(INDEX(المرجع!$D$2:$D$19,MATCH($I136,المرجع!$E$2:$E$19,0)),"")</f>
        <v>الحوكمة</v>
      </c>
      <c r="K136" s="15">
        <f>IFERROR(INDEX(المرجع!$F$2:$F$19,MATCH($I136,المرجع!$E$2:$E$19,0)),"")</f>
        <v>3</v>
      </c>
      <c r="L136" s="15">
        <f>SUMIFS(المرجع!$H$2:$H$19,المرجع!$B$2:$B$19,$G136,المرجع!$E$2:$E$19,$I136)</f>
        <v>3</v>
      </c>
      <c r="M136" s="15">
        <f>COUNTIFS('المرتبطة بسمو الوزير'!$B$2:$B$151,$B136,'المرتبطة بسمو الوزير'!$G$2:$G$151,$G136,'المرتبطة بسمو الوزير'!$I$2:$I$151,$I136,'المرتبطة بسمو الوزير'!$M$2:$M$151,"&lt;&gt;")+COUNTIFS('الشؤون التنفيذية'!$B$2:$B$421,$B136,'الشؤون التنفيذية'!$G$2:$G$421,$G136,'الشؤون التنفيذية'!$I$2:$I$421,$I136,'الشؤون التنفيذية'!$N$2:$N$421,"&lt;&gt;")+COUNTIFS('الجهاز العسكري'!$B$2:$B$631,$B136,'الجهاز العسكري'!$G$2:$G$631,$G136,'الجهاز العسكري'!$I$2:$I$631,$I136,'الجهاز العسكري'!$M$2:$M$631,"&lt;&gt;")</f>
        <v>3</v>
      </c>
      <c r="N136" s="19">
        <f>IF($L136=0,0,ROUND((SUMIFS('المرتبطة بسمو الوزير'!$M$2:$M$151,'المرتبطة بسمو الوزير'!$B$2:$B$151,$B136,'المرتبطة بسمو الوزير'!$G$2:$G$151,$G136,'المرتبطة بسمو الوزير'!$I$2:$I$151,$I136)+SUMIFS('الشؤون التنفيذية'!$N$2:$N$421,'الشؤون التنفيذية'!$B$2:$B$421,$B136,'الشؤون التنفيذية'!$G$2:$G$421,$G136,'الشؤون التنفيذية'!$I$2:$I$421,$I136)+SUMIFS('الجهاز العسكري'!$M$2:$M$631,'الجهاز العسكري'!$B$2:$B$631,$B136,'الجهاز العسكري'!$G$2:$G$631,$G136,'الجهاز العسكري'!$I$2:$I$631,$I136))/$L136,0))</f>
        <v>70</v>
      </c>
      <c r="O136" s="18"/>
      <c r="P136" s="15">
        <f>SUMIFS(المرجع!$G$2:$G$19,المرجع!$B$2:$B$19,$G136,المرجع!$E$2:$E$19,$I136)</f>
        <v>15</v>
      </c>
      <c r="Q136" s="20">
        <f t="shared" si="3"/>
        <v>10.5</v>
      </c>
      <c r="R136" s="21" t="str">
        <f>IF($N136&gt;المرجع!$K$3,"متقدم",IF($N136&lt;=المرجع!$K$2,"أولي","جزئي"))</f>
        <v>جزئي</v>
      </c>
    </row>
    <row r="137" spans="1:18">
      <c r="A137" s="16" t="s">
        <v>1577</v>
      </c>
      <c r="B137" s="16" t="s">
        <v>162</v>
      </c>
      <c r="C137" s="15" t="str">
        <f>IFERROR(INDEX('قائمة الوحدات'!$B$2:$B$41,MATCH($B137,'قائمة الوحدات'!$A$2:$A$41,0)),"")</f>
        <v>EXE</v>
      </c>
      <c r="D137" s="14" t="str">
        <f>IFERROR(INDEX('قائمة الوحدات'!$C$2:$C$41,MATCH($B137,'قائمة الوحدات'!$A$2:$A$41,0)),"")</f>
        <v>الشؤون التنفيذية</v>
      </c>
      <c r="E137" s="14" t="str">
        <f>IFERROR(INDEX('قائمة الوحدات'!$D$2:$D$41,MATCH($B137,'قائمة الوحدات'!$A$2:$A$41,0)),"")</f>
        <v>وكالة الشؤون الفنية</v>
      </c>
      <c r="F137" s="14" t="str">
        <f>IFERROR(INDEX('قائمة الوحدات'!$F$2:$F$41,MATCH($B137,'قائمة الوحدات'!$A$2:$A$41,0)),"")</f>
        <v>الإدارة العامة للمشاريع</v>
      </c>
      <c r="G137" s="16" t="s">
        <v>61</v>
      </c>
      <c r="H137" s="14" t="str">
        <f>IFERROR(INDEX(المرجع!$A$2:$A$19,MATCH($G137,المرجع!$B$2:$B$19,0)),"")</f>
        <v>البناء المؤسسي</v>
      </c>
      <c r="I137" s="16" t="s">
        <v>54</v>
      </c>
      <c r="J137" s="14" t="str">
        <f>IFERROR(INDEX(المرجع!$D$2:$D$19,MATCH($I137,المرجع!$E$2:$E$19,0)),"")</f>
        <v>التنظيم</v>
      </c>
      <c r="K137" s="15">
        <f>IFERROR(INDEX(المرجع!$F$2:$F$19,MATCH($I137,المرجع!$E$2:$E$19,0)),"")</f>
        <v>4</v>
      </c>
      <c r="L137" s="15">
        <f>SUMIFS(المرجع!$H$2:$H$19,المرجع!$B$2:$B$19,$G137,المرجع!$E$2:$E$19,$I137)</f>
        <v>3</v>
      </c>
      <c r="M137" s="15">
        <f>COUNTIFS('المرتبطة بسمو الوزير'!$B$2:$B$151,$B137,'المرتبطة بسمو الوزير'!$G$2:$G$151,$G137,'المرتبطة بسمو الوزير'!$I$2:$I$151,$I137,'المرتبطة بسمو الوزير'!$M$2:$M$151,"&lt;&gt;")+COUNTIFS('الشؤون التنفيذية'!$B$2:$B$421,$B137,'الشؤون التنفيذية'!$G$2:$G$421,$G137,'الشؤون التنفيذية'!$I$2:$I$421,$I137,'الشؤون التنفيذية'!$N$2:$N$421,"&lt;&gt;")+COUNTIFS('الجهاز العسكري'!$B$2:$B$631,$B137,'الجهاز العسكري'!$G$2:$G$631,$G137,'الجهاز العسكري'!$I$2:$I$631,$I137,'الجهاز العسكري'!$M$2:$M$631,"&lt;&gt;")</f>
        <v>3</v>
      </c>
      <c r="N137" s="19">
        <f>IF($L137=0,0,ROUND((SUMIFS('المرتبطة بسمو الوزير'!$M$2:$M$151,'المرتبطة بسمو الوزير'!$B$2:$B$151,$B137,'المرتبطة بسمو الوزير'!$G$2:$G$151,$G137,'المرتبطة بسمو الوزير'!$I$2:$I$151,$I137)+SUMIFS('الشؤون التنفيذية'!$N$2:$N$421,'الشؤون التنفيذية'!$B$2:$B$421,$B137,'الشؤون التنفيذية'!$G$2:$G$421,$G137,'الشؤون التنفيذية'!$I$2:$I$421,$I137)+SUMIFS('الجهاز العسكري'!$M$2:$M$631,'الجهاز العسكري'!$B$2:$B$631,$B137,'الجهاز العسكري'!$G$2:$G$631,$G137,'الجهاز العسكري'!$I$2:$I$631,$I137))/$L137,0))</f>
        <v>95</v>
      </c>
      <c r="O137" s="18"/>
      <c r="P137" s="15">
        <f>SUMIFS(المرجع!$G$2:$G$19,المرجع!$B$2:$B$19,$G137,المرجع!$E$2:$E$19,$I137)</f>
        <v>20</v>
      </c>
      <c r="Q137" s="20">
        <f t="shared" si="3"/>
        <v>19</v>
      </c>
      <c r="R137" s="21" t="str">
        <f>IF($N137&gt;المرجع!$K$3,"متقدم",IF($N137&lt;=المرجع!$K$2,"أولي","جزئي"))</f>
        <v>متقدم</v>
      </c>
    </row>
    <row r="138" spans="1:18">
      <c r="A138" s="16" t="s">
        <v>1578</v>
      </c>
      <c r="B138" s="16" t="s">
        <v>162</v>
      </c>
      <c r="C138" s="15" t="str">
        <f>IFERROR(INDEX('قائمة الوحدات'!$B$2:$B$41,MATCH($B138,'قائمة الوحدات'!$A$2:$A$41,0)),"")</f>
        <v>EXE</v>
      </c>
      <c r="D138" s="14" t="str">
        <f>IFERROR(INDEX('قائمة الوحدات'!$C$2:$C$41,MATCH($B138,'قائمة الوحدات'!$A$2:$A$41,0)),"")</f>
        <v>الشؤون التنفيذية</v>
      </c>
      <c r="E138" s="14" t="str">
        <f>IFERROR(INDEX('قائمة الوحدات'!$D$2:$D$41,MATCH($B138,'قائمة الوحدات'!$A$2:$A$41,0)),"")</f>
        <v>وكالة الشؤون الفنية</v>
      </c>
      <c r="F138" s="14" t="str">
        <f>IFERROR(INDEX('قائمة الوحدات'!$F$2:$F$41,MATCH($B138,'قائمة الوحدات'!$A$2:$A$41,0)),"")</f>
        <v>الإدارة العامة للمشاريع</v>
      </c>
      <c r="G138" s="16" t="s">
        <v>61</v>
      </c>
      <c r="H138" s="14" t="str">
        <f>IFERROR(INDEX(المرجع!$A$2:$A$19,MATCH($G138,المرجع!$B$2:$B$19,0)),"")</f>
        <v>البناء المؤسسي</v>
      </c>
      <c r="I138" s="16" t="s">
        <v>56</v>
      </c>
      <c r="J138" s="14" t="str">
        <f>IFERROR(INDEX(المرجع!$D$2:$D$19,MATCH($I138,المرجع!$E$2:$E$19,0)),"")</f>
        <v>الموارد</v>
      </c>
      <c r="K138" s="15">
        <f>IFERROR(INDEX(المرجع!$F$2:$F$19,MATCH($I138,المرجع!$E$2:$E$19,0)),"")</f>
        <v>5</v>
      </c>
      <c r="L138" s="15">
        <f>SUMIFS(المرجع!$H$2:$H$19,المرجع!$B$2:$B$19,$G138,المرجع!$E$2:$E$19,$I138)</f>
        <v>4</v>
      </c>
      <c r="M138" s="15">
        <f>COUNTIFS('المرتبطة بسمو الوزير'!$B$2:$B$151,$B138,'المرتبطة بسمو الوزير'!$G$2:$G$151,$G138,'المرتبطة بسمو الوزير'!$I$2:$I$151,$I138,'المرتبطة بسمو الوزير'!$M$2:$M$151,"&lt;&gt;")+COUNTIFS('الشؤون التنفيذية'!$B$2:$B$421,$B138,'الشؤون التنفيذية'!$G$2:$G$421,$G138,'الشؤون التنفيذية'!$I$2:$I$421,$I138,'الشؤون التنفيذية'!$N$2:$N$421,"&lt;&gt;")+COUNTIFS('الجهاز العسكري'!$B$2:$B$631,$B138,'الجهاز العسكري'!$G$2:$G$631,$G138,'الجهاز العسكري'!$I$2:$I$631,$I138,'الجهاز العسكري'!$M$2:$M$631,"&lt;&gt;")</f>
        <v>4</v>
      </c>
      <c r="N138" s="19">
        <f>IF($L138=0,0,ROUND((SUMIFS('المرتبطة بسمو الوزير'!$M$2:$M$151,'المرتبطة بسمو الوزير'!$B$2:$B$151,$B138,'المرتبطة بسمو الوزير'!$G$2:$G$151,$G138,'المرتبطة بسمو الوزير'!$I$2:$I$151,$I138)+SUMIFS('الشؤون التنفيذية'!$N$2:$N$421,'الشؤون التنفيذية'!$B$2:$B$421,$B138,'الشؤون التنفيذية'!$G$2:$G$421,$G138,'الشؤون التنفيذية'!$I$2:$I$421,$I138)+SUMIFS('الجهاز العسكري'!$M$2:$M$631,'الجهاز العسكري'!$B$2:$B$631,$B138,'الجهاز العسكري'!$G$2:$G$631,$G138,'الجهاز العسكري'!$I$2:$I$631,$I138))/$L138,0))</f>
        <v>58</v>
      </c>
      <c r="O138" s="18"/>
      <c r="P138" s="15">
        <f>SUMIFS(المرجع!$G$2:$G$19,المرجع!$B$2:$B$19,$G138,المرجع!$E$2:$E$19,$I138)</f>
        <v>25</v>
      </c>
      <c r="Q138" s="20">
        <f t="shared" si="3"/>
        <v>14.5</v>
      </c>
      <c r="R138" s="21" t="str">
        <f>IF($N138&gt;المرجع!$K$3,"متقدم",IF($N138&lt;=المرجع!$K$2,"أولي","جزئي"))</f>
        <v>جزئي</v>
      </c>
    </row>
    <row r="139" spans="1:18">
      <c r="A139" s="16" t="s">
        <v>1579</v>
      </c>
      <c r="B139" s="16" t="s">
        <v>162</v>
      </c>
      <c r="C139" s="15" t="str">
        <f>IFERROR(INDEX('قائمة الوحدات'!$B$2:$B$41,MATCH($B139,'قائمة الوحدات'!$A$2:$A$41,0)),"")</f>
        <v>EXE</v>
      </c>
      <c r="D139" s="14" t="str">
        <f>IFERROR(INDEX('قائمة الوحدات'!$C$2:$C$41,MATCH($B139,'قائمة الوحدات'!$A$2:$A$41,0)),"")</f>
        <v>الشؤون التنفيذية</v>
      </c>
      <c r="E139" s="14" t="str">
        <f>IFERROR(INDEX('قائمة الوحدات'!$D$2:$D$41,MATCH($B139,'قائمة الوحدات'!$A$2:$A$41,0)),"")</f>
        <v>وكالة الشؤون الفنية</v>
      </c>
      <c r="F139" s="14" t="str">
        <f>IFERROR(INDEX('قائمة الوحدات'!$F$2:$F$41,MATCH($B139,'قائمة الوحدات'!$A$2:$A$41,0)),"")</f>
        <v>الإدارة العامة للمشاريع</v>
      </c>
      <c r="G139" s="16" t="s">
        <v>61</v>
      </c>
      <c r="H139" s="14" t="str">
        <f>IFERROR(INDEX(المرجع!$A$2:$A$19,MATCH($G139,المرجع!$B$2:$B$19,0)),"")</f>
        <v>البناء المؤسسي</v>
      </c>
      <c r="I139" s="16" t="s">
        <v>59</v>
      </c>
      <c r="J139" s="14" t="str">
        <f>IFERROR(INDEX(المرجع!$D$2:$D$19,MATCH($I139,المرجع!$E$2:$E$19,0)),"")</f>
        <v>الإجراءات</v>
      </c>
      <c r="K139" s="15">
        <f>IFERROR(INDEX(المرجع!$F$2:$F$19,MATCH($I139,المرجع!$E$2:$E$19,0)),"")</f>
        <v>6</v>
      </c>
      <c r="L139" s="15">
        <f>SUMIFS(المرجع!$H$2:$H$19,المرجع!$B$2:$B$19,$G139,المرجع!$E$2:$E$19,$I139)</f>
        <v>1</v>
      </c>
      <c r="M139" s="15">
        <f>COUNTIFS('المرتبطة بسمو الوزير'!$B$2:$B$151,$B139,'المرتبطة بسمو الوزير'!$G$2:$G$151,$G139,'المرتبطة بسمو الوزير'!$I$2:$I$151,$I139,'المرتبطة بسمو الوزير'!$M$2:$M$151,"&lt;&gt;")+COUNTIFS('الشؤون التنفيذية'!$B$2:$B$421,$B139,'الشؤون التنفيذية'!$G$2:$G$421,$G139,'الشؤون التنفيذية'!$I$2:$I$421,$I139,'الشؤون التنفيذية'!$N$2:$N$421,"&lt;&gt;")+COUNTIFS('الجهاز العسكري'!$B$2:$B$631,$B139,'الجهاز العسكري'!$G$2:$G$631,$G139,'الجهاز العسكري'!$I$2:$I$631,$I139,'الجهاز العسكري'!$M$2:$M$631,"&lt;&gt;")</f>
        <v>1</v>
      </c>
      <c r="N139" s="19">
        <f>IF($L139=0,0,ROUND((SUMIFS('المرتبطة بسمو الوزير'!$M$2:$M$151,'المرتبطة بسمو الوزير'!$B$2:$B$151,$B139,'المرتبطة بسمو الوزير'!$G$2:$G$151,$G139,'المرتبطة بسمو الوزير'!$I$2:$I$151,$I139)+SUMIFS('الشؤون التنفيذية'!$N$2:$N$421,'الشؤون التنفيذية'!$B$2:$B$421,$B139,'الشؤون التنفيذية'!$G$2:$G$421,$G139,'الشؤون التنفيذية'!$I$2:$I$421,$I139)+SUMIFS('الجهاز العسكري'!$M$2:$M$631,'الجهاز العسكري'!$B$2:$B$631,$B139,'الجهاز العسكري'!$G$2:$G$631,$G139,'الجهاز العسكري'!$I$2:$I$631,$I139))/$L139,0))</f>
        <v>84</v>
      </c>
      <c r="O139" s="18"/>
      <c r="P139" s="15">
        <f>SUMIFS(المرجع!$G$2:$G$19,المرجع!$B$2:$B$19,$G139,المرجع!$E$2:$E$19,$I139)</f>
        <v>5</v>
      </c>
      <c r="Q139" s="20">
        <f t="shared" si="3"/>
        <v>4.2</v>
      </c>
      <c r="R139" s="21" t="str">
        <f>IF($N139&gt;المرجع!$K$3,"متقدم",IF($N139&lt;=المرجع!$K$2,"أولي","جزئي"))</f>
        <v>متقدم</v>
      </c>
    </row>
    <row r="140" spans="1:18">
      <c r="A140" s="16" t="s">
        <v>1580</v>
      </c>
      <c r="B140" s="16" t="s">
        <v>162</v>
      </c>
      <c r="C140" s="15" t="str">
        <f>IFERROR(INDEX('قائمة الوحدات'!$B$2:$B$41,MATCH($B140,'قائمة الوحدات'!$A$2:$A$41,0)),"")</f>
        <v>EXE</v>
      </c>
      <c r="D140" s="14" t="str">
        <f>IFERROR(INDEX('قائمة الوحدات'!$C$2:$C$41,MATCH($B140,'قائمة الوحدات'!$A$2:$A$41,0)),"")</f>
        <v>الشؤون التنفيذية</v>
      </c>
      <c r="E140" s="14" t="str">
        <f>IFERROR(INDEX('قائمة الوحدات'!$D$2:$D$41,MATCH($B140,'قائمة الوحدات'!$A$2:$A$41,0)),"")</f>
        <v>وكالة الشؤون الفنية</v>
      </c>
      <c r="F140" s="14" t="str">
        <f>IFERROR(INDEX('قائمة الوحدات'!$F$2:$F$41,MATCH($B140,'قائمة الوحدات'!$A$2:$A$41,0)),"")</f>
        <v>الإدارة العامة للمشاريع</v>
      </c>
      <c r="G140" s="16" t="s">
        <v>61</v>
      </c>
      <c r="H140" s="14" t="str">
        <f>IFERROR(INDEX(المرجع!$A$2:$A$19,MATCH($G140,المرجع!$B$2:$B$19,0)),"")</f>
        <v>البناء المؤسسي</v>
      </c>
      <c r="I140" s="16" t="s">
        <v>63</v>
      </c>
      <c r="J140" s="14" t="str">
        <f>IFERROR(INDEX(المرجع!$D$2:$D$19,MATCH($I140,المرجع!$E$2:$E$19,0)),"")</f>
        <v>إنتاج المخرج الأول</v>
      </c>
      <c r="K140" s="15">
        <f>IFERROR(INDEX(المرجع!$F$2:$F$19,MATCH($I140,المرجع!$E$2:$E$19,0)),"")</f>
        <v>7</v>
      </c>
      <c r="L140" s="15">
        <f>SUMIFS(المرجع!$H$2:$H$19,المرجع!$B$2:$B$19,$G140,المرجع!$E$2:$E$19,$I140)</f>
        <v>1</v>
      </c>
      <c r="M140" s="15">
        <f>COUNTIFS('المرتبطة بسمو الوزير'!$B$2:$B$151,$B140,'المرتبطة بسمو الوزير'!$G$2:$G$151,$G140,'المرتبطة بسمو الوزير'!$I$2:$I$151,$I140,'المرتبطة بسمو الوزير'!$M$2:$M$151,"&lt;&gt;")+COUNTIFS('الشؤون التنفيذية'!$B$2:$B$421,$B140,'الشؤون التنفيذية'!$G$2:$G$421,$G140,'الشؤون التنفيذية'!$I$2:$I$421,$I140,'الشؤون التنفيذية'!$N$2:$N$421,"&lt;&gt;")+COUNTIFS('الجهاز العسكري'!$B$2:$B$631,$B140,'الجهاز العسكري'!$G$2:$G$631,$G140,'الجهاز العسكري'!$I$2:$I$631,$I140,'الجهاز العسكري'!$M$2:$M$631,"&lt;&gt;")</f>
        <v>1</v>
      </c>
      <c r="N140" s="19">
        <f>IF($L140=0,0,ROUND((SUMIFS('المرتبطة بسمو الوزير'!$M$2:$M$151,'المرتبطة بسمو الوزير'!$B$2:$B$151,$B140,'المرتبطة بسمو الوزير'!$G$2:$G$151,$G140,'المرتبطة بسمو الوزير'!$I$2:$I$151,$I140)+SUMIFS('الشؤون التنفيذية'!$N$2:$N$421,'الشؤون التنفيذية'!$B$2:$B$421,$B140,'الشؤون التنفيذية'!$G$2:$G$421,$G140,'الشؤون التنفيذية'!$I$2:$I$421,$I140)+SUMIFS('الجهاز العسكري'!$M$2:$M$631,'الجهاز العسكري'!$B$2:$B$631,$B140,'الجهاز العسكري'!$G$2:$G$631,$G140,'الجهاز العسكري'!$I$2:$I$631,$I140))/$L140,0))</f>
        <v>52</v>
      </c>
      <c r="O140" s="18"/>
      <c r="P140" s="15">
        <f>SUMIFS(المرجع!$G$2:$G$19,المرجع!$B$2:$B$19,$G140,المرجع!$E$2:$E$19,$I140)</f>
        <v>5</v>
      </c>
      <c r="Q140" s="20">
        <f t="shared" si="3"/>
        <v>2.6</v>
      </c>
      <c r="R140" s="21" t="str">
        <f>IF($N140&gt;المرجع!$K$3,"متقدم",IF($N140&lt;=المرجع!$K$2,"أولي","جزئي"))</f>
        <v>جزئي</v>
      </c>
    </row>
    <row r="141" spans="1:18">
      <c r="A141" s="16" t="s">
        <v>1581</v>
      </c>
      <c r="B141" s="16" t="s">
        <v>162</v>
      </c>
      <c r="C141" s="15" t="str">
        <f>IFERROR(INDEX('قائمة الوحدات'!$B$2:$B$41,MATCH($B141,'قائمة الوحدات'!$A$2:$A$41,0)),"")</f>
        <v>EXE</v>
      </c>
      <c r="D141" s="14" t="str">
        <f>IFERROR(INDEX('قائمة الوحدات'!$C$2:$C$41,MATCH($B141,'قائمة الوحدات'!$A$2:$A$41,0)),"")</f>
        <v>الشؤون التنفيذية</v>
      </c>
      <c r="E141" s="14" t="str">
        <f>IFERROR(INDEX('قائمة الوحدات'!$D$2:$D$41,MATCH($B141,'قائمة الوحدات'!$A$2:$A$41,0)),"")</f>
        <v>وكالة الشؤون الفنية</v>
      </c>
      <c r="F141" s="14" t="str">
        <f>IFERROR(INDEX('قائمة الوحدات'!$F$2:$F$41,MATCH($B141,'قائمة الوحدات'!$A$2:$A$41,0)),"")</f>
        <v>الإدارة العامة للمشاريع</v>
      </c>
      <c r="G141" s="16" t="s">
        <v>65</v>
      </c>
      <c r="H141" s="14" t="str">
        <f>IFERROR(INDEX(المرجع!$A$2:$A$19,MATCH($G141,المرجع!$B$2:$B$19,0)),"")</f>
        <v>التشغيل</v>
      </c>
      <c r="I141" s="16" t="s">
        <v>48</v>
      </c>
      <c r="J141" s="14" t="str">
        <f>IFERROR(INDEX(المرجع!$D$2:$D$19,MATCH($I141,المرجع!$E$2:$E$19,0)),"")</f>
        <v>الأهداف ومؤشرات الأداء</v>
      </c>
      <c r="K141" s="15">
        <f>IFERROR(INDEX(المرجع!$F$2:$F$19,MATCH($I141,المرجع!$E$2:$E$19,0)),"")</f>
        <v>2</v>
      </c>
      <c r="L141" s="15">
        <f>SUMIFS(المرجع!$H$2:$H$19,المرجع!$B$2:$B$19,$G141,المرجع!$E$2:$E$19,$I141)</f>
        <v>2</v>
      </c>
      <c r="M141" s="15">
        <f>COUNTIFS('المرتبطة بسمو الوزير'!$B$2:$B$151,$B141,'المرتبطة بسمو الوزير'!$G$2:$G$151,$G141,'المرتبطة بسمو الوزير'!$I$2:$I$151,$I141,'المرتبطة بسمو الوزير'!$M$2:$M$151,"&lt;&gt;")+COUNTIFS('الشؤون التنفيذية'!$B$2:$B$421,$B141,'الشؤون التنفيذية'!$G$2:$G$421,$G141,'الشؤون التنفيذية'!$I$2:$I$421,$I141,'الشؤون التنفيذية'!$N$2:$N$421,"&lt;&gt;")+COUNTIFS('الجهاز العسكري'!$B$2:$B$631,$B141,'الجهاز العسكري'!$G$2:$G$631,$G141,'الجهاز العسكري'!$I$2:$I$631,$I141,'الجهاز العسكري'!$M$2:$M$631,"&lt;&gt;")</f>
        <v>2</v>
      </c>
      <c r="N141" s="19">
        <f>IF($L141=0,0,ROUND((SUMIFS('المرتبطة بسمو الوزير'!$M$2:$M$151,'المرتبطة بسمو الوزير'!$B$2:$B$151,$B141,'المرتبطة بسمو الوزير'!$G$2:$G$151,$G141,'المرتبطة بسمو الوزير'!$I$2:$I$151,$I141)+SUMIFS('الشؤون التنفيذية'!$N$2:$N$421,'الشؤون التنفيذية'!$B$2:$B$421,$B141,'الشؤون التنفيذية'!$G$2:$G$421,$G141,'الشؤون التنفيذية'!$I$2:$I$421,$I141)+SUMIFS('الجهاز العسكري'!$M$2:$M$631,'الجهاز العسكري'!$B$2:$B$631,$B141,'الجهاز العسكري'!$G$2:$G$631,$G141,'الجهاز العسكري'!$I$2:$I$631,$I141))/$L141,0))</f>
        <v>40</v>
      </c>
      <c r="O141" s="18"/>
      <c r="P141" s="15">
        <f>SUMIFS(المرجع!$G$2:$G$19,المرجع!$B$2:$B$19,$G141,المرجع!$E$2:$E$19,$I141)</f>
        <v>25</v>
      </c>
      <c r="Q141" s="20">
        <f t="shared" si="3"/>
        <v>10</v>
      </c>
      <c r="R141" s="21" t="str">
        <f>IF($N141&gt;المرجع!$K$3,"متقدم",IF($N141&lt;=المرجع!$K$2,"أولي","جزئي"))</f>
        <v>جزئي</v>
      </c>
    </row>
    <row r="142" spans="1:18">
      <c r="A142" s="16" t="s">
        <v>1582</v>
      </c>
      <c r="B142" s="16" t="s">
        <v>162</v>
      </c>
      <c r="C142" s="15" t="str">
        <f>IFERROR(INDEX('قائمة الوحدات'!$B$2:$B$41,MATCH($B142,'قائمة الوحدات'!$A$2:$A$41,0)),"")</f>
        <v>EXE</v>
      </c>
      <c r="D142" s="14" t="str">
        <f>IFERROR(INDEX('قائمة الوحدات'!$C$2:$C$41,MATCH($B142,'قائمة الوحدات'!$A$2:$A$41,0)),"")</f>
        <v>الشؤون التنفيذية</v>
      </c>
      <c r="E142" s="14" t="str">
        <f>IFERROR(INDEX('قائمة الوحدات'!$D$2:$D$41,MATCH($B142,'قائمة الوحدات'!$A$2:$A$41,0)),"")</f>
        <v>وكالة الشؤون الفنية</v>
      </c>
      <c r="F142" s="14" t="str">
        <f>IFERROR(INDEX('قائمة الوحدات'!$F$2:$F$41,MATCH($B142,'قائمة الوحدات'!$A$2:$A$41,0)),"")</f>
        <v>الإدارة العامة للمشاريع</v>
      </c>
      <c r="G142" s="16" t="s">
        <v>65</v>
      </c>
      <c r="H142" s="14" t="str">
        <f>IFERROR(INDEX(المرجع!$A$2:$A$19,MATCH($G142,المرجع!$B$2:$B$19,0)),"")</f>
        <v>التشغيل</v>
      </c>
      <c r="I142" s="16" t="s">
        <v>51</v>
      </c>
      <c r="J142" s="14" t="str">
        <f>IFERROR(INDEX(المرجع!$D$2:$D$19,MATCH($I142,المرجع!$E$2:$E$19,0)),"")</f>
        <v>الحوكمة</v>
      </c>
      <c r="K142" s="15">
        <f>IFERROR(INDEX(المرجع!$F$2:$F$19,MATCH($I142,المرجع!$E$2:$E$19,0)),"")</f>
        <v>3</v>
      </c>
      <c r="L142" s="15">
        <f>SUMIFS(المرجع!$H$2:$H$19,المرجع!$B$2:$B$19,$G142,المرجع!$E$2:$E$19,$I142)</f>
        <v>3</v>
      </c>
      <c r="M142" s="15">
        <f>COUNTIFS('المرتبطة بسمو الوزير'!$B$2:$B$151,$B142,'المرتبطة بسمو الوزير'!$G$2:$G$151,$G142,'المرتبطة بسمو الوزير'!$I$2:$I$151,$I142,'المرتبطة بسمو الوزير'!$M$2:$M$151,"&lt;&gt;")+COUNTIFS('الشؤون التنفيذية'!$B$2:$B$421,$B142,'الشؤون التنفيذية'!$G$2:$G$421,$G142,'الشؤون التنفيذية'!$I$2:$I$421,$I142,'الشؤون التنفيذية'!$N$2:$N$421,"&lt;&gt;")+COUNTIFS('الجهاز العسكري'!$B$2:$B$631,$B142,'الجهاز العسكري'!$G$2:$G$631,$G142,'الجهاز العسكري'!$I$2:$I$631,$I142,'الجهاز العسكري'!$M$2:$M$631,"&lt;&gt;")</f>
        <v>3</v>
      </c>
      <c r="N142" s="19">
        <f>IF($L142=0,0,ROUND((SUMIFS('المرتبطة بسمو الوزير'!$M$2:$M$151,'المرتبطة بسمو الوزير'!$B$2:$B$151,$B142,'المرتبطة بسمو الوزير'!$G$2:$G$151,$G142,'المرتبطة بسمو الوزير'!$I$2:$I$151,$I142)+SUMIFS('الشؤون التنفيذية'!$N$2:$N$421,'الشؤون التنفيذية'!$B$2:$B$421,$B142,'الشؤون التنفيذية'!$G$2:$G$421,$G142,'الشؤون التنفيذية'!$I$2:$I$421,$I142)+SUMIFS('الجهاز العسكري'!$M$2:$M$631,'الجهاز العسكري'!$B$2:$B$631,$B142,'الجهاز العسكري'!$G$2:$G$631,$G142,'الجهاز العسكري'!$I$2:$I$631,$I142))/$L142,0))</f>
        <v>27</v>
      </c>
      <c r="O142" s="18"/>
      <c r="P142" s="15">
        <f>SUMIFS(المرجع!$G$2:$G$19,المرجع!$B$2:$B$19,$G142,المرجع!$E$2:$E$19,$I142)</f>
        <v>15</v>
      </c>
      <c r="Q142" s="20">
        <f t="shared" si="3"/>
        <v>4.05</v>
      </c>
      <c r="R142" s="21" t="str">
        <f>IF($N142&gt;المرجع!$K$3,"متقدم",IF($N142&lt;=المرجع!$K$2,"أولي","جزئي"))</f>
        <v>أولي</v>
      </c>
    </row>
    <row r="143" spans="1:18">
      <c r="A143" s="16" t="s">
        <v>1583</v>
      </c>
      <c r="B143" s="16" t="s">
        <v>162</v>
      </c>
      <c r="C143" s="15" t="str">
        <f>IFERROR(INDEX('قائمة الوحدات'!$B$2:$B$41,MATCH($B143,'قائمة الوحدات'!$A$2:$A$41,0)),"")</f>
        <v>EXE</v>
      </c>
      <c r="D143" s="14" t="str">
        <f>IFERROR(INDEX('قائمة الوحدات'!$C$2:$C$41,MATCH($B143,'قائمة الوحدات'!$A$2:$A$41,0)),"")</f>
        <v>الشؤون التنفيذية</v>
      </c>
      <c r="E143" s="14" t="str">
        <f>IFERROR(INDEX('قائمة الوحدات'!$D$2:$D$41,MATCH($B143,'قائمة الوحدات'!$A$2:$A$41,0)),"")</f>
        <v>وكالة الشؤون الفنية</v>
      </c>
      <c r="F143" s="14" t="str">
        <f>IFERROR(INDEX('قائمة الوحدات'!$F$2:$F$41,MATCH($B143,'قائمة الوحدات'!$A$2:$A$41,0)),"")</f>
        <v>الإدارة العامة للمشاريع</v>
      </c>
      <c r="G143" s="16" t="s">
        <v>65</v>
      </c>
      <c r="H143" s="14" t="str">
        <f>IFERROR(INDEX(المرجع!$A$2:$A$19,MATCH($G143,المرجع!$B$2:$B$19,0)),"")</f>
        <v>التشغيل</v>
      </c>
      <c r="I143" s="16" t="s">
        <v>56</v>
      </c>
      <c r="J143" s="14" t="str">
        <f>IFERROR(INDEX(المرجع!$D$2:$D$19,MATCH($I143,المرجع!$E$2:$E$19,0)),"")</f>
        <v>الموارد</v>
      </c>
      <c r="K143" s="15">
        <f>IFERROR(INDEX(المرجع!$F$2:$F$19,MATCH($I143,المرجع!$E$2:$E$19,0)),"")</f>
        <v>5</v>
      </c>
      <c r="L143" s="15">
        <f>SUMIFS(المرجع!$H$2:$H$19,المرجع!$B$2:$B$19,$G143,المرجع!$E$2:$E$19,$I143)</f>
        <v>1</v>
      </c>
      <c r="M143" s="15">
        <f>COUNTIFS('المرتبطة بسمو الوزير'!$B$2:$B$151,$B143,'المرتبطة بسمو الوزير'!$G$2:$G$151,$G143,'المرتبطة بسمو الوزير'!$I$2:$I$151,$I143,'المرتبطة بسمو الوزير'!$M$2:$M$151,"&lt;&gt;")+COUNTIFS('الشؤون التنفيذية'!$B$2:$B$421,$B143,'الشؤون التنفيذية'!$G$2:$G$421,$G143,'الشؤون التنفيذية'!$I$2:$I$421,$I143,'الشؤون التنفيذية'!$N$2:$N$421,"&lt;&gt;")+COUNTIFS('الجهاز العسكري'!$B$2:$B$631,$B143,'الجهاز العسكري'!$G$2:$G$631,$G143,'الجهاز العسكري'!$I$2:$I$631,$I143,'الجهاز العسكري'!$M$2:$M$631,"&lt;&gt;")</f>
        <v>1</v>
      </c>
      <c r="N143" s="19">
        <f>IF($L143=0,0,ROUND((SUMIFS('المرتبطة بسمو الوزير'!$M$2:$M$151,'المرتبطة بسمو الوزير'!$B$2:$B$151,$B143,'المرتبطة بسمو الوزير'!$G$2:$G$151,$G143,'المرتبطة بسمو الوزير'!$I$2:$I$151,$I143)+SUMIFS('الشؤون التنفيذية'!$N$2:$N$421,'الشؤون التنفيذية'!$B$2:$B$421,$B143,'الشؤون التنفيذية'!$G$2:$G$421,$G143,'الشؤون التنفيذية'!$I$2:$I$421,$I143)+SUMIFS('الجهاز العسكري'!$M$2:$M$631,'الجهاز العسكري'!$B$2:$B$631,$B143,'الجهاز العسكري'!$G$2:$G$631,$G143,'الجهاز العسكري'!$I$2:$I$631,$I143))/$L143,0))</f>
        <v>59</v>
      </c>
      <c r="O143" s="18"/>
      <c r="P143" s="15">
        <f>SUMIFS(المرجع!$G$2:$G$19,المرجع!$B$2:$B$19,$G143,المرجع!$E$2:$E$19,$I143)</f>
        <v>15</v>
      </c>
      <c r="Q143" s="20">
        <f t="shared" si="3"/>
        <v>8.85</v>
      </c>
      <c r="R143" s="21" t="str">
        <f>IF($N143&gt;المرجع!$K$3,"متقدم",IF($N143&lt;=المرجع!$K$2,"أولي","جزئي"))</f>
        <v>جزئي</v>
      </c>
    </row>
    <row r="144" spans="1:18">
      <c r="A144" s="16" t="s">
        <v>1584</v>
      </c>
      <c r="B144" s="16" t="s">
        <v>162</v>
      </c>
      <c r="C144" s="15" t="str">
        <f>IFERROR(INDEX('قائمة الوحدات'!$B$2:$B$41,MATCH($B144,'قائمة الوحدات'!$A$2:$A$41,0)),"")</f>
        <v>EXE</v>
      </c>
      <c r="D144" s="14" t="str">
        <f>IFERROR(INDEX('قائمة الوحدات'!$C$2:$C$41,MATCH($B144,'قائمة الوحدات'!$A$2:$A$41,0)),"")</f>
        <v>الشؤون التنفيذية</v>
      </c>
      <c r="E144" s="14" t="str">
        <f>IFERROR(INDEX('قائمة الوحدات'!$D$2:$D$41,MATCH($B144,'قائمة الوحدات'!$A$2:$A$41,0)),"")</f>
        <v>وكالة الشؤون الفنية</v>
      </c>
      <c r="F144" s="14" t="str">
        <f>IFERROR(INDEX('قائمة الوحدات'!$F$2:$F$41,MATCH($B144,'قائمة الوحدات'!$A$2:$A$41,0)),"")</f>
        <v>الإدارة العامة للمشاريع</v>
      </c>
      <c r="G144" s="16" t="s">
        <v>65</v>
      </c>
      <c r="H144" s="14" t="str">
        <f>IFERROR(INDEX(المرجع!$A$2:$A$19,MATCH($G144,المرجع!$B$2:$B$19,0)),"")</f>
        <v>التشغيل</v>
      </c>
      <c r="I144" s="16" t="s">
        <v>59</v>
      </c>
      <c r="J144" s="14" t="str">
        <f>IFERROR(INDEX(المرجع!$D$2:$D$19,MATCH($I144,المرجع!$E$2:$E$19,0)),"")</f>
        <v>الإجراءات</v>
      </c>
      <c r="K144" s="15">
        <f>IFERROR(INDEX(المرجع!$F$2:$F$19,MATCH($I144,المرجع!$E$2:$E$19,0)),"")</f>
        <v>6</v>
      </c>
      <c r="L144" s="15">
        <f>SUMIFS(المرجع!$H$2:$H$19,المرجع!$B$2:$B$19,$G144,المرجع!$E$2:$E$19,$I144)</f>
        <v>1</v>
      </c>
      <c r="M144" s="15">
        <f>COUNTIFS('المرتبطة بسمو الوزير'!$B$2:$B$151,$B144,'المرتبطة بسمو الوزير'!$G$2:$G$151,$G144,'المرتبطة بسمو الوزير'!$I$2:$I$151,$I144,'المرتبطة بسمو الوزير'!$M$2:$M$151,"&lt;&gt;")+COUNTIFS('الشؤون التنفيذية'!$B$2:$B$421,$B144,'الشؤون التنفيذية'!$G$2:$G$421,$G144,'الشؤون التنفيذية'!$I$2:$I$421,$I144,'الشؤون التنفيذية'!$N$2:$N$421,"&lt;&gt;")+COUNTIFS('الجهاز العسكري'!$B$2:$B$631,$B144,'الجهاز العسكري'!$G$2:$G$631,$G144,'الجهاز العسكري'!$I$2:$I$631,$I144,'الجهاز العسكري'!$M$2:$M$631,"&lt;&gt;")</f>
        <v>1</v>
      </c>
      <c r="N144" s="19">
        <f>IF($L144=0,0,ROUND((SUMIFS('المرتبطة بسمو الوزير'!$M$2:$M$151,'المرتبطة بسمو الوزير'!$B$2:$B$151,$B144,'المرتبطة بسمو الوزير'!$G$2:$G$151,$G144,'المرتبطة بسمو الوزير'!$I$2:$I$151,$I144)+SUMIFS('الشؤون التنفيذية'!$N$2:$N$421,'الشؤون التنفيذية'!$B$2:$B$421,$B144,'الشؤون التنفيذية'!$G$2:$G$421,$G144,'الشؤون التنفيذية'!$I$2:$I$421,$I144)+SUMIFS('الجهاز العسكري'!$M$2:$M$631,'الجهاز العسكري'!$B$2:$B$631,$B144,'الجهاز العسكري'!$G$2:$G$631,$G144,'الجهاز العسكري'!$I$2:$I$631,$I144))/$L144,0))</f>
        <v>42</v>
      </c>
      <c r="O144" s="18"/>
      <c r="P144" s="15">
        <f>SUMIFS(المرجع!$G$2:$G$19,المرجع!$B$2:$B$19,$G144,المرجع!$E$2:$E$19,$I144)</f>
        <v>15</v>
      </c>
      <c r="Q144" s="20">
        <f t="shared" si="3"/>
        <v>6.3</v>
      </c>
      <c r="R144" s="21" t="str">
        <f>IF($N144&gt;المرجع!$K$3,"متقدم",IF($N144&lt;=المرجع!$K$2,"أولي","جزئي"))</f>
        <v>جزئي</v>
      </c>
    </row>
    <row r="145" spans="1:18">
      <c r="A145" s="16" t="s">
        <v>1585</v>
      </c>
      <c r="B145" s="16" t="s">
        <v>162</v>
      </c>
      <c r="C145" s="15" t="str">
        <f>IFERROR(INDEX('قائمة الوحدات'!$B$2:$B$41,MATCH($B145,'قائمة الوحدات'!$A$2:$A$41,0)),"")</f>
        <v>EXE</v>
      </c>
      <c r="D145" s="14" t="str">
        <f>IFERROR(INDEX('قائمة الوحدات'!$C$2:$C$41,MATCH($B145,'قائمة الوحدات'!$A$2:$A$41,0)),"")</f>
        <v>الشؤون التنفيذية</v>
      </c>
      <c r="E145" s="14" t="str">
        <f>IFERROR(INDEX('قائمة الوحدات'!$D$2:$D$41,MATCH($B145,'قائمة الوحدات'!$A$2:$A$41,0)),"")</f>
        <v>وكالة الشؤون الفنية</v>
      </c>
      <c r="F145" s="14" t="str">
        <f>IFERROR(INDEX('قائمة الوحدات'!$F$2:$F$41,MATCH($B145,'قائمة الوحدات'!$A$2:$A$41,0)),"")</f>
        <v>الإدارة العامة للمشاريع</v>
      </c>
      <c r="G145" s="16" t="s">
        <v>65</v>
      </c>
      <c r="H145" s="14" t="str">
        <f>IFERROR(INDEX(المرجع!$A$2:$A$19,MATCH($G145,المرجع!$B$2:$B$19,0)),"")</f>
        <v>التشغيل</v>
      </c>
      <c r="I145" s="16" t="s">
        <v>67</v>
      </c>
      <c r="J145" s="14" t="str">
        <f>IFERROR(INDEX(المرجع!$D$2:$D$19,MATCH($I145,المرجع!$E$2:$E$19,0)),"")</f>
        <v>اكتمال المخرجات المستهدفة</v>
      </c>
      <c r="K145" s="15">
        <f>IFERROR(INDEX(المرجع!$F$2:$F$19,MATCH($I145,المرجع!$E$2:$E$19,0)),"")</f>
        <v>8</v>
      </c>
      <c r="L145" s="15">
        <f>SUMIFS(المرجع!$H$2:$H$19,المرجع!$B$2:$B$19,$G145,المرجع!$E$2:$E$19,$I145)</f>
        <v>1</v>
      </c>
      <c r="M145" s="15">
        <f>COUNTIFS('المرتبطة بسمو الوزير'!$B$2:$B$151,$B145,'المرتبطة بسمو الوزير'!$G$2:$G$151,$G145,'المرتبطة بسمو الوزير'!$I$2:$I$151,$I145,'المرتبطة بسمو الوزير'!$M$2:$M$151,"&lt;&gt;")+COUNTIFS('الشؤون التنفيذية'!$B$2:$B$421,$B145,'الشؤون التنفيذية'!$G$2:$G$421,$G145,'الشؤون التنفيذية'!$I$2:$I$421,$I145,'الشؤون التنفيذية'!$N$2:$N$421,"&lt;&gt;")+COUNTIFS('الجهاز العسكري'!$B$2:$B$631,$B145,'الجهاز العسكري'!$G$2:$G$631,$G145,'الجهاز العسكري'!$I$2:$I$631,$I145,'الجهاز العسكري'!$M$2:$M$631,"&lt;&gt;")</f>
        <v>1</v>
      </c>
      <c r="N145" s="19">
        <f>IF($L145=0,0,ROUND((SUMIFS('المرتبطة بسمو الوزير'!$M$2:$M$151,'المرتبطة بسمو الوزير'!$B$2:$B$151,$B145,'المرتبطة بسمو الوزير'!$G$2:$G$151,$G145,'المرتبطة بسمو الوزير'!$I$2:$I$151,$I145)+SUMIFS('الشؤون التنفيذية'!$N$2:$N$421,'الشؤون التنفيذية'!$B$2:$B$421,$B145,'الشؤون التنفيذية'!$G$2:$G$421,$G145,'الشؤون التنفيذية'!$I$2:$I$421,$I145)+SUMIFS('الجهاز العسكري'!$M$2:$M$631,'الجهاز العسكري'!$B$2:$B$631,$B145,'الجهاز العسكري'!$G$2:$G$631,$G145,'الجهاز العسكري'!$I$2:$I$631,$I145))/$L145,0))</f>
        <v>46</v>
      </c>
      <c r="O145" s="18"/>
      <c r="P145" s="15">
        <f>SUMIFS(المرجع!$G$2:$G$19,المرجع!$B$2:$B$19,$G145,المرجع!$E$2:$E$19,$I145)</f>
        <v>30</v>
      </c>
      <c r="Q145" s="20">
        <f t="shared" si="3"/>
        <v>13.8</v>
      </c>
      <c r="R145" s="21" t="str">
        <f>IF($N145&gt;المرجع!$K$3,"متقدم",IF($N145&lt;=المرجع!$K$2,"أولي","جزئي"))</f>
        <v>جزئي</v>
      </c>
    </row>
    <row r="146" spans="1:18">
      <c r="A146" s="16" t="s">
        <v>1586</v>
      </c>
      <c r="B146" s="16" t="s">
        <v>164</v>
      </c>
      <c r="C146" s="15" t="str">
        <f>IFERROR(INDEX('قائمة الوحدات'!$B$2:$B$41,MATCH($B146,'قائمة الوحدات'!$A$2:$A$41,0)),"")</f>
        <v>EXE</v>
      </c>
      <c r="D146" s="14" t="str">
        <f>IFERROR(INDEX('قائمة الوحدات'!$C$2:$C$41,MATCH($B146,'قائمة الوحدات'!$A$2:$A$41,0)),"")</f>
        <v>الشؤون التنفيذية</v>
      </c>
      <c r="E146" s="14" t="str">
        <f>IFERROR(INDEX('قائمة الوحدات'!$D$2:$D$41,MATCH($B146,'قائمة الوحدات'!$A$2:$A$41,0)),"")</f>
        <v>وكالة الشؤون الفنية</v>
      </c>
      <c r="F146" s="14" t="str">
        <f>IFERROR(INDEX('قائمة الوحدات'!$F$2:$F$41,MATCH($B146,'قائمة الوحدات'!$A$2:$A$41,0)),"")</f>
        <v>الإدارة العامة للتشغيل والصيانة</v>
      </c>
      <c r="G146" s="16" t="s">
        <v>43</v>
      </c>
      <c r="H146" s="14" t="str">
        <f>IFERROR(INDEX(المرجع!$A$2:$A$19,MATCH($G146,المرجع!$B$2:$B$19,0)),"")</f>
        <v>التصميم</v>
      </c>
      <c r="I146" s="16" t="s">
        <v>45</v>
      </c>
      <c r="J146" s="14" t="str">
        <f>IFERROR(INDEX(المرجع!$D$2:$D$19,MATCH($I146,المرجع!$E$2:$E$19,0)),"")</f>
        <v>الدور</v>
      </c>
      <c r="K146" s="15">
        <f>IFERROR(INDEX(المرجع!$F$2:$F$19,MATCH($I146,المرجع!$E$2:$E$19,0)),"")</f>
        <v>1</v>
      </c>
      <c r="L146" s="15">
        <f>SUMIFS(المرجع!$H$2:$H$19,المرجع!$B$2:$B$19,$G146,المرجع!$E$2:$E$19,$I146)</f>
        <v>1</v>
      </c>
      <c r="M146" s="15">
        <f>COUNTIFS('المرتبطة بسمو الوزير'!$B$2:$B$151,$B146,'المرتبطة بسمو الوزير'!$G$2:$G$151,$G146,'المرتبطة بسمو الوزير'!$I$2:$I$151,$I146,'المرتبطة بسمو الوزير'!$M$2:$M$151,"&lt;&gt;")+COUNTIFS('الشؤون التنفيذية'!$B$2:$B$421,$B146,'الشؤون التنفيذية'!$G$2:$G$421,$G146,'الشؤون التنفيذية'!$I$2:$I$421,$I146,'الشؤون التنفيذية'!$N$2:$N$421,"&lt;&gt;")+COUNTIFS('الجهاز العسكري'!$B$2:$B$631,$B146,'الجهاز العسكري'!$G$2:$G$631,$G146,'الجهاز العسكري'!$I$2:$I$631,$I146,'الجهاز العسكري'!$M$2:$M$631,"&lt;&gt;")</f>
        <v>1</v>
      </c>
      <c r="N146" s="19">
        <f>IF($L146=0,0,ROUND((SUMIFS('المرتبطة بسمو الوزير'!$M$2:$M$151,'المرتبطة بسمو الوزير'!$B$2:$B$151,$B146,'المرتبطة بسمو الوزير'!$G$2:$G$151,$G146,'المرتبطة بسمو الوزير'!$I$2:$I$151,$I146)+SUMIFS('الشؤون التنفيذية'!$N$2:$N$421,'الشؤون التنفيذية'!$B$2:$B$421,$B146,'الشؤون التنفيذية'!$G$2:$G$421,$G146,'الشؤون التنفيذية'!$I$2:$I$421,$I146)+SUMIFS('الجهاز العسكري'!$M$2:$M$631,'الجهاز العسكري'!$B$2:$B$631,$B146,'الجهاز العسكري'!$G$2:$G$631,$G146,'الجهاز العسكري'!$I$2:$I$631,$I146))/$L146,0))</f>
        <v>83</v>
      </c>
      <c r="O146" s="18"/>
      <c r="P146" s="15">
        <f>SUMIFS(المرجع!$G$2:$G$19,المرجع!$B$2:$B$19,$G146,المرجع!$E$2:$E$19,$I146)</f>
        <v>25</v>
      </c>
      <c r="Q146" s="20">
        <f t="shared" si="3"/>
        <v>20.75</v>
      </c>
      <c r="R146" s="21" t="str">
        <f>IF($N146&gt;المرجع!$K$3,"متقدم",IF($N146&lt;=المرجع!$K$2,"أولي","جزئي"))</f>
        <v>متقدم</v>
      </c>
    </row>
    <row r="147" spans="1:18">
      <c r="A147" s="16" t="s">
        <v>1587</v>
      </c>
      <c r="B147" s="16" t="s">
        <v>164</v>
      </c>
      <c r="C147" s="15" t="str">
        <f>IFERROR(INDEX('قائمة الوحدات'!$B$2:$B$41,MATCH($B147,'قائمة الوحدات'!$A$2:$A$41,0)),"")</f>
        <v>EXE</v>
      </c>
      <c r="D147" s="14" t="str">
        <f>IFERROR(INDEX('قائمة الوحدات'!$C$2:$C$41,MATCH($B147,'قائمة الوحدات'!$A$2:$A$41,0)),"")</f>
        <v>الشؤون التنفيذية</v>
      </c>
      <c r="E147" s="14" t="str">
        <f>IFERROR(INDEX('قائمة الوحدات'!$D$2:$D$41,MATCH($B147,'قائمة الوحدات'!$A$2:$A$41,0)),"")</f>
        <v>وكالة الشؤون الفنية</v>
      </c>
      <c r="F147" s="14" t="str">
        <f>IFERROR(INDEX('قائمة الوحدات'!$F$2:$F$41,MATCH($B147,'قائمة الوحدات'!$A$2:$A$41,0)),"")</f>
        <v>الإدارة العامة للتشغيل والصيانة</v>
      </c>
      <c r="G147" s="16" t="s">
        <v>43</v>
      </c>
      <c r="H147" s="14" t="str">
        <f>IFERROR(INDEX(المرجع!$A$2:$A$19,MATCH($G147,المرجع!$B$2:$B$19,0)),"")</f>
        <v>التصميم</v>
      </c>
      <c r="I147" s="16" t="s">
        <v>48</v>
      </c>
      <c r="J147" s="14" t="str">
        <f>IFERROR(INDEX(المرجع!$D$2:$D$19,MATCH($I147,المرجع!$E$2:$E$19,0)),"")</f>
        <v>الأهداف ومؤشرات الأداء</v>
      </c>
      <c r="K147" s="15">
        <f>IFERROR(INDEX(المرجع!$F$2:$F$19,MATCH($I147,المرجع!$E$2:$E$19,0)),"")</f>
        <v>2</v>
      </c>
      <c r="L147" s="15">
        <f>SUMIFS(المرجع!$H$2:$H$19,المرجع!$B$2:$B$19,$G147,المرجع!$E$2:$E$19,$I147)</f>
        <v>2</v>
      </c>
      <c r="M147" s="15">
        <f>COUNTIFS('المرتبطة بسمو الوزير'!$B$2:$B$151,$B147,'المرتبطة بسمو الوزير'!$G$2:$G$151,$G147,'المرتبطة بسمو الوزير'!$I$2:$I$151,$I147,'المرتبطة بسمو الوزير'!$M$2:$M$151,"&lt;&gt;")+COUNTIFS('الشؤون التنفيذية'!$B$2:$B$421,$B147,'الشؤون التنفيذية'!$G$2:$G$421,$G147,'الشؤون التنفيذية'!$I$2:$I$421,$I147,'الشؤون التنفيذية'!$N$2:$N$421,"&lt;&gt;")+COUNTIFS('الجهاز العسكري'!$B$2:$B$631,$B147,'الجهاز العسكري'!$G$2:$G$631,$G147,'الجهاز العسكري'!$I$2:$I$631,$I147,'الجهاز العسكري'!$M$2:$M$631,"&lt;&gt;")</f>
        <v>2</v>
      </c>
      <c r="N147" s="19">
        <f>IF($L147=0,0,ROUND((SUMIFS('المرتبطة بسمو الوزير'!$M$2:$M$151,'المرتبطة بسمو الوزير'!$B$2:$B$151,$B147,'المرتبطة بسمو الوزير'!$G$2:$G$151,$G147,'المرتبطة بسمو الوزير'!$I$2:$I$151,$I147)+SUMIFS('الشؤون التنفيذية'!$N$2:$N$421,'الشؤون التنفيذية'!$B$2:$B$421,$B147,'الشؤون التنفيذية'!$G$2:$G$421,$G147,'الشؤون التنفيذية'!$I$2:$I$421,$I147)+SUMIFS('الجهاز العسكري'!$M$2:$M$631,'الجهاز العسكري'!$B$2:$B$631,$B147,'الجهاز العسكري'!$G$2:$G$631,$G147,'الجهاز العسكري'!$I$2:$I$631,$I147))/$L147,0))</f>
        <v>75</v>
      </c>
      <c r="O147" s="18"/>
      <c r="P147" s="15">
        <f>SUMIFS(المرجع!$G$2:$G$19,المرجع!$B$2:$B$19,$G147,المرجع!$E$2:$E$19,$I147)</f>
        <v>15</v>
      </c>
      <c r="Q147" s="20">
        <f t="shared" si="3"/>
        <v>11.25</v>
      </c>
      <c r="R147" s="21" t="str">
        <f>IF($N147&gt;المرجع!$K$3,"متقدم",IF($N147&lt;=المرجع!$K$2,"أولي","جزئي"))</f>
        <v>متقدم</v>
      </c>
    </row>
    <row r="148" spans="1:18">
      <c r="A148" s="16" t="s">
        <v>1588</v>
      </c>
      <c r="B148" s="16" t="s">
        <v>164</v>
      </c>
      <c r="C148" s="15" t="str">
        <f>IFERROR(INDEX('قائمة الوحدات'!$B$2:$B$41,MATCH($B148,'قائمة الوحدات'!$A$2:$A$41,0)),"")</f>
        <v>EXE</v>
      </c>
      <c r="D148" s="14" t="str">
        <f>IFERROR(INDEX('قائمة الوحدات'!$C$2:$C$41,MATCH($B148,'قائمة الوحدات'!$A$2:$A$41,0)),"")</f>
        <v>الشؤون التنفيذية</v>
      </c>
      <c r="E148" s="14" t="str">
        <f>IFERROR(INDEX('قائمة الوحدات'!$D$2:$D$41,MATCH($B148,'قائمة الوحدات'!$A$2:$A$41,0)),"")</f>
        <v>وكالة الشؤون الفنية</v>
      </c>
      <c r="F148" s="14" t="str">
        <f>IFERROR(INDEX('قائمة الوحدات'!$F$2:$F$41,MATCH($B148,'قائمة الوحدات'!$A$2:$A$41,0)),"")</f>
        <v>الإدارة العامة للتشغيل والصيانة</v>
      </c>
      <c r="G148" s="16" t="s">
        <v>43</v>
      </c>
      <c r="H148" s="14" t="str">
        <f>IFERROR(INDEX(المرجع!$A$2:$A$19,MATCH($G148,المرجع!$B$2:$B$19,0)),"")</f>
        <v>التصميم</v>
      </c>
      <c r="I148" s="16" t="s">
        <v>51</v>
      </c>
      <c r="J148" s="14" t="str">
        <f>IFERROR(INDEX(المرجع!$D$2:$D$19,MATCH($I148,المرجع!$E$2:$E$19,0)),"")</f>
        <v>الحوكمة</v>
      </c>
      <c r="K148" s="15">
        <f>IFERROR(INDEX(المرجع!$F$2:$F$19,MATCH($I148,المرجع!$E$2:$E$19,0)),"")</f>
        <v>3</v>
      </c>
      <c r="L148" s="15">
        <f>SUMIFS(المرجع!$H$2:$H$19,المرجع!$B$2:$B$19,$G148,المرجع!$E$2:$E$19,$I148)</f>
        <v>1</v>
      </c>
      <c r="M148" s="15">
        <f>COUNTIFS('المرتبطة بسمو الوزير'!$B$2:$B$151,$B148,'المرتبطة بسمو الوزير'!$G$2:$G$151,$G148,'المرتبطة بسمو الوزير'!$I$2:$I$151,$I148,'المرتبطة بسمو الوزير'!$M$2:$M$151,"&lt;&gt;")+COUNTIFS('الشؤون التنفيذية'!$B$2:$B$421,$B148,'الشؤون التنفيذية'!$G$2:$G$421,$G148,'الشؤون التنفيذية'!$I$2:$I$421,$I148,'الشؤون التنفيذية'!$N$2:$N$421,"&lt;&gt;")+COUNTIFS('الجهاز العسكري'!$B$2:$B$631,$B148,'الجهاز العسكري'!$G$2:$G$631,$G148,'الجهاز العسكري'!$I$2:$I$631,$I148,'الجهاز العسكري'!$M$2:$M$631,"&lt;&gt;")</f>
        <v>1</v>
      </c>
      <c r="N148" s="19">
        <f>IF($L148=0,0,ROUND((SUMIFS('المرتبطة بسمو الوزير'!$M$2:$M$151,'المرتبطة بسمو الوزير'!$B$2:$B$151,$B148,'المرتبطة بسمو الوزير'!$G$2:$G$151,$G148,'المرتبطة بسمو الوزير'!$I$2:$I$151,$I148)+SUMIFS('الشؤون التنفيذية'!$N$2:$N$421,'الشؤون التنفيذية'!$B$2:$B$421,$B148,'الشؤون التنفيذية'!$G$2:$G$421,$G148,'الشؤون التنفيذية'!$I$2:$I$421,$I148)+SUMIFS('الجهاز العسكري'!$M$2:$M$631,'الجهاز العسكري'!$B$2:$B$631,$B148,'الجهاز العسكري'!$G$2:$G$631,$G148,'الجهاز العسكري'!$I$2:$I$631,$I148))/$L148,0))</f>
        <v>80</v>
      </c>
      <c r="O148" s="18"/>
      <c r="P148" s="15">
        <f>SUMIFS(المرجع!$G$2:$G$19,المرجع!$B$2:$B$19,$G148,المرجع!$E$2:$E$19,$I148)</f>
        <v>15</v>
      </c>
      <c r="Q148" s="20">
        <f t="shared" si="3"/>
        <v>12</v>
      </c>
      <c r="R148" s="21" t="str">
        <f>IF($N148&gt;المرجع!$K$3,"متقدم",IF($N148&lt;=المرجع!$K$2,"أولي","جزئي"))</f>
        <v>متقدم</v>
      </c>
    </row>
    <row r="149" spans="1:18">
      <c r="A149" s="16" t="s">
        <v>1589</v>
      </c>
      <c r="B149" s="16" t="s">
        <v>164</v>
      </c>
      <c r="C149" s="15" t="str">
        <f>IFERROR(INDEX('قائمة الوحدات'!$B$2:$B$41,MATCH($B149,'قائمة الوحدات'!$A$2:$A$41,0)),"")</f>
        <v>EXE</v>
      </c>
      <c r="D149" s="14" t="str">
        <f>IFERROR(INDEX('قائمة الوحدات'!$C$2:$C$41,MATCH($B149,'قائمة الوحدات'!$A$2:$A$41,0)),"")</f>
        <v>الشؤون التنفيذية</v>
      </c>
      <c r="E149" s="14" t="str">
        <f>IFERROR(INDEX('قائمة الوحدات'!$D$2:$D$41,MATCH($B149,'قائمة الوحدات'!$A$2:$A$41,0)),"")</f>
        <v>وكالة الشؤون الفنية</v>
      </c>
      <c r="F149" s="14" t="str">
        <f>IFERROR(INDEX('قائمة الوحدات'!$F$2:$F$41,MATCH($B149,'قائمة الوحدات'!$A$2:$A$41,0)),"")</f>
        <v>الإدارة العامة للتشغيل والصيانة</v>
      </c>
      <c r="G149" s="16" t="s">
        <v>43</v>
      </c>
      <c r="H149" s="14" t="str">
        <f>IFERROR(INDEX(المرجع!$A$2:$A$19,MATCH($G149,المرجع!$B$2:$B$19,0)),"")</f>
        <v>التصميم</v>
      </c>
      <c r="I149" s="16" t="s">
        <v>54</v>
      </c>
      <c r="J149" s="14" t="str">
        <f>IFERROR(INDEX(المرجع!$D$2:$D$19,MATCH($I149,المرجع!$E$2:$E$19,0)),"")</f>
        <v>التنظيم</v>
      </c>
      <c r="K149" s="15">
        <f>IFERROR(INDEX(المرجع!$F$2:$F$19,MATCH($I149,المرجع!$E$2:$E$19,0)),"")</f>
        <v>4</v>
      </c>
      <c r="L149" s="15">
        <f>SUMIFS(المرجع!$H$2:$H$19,المرجع!$B$2:$B$19,$G149,المرجع!$E$2:$E$19,$I149)</f>
        <v>1</v>
      </c>
      <c r="M149" s="15">
        <f>COUNTIFS('المرتبطة بسمو الوزير'!$B$2:$B$151,$B149,'المرتبطة بسمو الوزير'!$G$2:$G$151,$G149,'المرتبطة بسمو الوزير'!$I$2:$I$151,$I149,'المرتبطة بسمو الوزير'!$M$2:$M$151,"&lt;&gt;")+COUNTIFS('الشؤون التنفيذية'!$B$2:$B$421,$B149,'الشؤون التنفيذية'!$G$2:$G$421,$G149,'الشؤون التنفيذية'!$I$2:$I$421,$I149,'الشؤون التنفيذية'!$N$2:$N$421,"&lt;&gt;")+COUNTIFS('الجهاز العسكري'!$B$2:$B$631,$B149,'الجهاز العسكري'!$G$2:$G$631,$G149,'الجهاز العسكري'!$I$2:$I$631,$I149,'الجهاز العسكري'!$M$2:$M$631,"&lt;&gt;")</f>
        <v>1</v>
      </c>
      <c r="N149" s="19">
        <f>IF($L149=0,0,ROUND((SUMIFS('المرتبطة بسمو الوزير'!$M$2:$M$151,'المرتبطة بسمو الوزير'!$B$2:$B$151,$B149,'المرتبطة بسمو الوزير'!$G$2:$G$151,$G149,'المرتبطة بسمو الوزير'!$I$2:$I$151,$I149)+SUMIFS('الشؤون التنفيذية'!$N$2:$N$421,'الشؤون التنفيذية'!$B$2:$B$421,$B149,'الشؤون التنفيذية'!$G$2:$G$421,$G149,'الشؤون التنفيذية'!$I$2:$I$421,$I149)+SUMIFS('الجهاز العسكري'!$M$2:$M$631,'الجهاز العسكري'!$B$2:$B$631,$B149,'الجهاز العسكري'!$G$2:$G$631,$G149,'الجهاز العسكري'!$I$2:$I$631,$I149))/$L149,0))</f>
        <v>93</v>
      </c>
      <c r="O149" s="18"/>
      <c r="P149" s="15">
        <f>SUMIFS(المرجع!$G$2:$G$19,المرجع!$B$2:$B$19,$G149,المرجع!$E$2:$E$19,$I149)</f>
        <v>20</v>
      </c>
      <c r="Q149" s="20">
        <f t="shared" si="3"/>
        <v>18.600000000000001</v>
      </c>
      <c r="R149" s="21" t="str">
        <f>IF($N149&gt;المرجع!$K$3,"متقدم",IF($N149&lt;=المرجع!$K$2,"أولي","جزئي"))</f>
        <v>متقدم</v>
      </c>
    </row>
    <row r="150" spans="1:18">
      <c r="A150" s="16" t="s">
        <v>1590</v>
      </c>
      <c r="B150" s="16" t="s">
        <v>164</v>
      </c>
      <c r="C150" s="15" t="str">
        <f>IFERROR(INDEX('قائمة الوحدات'!$B$2:$B$41,MATCH($B150,'قائمة الوحدات'!$A$2:$A$41,0)),"")</f>
        <v>EXE</v>
      </c>
      <c r="D150" s="14" t="str">
        <f>IFERROR(INDEX('قائمة الوحدات'!$C$2:$C$41,MATCH($B150,'قائمة الوحدات'!$A$2:$A$41,0)),"")</f>
        <v>الشؤون التنفيذية</v>
      </c>
      <c r="E150" s="14" t="str">
        <f>IFERROR(INDEX('قائمة الوحدات'!$D$2:$D$41,MATCH($B150,'قائمة الوحدات'!$A$2:$A$41,0)),"")</f>
        <v>وكالة الشؤون الفنية</v>
      </c>
      <c r="F150" s="14" t="str">
        <f>IFERROR(INDEX('قائمة الوحدات'!$F$2:$F$41,MATCH($B150,'قائمة الوحدات'!$A$2:$A$41,0)),"")</f>
        <v>الإدارة العامة للتشغيل والصيانة</v>
      </c>
      <c r="G150" s="16" t="s">
        <v>43</v>
      </c>
      <c r="H150" s="14" t="str">
        <f>IFERROR(INDEX(المرجع!$A$2:$A$19,MATCH($G150,المرجع!$B$2:$B$19,0)),"")</f>
        <v>التصميم</v>
      </c>
      <c r="I150" s="16" t="s">
        <v>56</v>
      </c>
      <c r="J150" s="14" t="str">
        <f>IFERROR(INDEX(المرجع!$D$2:$D$19,MATCH($I150,المرجع!$E$2:$E$19,0)),"")</f>
        <v>الموارد</v>
      </c>
      <c r="K150" s="15">
        <f>IFERROR(INDEX(المرجع!$F$2:$F$19,MATCH($I150,المرجع!$E$2:$E$19,0)),"")</f>
        <v>5</v>
      </c>
      <c r="L150" s="15">
        <f>SUMIFS(المرجع!$H$2:$H$19,المرجع!$B$2:$B$19,$G150,المرجع!$E$2:$E$19,$I150)</f>
        <v>1</v>
      </c>
      <c r="M150" s="15">
        <f>COUNTIFS('المرتبطة بسمو الوزير'!$B$2:$B$151,$B150,'المرتبطة بسمو الوزير'!$G$2:$G$151,$G150,'المرتبطة بسمو الوزير'!$I$2:$I$151,$I150,'المرتبطة بسمو الوزير'!$M$2:$M$151,"&lt;&gt;")+COUNTIFS('الشؤون التنفيذية'!$B$2:$B$421,$B150,'الشؤون التنفيذية'!$G$2:$G$421,$G150,'الشؤون التنفيذية'!$I$2:$I$421,$I150,'الشؤون التنفيذية'!$N$2:$N$421,"&lt;&gt;")+COUNTIFS('الجهاز العسكري'!$B$2:$B$631,$B150,'الجهاز العسكري'!$G$2:$G$631,$G150,'الجهاز العسكري'!$I$2:$I$631,$I150,'الجهاز العسكري'!$M$2:$M$631,"&lt;&gt;")</f>
        <v>1</v>
      </c>
      <c r="N150" s="19">
        <f>IF($L150=0,0,ROUND((SUMIFS('المرتبطة بسمو الوزير'!$M$2:$M$151,'المرتبطة بسمو الوزير'!$B$2:$B$151,$B150,'المرتبطة بسمو الوزير'!$G$2:$G$151,$G150,'المرتبطة بسمو الوزير'!$I$2:$I$151,$I150)+SUMIFS('الشؤون التنفيذية'!$N$2:$N$421,'الشؤون التنفيذية'!$B$2:$B$421,$B150,'الشؤون التنفيذية'!$G$2:$G$421,$G150,'الشؤون التنفيذية'!$I$2:$I$421,$I150)+SUMIFS('الجهاز العسكري'!$M$2:$M$631,'الجهاز العسكري'!$B$2:$B$631,$B150,'الجهاز العسكري'!$G$2:$G$631,$G150,'الجهاز العسكري'!$I$2:$I$631,$I150))/$L150,0))</f>
        <v>68</v>
      </c>
      <c r="O150" s="18"/>
      <c r="P150" s="15">
        <f>SUMIFS(المرجع!$G$2:$G$19,المرجع!$B$2:$B$19,$G150,المرجع!$E$2:$E$19,$I150)</f>
        <v>20</v>
      </c>
      <c r="Q150" s="20">
        <f t="shared" si="3"/>
        <v>13.6</v>
      </c>
      <c r="R150" s="21" t="str">
        <f>IF($N150&gt;المرجع!$K$3,"متقدم",IF($N150&lt;=المرجع!$K$2,"أولي","جزئي"))</f>
        <v>جزئي</v>
      </c>
    </row>
    <row r="151" spans="1:18">
      <c r="A151" s="16" t="s">
        <v>1591</v>
      </c>
      <c r="B151" s="16" t="s">
        <v>164</v>
      </c>
      <c r="C151" s="15" t="str">
        <f>IFERROR(INDEX('قائمة الوحدات'!$B$2:$B$41,MATCH($B151,'قائمة الوحدات'!$A$2:$A$41,0)),"")</f>
        <v>EXE</v>
      </c>
      <c r="D151" s="14" t="str">
        <f>IFERROR(INDEX('قائمة الوحدات'!$C$2:$C$41,MATCH($B151,'قائمة الوحدات'!$A$2:$A$41,0)),"")</f>
        <v>الشؤون التنفيذية</v>
      </c>
      <c r="E151" s="14" t="str">
        <f>IFERROR(INDEX('قائمة الوحدات'!$D$2:$D$41,MATCH($B151,'قائمة الوحدات'!$A$2:$A$41,0)),"")</f>
        <v>وكالة الشؤون الفنية</v>
      </c>
      <c r="F151" s="14" t="str">
        <f>IFERROR(INDEX('قائمة الوحدات'!$F$2:$F$41,MATCH($B151,'قائمة الوحدات'!$A$2:$A$41,0)),"")</f>
        <v>الإدارة العامة للتشغيل والصيانة</v>
      </c>
      <c r="G151" s="16" t="s">
        <v>43</v>
      </c>
      <c r="H151" s="14" t="str">
        <f>IFERROR(INDEX(المرجع!$A$2:$A$19,MATCH($G151,المرجع!$B$2:$B$19,0)),"")</f>
        <v>التصميم</v>
      </c>
      <c r="I151" s="16" t="s">
        <v>59</v>
      </c>
      <c r="J151" s="14" t="str">
        <f>IFERROR(INDEX(المرجع!$D$2:$D$19,MATCH($I151,المرجع!$E$2:$E$19,0)),"")</f>
        <v>الإجراءات</v>
      </c>
      <c r="K151" s="15">
        <f>IFERROR(INDEX(المرجع!$F$2:$F$19,MATCH($I151,المرجع!$E$2:$E$19,0)),"")</f>
        <v>6</v>
      </c>
      <c r="L151" s="15">
        <f>SUMIFS(المرجع!$H$2:$H$19,المرجع!$B$2:$B$19,$G151,المرجع!$E$2:$E$19,$I151)</f>
        <v>1</v>
      </c>
      <c r="M151" s="15">
        <f>COUNTIFS('المرتبطة بسمو الوزير'!$B$2:$B$151,$B151,'المرتبطة بسمو الوزير'!$G$2:$G$151,$G151,'المرتبطة بسمو الوزير'!$I$2:$I$151,$I151,'المرتبطة بسمو الوزير'!$M$2:$M$151,"&lt;&gt;")+COUNTIFS('الشؤون التنفيذية'!$B$2:$B$421,$B151,'الشؤون التنفيذية'!$G$2:$G$421,$G151,'الشؤون التنفيذية'!$I$2:$I$421,$I151,'الشؤون التنفيذية'!$N$2:$N$421,"&lt;&gt;")+COUNTIFS('الجهاز العسكري'!$B$2:$B$631,$B151,'الجهاز العسكري'!$G$2:$G$631,$G151,'الجهاز العسكري'!$I$2:$I$631,$I151,'الجهاز العسكري'!$M$2:$M$631,"&lt;&gt;")</f>
        <v>1</v>
      </c>
      <c r="N151" s="19">
        <f>IF($L151=0,0,ROUND((SUMIFS('المرتبطة بسمو الوزير'!$M$2:$M$151,'المرتبطة بسمو الوزير'!$B$2:$B$151,$B151,'المرتبطة بسمو الوزير'!$G$2:$G$151,$G151,'المرتبطة بسمو الوزير'!$I$2:$I$151,$I151)+SUMIFS('الشؤون التنفيذية'!$N$2:$N$421,'الشؤون التنفيذية'!$B$2:$B$421,$B151,'الشؤون التنفيذية'!$G$2:$G$421,$G151,'الشؤون التنفيذية'!$I$2:$I$421,$I151)+SUMIFS('الجهاز العسكري'!$M$2:$M$631,'الجهاز العسكري'!$B$2:$B$631,$B151,'الجهاز العسكري'!$G$2:$G$631,$G151,'الجهاز العسكري'!$I$2:$I$631,$I151))/$L151,0))</f>
        <v>95</v>
      </c>
      <c r="O151" s="18"/>
      <c r="P151" s="15">
        <f>SUMIFS(المرجع!$G$2:$G$19,المرجع!$B$2:$B$19,$G151,المرجع!$E$2:$E$19,$I151)</f>
        <v>5</v>
      </c>
      <c r="Q151" s="20">
        <f t="shared" si="3"/>
        <v>4.75</v>
      </c>
      <c r="R151" s="21" t="str">
        <f>IF($N151&gt;المرجع!$K$3,"متقدم",IF($N151&lt;=المرجع!$K$2,"أولي","جزئي"))</f>
        <v>متقدم</v>
      </c>
    </row>
    <row r="152" spans="1:18">
      <c r="A152" s="16" t="s">
        <v>1592</v>
      </c>
      <c r="B152" s="16" t="s">
        <v>164</v>
      </c>
      <c r="C152" s="15" t="str">
        <f>IFERROR(INDEX('قائمة الوحدات'!$B$2:$B$41,MATCH($B152,'قائمة الوحدات'!$A$2:$A$41,0)),"")</f>
        <v>EXE</v>
      </c>
      <c r="D152" s="14" t="str">
        <f>IFERROR(INDEX('قائمة الوحدات'!$C$2:$C$41,MATCH($B152,'قائمة الوحدات'!$A$2:$A$41,0)),"")</f>
        <v>الشؤون التنفيذية</v>
      </c>
      <c r="E152" s="14" t="str">
        <f>IFERROR(INDEX('قائمة الوحدات'!$D$2:$D$41,MATCH($B152,'قائمة الوحدات'!$A$2:$A$41,0)),"")</f>
        <v>وكالة الشؤون الفنية</v>
      </c>
      <c r="F152" s="14" t="str">
        <f>IFERROR(INDEX('قائمة الوحدات'!$F$2:$F$41,MATCH($B152,'قائمة الوحدات'!$A$2:$A$41,0)),"")</f>
        <v>الإدارة العامة للتشغيل والصيانة</v>
      </c>
      <c r="G152" s="16" t="s">
        <v>61</v>
      </c>
      <c r="H152" s="14" t="str">
        <f>IFERROR(INDEX(المرجع!$A$2:$A$19,MATCH($G152,المرجع!$B$2:$B$19,0)),"")</f>
        <v>البناء المؤسسي</v>
      </c>
      <c r="I152" s="16" t="s">
        <v>45</v>
      </c>
      <c r="J152" s="14" t="str">
        <f>IFERROR(INDEX(المرجع!$D$2:$D$19,MATCH($I152,المرجع!$E$2:$E$19,0)),"")</f>
        <v>الدور</v>
      </c>
      <c r="K152" s="15">
        <f>IFERROR(INDEX(المرجع!$F$2:$F$19,MATCH($I152,المرجع!$E$2:$E$19,0)),"")</f>
        <v>1</v>
      </c>
      <c r="L152" s="15">
        <f>SUMIFS(المرجع!$H$2:$H$19,المرجع!$B$2:$B$19,$G152,المرجع!$E$2:$E$19,$I152)</f>
        <v>1</v>
      </c>
      <c r="M152" s="15">
        <f>COUNTIFS('المرتبطة بسمو الوزير'!$B$2:$B$151,$B152,'المرتبطة بسمو الوزير'!$G$2:$G$151,$G152,'المرتبطة بسمو الوزير'!$I$2:$I$151,$I152,'المرتبطة بسمو الوزير'!$M$2:$M$151,"&lt;&gt;")+COUNTIFS('الشؤون التنفيذية'!$B$2:$B$421,$B152,'الشؤون التنفيذية'!$G$2:$G$421,$G152,'الشؤون التنفيذية'!$I$2:$I$421,$I152,'الشؤون التنفيذية'!$N$2:$N$421,"&lt;&gt;")+COUNTIFS('الجهاز العسكري'!$B$2:$B$631,$B152,'الجهاز العسكري'!$G$2:$G$631,$G152,'الجهاز العسكري'!$I$2:$I$631,$I152,'الجهاز العسكري'!$M$2:$M$631,"&lt;&gt;")</f>
        <v>1</v>
      </c>
      <c r="N152" s="19">
        <f>IF($L152=0,0,ROUND((SUMIFS('المرتبطة بسمو الوزير'!$M$2:$M$151,'المرتبطة بسمو الوزير'!$B$2:$B$151,$B152,'المرتبطة بسمو الوزير'!$G$2:$G$151,$G152,'المرتبطة بسمو الوزير'!$I$2:$I$151,$I152)+SUMIFS('الشؤون التنفيذية'!$N$2:$N$421,'الشؤون التنفيذية'!$B$2:$B$421,$B152,'الشؤون التنفيذية'!$G$2:$G$421,$G152,'الشؤون التنفيذية'!$I$2:$I$421,$I152)+SUMIFS('الجهاز العسكري'!$M$2:$M$631,'الجهاز العسكري'!$B$2:$B$631,$B152,'الجهاز العسكري'!$G$2:$G$631,$G152,'الجهاز العسكري'!$I$2:$I$631,$I152))/$L152,0))</f>
        <v>60</v>
      </c>
      <c r="O152" s="18"/>
      <c r="P152" s="15">
        <f>SUMIFS(المرجع!$G$2:$G$19,المرجع!$B$2:$B$19,$G152,المرجع!$E$2:$E$19,$I152)</f>
        <v>15</v>
      </c>
      <c r="Q152" s="20">
        <f t="shared" si="3"/>
        <v>9</v>
      </c>
      <c r="R152" s="21" t="str">
        <f>IF($N152&gt;المرجع!$K$3,"متقدم",IF($N152&lt;=المرجع!$K$2,"أولي","جزئي"))</f>
        <v>جزئي</v>
      </c>
    </row>
    <row r="153" spans="1:18">
      <c r="A153" s="16" t="s">
        <v>1593</v>
      </c>
      <c r="B153" s="16" t="s">
        <v>164</v>
      </c>
      <c r="C153" s="15" t="str">
        <f>IFERROR(INDEX('قائمة الوحدات'!$B$2:$B$41,MATCH($B153,'قائمة الوحدات'!$A$2:$A$41,0)),"")</f>
        <v>EXE</v>
      </c>
      <c r="D153" s="14" t="str">
        <f>IFERROR(INDEX('قائمة الوحدات'!$C$2:$C$41,MATCH($B153,'قائمة الوحدات'!$A$2:$A$41,0)),"")</f>
        <v>الشؤون التنفيذية</v>
      </c>
      <c r="E153" s="14" t="str">
        <f>IFERROR(INDEX('قائمة الوحدات'!$D$2:$D$41,MATCH($B153,'قائمة الوحدات'!$A$2:$A$41,0)),"")</f>
        <v>وكالة الشؤون الفنية</v>
      </c>
      <c r="F153" s="14" t="str">
        <f>IFERROR(INDEX('قائمة الوحدات'!$F$2:$F$41,MATCH($B153,'قائمة الوحدات'!$A$2:$A$41,0)),"")</f>
        <v>الإدارة العامة للتشغيل والصيانة</v>
      </c>
      <c r="G153" s="16" t="s">
        <v>61</v>
      </c>
      <c r="H153" s="14" t="str">
        <f>IFERROR(INDEX(المرجع!$A$2:$A$19,MATCH($G153,المرجع!$B$2:$B$19,0)),"")</f>
        <v>البناء المؤسسي</v>
      </c>
      <c r="I153" s="16" t="s">
        <v>48</v>
      </c>
      <c r="J153" s="14" t="str">
        <f>IFERROR(INDEX(المرجع!$D$2:$D$19,MATCH($I153,المرجع!$E$2:$E$19,0)),"")</f>
        <v>الأهداف ومؤشرات الأداء</v>
      </c>
      <c r="K153" s="15">
        <f>IFERROR(INDEX(المرجع!$F$2:$F$19,MATCH($I153,المرجع!$E$2:$E$19,0)),"")</f>
        <v>2</v>
      </c>
      <c r="L153" s="15">
        <f>SUMIFS(المرجع!$H$2:$H$19,المرجع!$B$2:$B$19,$G153,المرجع!$E$2:$E$19,$I153)</f>
        <v>2</v>
      </c>
      <c r="M153" s="15">
        <f>COUNTIFS('المرتبطة بسمو الوزير'!$B$2:$B$151,$B153,'المرتبطة بسمو الوزير'!$G$2:$G$151,$G153,'المرتبطة بسمو الوزير'!$I$2:$I$151,$I153,'المرتبطة بسمو الوزير'!$M$2:$M$151,"&lt;&gt;")+COUNTIFS('الشؤون التنفيذية'!$B$2:$B$421,$B153,'الشؤون التنفيذية'!$G$2:$G$421,$G153,'الشؤون التنفيذية'!$I$2:$I$421,$I153,'الشؤون التنفيذية'!$N$2:$N$421,"&lt;&gt;")+COUNTIFS('الجهاز العسكري'!$B$2:$B$631,$B153,'الجهاز العسكري'!$G$2:$G$631,$G153,'الجهاز العسكري'!$I$2:$I$631,$I153,'الجهاز العسكري'!$M$2:$M$631,"&lt;&gt;")</f>
        <v>2</v>
      </c>
      <c r="N153" s="19">
        <f>IF($L153=0,0,ROUND((SUMIFS('المرتبطة بسمو الوزير'!$M$2:$M$151,'المرتبطة بسمو الوزير'!$B$2:$B$151,$B153,'المرتبطة بسمو الوزير'!$G$2:$G$151,$G153,'المرتبطة بسمو الوزير'!$I$2:$I$151,$I153)+SUMIFS('الشؤون التنفيذية'!$N$2:$N$421,'الشؤون التنفيذية'!$B$2:$B$421,$B153,'الشؤون التنفيذية'!$G$2:$G$421,$G153,'الشؤون التنفيذية'!$I$2:$I$421,$I153)+SUMIFS('الجهاز العسكري'!$M$2:$M$631,'الجهاز العسكري'!$B$2:$B$631,$B153,'الجهاز العسكري'!$G$2:$G$631,$G153,'الجهاز العسكري'!$I$2:$I$631,$I153))/$L153,0))</f>
        <v>63</v>
      </c>
      <c r="O153" s="18"/>
      <c r="P153" s="15">
        <f>SUMIFS(المرجع!$G$2:$G$19,المرجع!$B$2:$B$19,$G153,المرجع!$E$2:$E$19,$I153)</f>
        <v>15</v>
      </c>
      <c r="Q153" s="20">
        <f t="shared" si="3"/>
        <v>9.4499999999999993</v>
      </c>
      <c r="R153" s="21" t="str">
        <f>IF($N153&gt;المرجع!$K$3,"متقدم",IF($N153&lt;=المرجع!$K$2,"أولي","جزئي"))</f>
        <v>جزئي</v>
      </c>
    </row>
    <row r="154" spans="1:18">
      <c r="A154" s="16" t="s">
        <v>1594</v>
      </c>
      <c r="B154" s="16" t="s">
        <v>164</v>
      </c>
      <c r="C154" s="15" t="str">
        <f>IFERROR(INDEX('قائمة الوحدات'!$B$2:$B$41,MATCH($B154,'قائمة الوحدات'!$A$2:$A$41,0)),"")</f>
        <v>EXE</v>
      </c>
      <c r="D154" s="14" t="str">
        <f>IFERROR(INDEX('قائمة الوحدات'!$C$2:$C$41,MATCH($B154,'قائمة الوحدات'!$A$2:$A$41,0)),"")</f>
        <v>الشؤون التنفيذية</v>
      </c>
      <c r="E154" s="14" t="str">
        <f>IFERROR(INDEX('قائمة الوحدات'!$D$2:$D$41,MATCH($B154,'قائمة الوحدات'!$A$2:$A$41,0)),"")</f>
        <v>وكالة الشؤون الفنية</v>
      </c>
      <c r="F154" s="14" t="str">
        <f>IFERROR(INDEX('قائمة الوحدات'!$F$2:$F$41,MATCH($B154,'قائمة الوحدات'!$A$2:$A$41,0)),"")</f>
        <v>الإدارة العامة للتشغيل والصيانة</v>
      </c>
      <c r="G154" s="16" t="s">
        <v>61</v>
      </c>
      <c r="H154" s="14" t="str">
        <f>IFERROR(INDEX(المرجع!$A$2:$A$19,MATCH($G154,المرجع!$B$2:$B$19,0)),"")</f>
        <v>البناء المؤسسي</v>
      </c>
      <c r="I154" s="16" t="s">
        <v>51</v>
      </c>
      <c r="J154" s="14" t="str">
        <f>IFERROR(INDEX(المرجع!$D$2:$D$19,MATCH($I154,المرجع!$E$2:$E$19,0)),"")</f>
        <v>الحوكمة</v>
      </c>
      <c r="K154" s="15">
        <f>IFERROR(INDEX(المرجع!$F$2:$F$19,MATCH($I154,المرجع!$E$2:$E$19,0)),"")</f>
        <v>3</v>
      </c>
      <c r="L154" s="15">
        <f>SUMIFS(المرجع!$H$2:$H$19,المرجع!$B$2:$B$19,$G154,المرجع!$E$2:$E$19,$I154)</f>
        <v>3</v>
      </c>
      <c r="M154" s="15">
        <f>COUNTIFS('المرتبطة بسمو الوزير'!$B$2:$B$151,$B154,'المرتبطة بسمو الوزير'!$G$2:$G$151,$G154,'المرتبطة بسمو الوزير'!$I$2:$I$151,$I154,'المرتبطة بسمو الوزير'!$M$2:$M$151,"&lt;&gt;")+COUNTIFS('الشؤون التنفيذية'!$B$2:$B$421,$B154,'الشؤون التنفيذية'!$G$2:$G$421,$G154,'الشؤون التنفيذية'!$I$2:$I$421,$I154,'الشؤون التنفيذية'!$N$2:$N$421,"&lt;&gt;")+COUNTIFS('الجهاز العسكري'!$B$2:$B$631,$B154,'الجهاز العسكري'!$G$2:$G$631,$G154,'الجهاز العسكري'!$I$2:$I$631,$I154,'الجهاز العسكري'!$M$2:$M$631,"&lt;&gt;")</f>
        <v>3</v>
      </c>
      <c r="N154" s="19">
        <f>IF($L154=0,0,ROUND((SUMIFS('المرتبطة بسمو الوزير'!$M$2:$M$151,'المرتبطة بسمو الوزير'!$B$2:$B$151,$B154,'المرتبطة بسمو الوزير'!$G$2:$G$151,$G154,'المرتبطة بسمو الوزير'!$I$2:$I$151,$I154)+SUMIFS('الشؤون التنفيذية'!$N$2:$N$421,'الشؤون التنفيذية'!$B$2:$B$421,$B154,'الشؤون التنفيذية'!$G$2:$G$421,$G154,'الشؤون التنفيذية'!$I$2:$I$421,$I154)+SUMIFS('الجهاز العسكري'!$M$2:$M$631,'الجهاز العسكري'!$B$2:$B$631,$B154,'الجهاز العسكري'!$G$2:$G$631,$G154,'الجهاز العسكري'!$I$2:$I$631,$I154))/$L154,0))</f>
        <v>52</v>
      </c>
      <c r="O154" s="18"/>
      <c r="P154" s="15">
        <f>SUMIFS(المرجع!$G$2:$G$19,المرجع!$B$2:$B$19,$G154,المرجع!$E$2:$E$19,$I154)</f>
        <v>15</v>
      </c>
      <c r="Q154" s="20">
        <f t="shared" si="3"/>
        <v>7.8</v>
      </c>
      <c r="R154" s="21" t="str">
        <f>IF($N154&gt;المرجع!$K$3,"متقدم",IF($N154&lt;=المرجع!$K$2,"أولي","جزئي"))</f>
        <v>جزئي</v>
      </c>
    </row>
    <row r="155" spans="1:18">
      <c r="A155" s="16" t="s">
        <v>1595</v>
      </c>
      <c r="B155" s="16" t="s">
        <v>164</v>
      </c>
      <c r="C155" s="15" t="str">
        <f>IFERROR(INDEX('قائمة الوحدات'!$B$2:$B$41,MATCH($B155,'قائمة الوحدات'!$A$2:$A$41,0)),"")</f>
        <v>EXE</v>
      </c>
      <c r="D155" s="14" t="str">
        <f>IFERROR(INDEX('قائمة الوحدات'!$C$2:$C$41,MATCH($B155,'قائمة الوحدات'!$A$2:$A$41,0)),"")</f>
        <v>الشؤون التنفيذية</v>
      </c>
      <c r="E155" s="14" t="str">
        <f>IFERROR(INDEX('قائمة الوحدات'!$D$2:$D$41,MATCH($B155,'قائمة الوحدات'!$A$2:$A$41,0)),"")</f>
        <v>وكالة الشؤون الفنية</v>
      </c>
      <c r="F155" s="14" t="str">
        <f>IFERROR(INDEX('قائمة الوحدات'!$F$2:$F$41,MATCH($B155,'قائمة الوحدات'!$A$2:$A$41,0)),"")</f>
        <v>الإدارة العامة للتشغيل والصيانة</v>
      </c>
      <c r="G155" s="16" t="s">
        <v>61</v>
      </c>
      <c r="H155" s="14" t="str">
        <f>IFERROR(INDEX(المرجع!$A$2:$A$19,MATCH($G155,المرجع!$B$2:$B$19,0)),"")</f>
        <v>البناء المؤسسي</v>
      </c>
      <c r="I155" s="16" t="s">
        <v>54</v>
      </c>
      <c r="J155" s="14" t="str">
        <f>IFERROR(INDEX(المرجع!$D$2:$D$19,MATCH($I155,المرجع!$E$2:$E$19,0)),"")</f>
        <v>التنظيم</v>
      </c>
      <c r="K155" s="15">
        <f>IFERROR(INDEX(المرجع!$F$2:$F$19,MATCH($I155,المرجع!$E$2:$E$19,0)),"")</f>
        <v>4</v>
      </c>
      <c r="L155" s="15">
        <f>SUMIFS(المرجع!$H$2:$H$19,المرجع!$B$2:$B$19,$G155,المرجع!$E$2:$E$19,$I155)</f>
        <v>3</v>
      </c>
      <c r="M155" s="15">
        <f>COUNTIFS('المرتبطة بسمو الوزير'!$B$2:$B$151,$B155,'المرتبطة بسمو الوزير'!$G$2:$G$151,$G155,'المرتبطة بسمو الوزير'!$I$2:$I$151,$I155,'المرتبطة بسمو الوزير'!$M$2:$M$151,"&lt;&gt;")+COUNTIFS('الشؤون التنفيذية'!$B$2:$B$421,$B155,'الشؤون التنفيذية'!$G$2:$G$421,$G155,'الشؤون التنفيذية'!$I$2:$I$421,$I155,'الشؤون التنفيذية'!$N$2:$N$421,"&lt;&gt;")+COUNTIFS('الجهاز العسكري'!$B$2:$B$631,$B155,'الجهاز العسكري'!$G$2:$G$631,$G155,'الجهاز العسكري'!$I$2:$I$631,$I155,'الجهاز العسكري'!$M$2:$M$631,"&lt;&gt;")</f>
        <v>3</v>
      </c>
      <c r="N155" s="19">
        <f>IF($L155=0,0,ROUND((SUMIFS('المرتبطة بسمو الوزير'!$M$2:$M$151,'المرتبطة بسمو الوزير'!$B$2:$B$151,$B155,'المرتبطة بسمو الوزير'!$G$2:$G$151,$G155,'المرتبطة بسمو الوزير'!$I$2:$I$151,$I155)+SUMIFS('الشؤون التنفيذية'!$N$2:$N$421,'الشؤون التنفيذية'!$B$2:$B$421,$B155,'الشؤون التنفيذية'!$G$2:$G$421,$G155,'الشؤون التنفيذية'!$I$2:$I$421,$I155)+SUMIFS('الجهاز العسكري'!$M$2:$M$631,'الجهاز العسكري'!$B$2:$B$631,$B155,'الجهاز العسكري'!$G$2:$G$631,$G155,'الجهاز العسكري'!$I$2:$I$631,$I155))/$L155,0))</f>
        <v>87</v>
      </c>
      <c r="O155" s="18"/>
      <c r="P155" s="15">
        <f>SUMIFS(المرجع!$G$2:$G$19,المرجع!$B$2:$B$19,$G155,المرجع!$E$2:$E$19,$I155)</f>
        <v>20</v>
      </c>
      <c r="Q155" s="20">
        <f t="shared" si="3"/>
        <v>17.399999999999999</v>
      </c>
      <c r="R155" s="21" t="str">
        <f>IF($N155&gt;المرجع!$K$3,"متقدم",IF($N155&lt;=المرجع!$K$2,"أولي","جزئي"))</f>
        <v>متقدم</v>
      </c>
    </row>
    <row r="156" spans="1:18">
      <c r="A156" s="16" t="s">
        <v>1596</v>
      </c>
      <c r="B156" s="16" t="s">
        <v>164</v>
      </c>
      <c r="C156" s="15" t="str">
        <f>IFERROR(INDEX('قائمة الوحدات'!$B$2:$B$41,MATCH($B156,'قائمة الوحدات'!$A$2:$A$41,0)),"")</f>
        <v>EXE</v>
      </c>
      <c r="D156" s="14" t="str">
        <f>IFERROR(INDEX('قائمة الوحدات'!$C$2:$C$41,MATCH($B156,'قائمة الوحدات'!$A$2:$A$41,0)),"")</f>
        <v>الشؤون التنفيذية</v>
      </c>
      <c r="E156" s="14" t="str">
        <f>IFERROR(INDEX('قائمة الوحدات'!$D$2:$D$41,MATCH($B156,'قائمة الوحدات'!$A$2:$A$41,0)),"")</f>
        <v>وكالة الشؤون الفنية</v>
      </c>
      <c r="F156" s="14" t="str">
        <f>IFERROR(INDEX('قائمة الوحدات'!$F$2:$F$41,MATCH($B156,'قائمة الوحدات'!$A$2:$A$41,0)),"")</f>
        <v>الإدارة العامة للتشغيل والصيانة</v>
      </c>
      <c r="G156" s="16" t="s">
        <v>61</v>
      </c>
      <c r="H156" s="14" t="str">
        <f>IFERROR(INDEX(المرجع!$A$2:$A$19,MATCH($G156,المرجع!$B$2:$B$19,0)),"")</f>
        <v>البناء المؤسسي</v>
      </c>
      <c r="I156" s="16" t="s">
        <v>56</v>
      </c>
      <c r="J156" s="14" t="str">
        <f>IFERROR(INDEX(المرجع!$D$2:$D$19,MATCH($I156,المرجع!$E$2:$E$19,0)),"")</f>
        <v>الموارد</v>
      </c>
      <c r="K156" s="15">
        <f>IFERROR(INDEX(المرجع!$F$2:$F$19,MATCH($I156,المرجع!$E$2:$E$19,0)),"")</f>
        <v>5</v>
      </c>
      <c r="L156" s="15">
        <f>SUMIFS(المرجع!$H$2:$H$19,المرجع!$B$2:$B$19,$G156,المرجع!$E$2:$E$19,$I156)</f>
        <v>4</v>
      </c>
      <c r="M156" s="15">
        <f>COUNTIFS('المرتبطة بسمو الوزير'!$B$2:$B$151,$B156,'المرتبطة بسمو الوزير'!$G$2:$G$151,$G156,'المرتبطة بسمو الوزير'!$I$2:$I$151,$I156,'المرتبطة بسمو الوزير'!$M$2:$M$151,"&lt;&gt;")+COUNTIFS('الشؤون التنفيذية'!$B$2:$B$421,$B156,'الشؤون التنفيذية'!$G$2:$G$421,$G156,'الشؤون التنفيذية'!$I$2:$I$421,$I156,'الشؤون التنفيذية'!$N$2:$N$421,"&lt;&gt;")+COUNTIFS('الجهاز العسكري'!$B$2:$B$631,$B156,'الجهاز العسكري'!$G$2:$G$631,$G156,'الجهاز العسكري'!$I$2:$I$631,$I156,'الجهاز العسكري'!$M$2:$M$631,"&lt;&gt;")</f>
        <v>4</v>
      </c>
      <c r="N156" s="19">
        <f>IF($L156=0,0,ROUND((SUMIFS('المرتبطة بسمو الوزير'!$M$2:$M$151,'المرتبطة بسمو الوزير'!$B$2:$B$151,$B156,'المرتبطة بسمو الوزير'!$G$2:$G$151,$G156,'المرتبطة بسمو الوزير'!$I$2:$I$151,$I156)+SUMIFS('الشؤون التنفيذية'!$N$2:$N$421,'الشؤون التنفيذية'!$B$2:$B$421,$B156,'الشؤون التنفيذية'!$G$2:$G$421,$G156,'الشؤون التنفيذية'!$I$2:$I$421,$I156)+SUMIFS('الجهاز العسكري'!$M$2:$M$631,'الجهاز العسكري'!$B$2:$B$631,$B156,'الجهاز العسكري'!$G$2:$G$631,$G156,'الجهاز العسكري'!$I$2:$I$631,$I156))/$L156,0))</f>
        <v>73</v>
      </c>
      <c r="O156" s="18"/>
      <c r="P156" s="15">
        <f>SUMIFS(المرجع!$G$2:$G$19,المرجع!$B$2:$B$19,$G156,المرجع!$E$2:$E$19,$I156)</f>
        <v>25</v>
      </c>
      <c r="Q156" s="20">
        <f t="shared" si="3"/>
        <v>18.25</v>
      </c>
      <c r="R156" s="21" t="str">
        <f>IF($N156&gt;المرجع!$K$3,"متقدم",IF($N156&lt;=المرجع!$K$2,"أولي","جزئي"))</f>
        <v>متقدم</v>
      </c>
    </row>
    <row r="157" spans="1:18">
      <c r="A157" s="16" t="s">
        <v>1597</v>
      </c>
      <c r="B157" s="16" t="s">
        <v>164</v>
      </c>
      <c r="C157" s="15" t="str">
        <f>IFERROR(INDEX('قائمة الوحدات'!$B$2:$B$41,MATCH($B157,'قائمة الوحدات'!$A$2:$A$41,0)),"")</f>
        <v>EXE</v>
      </c>
      <c r="D157" s="14" t="str">
        <f>IFERROR(INDEX('قائمة الوحدات'!$C$2:$C$41,MATCH($B157,'قائمة الوحدات'!$A$2:$A$41,0)),"")</f>
        <v>الشؤون التنفيذية</v>
      </c>
      <c r="E157" s="14" t="str">
        <f>IFERROR(INDEX('قائمة الوحدات'!$D$2:$D$41,MATCH($B157,'قائمة الوحدات'!$A$2:$A$41,0)),"")</f>
        <v>وكالة الشؤون الفنية</v>
      </c>
      <c r="F157" s="14" t="str">
        <f>IFERROR(INDEX('قائمة الوحدات'!$F$2:$F$41,MATCH($B157,'قائمة الوحدات'!$A$2:$A$41,0)),"")</f>
        <v>الإدارة العامة للتشغيل والصيانة</v>
      </c>
      <c r="G157" s="16" t="s">
        <v>61</v>
      </c>
      <c r="H157" s="14" t="str">
        <f>IFERROR(INDEX(المرجع!$A$2:$A$19,MATCH($G157,المرجع!$B$2:$B$19,0)),"")</f>
        <v>البناء المؤسسي</v>
      </c>
      <c r="I157" s="16" t="s">
        <v>59</v>
      </c>
      <c r="J157" s="14" t="str">
        <f>IFERROR(INDEX(المرجع!$D$2:$D$19,MATCH($I157,المرجع!$E$2:$E$19,0)),"")</f>
        <v>الإجراءات</v>
      </c>
      <c r="K157" s="15">
        <f>IFERROR(INDEX(المرجع!$F$2:$F$19,MATCH($I157,المرجع!$E$2:$E$19,0)),"")</f>
        <v>6</v>
      </c>
      <c r="L157" s="15">
        <f>SUMIFS(المرجع!$H$2:$H$19,المرجع!$B$2:$B$19,$G157,المرجع!$E$2:$E$19,$I157)</f>
        <v>1</v>
      </c>
      <c r="M157" s="15">
        <f>COUNTIFS('المرتبطة بسمو الوزير'!$B$2:$B$151,$B157,'المرتبطة بسمو الوزير'!$G$2:$G$151,$G157,'المرتبطة بسمو الوزير'!$I$2:$I$151,$I157,'المرتبطة بسمو الوزير'!$M$2:$M$151,"&lt;&gt;")+COUNTIFS('الشؤون التنفيذية'!$B$2:$B$421,$B157,'الشؤون التنفيذية'!$G$2:$G$421,$G157,'الشؤون التنفيذية'!$I$2:$I$421,$I157,'الشؤون التنفيذية'!$N$2:$N$421,"&lt;&gt;")+COUNTIFS('الجهاز العسكري'!$B$2:$B$631,$B157,'الجهاز العسكري'!$G$2:$G$631,$G157,'الجهاز العسكري'!$I$2:$I$631,$I157,'الجهاز العسكري'!$M$2:$M$631,"&lt;&gt;")</f>
        <v>1</v>
      </c>
      <c r="N157" s="19">
        <f>IF($L157=0,0,ROUND((SUMIFS('المرتبطة بسمو الوزير'!$M$2:$M$151,'المرتبطة بسمو الوزير'!$B$2:$B$151,$B157,'المرتبطة بسمو الوزير'!$G$2:$G$151,$G157,'المرتبطة بسمو الوزير'!$I$2:$I$151,$I157)+SUMIFS('الشؤون التنفيذية'!$N$2:$N$421,'الشؤون التنفيذية'!$B$2:$B$421,$B157,'الشؤون التنفيذية'!$G$2:$G$421,$G157,'الشؤون التنفيذية'!$I$2:$I$421,$I157)+SUMIFS('الجهاز العسكري'!$M$2:$M$631,'الجهاز العسكري'!$B$2:$B$631,$B157,'الجهاز العسكري'!$G$2:$G$631,$G157,'الجهاز العسكري'!$I$2:$I$631,$I157))/$L157,0))</f>
        <v>87</v>
      </c>
      <c r="O157" s="18"/>
      <c r="P157" s="15">
        <f>SUMIFS(المرجع!$G$2:$G$19,المرجع!$B$2:$B$19,$G157,المرجع!$E$2:$E$19,$I157)</f>
        <v>5</v>
      </c>
      <c r="Q157" s="20">
        <f t="shared" si="3"/>
        <v>4.3499999999999996</v>
      </c>
      <c r="R157" s="21" t="str">
        <f>IF($N157&gt;المرجع!$K$3,"متقدم",IF($N157&lt;=المرجع!$K$2,"أولي","جزئي"))</f>
        <v>متقدم</v>
      </c>
    </row>
    <row r="158" spans="1:18">
      <c r="A158" s="16" t="s">
        <v>1598</v>
      </c>
      <c r="B158" s="16" t="s">
        <v>164</v>
      </c>
      <c r="C158" s="15" t="str">
        <f>IFERROR(INDEX('قائمة الوحدات'!$B$2:$B$41,MATCH($B158,'قائمة الوحدات'!$A$2:$A$41,0)),"")</f>
        <v>EXE</v>
      </c>
      <c r="D158" s="14" t="str">
        <f>IFERROR(INDEX('قائمة الوحدات'!$C$2:$C$41,MATCH($B158,'قائمة الوحدات'!$A$2:$A$41,0)),"")</f>
        <v>الشؤون التنفيذية</v>
      </c>
      <c r="E158" s="14" t="str">
        <f>IFERROR(INDEX('قائمة الوحدات'!$D$2:$D$41,MATCH($B158,'قائمة الوحدات'!$A$2:$A$41,0)),"")</f>
        <v>وكالة الشؤون الفنية</v>
      </c>
      <c r="F158" s="14" t="str">
        <f>IFERROR(INDEX('قائمة الوحدات'!$F$2:$F$41,MATCH($B158,'قائمة الوحدات'!$A$2:$A$41,0)),"")</f>
        <v>الإدارة العامة للتشغيل والصيانة</v>
      </c>
      <c r="G158" s="16" t="s">
        <v>61</v>
      </c>
      <c r="H158" s="14" t="str">
        <f>IFERROR(INDEX(المرجع!$A$2:$A$19,MATCH($G158,المرجع!$B$2:$B$19,0)),"")</f>
        <v>البناء المؤسسي</v>
      </c>
      <c r="I158" s="16" t="s">
        <v>63</v>
      </c>
      <c r="J158" s="14" t="str">
        <f>IFERROR(INDEX(المرجع!$D$2:$D$19,MATCH($I158,المرجع!$E$2:$E$19,0)),"")</f>
        <v>إنتاج المخرج الأول</v>
      </c>
      <c r="K158" s="15">
        <f>IFERROR(INDEX(المرجع!$F$2:$F$19,MATCH($I158,المرجع!$E$2:$E$19,0)),"")</f>
        <v>7</v>
      </c>
      <c r="L158" s="15">
        <f>SUMIFS(المرجع!$H$2:$H$19,المرجع!$B$2:$B$19,$G158,المرجع!$E$2:$E$19,$I158)</f>
        <v>1</v>
      </c>
      <c r="M158" s="15">
        <f>COUNTIFS('المرتبطة بسمو الوزير'!$B$2:$B$151,$B158,'المرتبطة بسمو الوزير'!$G$2:$G$151,$G158,'المرتبطة بسمو الوزير'!$I$2:$I$151,$I158,'المرتبطة بسمو الوزير'!$M$2:$M$151,"&lt;&gt;")+COUNTIFS('الشؤون التنفيذية'!$B$2:$B$421,$B158,'الشؤون التنفيذية'!$G$2:$G$421,$G158,'الشؤون التنفيذية'!$I$2:$I$421,$I158,'الشؤون التنفيذية'!$N$2:$N$421,"&lt;&gt;")+COUNTIFS('الجهاز العسكري'!$B$2:$B$631,$B158,'الجهاز العسكري'!$G$2:$G$631,$G158,'الجهاز العسكري'!$I$2:$I$631,$I158,'الجهاز العسكري'!$M$2:$M$631,"&lt;&gt;")</f>
        <v>1</v>
      </c>
      <c r="N158" s="19">
        <f>IF($L158=0,0,ROUND((SUMIFS('المرتبطة بسمو الوزير'!$M$2:$M$151,'المرتبطة بسمو الوزير'!$B$2:$B$151,$B158,'المرتبطة بسمو الوزير'!$G$2:$G$151,$G158,'المرتبطة بسمو الوزير'!$I$2:$I$151,$I158)+SUMIFS('الشؤون التنفيذية'!$N$2:$N$421,'الشؤون التنفيذية'!$B$2:$B$421,$B158,'الشؤون التنفيذية'!$G$2:$G$421,$G158,'الشؤون التنفيذية'!$I$2:$I$421,$I158)+SUMIFS('الجهاز العسكري'!$M$2:$M$631,'الجهاز العسكري'!$B$2:$B$631,$B158,'الجهاز العسكري'!$G$2:$G$631,$G158,'الجهاز العسكري'!$I$2:$I$631,$I158))/$L158,0))</f>
        <v>47</v>
      </c>
      <c r="O158" s="18"/>
      <c r="P158" s="15">
        <f>SUMIFS(المرجع!$G$2:$G$19,المرجع!$B$2:$B$19,$G158,المرجع!$E$2:$E$19,$I158)</f>
        <v>5</v>
      </c>
      <c r="Q158" s="20">
        <f t="shared" si="3"/>
        <v>2.35</v>
      </c>
      <c r="R158" s="21" t="str">
        <f>IF($N158&gt;المرجع!$K$3,"متقدم",IF($N158&lt;=المرجع!$K$2,"أولي","جزئي"))</f>
        <v>جزئي</v>
      </c>
    </row>
    <row r="159" spans="1:18">
      <c r="A159" s="16" t="s">
        <v>1599</v>
      </c>
      <c r="B159" s="16" t="s">
        <v>164</v>
      </c>
      <c r="C159" s="15" t="str">
        <f>IFERROR(INDEX('قائمة الوحدات'!$B$2:$B$41,MATCH($B159,'قائمة الوحدات'!$A$2:$A$41,0)),"")</f>
        <v>EXE</v>
      </c>
      <c r="D159" s="14" t="str">
        <f>IFERROR(INDEX('قائمة الوحدات'!$C$2:$C$41,MATCH($B159,'قائمة الوحدات'!$A$2:$A$41,0)),"")</f>
        <v>الشؤون التنفيذية</v>
      </c>
      <c r="E159" s="14" t="str">
        <f>IFERROR(INDEX('قائمة الوحدات'!$D$2:$D$41,MATCH($B159,'قائمة الوحدات'!$A$2:$A$41,0)),"")</f>
        <v>وكالة الشؤون الفنية</v>
      </c>
      <c r="F159" s="14" t="str">
        <f>IFERROR(INDEX('قائمة الوحدات'!$F$2:$F$41,MATCH($B159,'قائمة الوحدات'!$A$2:$A$41,0)),"")</f>
        <v>الإدارة العامة للتشغيل والصيانة</v>
      </c>
      <c r="G159" s="16" t="s">
        <v>65</v>
      </c>
      <c r="H159" s="14" t="str">
        <f>IFERROR(INDEX(المرجع!$A$2:$A$19,MATCH($G159,المرجع!$B$2:$B$19,0)),"")</f>
        <v>التشغيل</v>
      </c>
      <c r="I159" s="16" t="s">
        <v>48</v>
      </c>
      <c r="J159" s="14" t="str">
        <f>IFERROR(INDEX(المرجع!$D$2:$D$19,MATCH($I159,المرجع!$E$2:$E$19,0)),"")</f>
        <v>الأهداف ومؤشرات الأداء</v>
      </c>
      <c r="K159" s="15">
        <f>IFERROR(INDEX(المرجع!$F$2:$F$19,MATCH($I159,المرجع!$E$2:$E$19,0)),"")</f>
        <v>2</v>
      </c>
      <c r="L159" s="15">
        <f>SUMIFS(المرجع!$H$2:$H$19,المرجع!$B$2:$B$19,$G159,المرجع!$E$2:$E$19,$I159)</f>
        <v>2</v>
      </c>
      <c r="M159" s="15">
        <f>COUNTIFS('المرتبطة بسمو الوزير'!$B$2:$B$151,$B159,'المرتبطة بسمو الوزير'!$G$2:$G$151,$G159,'المرتبطة بسمو الوزير'!$I$2:$I$151,$I159,'المرتبطة بسمو الوزير'!$M$2:$M$151,"&lt;&gt;")+COUNTIFS('الشؤون التنفيذية'!$B$2:$B$421,$B159,'الشؤون التنفيذية'!$G$2:$G$421,$G159,'الشؤون التنفيذية'!$I$2:$I$421,$I159,'الشؤون التنفيذية'!$N$2:$N$421,"&lt;&gt;")+COUNTIFS('الجهاز العسكري'!$B$2:$B$631,$B159,'الجهاز العسكري'!$G$2:$G$631,$G159,'الجهاز العسكري'!$I$2:$I$631,$I159,'الجهاز العسكري'!$M$2:$M$631,"&lt;&gt;")</f>
        <v>2</v>
      </c>
      <c r="N159" s="19">
        <f>IF($L159=0,0,ROUND((SUMIFS('المرتبطة بسمو الوزير'!$M$2:$M$151,'المرتبطة بسمو الوزير'!$B$2:$B$151,$B159,'المرتبطة بسمو الوزير'!$G$2:$G$151,$G159,'المرتبطة بسمو الوزير'!$I$2:$I$151,$I159)+SUMIFS('الشؤون التنفيذية'!$N$2:$N$421,'الشؤون التنفيذية'!$B$2:$B$421,$B159,'الشؤون التنفيذية'!$G$2:$G$421,$G159,'الشؤون التنفيذية'!$I$2:$I$421,$I159)+SUMIFS('الجهاز العسكري'!$M$2:$M$631,'الجهاز العسكري'!$B$2:$B$631,$B159,'الجهاز العسكري'!$G$2:$G$631,$G159,'الجهاز العسكري'!$I$2:$I$631,$I159))/$L159,0))</f>
        <v>30</v>
      </c>
      <c r="O159" s="18"/>
      <c r="P159" s="15">
        <f>SUMIFS(المرجع!$G$2:$G$19,المرجع!$B$2:$B$19,$G159,المرجع!$E$2:$E$19,$I159)</f>
        <v>25</v>
      </c>
      <c r="Q159" s="20">
        <f t="shared" si="3"/>
        <v>7.5</v>
      </c>
      <c r="R159" s="21" t="str">
        <f>IF($N159&gt;المرجع!$K$3,"متقدم",IF($N159&lt;=المرجع!$K$2,"أولي","جزئي"))</f>
        <v>أولي</v>
      </c>
    </row>
    <row r="160" spans="1:18">
      <c r="A160" s="16" t="s">
        <v>1600</v>
      </c>
      <c r="B160" s="16" t="s">
        <v>164</v>
      </c>
      <c r="C160" s="15" t="str">
        <f>IFERROR(INDEX('قائمة الوحدات'!$B$2:$B$41,MATCH($B160,'قائمة الوحدات'!$A$2:$A$41,0)),"")</f>
        <v>EXE</v>
      </c>
      <c r="D160" s="14" t="str">
        <f>IFERROR(INDEX('قائمة الوحدات'!$C$2:$C$41,MATCH($B160,'قائمة الوحدات'!$A$2:$A$41,0)),"")</f>
        <v>الشؤون التنفيذية</v>
      </c>
      <c r="E160" s="14" t="str">
        <f>IFERROR(INDEX('قائمة الوحدات'!$D$2:$D$41,MATCH($B160,'قائمة الوحدات'!$A$2:$A$41,0)),"")</f>
        <v>وكالة الشؤون الفنية</v>
      </c>
      <c r="F160" s="14" t="str">
        <f>IFERROR(INDEX('قائمة الوحدات'!$F$2:$F$41,MATCH($B160,'قائمة الوحدات'!$A$2:$A$41,0)),"")</f>
        <v>الإدارة العامة للتشغيل والصيانة</v>
      </c>
      <c r="G160" s="16" t="s">
        <v>65</v>
      </c>
      <c r="H160" s="14" t="str">
        <f>IFERROR(INDEX(المرجع!$A$2:$A$19,MATCH($G160,المرجع!$B$2:$B$19,0)),"")</f>
        <v>التشغيل</v>
      </c>
      <c r="I160" s="16" t="s">
        <v>51</v>
      </c>
      <c r="J160" s="14" t="str">
        <f>IFERROR(INDEX(المرجع!$D$2:$D$19,MATCH($I160,المرجع!$E$2:$E$19,0)),"")</f>
        <v>الحوكمة</v>
      </c>
      <c r="K160" s="15">
        <f>IFERROR(INDEX(المرجع!$F$2:$F$19,MATCH($I160,المرجع!$E$2:$E$19,0)),"")</f>
        <v>3</v>
      </c>
      <c r="L160" s="15">
        <f>SUMIFS(المرجع!$H$2:$H$19,المرجع!$B$2:$B$19,$G160,المرجع!$E$2:$E$19,$I160)</f>
        <v>3</v>
      </c>
      <c r="M160" s="15">
        <f>COUNTIFS('المرتبطة بسمو الوزير'!$B$2:$B$151,$B160,'المرتبطة بسمو الوزير'!$G$2:$G$151,$G160,'المرتبطة بسمو الوزير'!$I$2:$I$151,$I160,'المرتبطة بسمو الوزير'!$M$2:$M$151,"&lt;&gt;")+COUNTIFS('الشؤون التنفيذية'!$B$2:$B$421,$B160,'الشؤون التنفيذية'!$G$2:$G$421,$G160,'الشؤون التنفيذية'!$I$2:$I$421,$I160,'الشؤون التنفيذية'!$N$2:$N$421,"&lt;&gt;")+COUNTIFS('الجهاز العسكري'!$B$2:$B$631,$B160,'الجهاز العسكري'!$G$2:$G$631,$G160,'الجهاز العسكري'!$I$2:$I$631,$I160,'الجهاز العسكري'!$M$2:$M$631,"&lt;&gt;")</f>
        <v>3</v>
      </c>
      <c r="N160" s="19">
        <f>IF($L160=0,0,ROUND((SUMIFS('المرتبطة بسمو الوزير'!$M$2:$M$151,'المرتبطة بسمو الوزير'!$B$2:$B$151,$B160,'المرتبطة بسمو الوزير'!$G$2:$G$151,$G160,'المرتبطة بسمو الوزير'!$I$2:$I$151,$I160)+SUMIFS('الشؤون التنفيذية'!$N$2:$N$421,'الشؤون التنفيذية'!$B$2:$B$421,$B160,'الشؤون التنفيذية'!$G$2:$G$421,$G160,'الشؤون التنفيذية'!$I$2:$I$421,$I160)+SUMIFS('الجهاز العسكري'!$M$2:$M$631,'الجهاز العسكري'!$B$2:$B$631,$B160,'الجهاز العسكري'!$G$2:$G$631,$G160,'الجهاز العسكري'!$I$2:$I$631,$I160))/$L160,0))</f>
        <v>27</v>
      </c>
      <c r="O160" s="18"/>
      <c r="P160" s="15">
        <f>SUMIFS(المرجع!$G$2:$G$19,المرجع!$B$2:$B$19,$G160,المرجع!$E$2:$E$19,$I160)</f>
        <v>15</v>
      </c>
      <c r="Q160" s="20">
        <f t="shared" si="3"/>
        <v>4.05</v>
      </c>
      <c r="R160" s="21" t="str">
        <f>IF($N160&gt;المرجع!$K$3,"متقدم",IF($N160&lt;=المرجع!$K$2,"أولي","جزئي"))</f>
        <v>أولي</v>
      </c>
    </row>
    <row r="161" spans="1:18">
      <c r="A161" s="16" t="s">
        <v>1601</v>
      </c>
      <c r="B161" s="16" t="s">
        <v>164</v>
      </c>
      <c r="C161" s="15" t="str">
        <f>IFERROR(INDEX('قائمة الوحدات'!$B$2:$B$41,MATCH($B161,'قائمة الوحدات'!$A$2:$A$41,0)),"")</f>
        <v>EXE</v>
      </c>
      <c r="D161" s="14" t="str">
        <f>IFERROR(INDEX('قائمة الوحدات'!$C$2:$C$41,MATCH($B161,'قائمة الوحدات'!$A$2:$A$41,0)),"")</f>
        <v>الشؤون التنفيذية</v>
      </c>
      <c r="E161" s="14" t="str">
        <f>IFERROR(INDEX('قائمة الوحدات'!$D$2:$D$41,MATCH($B161,'قائمة الوحدات'!$A$2:$A$41,0)),"")</f>
        <v>وكالة الشؤون الفنية</v>
      </c>
      <c r="F161" s="14" t="str">
        <f>IFERROR(INDEX('قائمة الوحدات'!$F$2:$F$41,MATCH($B161,'قائمة الوحدات'!$A$2:$A$41,0)),"")</f>
        <v>الإدارة العامة للتشغيل والصيانة</v>
      </c>
      <c r="G161" s="16" t="s">
        <v>65</v>
      </c>
      <c r="H161" s="14" t="str">
        <f>IFERROR(INDEX(المرجع!$A$2:$A$19,MATCH($G161,المرجع!$B$2:$B$19,0)),"")</f>
        <v>التشغيل</v>
      </c>
      <c r="I161" s="16" t="s">
        <v>56</v>
      </c>
      <c r="J161" s="14" t="str">
        <f>IFERROR(INDEX(المرجع!$D$2:$D$19,MATCH($I161,المرجع!$E$2:$E$19,0)),"")</f>
        <v>الموارد</v>
      </c>
      <c r="K161" s="15">
        <f>IFERROR(INDEX(المرجع!$F$2:$F$19,MATCH($I161,المرجع!$E$2:$E$19,0)),"")</f>
        <v>5</v>
      </c>
      <c r="L161" s="15">
        <f>SUMIFS(المرجع!$H$2:$H$19,المرجع!$B$2:$B$19,$G161,المرجع!$E$2:$E$19,$I161)</f>
        <v>1</v>
      </c>
      <c r="M161" s="15">
        <f>COUNTIFS('المرتبطة بسمو الوزير'!$B$2:$B$151,$B161,'المرتبطة بسمو الوزير'!$G$2:$G$151,$G161,'المرتبطة بسمو الوزير'!$I$2:$I$151,$I161,'المرتبطة بسمو الوزير'!$M$2:$M$151,"&lt;&gt;")+COUNTIFS('الشؤون التنفيذية'!$B$2:$B$421,$B161,'الشؤون التنفيذية'!$G$2:$G$421,$G161,'الشؤون التنفيذية'!$I$2:$I$421,$I161,'الشؤون التنفيذية'!$N$2:$N$421,"&lt;&gt;")+COUNTIFS('الجهاز العسكري'!$B$2:$B$631,$B161,'الجهاز العسكري'!$G$2:$G$631,$G161,'الجهاز العسكري'!$I$2:$I$631,$I161,'الجهاز العسكري'!$M$2:$M$631,"&lt;&gt;")</f>
        <v>1</v>
      </c>
      <c r="N161" s="19">
        <f>IF($L161=0,0,ROUND((SUMIFS('المرتبطة بسمو الوزير'!$M$2:$M$151,'المرتبطة بسمو الوزير'!$B$2:$B$151,$B161,'المرتبطة بسمو الوزير'!$G$2:$G$151,$G161,'المرتبطة بسمو الوزير'!$I$2:$I$151,$I161)+SUMIFS('الشؤون التنفيذية'!$N$2:$N$421,'الشؤون التنفيذية'!$B$2:$B$421,$B161,'الشؤون التنفيذية'!$G$2:$G$421,$G161,'الشؤون التنفيذية'!$I$2:$I$421,$I161)+SUMIFS('الجهاز العسكري'!$M$2:$M$631,'الجهاز العسكري'!$B$2:$B$631,$B161,'الجهاز العسكري'!$G$2:$G$631,$G161,'الجهاز العسكري'!$I$2:$I$631,$I161))/$L161,0))</f>
        <v>35</v>
      </c>
      <c r="O161" s="18"/>
      <c r="P161" s="15">
        <f>SUMIFS(المرجع!$G$2:$G$19,المرجع!$B$2:$B$19,$G161,المرجع!$E$2:$E$19,$I161)</f>
        <v>15</v>
      </c>
      <c r="Q161" s="20">
        <f t="shared" si="3"/>
        <v>5.25</v>
      </c>
      <c r="R161" s="21" t="str">
        <f>IF($N161&gt;المرجع!$K$3,"متقدم",IF($N161&lt;=المرجع!$K$2,"أولي","جزئي"))</f>
        <v>جزئي</v>
      </c>
    </row>
    <row r="162" spans="1:18">
      <c r="A162" s="16" t="s">
        <v>1602</v>
      </c>
      <c r="B162" s="16" t="s">
        <v>164</v>
      </c>
      <c r="C162" s="15" t="str">
        <f>IFERROR(INDEX('قائمة الوحدات'!$B$2:$B$41,MATCH($B162,'قائمة الوحدات'!$A$2:$A$41,0)),"")</f>
        <v>EXE</v>
      </c>
      <c r="D162" s="14" t="str">
        <f>IFERROR(INDEX('قائمة الوحدات'!$C$2:$C$41,MATCH($B162,'قائمة الوحدات'!$A$2:$A$41,0)),"")</f>
        <v>الشؤون التنفيذية</v>
      </c>
      <c r="E162" s="14" t="str">
        <f>IFERROR(INDEX('قائمة الوحدات'!$D$2:$D$41,MATCH($B162,'قائمة الوحدات'!$A$2:$A$41,0)),"")</f>
        <v>وكالة الشؤون الفنية</v>
      </c>
      <c r="F162" s="14" t="str">
        <f>IFERROR(INDEX('قائمة الوحدات'!$F$2:$F$41,MATCH($B162,'قائمة الوحدات'!$A$2:$A$41,0)),"")</f>
        <v>الإدارة العامة للتشغيل والصيانة</v>
      </c>
      <c r="G162" s="16" t="s">
        <v>65</v>
      </c>
      <c r="H162" s="14" t="str">
        <f>IFERROR(INDEX(المرجع!$A$2:$A$19,MATCH($G162,المرجع!$B$2:$B$19,0)),"")</f>
        <v>التشغيل</v>
      </c>
      <c r="I162" s="16" t="s">
        <v>59</v>
      </c>
      <c r="J162" s="14" t="str">
        <f>IFERROR(INDEX(المرجع!$D$2:$D$19,MATCH($I162,المرجع!$E$2:$E$19,0)),"")</f>
        <v>الإجراءات</v>
      </c>
      <c r="K162" s="15">
        <f>IFERROR(INDEX(المرجع!$F$2:$F$19,MATCH($I162,المرجع!$E$2:$E$19,0)),"")</f>
        <v>6</v>
      </c>
      <c r="L162" s="15">
        <f>SUMIFS(المرجع!$H$2:$H$19,المرجع!$B$2:$B$19,$G162,المرجع!$E$2:$E$19,$I162)</f>
        <v>1</v>
      </c>
      <c r="M162" s="15">
        <f>COUNTIFS('المرتبطة بسمو الوزير'!$B$2:$B$151,$B162,'المرتبطة بسمو الوزير'!$G$2:$G$151,$G162,'المرتبطة بسمو الوزير'!$I$2:$I$151,$I162,'المرتبطة بسمو الوزير'!$M$2:$M$151,"&lt;&gt;")+COUNTIFS('الشؤون التنفيذية'!$B$2:$B$421,$B162,'الشؤون التنفيذية'!$G$2:$G$421,$G162,'الشؤون التنفيذية'!$I$2:$I$421,$I162,'الشؤون التنفيذية'!$N$2:$N$421,"&lt;&gt;")+COUNTIFS('الجهاز العسكري'!$B$2:$B$631,$B162,'الجهاز العسكري'!$G$2:$G$631,$G162,'الجهاز العسكري'!$I$2:$I$631,$I162,'الجهاز العسكري'!$M$2:$M$631,"&lt;&gt;")</f>
        <v>1</v>
      </c>
      <c r="N162" s="19">
        <f>IF($L162=0,0,ROUND((SUMIFS('المرتبطة بسمو الوزير'!$M$2:$M$151,'المرتبطة بسمو الوزير'!$B$2:$B$151,$B162,'المرتبطة بسمو الوزير'!$G$2:$G$151,$G162,'المرتبطة بسمو الوزير'!$I$2:$I$151,$I162)+SUMIFS('الشؤون التنفيذية'!$N$2:$N$421,'الشؤون التنفيذية'!$B$2:$B$421,$B162,'الشؤون التنفيذية'!$G$2:$G$421,$G162,'الشؤون التنفيذية'!$I$2:$I$421,$I162)+SUMIFS('الجهاز العسكري'!$M$2:$M$631,'الجهاز العسكري'!$B$2:$B$631,$B162,'الجهاز العسكري'!$G$2:$G$631,$G162,'الجهاز العسكري'!$I$2:$I$631,$I162))/$L162,0))</f>
        <v>37</v>
      </c>
      <c r="O162" s="18"/>
      <c r="P162" s="15">
        <f>SUMIFS(المرجع!$G$2:$G$19,المرجع!$B$2:$B$19,$G162,المرجع!$E$2:$E$19,$I162)</f>
        <v>15</v>
      </c>
      <c r="Q162" s="20">
        <f t="shared" si="3"/>
        <v>5.55</v>
      </c>
      <c r="R162" s="21" t="str">
        <f>IF($N162&gt;المرجع!$K$3,"متقدم",IF($N162&lt;=المرجع!$K$2,"أولي","جزئي"))</f>
        <v>جزئي</v>
      </c>
    </row>
    <row r="163" spans="1:18">
      <c r="A163" s="16" t="s">
        <v>1603</v>
      </c>
      <c r="B163" s="16" t="s">
        <v>164</v>
      </c>
      <c r="C163" s="15" t="str">
        <f>IFERROR(INDEX('قائمة الوحدات'!$B$2:$B$41,MATCH($B163,'قائمة الوحدات'!$A$2:$A$41,0)),"")</f>
        <v>EXE</v>
      </c>
      <c r="D163" s="14" t="str">
        <f>IFERROR(INDEX('قائمة الوحدات'!$C$2:$C$41,MATCH($B163,'قائمة الوحدات'!$A$2:$A$41,0)),"")</f>
        <v>الشؤون التنفيذية</v>
      </c>
      <c r="E163" s="14" t="str">
        <f>IFERROR(INDEX('قائمة الوحدات'!$D$2:$D$41,MATCH($B163,'قائمة الوحدات'!$A$2:$A$41,0)),"")</f>
        <v>وكالة الشؤون الفنية</v>
      </c>
      <c r="F163" s="14" t="str">
        <f>IFERROR(INDEX('قائمة الوحدات'!$F$2:$F$41,MATCH($B163,'قائمة الوحدات'!$A$2:$A$41,0)),"")</f>
        <v>الإدارة العامة للتشغيل والصيانة</v>
      </c>
      <c r="G163" s="16" t="s">
        <v>65</v>
      </c>
      <c r="H163" s="14" t="str">
        <f>IFERROR(INDEX(المرجع!$A$2:$A$19,MATCH($G163,المرجع!$B$2:$B$19,0)),"")</f>
        <v>التشغيل</v>
      </c>
      <c r="I163" s="16" t="s">
        <v>67</v>
      </c>
      <c r="J163" s="14" t="str">
        <f>IFERROR(INDEX(المرجع!$D$2:$D$19,MATCH($I163,المرجع!$E$2:$E$19,0)),"")</f>
        <v>اكتمال المخرجات المستهدفة</v>
      </c>
      <c r="K163" s="15">
        <f>IFERROR(INDEX(المرجع!$F$2:$F$19,MATCH($I163,المرجع!$E$2:$E$19,0)),"")</f>
        <v>8</v>
      </c>
      <c r="L163" s="15">
        <f>SUMIFS(المرجع!$H$2:$H$19,المرجع!$B$2:$B$19,$G163,المرجع!$E$2:$E$19,$I163)</f>
        <v>1</v>
      </c>
      <c r="M163" s="15">
        <f>COUNTIFS('المرتبطة بسمو الوزير'!$B$2:$B$151,$B163,'المرتبطة بسمو الوزير'!$G$2:$G$151,$G163,'المرتبطة بسمو الوزير'!$I$2:$I$151,$I163,'المرتبطة بسمو الوزير'!$M$2:$M$151,"&lt;&gt;")+COUNTIFS('الشؤون التنفيذية'!$B$2:$B$421,$B163,'الشؤون التنفيذية'!$G$2:$G$421,$G163,'الشؤون التنفيذية'!$I$2:$I$421,$I163,'الشؤون التنفيذية'!$N$2:$N$421,"&lt;&gt;")+COUNTIFS('الجهاز العسكري'!$B$2:$B$631,$B163,'الجهاز العسكري'!$G$2:$G$631,$G163,'الجهاز العسكري'!$I$2:$I$631,$I163,'الجهاز العسكري'!$M$2:$M$631,"&lt;&gt;")</f>
        <v>1</v>
      </c>
      <c r="N163" s="19">
        <f>IF($L163=0,0,ROUND((SUMIFS('المرتبطة بسمو الوزير'!$M$2:$M$151,'المرتبطة بسمو الوزير'!$B$2:$B$151,$B163,'المرتبطة بسمو الوزير'!$G$2:$G$151,$G163,'المرتبطة بسمو الوزير'!$I$2:$I$151,$I163)+SUMIFS('الشؤون التنفيذية'!$N$2:$N$421,'الشؤون التنفيذية'!$B$2:$B$421,$B163,'الشؤون التنفيذية'!$G$2:$G$421,$G163,'الشؤون التنفيذية'!$I$2:$I$421,$I163)+SUMIFS('الجهاز العسكري'!$M$2:$M$631,'الجهاز العسكري'!$B$2:$B$631,$B163,'الجهاز العسكري'!$G$2:$G$631,$G163,'الجهاز العسكري'!$I$2:$I$631,$I163))/$L163,0))</f>
        <v>62</v>
      </c>
      <c r="O163" s="18"/>
      <c r="P163" s="15">
        <f>SUMIFS(المرجع!$G$2:$G$19,المرجع!$B$2:$B$19,$G163,المرجع!$E$2:$E$19,$I163)</f>
        <v>30</v>
      </c>
      <c r="Q163" s="20">
        <f t="shared" si="3"/>
        <v>18.600000000000001</v>
      </c>
      <c r="R163" s="21" t="str">
        <f>IF($N163&gt;المرجع!$K$3,"متقدم",IF($N163&lt;=المرجع!$K$2,"أولي","جزئي"))</f>
        <v>جزئي</v>
      </c>
    </row>
    <row r="164" spans="1:18">
      <c r="A164" s="16" t="s">
        <v>1604</v>
      </c>
      <c r="B164" s="16" t="s">
        <v>166</v>
      </c>
      <c r="C164" s="15" t="str">
        <f>IFERROR(INDEX('قائمة الوحدات'!$B$2:$B$41,MATCH($B164,'قائمة الوحدات'!$A$2:$A$41,0)),"")</f>
        <v>EXE</v>
      </c>
      <c r="D164" s="14" t="str">
        <f>IFERROR(INDEX('قائمة الوحدات'!$C$2:$C$41,MATCH($B164,'قائمة الوحدات'!$A$2:$A$41,0)),"")</f>
        <v>الشؤون التنفيذية</v>
      </c>
      <c r="E164" s="14" t="str">
        <f>IFERROR(INDEX('قائمة الوحدات'!$D$2:$D$41,MATCH($B164,'قائمة الوحدات'!$A$2:$A$41,0)),"")</f>
        <v>وكالة الشؤون الفنية</v>
      </c>
      <c r="F164" s="14" t="str">
        <f>IFERROR(INDEX('قائمة الوحدات'!$F$2:$F$41,MATCH($B164,'قائمة الوحدات'!$A$2:$A$41,0)),"")</f>
        <v>الإدارة العامة للسلامة والبيئة</v>
      </c>
      <c r="G164" s="16" t="s">
        <v>43</v>
      </c>
      <c r="H164" s="14" t="str">
        <f>IFERROR(INDEX(المرجع!$A$2:$A$19,MATCH($G164,المرجع!$B$2:$B$19,0)),"")</f>
        <v>التصميم</v>
      </c>
      <c r="I164" s="16" t="s">
        <v>45</v>
      </c>
      <c r="J164" s="14" t="str">
        <f>IFERROR(INDEX(المرجع!$D$2:$D$19,MATCH($I164,المرجع!$E$2:$E$19,0)),"")</f>
        <v>الدور</v>
      </c>
      <c r="K164" s="15">
        <f>IFERROR(INDEX(المرجع!$F$2:$F$19,MATCH($I164,المرجع!$E$2:$E$19,0)),"")</f>
        <v>1</v>
      </c>
      <c r="L164" s="15">
        <f>SUMIFS(المرجع!$H$2:$H$19,المرجع!$B$2:$B$19,$G164,المرجع!$E$2:$E$19,$I164)</f>
        <v>1</v>
      </c>
      <c r="M164" s="15">
        <f>COUNTIFS('المرتبطة بسمو الوزير'!$B$2:$B$151,$B164,'المرتبطة بسمو الوزير'!$G$2:$G$151,$G164,'المرتبطة بسمو الوزير'!$I$2:$I$151,$I164,'المرتبطة بسمو الوزير'!$M$2:$M$151,"&lt;&gt;")+COUNTIFS('الشؤون التنفيذية'!$B$2:$B$421,$B164,'الشؤون التنفيذية'!$G$2:$G$421,$G164,'الشؤون التنفيذية'!$I$2:$I$421,$I164,'الشؤون التنفيذية'!$N$2:$N$421,"&lt;&gt;")+COUNTIFS('الجهاز العسكري'!$B$2:$B$631,$B164,'الجهاز العسكري'!$G$2:$G$631,$G164,'الجهاز العسكري'!$I$2:$I$631,$I164,'الجهاز العسكري'!$M$2:$M$631,"&lt;&gt;")</f>
        <v>1</v>
      </c>
      <c r="N164" s="19">
        <f>IF($L164=0,0,ROUND((SUMIFS('المرتبطة بسمو الوزير'!$M$2:$M$151,'المرتبطة بسمو الوزير'!$B$2:$B$151,$B164,'المرتبطة بسمو الوزير'!$G$2:$G$151,$G164,'المرتبطة بسمو الوزير'!$I$2:$I$151,$I164)+SUMIFS('الشؤون التنفيذية'!$N$2:$N$421,'الشؤون التنفيذية'!$B$2:$B$421,$B164,'الشؤون التنفيذية'!$G$2:$G$421,$G164,'الشؤون التنفيذية'!$I$2:$I$421,$I164)+SUMIFS('الجهاز العسكري'!$M$2:$M$631,'الجهاز العسكري'!$B$2:$B$631,$B164,'الجهاز العسكري'!$G$2:$G$631,$G164,'الجهاز العسكري'!$I$2:$I$631,$I164))/$L164,0))</f>
        <v>96</v>
      </c>
      <c r="O164" s="18"/>
      <c r="P164" s="15">
        <f>SUMIFS(المرجع!$G$2:$G$19,المرجع!$B$2:$B$19,$G164,المرجع!$E$2:$E$19,$I164)</f>
        <v>25</v>
      </c>
      <c r="Q164" s="20">
        <f t="shared" si="3"/>
        <v>24</v>
      </c>
      <c r="R164" s="21" t="str">
        <f>IF($N164&gt;المرجع!$K$3,"متقدم",IF($N164&lt;=المرجع!$K$2,"أولي","جزئي"))</f>
        <v>متقدم</v>
      </c>
    </row>
    <row r="165" spans="1:18">
      <c r="A165" s="16" t="s">
        <v>1605</v>
      </c>
      <c r="B165" s="16" t="s">
        <v>166</v>
      </c>
      <c r="C165" s="15" t="str">
        <f>IFERROR(INDEX('قائمة الوحدات'!$B$2:$B$41,MATCH($B165,'قائمة الوحدات'!$A$2:$A$41,0)),"")</f>
        <v>EXE</v>
      </c>
      <c r="D165" s="14" t="str">
        <f>IFERROR(INDEX('قائمة الوحدات'!$C$2:$C$41,MATCH($B165,'قائمة الوحدات'!$A$2:$A$41,0)),"")</f>
        <v>الشؤون التنفيذية</v>
      </c>
      <c r="E165" s="14" t="str">
        <f>IFERROR(INDEX('قائمة الوحدات'!$D$2:$D$41,MATCH($B165,'قائمة الوحدات'!$A$2:$A$41,0)),"")</f>
        <v>وكالة الشؤون الفنية</v>
      </c>
      <c r="F165" s="14" t="str">
        <f>IFERROR(INDEX('قائمة الوحدات'!$F$2:$F$41,MATCH($B165,'قائمة الوحدات'!$A$2:$A$41,0)),"")</f>
        <v>الإدارة العامة للسلامة والبيئة</v>
      </c>
      <c r="G165" s="16" t="s">
        <v>43</v>
      </c>
      <c r="H165" s="14" t="str">
        <f>IFERROR(INDEX(المرجع!$A$2:$A$19,MATCH($G165,المرجع!$B$2:$B$19,0)),"")</f>
        <v>التصميم</v>
      </c>
      <c r="I165" s="16" t="s">
        <v>48</v>
      </c>
      <c r="J165" s="14" t="str">
        <f>IFERROR(INDEX(المرجع!$D$2:$D$19,MATCH($I165,المرجع!$E$2:$E$19,0)),"")</f>
        <v>الأهداف ومؤشرات الأداء</v>
      </c>
      <c r="K165" s="15">
        <f>IFERROR(INDEX(المرجع!$F$2:$F$19,MATCH($I165,المرجع!$E$2:$E$19,0)),"")</f>
        <v>2</v>
      </c>
      <c r="L165" s="15">
        <f>SUMIFS(المرجع!$H$2:$H$19,المرجع!$B$2:$B$19,$G165,المرجع!$E$2:$E$19,$I165)</f>
        <v>2</v>
      </c>
      <c r="M165" s="15">
        <f>COUNTIFS('المرتبطة بسمو الوزير'!$B$2:$B$151,$B165,'المرتبطة بسمو الوزير'!$G$2:$G$151,$G165,'المرتبطة بسمو الوزير'!$I$2:$I$151,$I165,'المرتبطة بسمو الوزير'!$M$2:$M$151,"&lt;&gt;")+COUNTIFS('الشؤون التنفيذية'!$B$2:$B$421,$B165,'الشؤون التنفيذية'!$G$2:$G$421,$G165,'الشؤون التنفيذية'!$I$2:$I$421,$I165,'الشؤون التنفيذية'!$N$2:$N$421,"&lt;&gt;")+COUNTIFS('الجهاز العسكري'!$B$2:$B$631,$B165,'الجهاز العسكري'!$G$2:$G$631,$G165,'الجهاز العسكري'!$I$2:$I$631,$I165,'الجهاز العسكري'!$M$2:$M$631,"&lt;&gt;")</f>
        <v>2</v>
      </c>
      <c r="N165" s="19">
        <f>IF($L165=0,0,ROUND((SUMIFS('المرتبطة بسمو الوزير'!$M$2:$M$151,'المرتبطة بسمو الوزير'!$B$2:$B$151,$B165,'المرتبطة بسمو الوزير'!$G$2:$G$151,$G165,'المرتبطة بسمو الوزير'!$I$2:$I$151,$I165)+SUMIFS('الشؤون التنفيذية'!$N$2:$N$421,'الشؤون التنفيذية'!$B$2:$B$421,$B165,'الشؤون التنفيذية'!$G$2:$G$421,$G165,'الشؤون التنفيذية'!$I$2:$I$421,$I165)+SUMIFS('الجهاز العسكري'!$M$2:$M$631,'الجهاز العسكري'!$B$2:$B$631,$B165,'الجهاز العسكري'!$G$2:$G$631,$G165,'الجهاز العسكري'!$I$2:$I$631,$I165))/$L165,0))</f>
        <v>83</v>
      </c>
      <c r="O165" s="18"/>
      <c r="P165" s="15">
        <f>SUMIFS(المرجع!$G$2:$G$19,المرجع!$B$2:$B$19,$G165,المرجع!$E$2:$E$19,$I165)</f>
        <v>15</v>
      </c>
      <c r="Q165" s="20">
        <f t="shared" si="3"/>
        <v>12.45</v>
      </c>
      <c r="R165" s="21" t="str">
        <f>IF($N165&gt;المرجع!$K$3,"متقدم",IF($N165&lt;=المرجع!$K$2,"أولي","جزئي"))</f>
        <v>متقدم</v>
      </c>
    </row>
    <row r="166" spans="1:18">
      <c r="A166" s="16" t="s">
        <v>1606</v>
      </c>
      <c r="B166" s="16" t="s">
        <v>166</v>
      </c>
      <c r="C166" s="15" t="str">
        <f>IFERROR(INDEX('قائمة الوحدات'!$B$2:$B$41,MATCH($B166,'قائمة الوحدات'!$A$2:$A$41,0)),"")</f>
        <v>EXE</v>
      </c>
      <c r="D166" s="14" t="str">
        <f>IFERROR(INDEX('قائمة الوحدات'!$C$2:$C$41,MATCH($B166,'قائمة الوحدات'!$A$2:$A$41,0)),"")</f>
        <v>الشؤون التنفيذية</v>
      </c>
      <c r="E166" s="14" t="str">
        <f>IFERROR(INDEX('قائمة الوحدات'!$D$2:$D$41,MATCH($B166,'قائمة الوحدات'!$A$2:$A$41,0)),"")</f>
        <v>وكالة الشؤون الفنية</v>
      </c>
      <c r="F166" s="14" t="str">
        <f>IFERROR(INDEX('قائمة الوحدات'!$F$2:$F$41,MATCH($B166,'قائمة الوحدات'!$A$2:$A$41,0)),"")</f>
        <v>الإدارة العامة للسلامة والبيئة</v>
      </c>
      <c r="G166" s="16" t="s">
        <v>43</v>
      </c>
      <c r="H166" s="14" t="str">
        <f>IFERROR(INDEX(المرجع!$A$2:$A$19,MATCH($G166,المرجع!$B$2:$B$19,0)),"")</f>
        <v>التصميم</v>
      </c>
      <c r="I166" s="16" t="s">
        <v>51</v>
      </c>
      <c r="J166" s="14" t="str">
        <f>IFERROR(INDEX(المرجع!$D$2:$D$19,MATCH($I166,المرجع!$E$2:$E$19,0)),"")</f>
        <v>الحوكمة</v>
      </c>
      <c r="K166" s="15">
        <f>IFERROR(INDEX(المرجع!$F$2:$F$19,MATCH($I166,المرجع!$E$2:$E$19,0)),"")</f>
        <v>3</v>
      </c>
      <c r="L166" s="15">
        <f>SUMIFS(المرجع!$H$2:$H$19,المرجع!$B$2:$B$19,$G166,المرجع!$E$2:$E$19,$I166)</f>
        <v>1</v>
      </c>
      <c r="M166" s="15">
        <f>COUNTIFS('المرتبطة بسمو الوزير'!$B$2:$B$151,$B166,'المرتبطة بسمو الوزير'!$G$2:$G$151,$G166,'المرتبطة بسمو الوزير'!$I$2:$I$151,$I166,'المرتبطة بسمو الوزير'!$M$2:$M$151,"&lt;&gt;")+COUNTIFS('الشؤون التنفيذية'!$B$2:$B$421,$B166,'الشؤون التنفيذية'!$G$2:$G$421,$G166,'الشؤون التنفيذية'!$I$2:$I$421,$I166,'الشؤون التنفيذية'!$N$2:$N$421,"&lt;&gt;")+COUNTIFS('الجهاز العسكري'!$B$2:$B$631,$B166,'الجهاز العسكري'!$G$2:$G$631,$G166,'الجهاز العسكري'!$I$2:$I$631,$I166,'الجهاز العسكري'!$M$2:$M$631,"&lt;&gt;")</f>
        <v>1</v>
      </c>
      <c r="N166" s="19">
        <f>IF($L166=0,0,ROUND((SUMIFS('المرتبطة بسمو الوزير'!$M$2:$M$151,'المرتبطة بسمو الوزير'!$B$2:$B$151,$B166,'المرتبطة بسمو الوزير'!$G$2:$G$151,$G166,'المرتبطة بسمو الوزير'!$I$2:$I$151,$I166)+SUMIFS('الشؤون التنفيذية'!$N$2:$N$421,'الشؤون التنفيذية'!$B$2:$B$421,$B166,'الشؤون التنفيذية'!$G$2:$G$421,$G166,'الشؤون التنفيذية'!$I$2:$I$421,$I166)+SUMIFS('الجهاز العسكري'!$M$2:$M$631,'الجهاز العسكري'!$B$2:$B$631,$B166,'الجهاز العسكري'!$G$2:$G$631,$G166,'الجهاز العسكري'!$I$2:$I$631,$I166))/$L166,0))</f>
        <v>98</v>
      </c>
      <c r="O166" s="18"/>
      <c r="P166" s="15">
        <f>SUMIFS(المرجع!$G$2:$G$19,المرجع!$B$2:$B$19,$G166,المرجع!$E$2:$E$19,$I166)</f>
        <v>15</v>
      </c>
      <c r="Q166" s="20">
        <f t="shared" si="3"/>
        <v>14.7</v>
      </c>
      <c r="R166" s="21" t="str">
        <f>IF($N166&gt;المرجع!$K$3,"متقدم",IF($N166&lt;=المرجع!$K$2,"أولي","جزئي"))</f>
        <v>متقدم</v>
      </c>
    </row>
    <row r="167" spans="1:18">
      <c r="A167" s="16" t="s">
        <v>1607</v>
      </c>
      <c r="B167" s="16" t="s">
        <v>166</v>
      </c>
      <c r="C167" s="15" t="str">
        <f>IFERROR(INDEX('قائمة الوحدات'!$B$2:$B$41,MATCH($B167,'قائمة الوحدات'!$A$2:$A$41,0)),"")</f>
        <v>EXE</v>
      </c>
      <c r="D167" s="14" t="str">
        <f>IFERROR(INDEX('قائمة الوحدات'!$C$2:$C$41,MATCH($B167,'قائمة الوحدات'!$A$2:$A$41,0)),"")</f>
        <v>الشؤون التنفيذية</v>
      </c>
      <c r="E167" s="14" t="str">
        <f>IFERROR(INDEX('قائمة الوحدات'!$D$2:$D$41,MATCH($B167,'قائمة الوحدات'!$A$2:$A$41,0)),"")</f>
        <v>وكالة الشؤون الفنية</v>
      </c>
      <c r="F167" s="14" t="str">
        <f>IFERROR(INDEX('قائمة الوحدات'!$F$2:$F$41,MATCH($B167,'قائمة الوحدات'!$A$2:$A$41,0)),"")</f>
        <v>الإدارة العامة للسلامة والبيئة</v>
      </c>
      <c r="G167" s="16" t="s">
        <v>43</v>
      </c>
      <c r="H167" s="14" t="str">
        <f>IFERROR(INDEX(المرجع!$A$2:$A$19,MATCH($G167,المرجع!$B$2:$B$19,0)),"")</f>
        <v>التصميم</v>
      </c>
      <c r="I167" s="16" t="s">
        <v>54</v>
      </c>
      <c r="J167" s="14" t="str">
        <f>IFERROR(INDEX(المرجع!$D$2:$D$19,MATCH($I167,المرجع!$E$2:$E$19,0)),"")</f>
        <v>التنظيم</v>
      </c>
      <c r="K167" s="15">
        <f>IFERROR(INDEX(المرجع!$F$2:$F$19,MATCH($I167,المرجع!$E$2:$E$19,0)),"")</f>
        <v>4</v>
      </c>
      <c r="L167" s="15">
        <f>SUMIFS(المرجع!$H$2:$H$19,المرجع!$B$2:$B$19,$G167,المرجع!$E$2:$E$19,$I167)</f>
        <v>1</v>
      </c>
      <c r="M167" s="15">
        <f>COUNTIFS('المرتبطة بسمو الوزير'!$B$2:$B$151,$B167,'المرتبطة بسمو الوزير'!$G$2:$G$151,$G167,'المرتبطة بسمو الوزير'!$I$2:$I$151,$I167,'المرتبطة بسمو الوزير'!$M$2:$M$151,"&lt;&gt;")+COUNTIFS('الشؤون التنفيذية'!$B$2:$B$421,$B167,'الشؤون التنفيذية'!$G$2:$G$421,$G167,'الشؤون التنفيذية'!$I$2:$I$421,$I167,'الشؤون التنفيذية'!$N$2:$N$421,"&lt;&gt;")+COUNTIFS('الجهاز العسكري'!$B$2:$B$631,$B167,'الجهاز العسكري'!$G$2:$G$631,$G167,'الجهاز العسكري'!$I$2:$I$631,$I167,'الجهاز العسكري'!$M$2:$M$631,"&lt;&gt;")</f>
        <v>1</v>
      </c>
      <c r="N167" s="19">
        <f>IF($L167=0,0,ROUND((SUMIFS('المرتبطة بسمو الوزير'!$M$2:$M$151,'المرتبطة بسمو الوزير'!$B$2:$B$151,$B167,'المرتبطة بسمو الوزير'!$G$2:$G$151,$G167,'المرتبطة بسمو الوزير'!$I$2:$I$151,$I167)+SUMIFS('الشؤون التنفيذية'!$N$2:$N$421,'الشؤون التنفيذية'!$B$2:$B$421,$B167,'الشؤون التنفيذية'!$G$2:$G$421,$G167,'الشؤون التنفيذية'!$I$2:$I$421,$I167)+SUMIFS('الجهاز العسكري'!$M$2:$M$631,'الجهاز العسكري'!$B$2:$B$631,$B167,'الجهاز العسكري'!$G$2:$G$631,$G167,'الجهاز العسكري'!$I$2:$I$631,$I167))/$L167,0))</f>
        <v>89</v>
      </c>
      <c r="O167" s="18"/>
      <c r="P167" s="15">
        <f>SUMIFS(المرجع!$G$2:$G$19,المرجع!$B$2:$B$19,$G167,المرجع!$E$2:$E$19,$I167)</f>
        <v>20</v>
      </c>
      <c r="Q167" s="20">
        <f t="shared" si="3"/>
        <v>17.8</v>
      </c>
      <c r="R167" s="21" t="str">
        <f>IF($N167&gt;المرجع!$K$3,"متقدم",IF($N167&lt;=المرجع!$K$2,"أولي","جزئي"))</f>
        <v>متقدم</v>
      </c>
    </row>
    <row r="168" spans="1:18">
      <c r="A168" s="16" t="s">
        <v>1608</v>
      </c>
      <c r="B168" s="16" t="s">
        <v>166</v>
      </c>
      <c r="C168" s="15" t="str">
        <f>IFERROR(INDEX('قائمة الوحدات'!$B$2:$B$41,MATCH($B168,'قائمة الوحدات'!$A$2:$A$41,0)),"")</f>
        <v>EXE</v>
      </c>
      <c r="D168" s="14" t="str">
        <f>IFERROR(INDEX('قائمة الوحدات'!$C$2:$C$41,MATCH($B168,'قائمة الوحدات'!$A$2:$A$41,0)),"")</f>
        <v>الشؤون التنفيذية</v>
      </c>
      <c r="E168" s="14" t="str">
        <f>IFERROR(INDEX('قائمة الوحدات'!$D$2:$D$41,MATCH($B168,'قائمة الوحدات'!$A$2:$A$41,0)),"")</f>
        <v>وكالة الشؤون الفنية</v>
      </c>
      <c r="F168" s="14" t="str">
        <f>IFERROR(INDEX('قائمة الوحدات'!$F$2:$F$41,MATCH($B168,'قائمة الوحدات'!$A$2:$A$41,0)),"")</f>
        <v>الإدارة العامة للسلامة والبيئة</v>
      </c>
      <c r="G168" s="16" t="s">
        <v>43</v>
      </c>
      <c r="H168" s="14" t="str">
        <f>IFERROR(INDEX(المرجع!$A$2:$A$19,MATCH($G168,المرجع!$B$2:$B$19,0)),"")</f>
        <v>التصميم</v>
      </c>
      <c r="I168" s="16" t="s">
        <v>56</v>
      </c>
      <c r="J168" s="14" t="str">
        <f>IFERROR(INDEX(المرجع!$D$2:$D$19,MATCH($I168,المرجع!$E$2:$E$19,0)),"")</f>
        <v>الموارد</v>
      </c>
      <c r="K168" s="15">
        <f>IFERROR(INDEX(المرجع!$F$2:$F$19,MATCH($I168,المرجع!$E$2:$E$19,0)),"")</f>
        <v>5</v>
      </c>
      <c r="L168" s="15">
        <f>SUMIFS(المرجع!$H$2:$H$19,المرجع!$B$2:$B$19,$G168,المرجع!$E$2:$E$19,$I168)</f>
        <v>1</v>
      </c>
      <c r="M168" s="15">
        <f>COUNTIFS('المرتبطة بسمو الوزير'!$B$2:$B$151,$B168,'المرتبطة بسمو الوزير'!$G$2:$G$151,$G168,'المرتبطة بسمو الوزير'!$I$2:$I$151,$I168,'المرتبطة بسمو الوزير'!$M$2:$M$151,"&lt;&gt;")+COUNTIFS('الشؤون التنفيذية'!$B$2:$B$421,$B168,'الشؤون التنفيذية'!$G$2:$G$421,$G168,'الشؤون التنفيذية'!$I$2:$I$421,$I168,'الشؤون التنفيذية'!$N$2:$N$421,"&lt;&gt;")+COUNTIFS('الجهاز العسكري'!$B$2:$B$631,$B168,'الجهاز العسكري'!$G$2:$G$631,$G168,'الجهاز العسكري'!$I$2:$I$631,$I168,'الجهاز العسكري'!$M$2:$M$631,"&lt;&gt;")</f>
        <v>1</v>
      </c>
      <c r="N168" s="19">
        <f>IF($L168=0,0,ROUND((SUMIFS('المرتبطة بسمو الوزير'!$M$2:$M$151,'المرتبطة بسمو الوزير'!$B$2:$B$151,$B168,'المرتبطة بسمو الوزير'!$G$2:$G$151,$G168,'المرتبطة بسمو الوزير'!$I$2:$I$151,$I168)+SUMIFS('الشؤون التنفيذية'!$N$2:$N$421,'الشؤون التنفيذية'!$B$2:$B$421,$B168,'الشؤون التنفيذية'!$G$2:$G$421,$G168,'الشؤون التنفيذية'!$I$2:$I$421,$I168)+SUMIFS('الجهاز العسكري'!$M$2:$M$631,'الجهاز العسكري'!$B$2:$B$631,$B168,'الجهاز العسكري'!$G$2:$G$631,$G168,'الجهاز العسكري'!$I$2:$I$631,$I168))/$L168,0))</f>
        <v>92</v>
      </c>
      <c r="O168" s="18"/>
      <c r="P168" s="15">
        <f>SUMIFS(المرجع!$G$2:$G$19,المرجع!$B$2:$B$19,$G168,المرجع!$E$2:$E$19,$I168)</f>
        <v>20</v>
      </c>
      <c r="Q168" s="20">
        <f t="shared" si="3"/>
        <v>18.399999999999999</v>
      </c>
      <c r="R168" s="21" t="str">
        <f>IF($N168&gt;المرجع!$K$3,"متقدم",IF($N168&lt;=المرجع!$K$2,"أولي","جزئي"))</f>
        <v>متقدم</v>
      </c>
    </row>
    <row r="169" spans="1:18">
      <c r="A169" s="16" t="s">
        <v>1609</v>
      </c>
      <c r="B169" s="16" t="s">
        <v>166</v>
      </c>
      <c r="C169" s="15" t="str">
        <f>IFERROR(INDEX('قائمة الوحدات'!$B$2:$B$41,MATCH($B169,'قائمة الوحدات'!$A$2:$A$41,0)),"")</f>
        <v>EXE</v>
      </c>
      <c r="D169" s="14" t="str">
        <f>IFERROR(INDEX('قائمة الوحدات'!$C$2:$C$41,MATCH($B169,'قائمة الوحدات'!$A$2:$A$41,0)),"")</f>
        <v>الشؤون التنفيذية</v>
      </c>
      <c r="E169" s="14" t="str">
        <f>IFERROR(INDEX('قائمة الوحدات'!$D$2:$D$41,MATCH($B169,'قائمة الوحدات'!$A$2:$A$41,0)),"")</f>
        <v>وكالة الشؤون الفنية</v>
      </c>
      <c r="F169" s="14" t="str">
        <f>IFERROR(INDEX('قائمة الوحدات'!$F$2:$F$41,MATCH($B169,'قائمة الوحدات'!$A$2:$A$41,0)),"")</f>
        <v>الإدارة العامة للسلامة والبيئة</v>
      </c>
      <c r="G169" s="16" t="s">
        <v>43</v>
      </c>
      <c r="H169" s="14" t="str">
        <f>IFERROR(INDEX(المرجع!$A$2:$A$19,MATCH($G169,المرجع!$B$2:$B$19,0)),"")</f>
        <v>التصميم</v>
      </c>
      <c r="I169" s="16" t="s">
        <v>59</v>
      </c>
      <c r="J169" s="14" t="str">
        <f>IFERROR(INDEX(المرجع!$D$2:$D$19,MATCH($I169,المرجع!$E$2:$E$19,0)),"")</f>
        <v>الإجراءات</v>
      </c>
      <c r="K169" s="15">
        <f>IFERROR(INDEX(المرجع!$F$2:$F$19,MATCH($I169,المرجع!$E$2:$E$19,0)),"")</f>
        <v>6</v>
      </c>
      <c r="L169" s="15">
        <f>SUMIFS(المرجع!$H$2:$H$19,المرجع!$B$2:$B$19,$G169,المرجع!$E$2:$E$19,$I169)</f>
        <v>1</v>
      </c>
      <c r="M169" s="15">
        <f>COUNTIFS('المرتبطة بسمو الوزير'!$B$2:$B$151,$B169,'المرتبطة بسمو الوزير'!$G$2:$G$151,$G169,'المرتبطة بسمو الوزير'!$I$2:$I$151,$I169,'المرتبطة بسمو الوزير'!$M$2:$M$151,"&lt;&gt;")+COUNTIFS('الشؤون التنفيذية'!$B$2:$B$421,$B169,'الشؤون التنفيذية'!$G$2:$G$421,$G169,'الشؤون التنفيذية'!$I$2:$I$421,$I169,'الشؤون التنفيذية'!$N$2:$N$421,"&lt;&gt;")+COUNTIFS('الجهاز العسكري'!$B$2:$B$631,$B169,'الجهاز العسكري'!$G$2:$G$631,$G169,'الجهاز العسكري'!$I$2:$I$631,$I169,'الجهاز العسكري'!$M$2:$M$631,"&lt;&gt;")</f>
        <v>1</v>
      </c>
      <c r="N169" s="19">
        <f>IF($L169=0,0,ROUND((SUMIFS('المرتبطة بسمو الوزير'!$M$2:$M$151,'المرتبطة بسمو الوزير'!$B$2:$B$151,$B169,'المرتبطة بسمو الوزير'!$G$2:$G$151,$G169,'المرتبطة بسمو الوزير'!$I$2:$I$151,$I169)+SUMIFS('الشؤون التنفيذية'!$N$2:$N$421,'الشؤون التنفيذية'!$B$2:$B$421,$B169,'الشؤون التنفيذية'!$G$2:$G$421,$G169,'الشؤون التنفيذية'!$I$2:$I$421,$I169)+SUMIFS('الجهاز العسكري'!$M$2:$M$631,'الجهاز العسكري'!$B$2:$B$631,$B169,'الجهاز العسكري'!$G$2:$G$631,$G169,'الجهاز العسكري'!$I$2:$I$631,$I169))/$L169,0))</f>
        <v>79</v>
      </c>
      <c r="O169" s="18"/>
      <c r="P169" s="15">
        <f>SUMIFS(المرجع!$G$2:$G$19,المرجع!$B$2:$B$19,$G169,المرجع!$E$2:$E$19,$I169)</f>
        <v>5</v>
      </c>
      <c r="Q169" s="20">
        <f t="shared" si="3"/>
        <v>3.95</v>
      </c>
      <c r="R169" s="21" t="str">
        <f>IF($N169&gt;المرجع!$K$3,"متقدم",IF($N169&lt;=المرجع!$K$2,"أولي","جزئي"))</f>
        <v>متقدم</v>
      </c>
    </row>
    <row r="170" spans="1:18">
      <c r="A170" s="16" t="s">
        <v>1610</v>
      </c>
      <c r="B170" s="16" t="s">
        <v>166</v>
      </c>
      <c r="C170" s="15" t="str">
        <f>IFERROR(INDEX('قائمة الوحدات'!$B$2:$B$41,MATCH($B170,'قائمة الوحدات'!$A$2:$A$41,0)),"")</f>
        <v>EXE</v>
      </c>
      <c r="D170" s="14" t="str">
        <f>IFERROR(INDEX('قائمة الوحدات'!$C$2:$C$41,MATCH($B170,'قائمة الوحدات'!$A$2:$A$41,0)),"")</f>
        <v>الشؤون التنفيذية</v>
      </c>
      <c r="E170" s="14" t="str">
        <f>IFERROR(INDEX('قائمة الوحدات'!$D$2:$D$41,MATCH($B170,'قائمة الوحدات'!$A$2:$A$41,0)),"")</f>
        <v>وكالة الشؤون الفنية</v>
      </c>
      <c r="F170" s="14" t="str">
        <f>IFERROR(INDEX('قائمة الوحدات'!$F$2:$F$41,MATCH($B170,'قائمة الوحدات'!$A$2:$A$41,0)),"")</f>
        <v>الإدارة العامة للسلامة والبيئة</v>
      </c>
      <c r="G170" s="16" t="s">
        <v>61</v>
      </c>
      <c r="H170" s="14" t="str">
        <f>IFERROR(INDEX(المرجع!$A$2:$A$19,MATCH($G170,المرجع!$B$2:$B$19,0)),"")</f>
        <v>البناء المؤسسي</v>
      </c>
      <c r="I170" s="16" t="s">
        <v>45</v>
      </c>
      <c r="J170" s="14" t="str">
        <f>IFERROR(INDEX(المرجع!$D$2:$D$19,MATCH($I170,المرجع!$E$2:$E$19,0)),"")</f>
        <v>الدور</v>
      </c>
      <c r="K170" s="15">
        <f>IFERROR(INDEX(المرجع!$F$2:$F$19,MATCH($I170,المرجع!$E$2:$E$19,0)),"")</f>
        <v>1</v>
      </c>
      <c r="L170" s="15">
        <f>SUMIFS(المرجع!$H$2:$H$19,المرجع!$B$2:$B$19,$G170,المرجع!$E$2:$E$19,$I170)</f>
        <v>1</v>
      </c>
      <c r="M170" s="15">
        <f>COUNTIFS('المرتبطة بسمو الوزير'!$B$2:$B$151,$B170,'المرتبطة بسمو الوزير'!$G$2:$G$151,$G170,'المرتبطة بسمو الوزير'!$I$2:$I$151,$I170,'المرتبطة بسمو الوزير'!$M$2:$M$151,"&lt;&gt;")+COUNTIFS('الشؤون التنفيذية'!$B$2:$B$421,$B170,'الشؤون التنفيذية'!$G$2:$G$421,$G170,'الشؤون التنفيذية'!$I$2:$I$421,$I170,'الشؤون التنفيذية'!$N$2:$N$421,"&lt;&gt;")+COUNTIFS('الجهاز العسكري'!$B$2:$B$631,$B170,'الجهاز العسكري'!$G$2:$G$631,$G170,'الجهاز العسكري'!$I$2:$I$631,$I170,'الجهاز العسكري'!$M$2:$M$631,"&lt;&gt;")</f>
        <v>1</v>
      </c>
      <c r="N170" s="19">
        <f>IF($L170=0,0,ROUND((SUMIFS('المرتبطة بسمو الوزير'!$M$2:$M$151,'المرتبطة بسمو الوزير'!$B$2:$B$151,$B170,'المرتبطة بسمو الوزير'!$G$2:$G$151,$G170,'المرتبطة بسمو الوزير'!$I$2:$I$151,$I170)+SUMIFS('الشؤون التنفيذية'!$N$2:$N$421,'الشؤون التنفيذية'!$B$2:$B$421,$B170,'الشؤون التنفيذية'!$G$2:$G$421,$G170,'الشؤون التنفيذية'!$I$2:$I$421,$I170)+SUMIFS('الجهاز العسكري'!$M$2:$M$631,'الجهاز العسكري'!$B$2:$B$631,$B170,'الجهاز العسكري'!$G$2:$G$631,$G170,'الجهاز العسكري'!$I$2:$I$631,$I170))/$L170,0))</f>
        <v>65</v>
      </c>
      <c r="O170" s="18"/>
      <c r="P170" s="15">
        <f>SUMIFS(المرجع!$G$2:$G$19,المرجع!$B$2:$B$19,$G170,المرجع!$E$2:$E$19,$I170)</f>
        <v>15</v>
      </c>
      <c r="Q170" s="20">
        <f t="shared" si="3"/>
        <v>9.75</v>
      </c>
      <c r="R170" s="21" t="str">
        <f>IF($N170&gt;المرجع!$K$3,"متقدم",IF($N170&lt;=المرجع!$K$2,"أولي","جزئي"))</f>
        <v>جزئي</v>
      </c>
    </row>
    <row r="171" spans="1:18">
      <c r="A171" s="16" t="s">
        <v>1611</v>
      </c>
      <c r="B171" s="16" t="s">
        <v>166</v>
      </c>
      <c r="C171" s="15" t="str">
        <f>IFERROR(INDEX('قائمة الوحدات'!$B$2:$B$41,MATCH($B171,'قائمة الوحدات'!$A$2:$A$41,0)),"")</f>
        <v>EXE</v>
      </c>
      <c r="D171" s="14" t="str">
        <f>IFERROR(INDEX('قائمة الوحدات'!$C$2:$C$41,MATCH($B171,'قائمة الوحدات'!$A$2:$A$41,0)),"")</f>
        <v>الشؤون التنفيذية</v>
      </c>
      <c r="E171" s="14" t="str">
        <f>IFERROR(INDEX('قائمة الوحدات'!$D$2:$D$41,MATCH($B171,'قائمة الوحدات'!$A$2:$A$41,0)),"")</f>
        <v>وكالة الشؤون الفنية</v>
      </c>
      <c r="F171" s="14" t="str">
        <f>IFERROR(INDEX('قائمة الوحدات'!$F$2:$F$41,MATCH($B171,'قائمة الوحدات'!$A$2:$A$41,0)),"")</f>
        <v>الإدارة العامة للسلامة والبيئة</v>
      </c>
      <c r="G171" s="16" t="s">
        <v>61</v>
      </c>
      <c r="H171" s="14" t="str">
        <f>IFERROR(INDEX(المرجع!$A$2:$A$19,MATCH($G171,المرجع!$B$2:$B$19,0)),"")</f>
        <v>البناء المؤسسي</v>
      </c>
      <c r="I171" s="16" t="s">
        <v>48</v>
      </c>
      <c r="J171" s="14" t="str">
        <f>IFERROR(INDEX(المرجع!$D$2:$D$19,MATCH($I171,المرجع!$E$2:$E$19,0)),"")</f>
        <v>الأهداف ومؤشرات الأداء</v>
      </c>
      <c r="K171" s="15">
        <f>IFERROR(INDEX(المرجع!$F$2:$F$19,MATCH($I171,المرجع!$E$2:$E$19,0)),"")</f>
        <v>2</v>
      </c>
      <c r="L171" s="15">
        <f>SUMIFS(المرجع!$H$2:$H$19,المرجع!$B$2:$B$19,$G171,المرجع!$E$2:$E$19,$I171)</f>
        <v>2</v>
      </c>
      <c r="M171" s="15">
        <f>COUNTIFS('المرتبطة بسمو الوزير'!$B$2:$B$151,$B171,'المرتبطة بسمو الوزير'!$G$2:$G$151,$G171,'المرتبطة بسمو الوزير'!$I$2:$I$151,$I171,'المرتبطة بسمو الوزير'!$M$2:$M$151,"&lt;&gt;")+COUNTIFS('الشؤون التنفيذية'!$B$2:$B$421,$B171,'الشؤون التنفيذية'!$G$2:$G$421,$G171,'الشؤون التنفيذية'!$I$2:$I$421,$I171,'الشؤون التنفيذية'!$N$2:$N$421,"&lt;&gt;")+COUNTIFS('الجهاز العسكري'!$B$2:$B$631,$B171,'الجهاز العسكري'!$G$2:$G$631,$G171,'الجهاز العسكري'!$I$2:$I$631,$I171,'الجهاز العسكري'!$M$2:$M$631,"&lt;&gt;")</f>
        <v>2</v>
      </c>
      <c r="N171" s="19">
        <f>IF($L171=0,0,ROUND((SUMIFS('المرتبطة بسمو الوزير'!$M$2:$M$151,'المرتبطة بسمو الوزير'!$B$2:$B$151,$B171,'المرتبطة بسمو الوزير'!$G$2:$G$151,$G171,'المرتبطة بسمو الوزير'!$I$2:$I$151,$I171)+SUMIFS('الشؤون التنفيذية'!$N$2:$N$421,'الشؤون التنفيذية'!$B$2:$B$421,$B171,'الشؤون التنفيذية'!$G$2:$G$421,$G171,'الشؤون التنفيذية'!$I$2:$I$421,$I171)+SUMIFS('الجهاز العسكري'!$M$2:$M$631,'الجهاز العسكري'!$B$2:$B$631,$B171,'الجهاز العسكري'!$G$2:$G$631,$G171,'الجهاز العسكري'!$I$2:$I$631,$I171))/$L171,0))</f>
        <v>68</v>
      </c>
      <c r="O171" s="18"/>
      <c r="P171" s="15">
        <f>SUMIFS(المرجع!$G$2:$G$19,المرجع!$B$2:$B$19,$G171,المرجع!$E$2:$E$19,$I171)</f>
        <v>15</v>
      </c>
      <c r="Q171" s="20">
        <f t="shared" si="3"/>
        <v>10.199999999999999</v>
      </c>
      <c r="R171" s="21" t="str">
        <f>IF($N171&gt;المرجع!$K$3,"متقدم",IF($N171&lt;=المرجع!$K$2,"أولي","جزئي"))</f>
        <v>جزئي</v>
      </c>
    </row>
    <row r="172" spans="1:18">
      <c r="A172" s="16" t="s">
        <v>1612</v>
      </c>
      <c r="B172" s="16" t="s">
        <v>166</v>
      </c>
      <c r="C172" s="15" t="str">
        <f>IFERROR(INDEX('قائمة الوحدات'!$B$2:$B$41,MATCH($B172,'قائمة الوحدات'!$A$2:$A$41,0)),"")</f>
        <v>EXE</v>
      </c>
      <c r="D172" s="14" t="str">
        <f>IFERROR(INDEX('قائمة الوحدات'!$C$2:$C$41,MATCH($B172,'قائمة الوحدات'!$A$2:$A$41,0)),"")</f>
        <v>الشؤون التنفيذية</v>
      </c>
      <c r="E172" s="14" t="str">
        <f>IFERROR(INDEX('قائمة الوحدات'!$D$2:$D$41,MATCH($B172,'قائمة الوحدات'!$A$2:$A$41,0)),"")</f>
        <v>وكالة الشؤون الفنية</v>
      </c>
      <c r="F172" s="14" t="str">
        <f>IFERROR(INDEX('قائمة الوحدات'!$F$2:$F$41,MATCH($B172,'قائمة الوحدات'!$A$2:$A$41,0)),"")</f>
        <v>الإدارة العامة للسلامة والبيئة</v>
      </c>
      <c r="G172" s="16" t="s">
        <v>61</v>
      </c>
      <c r="H172" s="14" t="str">
        <f>IFERROR(INDEX(المرجع!$A$2:$A$19,MATCH($G172,المرجع!$B$2:$B$19,0)),"")</f>
        <v>البناء المؤسسي</v>
      </c>
      <c r="I172" s="16" t="s">
        <v>51</v>
      </c>
      <c r="J172" s="14" t="str">
        <f>IFERROR(INDEX(المرجع!$D$2:$D$19,MATCH($I172,المرجع!$E$2:$E$19,0)),"")</f>
        <v>الحوكمة</v>
      </c>
      <c r="K172" s="15">
        <f>IFERROR(INDEX(المرجع!$F$2:$F$19,MATCH($I172,المرجع!$E$2:$E$19,0)),"")</f>
        <v>3</v>
      </c>
      <c r="L172" s="15">
        <f>SUMIFS(المرجع!$H$2:$H$19,المرجع!$B$2:$B$19,$G172,المرجع!$E$2:$E$19,$I172)</f>
        <v>3</v>
      </c>
      <c r="M172" s="15">
        <f>COUNTIFS('المرتبطة بسمو الوزير'!$B$2:$B$151,$B172,'المرتبطة بسمو الوزير'!$G$2:$G$151,$G172,'المرتبطة بسمو الوزير'!$I$2:$I$151,$I172,'المرتبطة بسمو الوزير'!$M$2:$M$151,"&lt;&gt;")+COUNTIFS('الشؤون التنفيذية'!$B$2:$B$421,$B172,'الشؤون التنفيذية'!$G$2:$G$421,$G172,'الشؤون التنفيذية'!$I$2:$I$421,$I172,'الشؤون التنفيذية'!$N$2:$N$421,"&lt;&gt;")+COUNTIFS('الجهاز العسكري'!$B$2:$B$631,$B172,'الجهاز العسكري'!$G$2:$G$631,$G172,'الجهاز العسكري'!$I$2:$I$631,$I172,'الجهاز العسكري'!$M$2:$M$631,"&lt;&gt;")</f>
        <v>3</v>
      </c>
      <c r="N172" s="19">
        <f>IF($L172=0,0,ROUND((SUMIFS('المرتبطة بسمو الوزير'!$M$2:$M$151,'المرتبطة بسمو الوزير'!$B$2:$B$151,$B172,'المرتبطة بسمو الوزير'!$G$2:$G$151,$G172,'المرتبطة بسمو الوزير'!$I$2:$I$151,$I172)+SUMIFS('الشؤون التنفيذية'!$N$2:$N$421,'الشؤون التنفيذية'!$B$2:$B$421,$B172,'الشؤون التنفيذية'!$G$2:$G$421,$G172,'الشؤون التنفيذية'!$I$2:$I$421,$I172)+SUMIFS('الجهاز العسكري'!$M$2:$M$631,'الجهاز العسكري'!$B$2:$B$631,$B172,'الجهاز العسكري'!$G$2:$G$631,$G172,'الجهاز العسكري'!$I$2:$I$631,$I172))/$L172,0))</f>
        <v>77</v>
      </c>
      <c r="O172" s="18"/>
      <c r="P172" s="15">
        <f>SUMIFS(المرجع!$G$2:$G$19,المرجع!$B$2:$B$19,$G172,المرجع!$E$2:$E$19,$I172)</f>
        <v>15</v>
      </c>
      <c r="Q172" s="20">
        <f t="shared" si="3"/>
        <v>11.55</v>
      </c>
      <c r="R172" s="21" t="str">
        <f>IF($N172&gt;المرجع!$K$3,"متقدم",IF($N172&lt;=المرجع!$K$2,"أولي","جزئي"))</f>
        <v>متقدم</v>
      </c>
    </row>
    <row r="173" spans="1:18">
      <c r="A173" s="16" t="s">
        <v>1613</v>
      </c>
      <c r="B173" s="16" t="s">
        <v>166</v>
      </c>
      <c r="C173" s="15" t="str">
        <f>IFERROR(INDEX('قائمة الوحدات'!$B$2:$B$41,MATCH($B173,'قائمة الوحدات'!$A$2:$A$41,0)),"")</f>
        <v>EXE</v>
      </c>
      <c r="D173" s="14" t="str">
        <f>IFERROR(INDEX('قائمة الوحدات'!$C$2:$C$41,MATCH($B173,'قائمة الوحدات'!$A$2:$A$41,0)),"")</f>
        <v>الشؤون التنفيذية</v>
      </c>
      <c r="E173" s="14" t="str">
        <f>IFERROR(INDEX('قائمة الوحدات'!$D$2:$D$41,MATCH($B173,'قائمة الوحدات'!$A$2:$A$41,0)),"")</f>
        <v>وكالة الشؤون الفنية</v>
      </c>
      <c r="F173" s="14" t="str">
        <f>IFERROR(INDEX('قائمة الوحدات'!$F$2:$F$41,MATCH($B173,'قائمة الوحدات'!$A$2:$A$41,0)),"")</f>
        <v>الإدارة العامة للسلامة والبيئة</v>
      </c>
      <c r="G173" s="16" t="s">
        <v>61</v>
      </c>
      <c r="H173" s="14" t="str">
        <f>IFERROR(INDEX(المرجع!$A$2:$A$19,MATCH($G173,المرجع!$B$2:$B$19,0)),"")</f>
        <v>البناء المؤسسي</v>
      </c>
      <c r="I173" s="16" t="s">
        <v>54</v>
      </c>
      <c r="J173" s="14" t="str">
        <f>IFERROR(INDEX(المرجع!$D$2:$D$19,MATCH($I173,المرجع!$E$2:$E$19,0)),"")</f>
        <v>التنظيم</v>
      </c>
      <c r="K173" s="15">
        <f>IFERROR(INDEX(المرجع!$F$2:$F$19,MATCH($I173,المرجع!$E$2:$E$19,0)),"")</f>
        <v>4</v>
      </c>
      <c r="L173" s="15">
        <f>SUMIFS(المرجع!$H$2:$H$19,المرجع!$B$2:$B$19,$G173,المرجع!$E$2:$E$19,$I173)</f>
        <v>3</v>
      </c>
      <c r="M173" s="15">
        <f>COUNTIFS('المرتبطة بسمو الوزير'!$B$2:$B$151,$B173,'المرتبطة بسمو الوزير'!$G$2:$G$151,$G173,'المرتبطة بسمو الوزير'!$I$2:$I$151,$I173,'المرتبطة بسمو الوزير'!$M$2:$M$151,"&lt;&gt;")+COUNTIFS('الشؤون التنفيذية'!$B$2:$B$421,$B173,'الشؤون التنفيذية'!$G$2:$G$421,$G173,'الشؤون التنفيذية'!$I$2:$I$421,$I173,'الشؤون التنفيذية'!$N$2:$N$421,"&lt;&gt;")+COUNTIFS('الجهاز العسكري'!$B$2:$B$631,$B173,'الجهاز العسكري'!$G$2:$G$631,$G173,'الجهاز العسكري'!$I$2:$I$631,$I173,'الجهاز العسكري'!$M$2:$M$631,"&lt;&gt;")</f>
        <v>3</v>
      </c>
      <c r="N173" s="19">
        <f>IF($L173=0,0,ROUND((SUMIFS('المرتبطة بسمو الوزير'!$M$2:$M$151,'المرتبطة بسمو الوزير'!$B$2:$B$151,$B173,'المرتبطة بسمو الوزير'!$G$2:$G$151,$G173,'المرتبطة بسمو الوزير'!$I$2:$I$151,$I173)+SUMIFS('الشؤون التنفيذية'!$N$2:$N$421,'الشؤون التنفيذية'!$B$2:$B$421,$B173,'الشؤون التنفيذية'!$G$2:$G$421,$G173,'الشؤون التنفيذية'!$I$2:$I$421,$I173)+SUMIFS('الجهاز العسكري'!$M$2:$M$631,'الجهاز العسكري'!$B$2:$B$631,$B173,'الجهاز العسكري'!$G$2:$G$631,$G173,'الجهاز العسكري'!$I$2:$I$631,$I173))/$L173,0))</f>
        <v>77</v>
      </c>
      <c r="O173" s="18"/>
      <c r="P173" s="15">
        <f>SUMIFS(المرجع!$G$2:$G$19,المرجع!$B$2:$B$19,$G173,المرجع!$E$2:$E$19,$I173)</f>
        <v>20</v>
      </c>
      <c r="Q173" s="20">
        <f t="shared" si="3"/>
        <v>15.4</v>
      </c>
      <c r="R173" s="21" t="str">
        <f>IF($N173&gt;المرجع!$K$3,"متقدم",IF($N173&lt;=المرجع!$K$2,"أولي","جزئي"))</f>
        <v>متقدم</v>
      </c>
    </row>
    <row r="174" spans="1:18">
      <c r="A174" s="16" t="s">
        <v>1614</v>
      </c>
      <c r="B174" s="16" t="s">
        <v>166</v>
      </c>
      <c r="C174" s="15" t="str">
        <f>IFERROR(INDEX('قائمة الوحدات'!$B$2:$B$41,MATCH($B174,'قائمة الوحدات'!$A$2:$A$41,0)),"")</f>
        <v>EXE</v>
      </c>
      <c r="D174" s="14" t="str">
        <f>IFERROR(INDEX('قائمة الوحدات'!$C$2:$C$41,MATCH($B174,'قائمة الوحدات'!$A$2:$A$41,0)),"")</f>
        <v>الشؤون التنفيذية</v>
      </c>
      <c r="E174" s="14" t="str">
        <f>IFERROR(INDEX('قائمة الوحدات'!$D$2:$D$41,MATCH($B174,'قائمة الوحدات'!$A$2:$A$41,0)),"")</f>
        <v>وكالة الشؤون الفنية</v>
      </c>
      <c r="F174" s="14" t="str">
        <f>IFERROR(INDEX('قائمة الوحدات'!$F$2:$F$41,MATCH($B174,'قائمة الوحدات'!$A$2:$A$41,0)),"")</f>
        <v>الإدارة العامة للسلامة والبيئة</v>
      </c>
      <c r="G174" s="16" t="s">
        <v>61</v>
      </c>
      <c r="H174" s="14" t="str">
        <f>IFERROR(INDEX(المرجع!$A$2:$A$19,MATCH($G174,المرجع!$B$2:$B$19,0)),"")</f>
        <v>البناء المؤسسي</v>
      </c>
      <c r="I174" s="16" t="s">
        <v>56</v>
      </c>
      <c r="J174" s="14" t="str">
        <f>IFERROR(INDEX(المرجع!$D$2:$D$19,MATCH($I174,المرجع!$E$2:$E$19,0)),"")</f>
        <v>الموارد</v>
      </c>
      <c r="K174" s="15">
        <f>IFERROR(INDEX(المرجع!$F$2:$F$19,MATCH($I174,المرجع!$E$2:$E$19,0)),"")</f>
        <v>5</v>
      </c>
      <c r="L174" s="15">
        <f>SUMIFS(المرجع!$H$2:$H$19,المرجع!$B$2:$B$19,$G174,المرجع!$E$2:$E$19,$I174)</f>
        <v>4</v>
      </c>
      <c r="M174" s="15">
        <f>COUNTIFS('المرتبطة بسمو الوزير'!$B$2:$B$151,$B174,'المرتبطة بسمو الوزير'!$G$2:$G$151,$G174,'المرتبطة بسمو الوزير'!$I$2:$I$151,$I174,'المرتبطة بسمو الوزير'!$M$2:$M$151,"&lt;&gt;")+COUNTIFS('الشؤون التنفيذية'!$B$2:$B$421,$B174,'الشؤون التنفيذية'!$G$2:$G$421,$G174,'الشؤون التنفيذية'!$I$2:$I$421,$I174,'الشؤون التنفيذية'!$N$2:$N$421,"&lt;&gt;")+COUNTIFS('الجهاز العسكري'!$B$2:$B$631,$B174,'الجهاز العسكري'!$G$2:$G$631,$G174,'الجهاز العسكري'!$I$2:$I$631,$I174,'الجهاز العسكري'!$M$2:$M$631,"&lt;&gt;")</f>
        <v>4</v>
      </c>
      <c r="N174" s="19">
        <f>IF($L174=0,0,ROUND((SUMIFS('المرتبطة بسمو الوزير'!$M$2:$M$151,'المرتبطة بسمو الوزير'!$B$2:$B$151,$B174,'المرتبطة بسمو الوزير'!$G$2:$G$151,$G174,'المرتبطة بسمو الوزير'!$I$2:$I$151,$I174)+SUMIFS('الشؤون التنفيذية'!$N$2:$N$421,'الشؤون التنفيذية'!$B$2:$B$421,$B174,'الشؤون التنفيذية'!$G$2:$G$421,$G174,'الشؤون التنفيذية'!$I$2:$I$421,$I174)+SUMIFS('الجهاز العسكري'!$M$2:$M$631,'الجهاز العسكري'!$B$2:$B$631,$B174,'الجهاز العسكري'!$G$2:$G$631,$G174,'الجهاز العسكري'!$I$2:$I$631,$I174))/$L174,0))</f>
        <v>45</v>
      </c>
      <c r="O174" s="18"/>
      <c r="P174" s="15">
        <f>SUMIFS(المرجع!$G$2:$G$19,المرجع!$B$2:$B$19,$G174,المرجع!$E$2:$E$19,$I174)</f>
        <v>25</v>
      </c>
      <c r="Q174" s="20">
        <f t="shared" si="3"/>
        <v>11.25</v>
      </c>
      <c r="R174" s="21" t="str">
        <f>IF($N174&gt;المرجع!$K$3,"متقدم",IF($N174&lt;=المرجع!$K$2,"أولي","جزئي"))</f>
        <v>جزئي</v>
      </c>
    </row>
    <row r="175" spans="1:18">
      <c r="A175" s="16" t="s">
        <v>1615</v>
      </c>
      <c r="B175" s="16" t="s">
        <v>166</v>
      </c>
      <c r="C175" s="15" t="str">
        <f>IFERROR(INDEX('قائمة الوحدات'!$B$2:$B$41,MATCH($B175,'قائمة الوحدات'!$A$2:$A$41,0)),"")</f>
        <v>EXE</v>
      </c>
      <c r="D175" s="14" t="str">
        <f>IFERROR(INDEX('قائمة الوحدات'!$C$2:$C$41,MATCH($B175,'قائمة الوحدات'!$A$2:$A$41,0)),"")</f>
        <v>الشؤون التنفيذية</v>
      </c>
      <c r="E175" s="14" t="str">
        <f>IFERROR(INDEX('قائمة الوحدات'!$D$2:$D$41,MATCH($B175,'قائمة الوحدات'!$A$2:$A$41,0)),"")</f>
        <v>وكالة الشؤون الفنية</v>
      </c>
      <c r="F175" s="14" t="str">
        <f>IFERROR(INDEX('قائمة الوحدات'!$F$2:$F$41,MATCH($B175,'قائمة الوحدات'!$A$2:$A$41,0)),"")</f>
        <v>الإدارة العامة للسلامة والبيئة</v>
      </c>
      <c r="G175" s="16" t="s">
        <v>61</v>
      </c>
      <c r="H175" s="14" t="str">
        <f>IFERROR(INDEX(المرجع!$A$2:$A$19,MATCH($G175,المرجع!$B$2:$B$19,0)),"")</f>
        <v>البناء المؤسسي</v>
      </c>
      <c r="I175" s="16" t="s">
        <v>59</v>
      </c>
      <c r="J175" s="14" t="str">
        <f>IFERROR(INDEX(المرجع!$D$2:$D$19,MATCH($I175,المرجع!$E$2:$E$19,0)),"")</f>
        <v>الإجراءات</v>
      </c>
      <c r="K175" s="15">
        <f>IFERROR(INDEX(المرجع!$F$2:$F$19,MATCH($I175,المرجع!$E$2:$E$19,0)),"")</f>
        <v>6</v>
      </c>
      <c r="L175" s="15">
        <f>SUMIFS(المرجع!$H$2:$H$19,المرجع!$B$2:$B$19,$G175,المرجع!$E$2:$E$19,$I175)</f>
        <v>1</v>
      </c>
      <c r="M175" s="15">
        <f>COUNTIFS('المرتبطة بسمو الوزير'!$B$2:$B$151,$B175,'المرتبطة بسمو الوزير'!$G$2:$G$151,$G175,'المرتبطة بسمو الوزير'!$I$2:$I$151,$I175,'المرتبطة بسمو الوزير'!$M$2:$M$151,"&lt;&gt;")+COUNTIFS('الشؤون التنفيذية'!$B$2:$B$421,$B175,'الشؤون التنفيذية'!$G$2:$G$421,$G175,'الشؤون التنفيذية'!$I$2:$I$421,$I175,'الشؤون التنفيذية'!$N$2:$N$421,"&lt;&gt;")+COUNTIFS('الجهاز العسكري'!$B$2:$B$631,$B175,'الجهاز العسكري'!$G$2:$G$631,$G175,'الجهاز العسكري'!$I$2:$I$631,$I175,'الجهاز العسكري'!$M$2:$M$631,"&lt;&gt;")</f>
        <v>1</v>
      </c>
      <c r="N175" s="19">
        <f>IF($L175=0,0,ROUND((SUMIFS('المرتبطة بسمو الوزير'!$M$2:$M$151,'المرتبطة بسمو الوزير'!$B$2:$B$151,$B175,'المرتبطة بسمو الوزير'!$G$2:$G$151,$G175,'المرتبطة بسمو الوزير'!$I$2:$I$151,$I175)+SUMIFS('الشؤون التنفيذية'!$N$2:$N$421,'الشؤون التنفيذية'!$B$2:$B$421,$B175,'الشؤون التنفيذية'!$G$2:$G$421,$G175,'الشؤون التنفيذية'!$I$2:$I$421,$I175)+SUMIFS('الجهاز العسكري'!$M$2:$M$631,'الجهاز العسكري'!$B$2:$B$631,$B175,'الجهاز العسكري'!$G$2:$G$631,$G175,'الجهاز العسكري'!$I$2:$I$631,$I175))/$L175,0))</f>
        <v>57</v>
      </c>
      <c r="O175" s="18"/>
      <c r="P175" s="15">
        <f>SUMIFS(المرجع!$G$2:$G$19,المرجع!$B$2:$B$19,$G175,المرجع!$E$2:$E$19,$I175)</f>
        <v>5</v>
      </c>
      <c r="Q175" s="20">
        <f t="shared" si="3"/>
        <v>2.85</v>
      </c>
      <c r="R175" s="21" t="str">
        <f>IF($N175&gt;المرجع!$K$3,"متقدم",IF($N175&lt;=المرجع!$K$2,"أولي","جزئي"))</f>
        <v>جزئي</v>
      </c>
    </row>
    <row r="176" spans="1:18">
      <c r="A176" s="16" t="s">
        <v>1616</v>
      </c>
      <c r="B176" s="16" t="s">
        <v>166</v>
      </c>
      <c r="C176" s="15" t="str">
        <f>IFERROR(INDEX('قائمة الوحدات'!$B$2:$B$41,MATCH($B176,'قائمة الوحدات'!$A$2:$A$41,0)),"")</f>
        <v>EXE</v>
      </c>
      <c r="D176" s="14" t="str">
        <f>IFERROR(INDEX('قائمة الوحدات'!$C$2:$C$41,MATCH($B176,'قائمة الوحدات'!$A$2:$A$41,0)),"")</f>
        <v>الشؤون التنفيذية</v>
      </c>
      <c r="E176" s="14" t="str">
        <f>IFERROR(INDEX('قائمة الوحدات'!$D$2:$D$41,MATCH($B176,'قائمة الوحدات'!$A$2:$A$41,0)),"")</f>
        <v>وكالة الشؤون الفنية</v>
      </c>
      <c r="F176" s="14" t="str">
        <f>IFERROR(INDEX('قائمة الوحدات'!$F$2:$F$41,MATCH($B176,'قائمة الوحدات'!$A$2:$A$41,0)),"")</f>
        <v>الإدارة العامة للسلامة والبيئة</v>
      </c>
      <c r="G176" s="16" t="s">
        <v>61</v>
      </c>
      <c r="H176" s="14" t="str">
        <f>IFERROR(INDEX(المرجع!$A$2:$A$19,MATCH($G176,المرجع!$B$2:$B$19,0)),"")</f>
        <v>البناء المؤسسي</v>
      </c>
      <c r="I176" s="16" t="s">
        <v>63</v>
      </c>
      <c r="J176" s="14" t="str">
        <f>IFERROR(INDEX(المرجع!$D$2:$D$19,MATCH($I176,المرجع!$E$2:$E$19,0)),"")</f>
        <v>إنتاج المخرج الأول</v>
      </c>
      <c r="K176" s="15">
        <f>IFERROR(INDEX(المرجع!$F$2:$F$19,MATCH($I176,المرجع!$E$2:$E$19,0)),"")</f>
        <v>7</v>
      </c>
      <c r="L176" s="15">
        <f>SUMIFS(المرجع!$H$2:$H$19,المرجع!$B$2:$B$19,$G176,المرجع!$E$2:$E$19,$I176)</f>
        <v>1</v>
      </c>
      <c r="M176" s="15">
        <f>COUNTIFS('المرتبطة بسمو الوزير'!$B$2:$B$151,$B176,'المرتبطة بسمو الوزير'!$G$2:$G$151,$G176,'المرتبطة بسمو الوزير'!$I$2:$I$151,$I176,'المرتبطة بسمو الوزير'!$M$2:$M$151,"&lt;&gt;")+COUNTIFS('الشؤون التنفيذية'!$B$2:$B$421,$B176,'الشؤون التنفيذية'!$G$2:$G$421,$G176,'الشؤون التنفيذية'!$I$2:$I$421,$I176,'الشؤون التنفيذية'!$N$2:$N$421,"&lt;&gt;")+COUNTIFS('الجهاز العسكري'!$B$2:$B$631,$B176,'الجهاز العسكري'!$G$2:$G$631,$G176,'الجهاز العسكري'!$I$2:$I$631,$I176,'الجهاز العسكري'!$M$2:$M$631,"&lt;&gt;")</f>
        <v>1</v>
      </c>
      <c r="N176" s="19">
        <f>IF($L176=0,0,ROUND((SUMIFS('المرتبطة بسمو الوزير'!$M$2:$M$151,'المرتبطة بسمو الوزير'!$B$2:$B$151,$B176,'المرتبطة بسمو الوزير'!$G$2:$G$151,$G176,'المرتبطة بسمو الوزير'!$I$2:$I$151,$I176)+SUMIFS('الشؤون التنفيذية'!$N$2:$N$421,'الشؤون التنفيذية'!$B$2:$B$421,$B176,'الشؤون التنفيذية'!$G$2:$G$421,$G176,'الشؤون التنفيذية'!$I$2:$I$421,$I176)+SUMIFS('الجهاز العسكري'!$M$2:$M$631,'الجهاز العسكري'!$B$2:$B$631,$B176,'الجهاز العسكري'!$G$2:$G$631,$G176,'الجهاز العسكري'!$I$2:$I$631,$I176))/$L176,0))</f>
        <v>46</v>
      </c>
      <c r="O176" s="18"/>
      <c r="P176" s="15">
        <f>SUMIFS(المرجع!$G$2:$G$19,المرجع!$B$2:$B$19,$G176,المرجع!$E$2:$E$19,$I176)</f>
        <v>5</v>
      </c>
      <c r="Q176" s="20">
        <f t="shared" si="3"/>
        <v>2.2999999999999998</v>
      </c>
      <c r="R176" s="21" t="str">
        <f>IF($N176&gt;المرجع!$K$3,"متقدم",IF($N176&lt;=المرجع!$K$2,"أولي","جزئي"))</f>
        <v>جزئي</v>
      </c>
    </row>
    <row r="177" spans="1:18">
      <c r="A177" s="16" t="s">
        <v>1617</v>
      </c>
      <c r="B177" s="16" t="s">
        <v>166</v>
      </c>
      <c r="C177" s="15" t="str">
        <f>IFERROR(INDEX('قائمة الوحدات'!$B$2:$B$41,MATCH($B177,'قائمة الوحدات'!$A$2:$A$41,0)),"")</f>
        <v>EXE</v>
      </c>
      <c r="D177" s="14" t="str">
        <f>IFERROR(INDEX('قائمة الوحدات'!$C$2:$C$41,MATCH($B177,'قائمة الوحدات'!$A$2:$A$41,0)),"")</f>
        <v>الشؤون التنفيذية</v>
      </c>
      <c r="E177" s="14" t="str">
        <f>IFERROR(INDEX('قائمة الوحدات'!$D$2:$D$41,MATCH($B177,'قائمة الوحدات'!$A$2:$A$41,0)),"")</f>
        <v>وكالة الشؤون الفنية</v>
      </c>
      <c r="F177" s="14" t="str">
        <f>IFERROR(INDEX('قائمة الوحدات'!$F$2:$F$41,MATCH($B177,'قائمة الوحدات'!$A$2:$A$41,0)),"")</f>
        <v>الإدارة العامة للسلامة والبيئة</v>
      </c>
      <c r="G177" s="16" t="s">
        <v>65</v>
      </c>
      <c r="H177" s="14" t="str">
        <f>IFERROR(INDEX(المرجع!$A$2:$A$19,MATCH($G177,المرجع!$B$2:$B$19,0)),"")</f>
        <v>التشغيل</v>
      </c>
      <c r="I177" s="16" t="s">
        <v>48</v>
      </c>
      <c r="J177" s="14" t="str">
        <f>IFERROR(INDEX(المرجع!$D$2:$D$19,MATCH($I177,المرجع!$E$2:$E$19,0)),"")</f>
        <v>الأهداف ومؤشرات الأداء</v>
      </c>
      <c r="K177" s="15">
        <f>IFERROR(INDEX(المرجع!$F$2:$F$19,MATCH($I177,المرجع!$E$2:$E$19,0)),"")</f>
        <v>2</v>
      </c>
      <c r="L177" s="15">
        <f>SUMIFS(المرجع!$H$2:$H$19,المرجع!$B$2:$B$19,$G177,المرجع!$E$2:$E$19,$I177)</f>
        <v>2</v>
      </c>
      <c r="M177" s="15">
        <f>COUNTIFS('المرتبطة بسمو الوزير'!$B$2:$B$151,$B177,'المرتبطة بسمو الوزير'!$G$2:$G$151,$G177,'المرتبطة بسمو الوزير'!$I$2:$I$151,$I177,'المرتبطة بسمو الوزير'!$M$2:$M$151,"&lt;&gt;")+COUNTIFS('الشؤون التنفيذية'!$B$2:$B$421,$B177,'الشؤون التنفيذية'!$G$2:$G$421,$G177,'الشؤون التنفيذية'!$I$2:$I$421,$I177,'الشؤون التنفيذية'!$N$2:$N$421,"&lt;&gt;")+COUNTIFS('الجهاز العسكري'!$B$2:$B$631,$B177,'الجهاز العسكري'!$G$2:$G$631,$G177,'الجهاز العسكري'!$I$2:$I$631,$I177,'الجهاز العسكري'!$M$2:$M$631,"&lt;&gt;")</f>
        <v>2</v>
      </c>
      <c r="N177" s="19">
        <f>IF($L177=0,0,ROUND((SUMIFS('المرتبطة بسمو الوزير'!$M$2:$M$151,'المرتبطة بسمو الوزير'!$B$2:$B$151,$B177,'المرتبطة بسمو الوزير'!$G$2:$G$151,$G177,'المرتبطة بسمو الوزير'!$I$2:$I$151,$I177)+SUMIFS('الشؤون التنفيذية'!$N$2:$N$421,'الشؤون التنفيذية'!$B$2:$B$421,$B177,'الشؤون التنفيذية'!$G$2:$G$421,$G177,'الشؤون التنفيذية'!$I$2:$I$421,$I177)+SUMIFS('الجهاز العسكري'!$M$2:$M$631,'الجهاز العسكري'!$B$2:$B$631,$B177,'الجهاز العسكري'!$G$2:$G$631,$G177,'الجهاز العسكري'!$I$2:$I$631,$I177))/$L177,0))</f>
        <v>40</v>
      </c>
      <c r="O177" s="18"/>
      <c r="P177" s="15">
        <f>SUMIFS(المرجع!$G$2:$G$19,المرجع!$B$2:$B$19,$G177,المرجع!$E$2:$E$19,$I177)</f>
        <v>25</v>
      </c>
      <c r="Q177" s="20">
        <f t="shared" si="3"/>
        <v>10</v>
      </c>
      <c r="R177" s="21" t="str">
        <f>IF($N177&gt;المرجع!$K$3,"متقدم",IF($N177&lt;=المرجع!$K$2,"أولي","جزئي"))</f>
        <v>جزئي</v>
      </c>
    </row>
    <row r="178" spans="1:18">
      <c r="A178" s="16" t="s">
        <v>1618</v>
      </c>
      <c r="B178" s="16" t="s">
        <v>166</v>
      </c>
      <c r="C178" s="15" t="str">
        <f>IFERROR(INDEX('قائمة الوحدات'!$B$2:$B$41,MATCH($B178,'قائمة الوحدات'!$A$2:$A$41,0)),"")</f>
        <v>EXE</v>
      </c>
      <c r="D178" s="14" t="str">
        <f>IFERROR(INDEX('قائمة الوحدات'!$C$2:$C$41,MATCH($B178,'قائمة الوحدات'!$A$2:$A$41,0)),"")</f>
        <v>الشؤون التنفيذية</v>
      </c>
      <c r="E178" s="14" t="str">
        <f>IFERROR(INDEX('قائمة الوحدات'!$D$2:$D$41,MATCH($B178,'قائمة الوحدات'!$A$2:$A$41,0)),"")</f>
        <v>وكالة الشؤون الفنية</v>
      </c>
      <c r="F178" s="14" t="str">
        <f>IFERROR(INDEX('قائمة الوحدات'!$F$2:$F$41,MATCH($B178,'قائمة الوحدات'!$A$2:$A$41,0)),"")</f>
        <v>الإدارة العامة للسلامة والبيئة</v>
      </c>
      <c r="G178" s="16" t="s">
        <v>65</v>
      </c>
      <c r="H178" s="14" t="str">
        <f>IFERROR(INDEX(المرجع!$A$2:$A$19,MATCH($G178,المرجع!$B$2:$B$19,0)),"")</f>
        <v>التشغيل</v>
      </c>
      <c r="I178" s="16" t="s">
        <v>51</v>
      </c>
      <c r="J178" s="14" t="str">
        <f>IFERROR(INDEX(المرجع!$D$2:$D$19,MATCH($I178,المرجع!$E$2:$E$19,0)),"")</f>
        <v>الحوكمة</v>
      </c>
      <c r="K178" s="15">
        <f>IFERROR(INDEX(المرجع!$F$2:$F$19,MATCH($I178,المرجع!$E$2:$E$19,0)),"")</f>
        <v>3</v>
      </c>
      <c r="L178" s="15">
        <f>SUMIFS(المرجع!$H$2:$H$19,المرجع!$B$2:$B$19,$G178,المرجع!$E$2:$E$19,$I178)</f>
        <v>3</v>
      </c>
      <c r="M178" s="15">
        <f>COUNTIFS('المرتبطة بسمو الوزير'!$B$2:$B$151,$B178,'المرتبطة بسمو الوزير'!$G$2:$G$151,$G178,'المرتبطة بسمو الوزير'!$I$2:$I$151,$I178,'المرتبطة بسمو الوزير'!$M$2:$M$151,"&lt;&gt;")+COUNTIFS('الشؤون التنفيذية'!$B$2:$B$421,$B178,'الشؤون التنفيذية'!$G$2:$G$421,$G178,'الشؤون التنفيذية'!$I$2:$I$421,$I178,'الشؤون التنفيذية'!$N$2:$N$421,"&lt;&gt;")+COUNTIFS('الجهاز العسكري'!$B$2:$B$631,$B178,'الجهاز العسكري'!$G$2:$G$631,$G178,'الجهاز العسكري'!$I$2:$I$631,$I178,'الجهاز العسكري'!$M$2:$M$631,"&lt;&gt;")</f>
        <v>3</v>
      </c>
      <c r="N178" s="19">
        <f>IF($L178=0,0,ROUND((SUMIFS('المرتبطة بسمو الوزير'!$M$2:$M$151,'المرتبطة بسمو الوزير'!$B$2:$B$151,$B178,'المرتبطة بسمو الوزير'!$G$2:$G$151,$G178,'المرتبطة بسمو الوزير'!$I$2:$I$151,$I178)+SUMIFS('الشؤون التنفيذية'!$N$2:$N$421,'الشؤون التنفيذية'!$B$2:$B$421,$B178,'الشؤون التنفيذية'!$G$2:$G$421,$G178,'الشؤون التنفيذية'!$I$2:$I$421,$I178)+SUMIFS('الجهاز العسكري'!$M$2:$M$631,'الجهاز العسكري'!$B$2:$B$631,$B178,'الجهاز العسكري'!$G$2:$G$631,$G178,'الجهاز العسكري'!$I$2:$I$631,$I178))/$L178,0))</f>
        <v>33</v>
      </c>
      <c r="O178" s="18"/>
      <c r="P178" s="15">
        <f>SUMIFS(المرجع!$G$2:$G$19,المرجع!$B$2:$B$19,$G178,المرجع!$E$2:$E$19,$I178)</f>
        <v>15</v>
      </c>
      <c r="Q178" s="20">
        <f t="shared" si="3"/>
        <v>4.95</v>
      </c>
      <c r="R178" s="21" t="str">
        <f>IF($N178&gt;المرجع!$K$3,"متقدم",IF($N178&lt;=المرجع!$K$2,"أولي","جزئي"))</f>
        <v>جزئي</v>
      </c>
    </row>
    <row r="179" spans="1:18">
      <c r="A179" s="16" t="s">
        <v>1619</v>
      </c>
      <c r="B179" s="16" t="s">
        <v>166</v>
      </c>
      <c r="C179" s="15" t="str">
        <f>IFERROR(INDEX('قائمة الوحدات'!$B$2:$B$41,MATCH($B179,'قائمة الوحدات'!$A$2:$A$41,0)),"")</f>
        <v>EXE</v>
      </c>
      <c r="D179" s="14" t="str">
        <f>IFERROR(INDEX('قائمة الوحدات'!$C$2:$C$41,MATCH($B179,'قائمة الوحدات'!$A$2:$A$41,0)),"")</f>
        <v>الشؤون التنفيذية</v>
      </c>
      <c r="E179" s="14" t="str">
        <f>IFERROR(INDEX('قائمة الوحدات'!$D$2:$D$41,MATCH($B179,'قائمة الوحدات'!$A$2:$A$41,0)),"")</f>
        <v>وكالة الشؤون الفنية</v>
      </c>
      <c r="F179" s="14" t="str">
        <f>IFERROR(INDEX('قائمة الوحدات'!$F$2:$F$41,MATCH($B179,'قائمة الوحدات'!$A$2:$A$41,0)),"")</f>
        <v>الإدارة العامة للسلامة والبيئة</v>
      </c>
      <c r="G179" s="16" t="s">
        <v>65</v>
      </c>
      <c r="H179" s="14" t="str">
        <f>IFERROR(INDEX(المرجع!$A$2:$A$19,MATCH($G179,المرجع!$B$2:$B$19,0)),"")</f>
        <v>التشغيل</v>
      </c>
      <c r="I179" s="16" t="s">
        <v>56</v>
      </c>
      <c r="J179" s="14" t="str">
        <f>IFERROR(INDEX(المرجع!$D$2:$D$19,MATCH($I179,المرجع!$E$2:$E$19,0)),"")</f>
        <v>الموارد</v>
      </c>
      <c r="K179" s="15">
        <f>IFERROR(INDEX(المرجع!$F$2:$F$19,MATCH($I179,المرجع!$E$2:$E$19,0)),"")</f>
        <v>5</v>
      </c>
      <c r="L179" s="15">
        <f>SUMIFS(المرجع!$H$2:$H$19,المرجع!$B$2:$B$19,$G179,المرجع!$E$2:$E$19,$I179)</f>
        <v>1</v>
      </c>
      <c r="M179" s="15">
        <f>COUNTIFS('المرتبطة بسمو الوزير'!$B$2:$B$151,$B179,'المرتبطة بسمو الوزير'!$G$2:$G$151,$G179,'المرتبطة بسمو الوزير'!$I$2:$I$151,$I179,'المرتبطة بسمو الوزير'!$M$2:$M$151,"&lt;&gt;")+COUNTIFS('الشؤون التنفيذية'!$B$2:$B$421,$B179,'الشؤون التنفيذية'!$G$2:$G$421,$G179,'الشؤون التنفيذية'!$I$2:$I$421,$I179,'الشؤون التنفيذية'!$N$2:$N$421,"&lt;&gt;")+COUNTIFS('الجهاز العسكري'!$B$2:$B$631,$B179,'الجهاز العسكري'!$G$2:$G$631,$G179,'الجهاز العسكري'!$I$2:$I$631,$I179,'الجهاز العسكري'!$M$2:$M$631,"&lt;&gt;")</f>
        <v>1</v>
      </c>
      <c r="N179" s="19">
        <f>IF($L179=0,0,ROUND((SUMIFS('المرتبطة بسمو الوزير'!$M$2:$M$151,'المرتبطة بسمو الوزير'!$B$2:$B$151,$B179,'المرتبطة بسمو الوزير'!$G$2:$G$151,$G179,'المرتبطة بسمو الوزير'!$I$2:$I$151,$I179)+SUMIFS('الشؤون التنفيذية'!$N$2:$N$421,'الشؤون التنفيذية'!$B$2:$B$421,$B179,'الشؤون التنفيذية'!$G$2:$G$421,$G179,'الشؤون التنفيذية'!$I$2:$I$421,$I179)+SUMIFS('الجهاز العسكري'!$M$2:$M$631,'الجهاز العسكري'!$B$2:$B$631,$B179,'الجهاز العسكري'!$G$2:$G$631,$G179,'الجهاز العسكري'!$I$2:$I$631,$I179))/$L179,0))</f>
        <v>31</v>
      </c>
      <c r="O179" s="18"/>
      <c r="P179" s="15">
        <f>SUMIFS(المرجع!$G$2:$G$19,المرجع!$B$2:$B$19,$G179,المرجع!$E$2:$E$19,$I179)</f>
        <v>15</v>
      </c>
      <c r="Q179" s="20">
        <f t="shared" si="3"/>
        <v>4.6500000000000004</v>
      </c>
      <c r="R179" s="21" t="str">
        <f>IF($N179&gt;المرجع!$K$3,"متقدم",IF($N179&lt;=المرجع!$K$2,"أولي","جزئي"))</f>
        <v>جزئي</v>
      </c>
    </row>
    <row r="180" spans="1:18">
      <c r="A180" s="16" t="s">
        <v>1620</v>
      </c>
      <c r="B180" s="16" t="s">
        <v>166</v>
      </c>
      <c r="C180" s="15" t="str">
        <f>IFERROR(INDEX('قائمة الوحدات'!$B$2:$B$41,MATCH($B180,'قائمة الوحدات'!$A$2:$A$41,0)),"")</f>
        <v>EXE</v>
      </c>
      <c r="D180" s="14" t="str">
        <f>IFERROR(INDEX('قائمة الوحدات'!$C$2:$C$41,MATCH($B180,'قائمة الوحدات'!$A$2:$A$41,0)),"")</f>
        <v>الشؤون التنفيذية</v>
      </c>
      <c r="E180" s="14" t="str">
        <f>IFERROR(INDEX('قائمة الوحدات'!$D$2:$D$41,MATCH($B180,'قائمة الوحدات'!$A$2:$A$41,0)),"")</f>
        <v>وكالة الشؤون الفنية</v>
      </c>
      <c r="F180" s="14" t="str">
        <f>IFERROR(INDEX('قائمة الوحدات'!$F$2:$F$41,MATCH($B180,'قائمة الوحدات'!$A$2:$A$41,0)),"")</f>
        <v>الإدارة العامة للسلامة والبيئة</v>
      </c>
      <c r="G180" s="16" t="s">
        <v>65</v>
      </c>
      <c r="H180" s="14" t="str">
        <f>IFERROR(INDEX(المرجع!$A$2:$A$19,MATCH($G180,المرجع!$B$2:$B$19,0)),"")</f>
        <v>التشغيل</v>
      </c>
      <c r="I180" s="16" t="s">
        <v>59</v>
      </c>
      <c r="J180" s="14" t="str">
        <f>IFERROR(INDEX(المرجع!$D$2:$D$19,MATCH($I180,المرجع!$E$2:$E$19,0)),"")</f>
        <v>الإجراءات</v>
      </c>
      <c r="K180" s="15">
        <f>IFERROR(INDEX(المرجع!$F$2:$F$19,MATCH($I180,المرجع!$E$2:$E$19,0)),"")</f>
        <v>6</v>
      </c>
      <c r="L180" s="15">
        <f>SUMIFS(المرجع!$H$2:$H$19,المرجع!$B$2:$B$19,$G180,المرجع!$E$2:$E$19,$I180)</f>
        <v>1</v>
      </c>
      <c r="M180" s="15">
        <f>COUNTIFS('المرتبطة بسمو الوزير'!$B$2:$B$151,$B180,'المرتبطة بسمو الوزير'!$G$2:$G$151,$G180,'المرتبطة بسمو الوزير'!$I$2:$I$151,$I180,'المرتبطة بسمو الوزير'!$M$2:$M$151,"&lt;&gt;")+COUNTIFS('الشؤون التنفيذية'!$B$2:$B$421,$B180,'الشؤون التنفيذية'!$G$2:$G$421,$G180,'الشؤون التنفيذية'!$I$2:$I$421,$I180,'الشؤون التنفيذية'!$N$2:$N$421,"&lt;&gt;")+COUNTIFS('الجهاز العسكري'!$B$2:$B$631,$B180,'الجهاز العسكري'!$G$2:$G$631,$G180,'الجهاز العسكري'!$I$2:$I$631,$I180,'الجهاز العسكري'!$M$2:$M$631,"&lt;&gt;")</f>
        <v>1</v>
      </c>
      <c r="N180" s="19">
        <f>IF($L180=0,0,ROUND((SUMIFS('المرتبطة بسمو الوزير'!$M$2:$M$151,'المرتبطة بسمو الوزير'!$B$2:$B$151,$B180,'المرتبطة بسمو الوزير'!$G$2:$G$151,$G180,'المرتبطة بسمو الوزير'!$I$2:$I$151,$I180)+SUMIFS('الشؤون التنفيذية'!$N$2:$N$421,'الشؤون التنفيذية'!$B$2:$B$421,$B180,'الشؤون التنفيذية'!$G$2:$G$421,$G180,'الشؤون التنفيذية'!$I$2:$I$421,$I180)+SUMIFS('الجهاز العسكري'!$M$2:$M$631,'الجهاز العسكري'!$B$2:$B$631,$B180,'الجهاز العسكري'!$G$2:$G$631,$G180,'الجهاز العسكري'!$I$2:$I$631,$I180))/$L180,0))</f>
        <v>57</v>
      </c>
      <c r="O180" s="18"/>
      <c r="P180" s="15">
        <f>SUMIFS(المرجع!$G$2:$G$19,المرجع!$B$2:$B$19,$G180,المرجع!$E$2:$E$19,$I180)</f>
        <v>15</v>
      </c>
      <c r="Q180" s="20">
        <f t="shared" si="3"/>
        <v>8.5500000000000007</v>
      </c>
      <c r="R180" s="21" t="str">
        <f>IF($N180&gt;المرجع!$K$3,"متقدم",IF($N180&lt;=المرجع!$K$2,"أولي","جزئي"))</f>
        <v>جزئي</v>
      </c>
    </row>
    <row r="181" spans="1:18">
      <c r="A181" s="16" t="s">
        <v>1621</v>
      </c>
      <c r="B181" s="16" t="s">
        <v>166</v>
      </c>
      <c r="C181" s="15" t="str">
        <f>IFERROR(INDEX('قائمة الوحدات'!$B$2:$B$41,MATCH($B181,'قائمة الوحدات'!$A$2:$A$41,0)),"")</f>
        <v>EXE</v>
      </c>
      <c r="D181" s="14" t="str">
        <f>IFERROR(INDEX('قائمة الوحدات'!$C$2:$C$41,MATCH($B181,'قائمة الوحدات'!$A$2:$A$41,0)),"")</f>
        <v>الشؤون التنفيذية</v>
      </c>
      <c r="E181" s="14" t="str">
        <f>IFERROR(INDEX('قائمة الوحدات'!$D$2:$D$41,MATCH($B181,'قائمة الوحدات'!$A$2:$A$41,0)),"")</f>
        <v>وكالة الشؤون الفنية</v>
      </c>
      <c r="F181" s="14" t="str">
        <f>IFERROR(INDEX('قائمة الوحدات'!$F$2:$F$41,MATCH($B181,'قائمة الوحدات'!$A$2:$A$41,0)),"")</f>
        <v>الإدارة العامة للسلامة والبيئة</v>
      </c>
      <c r="G181" s="16" t="s">
        <v>65</v>
      </c>
      <c r="H181" s="14" t="str">
        <f>IFERROR(INDEX(المرجع!$A$2:$A$19,MATCH($G181,المرجع!$B$2:$B$19,0)),"")</f>
        <v>التشغيل</v>
      </c>
      <c r="I181" s="16" t="s">
        <v>67</v>
      </c>
      <c r="J181" s="14" t="str">
        <f>IFERROR(INDEX(المرجع!$D$2:$D$19,MATCH($I181,المرجع!$E$2:$E$19,0)),"")</f>
        <v>اكتمال المخرجات المستهدفة</v>
      </c>
      <c r="K181" s="15">
        <f>IFERROR(INDEX(المرجع!$F$2:$F$19,MATCH($I181,المرجع!$E$2:$E$19,0)),"")</f>
        <v>8</v>
      </c>
      <c r="L181" s="15">
        <f>SUMIFS(المرجع!$H$2:$H$19,المرجع!$B$2:$B$19,$G181,المرجع!$E$2:$E$19,$I181)</f>
        <v>1</v>
      </c>
      <c r="M181" s="15">
        <f>COUNTIFS('المرتبطة بسمو الوزير'!$B$2:$B$151,$B181,'المرتبطة بسمو الوزير'!$G$2:$G$151,$G181,'المرتبطة بسمو الوزير'!$I$2:$I$151,$I181,'المرتبطة بسمو الوزير'!$M$2:$M$151,"&lt;&gt;")+COUNTIFS('الشؤون التنفيذية'!$B$2:$B$421,$B181,'الشؤون التنفيذية'!$G$2:$G$421,$G181,'الشؤون التنفيذية'!$I$2:$I$421,$I181,'الشؤون التنفيذية'!$N$2:$N$421,"&lt;&gt;")+COUNTIFS('الجهاز العسكري'!$B$2:$B$631,$B181,'الجهاز العسكري'!$G$2:$G$631,$G181,'الجهاز العسكري'!$I$2:$I$631,$I181,'الجهاز العسكري'!$M$2:$M$631,"&lt;&gt;")</f>
        <v>1</v>
      </c>
      <c r="N181" s="19">
        <f>IF($L181=0,0,ROUND((SUMIFS('المرتبطة بسمو الوزير'!$M$2:$M$151,'المرتبطة بسمو الوزير'!$B$2:$B$151,$B181,'المرتبطة بسمو الوزير'!$G$2:$G$151,$G181,'المرتبطة بسمو الوزير'!$I$2:$I$151,$I181)+SUMIFS('الشؤون التنفيذية'!$N$2:$N$421,'الشؤون التنفيذية'!$B$2:$B$421,$B181,'الشؤون التنفيذية'!$G$2:$G$421,$G181,'الشؤون التنفيذية'!$I$2:$I$421,$I181)+SUMIFS('الجهاز العسكري'!$M$2:$M$631,'الجهاز العسكري'!$B$2:$B$631,$B181,'الجهاز العسكري'!$G$2:$G$631,$G181,'الجهاز العسكري'!$I$2:$I$631,$I181))/$L181,0))</f>
        <v>31</v>
      </c>
      <c r="O181" s="18"/>
      <c r="P181" s="15">
        <f>SUMIFS(المرجع!$G$2:$G$19,المرجع!$B$2:$B$19,$G181,المرجع!$E$2:$E$19,$I181)</f>
        <v>30</v>
      </c>
      <c r="Q181" s="20">
        <f t="shared" si="3"/>
        <v>9.3000000000000007</v>
      </c>
      <c r="R181" s="21" t="str">
        <f>IF($N181&gt;المرجع!$K$3,"متقدم",IF($N181&lt;=المرجع!$K$2,"أولي","جزئي"))</f>
        <v>جزئي</v>
      </c>
    </row>
    <row r="182" spans="1:18">
      <c r="A182" s="16" t="s">
        <v>1622</v>
      </c>
      <c r="B182" s="16" t="s">
        <v>168</v>
      </c>
      <c r="C182" s="15" t="str">
        <f>IFERROR(INDEX('قائمة الوحدات'!$B$2:$B$41,MATCH($B182,'قائمة الوحدات'!$A$2:$A$41,0)),"")</f>
        <v>EXE</v>
      </c>
      <c r="D182" s="14" t="str">
        <f>IFERROR(INDEX('قائمة الوحدات'!$C$2:$C$41,MATCH($B182,'قائمة الوحدات'!$A$2:$A$41,0)),"")</f>
        <v>الشؤون التنفيذية</v>
      </c>
      <c r="E182" s="14" t="str">
        <f>IFERROR(INDEX('قائمة الوحدات'!$D$2:$D$41,MATCH($B182,'قائمة الوحدات'!$A$2:$A$41,0)),"")</f>
        <v>وكالة الشؤون الفنية</v>
      </c>
      <c r="F182" s="14" t="str">
        <f>IFERROR(INDEX('قائمة الوحدات'!$F$2:$F$41,MATCH($B182,'قائمة الوحدات'!$A$2:$A$41,0)),"")</f>
        <v>الإدارة العامة للأصول والمرافق</v>
      </c>
      <c r="G182" s="16" t="s">
        <v>43</v>
      </c>
      <c r="H182" s="14" t="str">
        <f>IFERROR(INDEX(المرجع!$A$2:$A$19,MATCH($G182,المرجع!$B$2:$B$19,0)),"")</f>
        <v>التصميم</v>
      </c>
      <c r="I182" s="16" t="s">
        <v>45</v>
      </c>
      <c r="J182" s="14" t="str">
        <f>IFERROR(INDEX(المرجع!$D$2:$D$19,MATCH($I182,المرجع!$E$2:$E$19,0)),"")</f>
        <v>الدور</v>
      </c>
      <c r="K182" s="15">
        <f>IFERROR(INDEX(المرجع!$F$2:$F$19,MATCH($I182,المرجع!$E$2:$E$19,0)),"")</f>
        <v>1</v>
      </c>
      <c r="L182" s="15">
        <f>SUMIFS(المرجع!$H$2:$H$19,المرجع!$B$2:$B$19,$G182,المرجع!$E$2:$E$19,$I182)</f>
        <v>1</v>
      </c>
      <c r="M182" s="15">
        <f>COUNTIFS('المرتبطة بسمو الوزير'!$B$2:$B$151,$B182,'المرتبطة بسمو الوزير'!$G$2:$G$151,$G182,'المرتبطة بسمو الوزير'!$I$2:$I$151,$I182,'المرتبطة بسمو الوزير'!$M$2:$M$151,"&lt;&gt;")+COUNTIFS('الشؤون التنفيذية'!$B$2:$B$421,$B182,'الشؤون التنفيذية'!$G$2:$G$421,$G182,'الشؤون التنفيذية'!$I$2:$I$421,$I182,'الشؤون التنفيذية'!$N$2:$N$421,"&lt;&gt;")+COUNTIFS('الجهاز العسكري'!$B$2:$B$631,$B182,'الجهاز العسكري'!$G$2:$G$631,$G182,'الجهاز العسكري'!$I$2:$I$631,$I182,'الجهاز العسكري'!$M$2:$M$631,"&lt;&gt;")</f>
        <v>1</v>
      </c>
      <c r="N182" s="19">
        <f>IF($L182=0,0,ROUND((SUMIFS('المرتبطة بسمو الوزير'!$M$2:$M$151,'المرتبطة بسمو الوزير'!$B$2:$B$151,$B182,'المرتبطة بسمو الوزير'!$G$2:$G$151,$G182,'المرتبطة بسمو الوزير'!$I$2:$I$151,$I182)+SUMIFS('الشؤون التنفيذية'!$N$2:$N$421,'الشؤون التنفيذية'!$B$2:$B$421,$B182,'الشؤون التنفيذية'!$G$2:$G$421,$G182,'الشؤون التنفيذية'!$I$2:$I$421,$I182)+SUMIFS('الجهاز العسكري'!$M$2:$M$631,'الجهاز العسكري'!$B$2:$B$631,$B182,'الجهاز العسكري'!$G$2:$G$631,$G182,'الجهاز العسكري'!$I$2:$I$631,$I182))/$L182,0))</f>
        <v>91</v>
      </c>
      <c r="O182" s="18"/>
      <c r="P182" s="15">
        <f>SUMIFS(المرجع!$G$2:$G$19,المرجع!$B$2:$B$19,$G182,المرجع!$E$2:$E$19,$I182)</f>
        <v>25</v>
      </c>
      <c r="Q182" s="20">
        <f t="shared" si="3"/>
        <v>22.75</v>
      </c>
      <c r="R182" s="21" t="str">
        <f>IF($N182&gt;المرجع!$K$3,"متقدم",IF($N182&lt;=المرجع!$K$2,"أولي","جزئي"))</f>
        <v>متقدم</v>
      </c>
    </row>
    <row r="183" spans="1:18">
      <c r="A183" s="16" t="s">
        <v>1623</v>
      </c>
      <c r="B183" s="16" t="s">
        <v>168</v>
      </c>
      <c r="C183" s="15" t="str">
        <f>IFERROR(INDEX('قائمة الوحدات'!$B$2:$B$41,MATCH($B183,'قائمة الوحدات'!$A$2:$A$41,0)),"")</f>
        <v>EXE</v>
      </c>
      <c r="D183" s="14" t="str">
        <f>IFERROR(INDEX('قائمة الوحدات'!$C$2:$C$41,MATCH($B183,'قائمة الوحدات'!$A$2:$A$41,0)),"")</f>
        <v>الشؤون التنفيذية</v>
      </c>
      <c r="E183" s="14" t="str">
        <f>IFERROR(INDEX('قائمة الوحدات'!$D$2:$D$41,MATCH($B183,'قائمة الوحدات'!$A$2:$A$41,0)),"")</f>
        <v>وكالة الشؤون الفنية</v>
      </c>
      <c r="F183" s="14" t="str">
        <f>IFERROR(INDEX('قائمة الوحدات'!$F$2:$F$41,MATCH($B183,'قائمة الوحدات'!$A$2:$A$41,0)),"")</f>
        <v>الإدارة العامة للأصول والمرافق</v>
      </c>
      <c r="G183" s="16" t="s">
        <v>43</v>
      </c>
      <c r="H183" s="14" t="str">
        <f>IFERROR(INDEX(المرجع!$A$2:$A$19,MATCH($G183,المرجع!$B$2:$B$19,0)),"")</f>
        <v>التصميم</v>
      </c>
      <c r="I183" s="16" t="s">
        <v>48</v>
      </c>
      <c r="J183" s="14" t="str">
        <f>IFERROR(INDEX(المرجع!$D$2:$D$19,MATCH($I183,المرجع!$E$2:$E$19,0)),"")</f>
        <v>الأهداف ومؤشرات الأداء</v>
      </c>
      <c r="K183" s="15">
        <f>IFERROR(INDEX(المرجع!$F$2:$F$19,MATCH($I183,المرجع!$E$2:$E$19,0)),"")</f>
        <v>2</v>
      </c>
      <c r="L183" s="15">
        <f>SUMIFS(المرجع!$H$2:$H$19,المرجع!$B$2:$B$19,$G183,المرجع!$E$2:$E$19,$I183)</f>
        <v>2</v>
      </c>
      <c r="M183" s="15">
        <f>COUNTIFS('المرتبطة بسمو الوزير'!$B$2:$B$151,$B183,'المرتبطة بسمو الوزير'!$G$2:$G$151,$G183,'المرتبطة بسمو الوزير'!$I$2:$I$151,$I183,'المرتبطة بسمو الوزير'!$M$2:$M$151,"&lt;&gt;")+COUNTIFS('الشؤون التنفيذية'!$B$2:$B$421,$B183,'الشؤون التنفيذية'!$G$2:$G$421,$G183,'الشؤون التنفيذية'!$I$2:$I$421,$I183,'الشؤون التنفيذية'!$N$2:$N$421,"&lt;&gt;")+COUNTIFS('الجهاز العسكري'!$B$2:$B$631,$B183,'الجهاز العسكري'!$G$2:$G$631,$G183,'الجهاز العسكري'!$I$2:$I$631,$I183,'الجهاز العسكري'!$M$2:$M$631,"&lt;&gt;")</f>
        <v>2</v>
      </c>
      <c r="N183" s="19">
        <f>IF($L183=0,0,ROUND((SUMIFS('المرتبطة بسمو الوزير'!$M$2:$M$151,'المرتبطة بسمو الوزير'!$B$2:$B$151,$B183,'المرتبطة بسمو الوزير'!$G$2:$G$151,$G183,'المرتبطة بسمو الوزير'!$I$2:$I$151,$I183)+SUMIFS('الشؤون التنفيذية'!$N$2:$N$421,'الشؤون التنفيذية'!$B$2:$B$421,$B183,'الشؤون التنفيذية'!$G$2:$G$421,$G183,'الشؤون التنفيذية'!$I$2:$I$421,$I183)+SUMIFS('الجهاز العسكري'!$M$2:$M$631,'الجهاز العسكري'!$B$2:$B$631,$B183,'الجهاز العسكري'!$G$2:$G$631,$G183,'الجهاز العسكري'!$I$2:$I$631,$I183))/$L183,0))</f>
        <v>73</v>
      </c>
      <c r="O183" s="18"/>
      <c r="P183" s="15">
        <f>SUMIFS(المرجع!$G$2:$G$19,المرجع!$B$2:$B$19,$G183,المرجع!$E$2:$E$19,$I183)</f>
        <v>15</v>
      </c>
      <c r="Q183" s="20">
        <f t="shared" si="3"/>
        <v>10.95</v>
      </c>
      <c r="R183" s="21" t="str">
        <f>IF($N183&gt;المرجع!$K$3,"متقدم",IF($N183&lt;=المرجع!$K$2,"أولي","جزئي"))</f>
        <v>متقدم</v>
      </c>
    </row>
    <row r="184" spans="1:18">
      <c r="A184" s="16" t="s">
        <v>1624</v>
      </c>
      <c r="B184" s="16" t="s">
        <v>168</v>
      </c>
      <c r="C184" s="15" t="str">
        <f>IFERROR(INDEX('قائمة الوحدات'!$B$2:$B$41,MATCH($B184,'قائمة الوحدات'!$A$2:$A$41,0)),"")</f>
        <v>EXE</v>
      </c>
      <c r="D184" s="14" t="str">
        <f>IFERROR(INDEX('قائمة الوحدات'!$C$2:$C$41,MATCH($B184,'قائمة الوحدات'!$A$2:$A$41,0)),"")</f>
        <v>الشؤون التنفيذية</v>
      </c>
      <c r="E184" s="14" t="str">
        <f>IFERROR(INDEX('قائمة الوحدات'!$D$2:$D$41,MATCH($B184,'قائمة الوحدات'!$A$2:$A$41,0)),"")</f>
        <v>وكالة الشؤون الفنية</v>
      </c>
      <c r="F184" s="14" t="str">
        <f>IFERROR(INDEX('قائمة الوحدات'!$F$2:$F$41,MATCH($B184,'قائمة الوحدات'!$A$2:$A$41,0)),"")</f>
        <v>الإدارة العامة للأصول والمرافق</v>
      </c>
      <c r="G184" s="16" t="s">
        <v>43</v>
      </c>
      <c r="H184" s="14" t="str">
        <f>IFERROR(INDEX(المرجع!$A$2:$A$19,MATCH($G184,المرجع!$B$2:$B$19,0)),"")</f>
        <v>التصميم</v>
      </c>
      <c r="I184" s="16" t="s">
        <v>51</v>
      </c>
      <c r="J184" s="14" t="str">
        <f>IFERROR(INDEX(المرجع!$D$2:$D$19,MATCH($I184,المرجع!$E$2:$E$19,0)),"")</f>
        <v>الحوكمة</v>
      </c>
      <c r="K184" s="15">
        <f>IFERROR(INDEX(المرجع!$F$2:$F$19,MATCH($I184,المرجع!$E$2:$E$19,0)),"")</f>
        <v>3</v>
      </c>
      <c r="L184" s="15">
        <f>SUMIFS(المرجع!$H$2:$H$19,المرجع!$B$2:$B$19,$G184,المرجع!$E$2:$E$19,$I184)</f>
        <v>1</v>
      </c>
      <c r="M184" s="15">
        <f>COUNTIFS('المرتبطة بسمو الوزير'!$B$2:$B$151,$B184,'المرتبطة بسمو الوزير'!$G$2:$G$151,$G184,'المرتبطة بسمو الوزير'!$I$2:$I$151,$I184,'المرتبطة بسمو الوزير'!$M$2:$M$151,"&lt;&gt;")+COUNTIFS('الشؤون التنفيذية'!$B$2:$B$421,$B184,'الشؤون التنفيذية'!$G$2:$G$421,$G184,'الشؤون التنفيذية'!$I$2:$I$421,$I184,'الشؤون التنفيذية'!$N$2:$N$421,"&lt;&gt;")+COUNTIFS('الجهاز العسكري'!$B$2:$B$631,$B184,'الجهاز العسكري'!$G$2:$G$631,$G184,'الجهاز العسكري'!$I$2:$I$631,$I184,'الجهاز العسكري'!$M$2:$M$631,"&lt;&gt;")</f>
        <v>1</v>
      </c>
      <c r="N184" s="19">
        <f>IF($L184=0,0,ROUND((SUMIFS('المرتبطة بسمو الوزير'!$M$2:$M$151,'المرتبطة بسمو الوزير'!$B$2:$B$151,$B184,'المرتبطة بسمو الوزير'!$G$2:$G$151,$G184,'المرتبطة بسمو الوزير'!$I$2:$I$151,$I184)+SUMIFS('الشؤون التنفيذية'!$N$2:$N$421,'الشؤون التنفيذية'!$B$2:$B$421,$B184,'الشؤون التنفيذية'!$G$2:$G$421,$G184,'الشؤون التنفيذية'!$I$2:$I$421,$I184)+SUMIFS('الجهاز العسكري'!$M$2:$M$631,'الجهاز العسكري'!$B$2:$B$631,$B184,'الجهاز العسكري'!$G$2:$G$631,$G184,'الجهاز العسكري'!$I$2:$I$631,$I184))/$L184,0))</f>
        <v>71</v>
      </c>
      <c r="O184" s="18"/>
      <c r="P184" s="15">
        <f>SUMIFS(المرجع!$G$2:$G$19,المرجع!$B$2:$B$19,$G184,المرجع!$E$2:$E$19,$I184)</f>
        <v>15</v>
      </c>
      <c r="Q184" s="20">
        <f t="shared" si="3"/>
        <v>10.65</v>
      </c>
      <c r="R184" s="21" t="str">
        <f>IF($N184&gt;المرجع!$K$3,"متقدم",IF($N184&lt;=المرجع!$K$2,"أولي","جزئي"))</f>
        <v>متقدم</v>
      </c>
    </row>
    <row r="185" spans="1:18">
      <c r="A185" s="16" t="s">
        <v>1625</v>
      </c>
      <c r="B185" s="16" t="s">
        <v>168</v>
      </c>
      <c r="C185" s="15" t="str">
        <f>IFERROR(INDEX('قائمة الوحدات'!$B$2:$B$41,MATCH($B185,'قائمة الوحدات'!$A$2:$A$41,0)),"")</f>
        <v>EXE</v>
      </c>
      <c r="D185" s="14" t="str">
        <f>IFERROR(INDEX('قائمة الوحدات'!$C$2:$C$41,MATCH($B185,'قائمة الوحدات'!$A$2:$A$41,0)),"")</f>
        <v>الشؤون التنفيذية</v>
      </c>
      <c r="E185" s="14" t="str">
        <f>IFERROR(INDEX('قائمة الوحدات'!$D$2:$D$41,MATCH($B185,'قائمة الوحدات'!$A$2:$A$41,0)),"")</f>
        <v>وكالة الشؤون الفنية</v>
      </c>
      <c r="F185" s="14" t="str">
        <f>IFERROR(INDEX('قائمة الوحدات'!$F$2:$F$41,MATCH($B185,'قائمة الوحدات'!$A$2:$A$41,0)),"")</f>
        <v>الإدارة العامة للأصول والمرافق</v>
      </c>
      <c r="G185" s="16" t="s">
        <v>43</v>
      </c>
      <c r="H185" s="14" t="str">
        <f>IFERROR(INDEX(المرجع!$A$2:$A$19,MATCH($G185,المرجع!$B$2:$B$19,0)),"")</f>
        <v>التصميم</v>
      </c>
      <c r="I185" s="16" t="s">
        <v>54</v>
      </c>
      <c r="J185" s="14" t="str">
        <f>IFERROR(INDEX(المرجع!$D$2:$D$19,MATCH($I185,المرجع!$E$2:$E$19,0)),"")</f>
        <v>التنظيم</v>
      </c>
      <c r="K185" s="15">
        <f>IFERROR(INDEX(المرجع!$F$2:$F$19,MATCH($I185,المرجع!$E$2:$E$19,0)),"")</f>
        <v>4</v>
      </c>
      <c r="L185" s="15">
        <f>SUMIFS(المرجع!$H$2:$H$19,المرجع!$B$2:$B$19,$G185,المرجع!$E$2:$E$19,$I185)</f>
        <v>1</v>
      </c>
      <c r="M185" s="15">
        <f>COUNTIFS('المرتبطة بسمو الوزير'!$B$2:$B$151,$B185,'المرتبطة بسمو الوزير'!$G$2:$G$151,$G185,'المرتبطة بسمو الوزير'!$I$2:$I$151,$I185,'المرتبطة بسمو الوزير'!$M$2:$M$151,"&lt;&gt;")+COUNTIFS('الشؤون التنفيذية'!$B$2:$B$421,$B185,'الشؤون التنفيذية'!$G$2:$G$421,$G185,'الشؤون التنفيذية'!$I$2:$I$421,$I185,'الشؤون التنفيذية'!$N$2:$N$421,"&lt;&gt;")+COUNTIFS('الجهاز العسكري'!$B$2:$B$631,$B185,'الجهاز العسكري'!$G$2:$G$631,$G185,'الجهاز العسكري'!$I$2:$I$631,$I185,'الجهاز العسكري'!$M$2:$M$631,"&lt;&gt;")</f>
        <v>1</v>
      </c>
      <c r="N185" s="19">
        <f>IF($L185=0,0,ROUND((SUMIFS('المرتبطة بسمو الوزير'!$M$2:$M$151,'المرتبطة بسمو الوزير'!$B$2:$B$151,$B185,'المرتبطة بسمو الوزير'!$G$2:$G$151,$G185,'المرتبطة بسمو الوزير'!$I$2:$I$151,$I185)+SUMIFS('الشؤون التنفيذية'!$N$2:$N$421,'الشؤون التنفيذية'!$B$2:$B$421,$B185,'الشؤون التنفيذية'!$G$2:$G$421,$G185,'الشؤون التنفيذية'!$I$2:$I$421,$I185)+SUMIFS('الجهاز العسكري'!$M$2:$M$631,'الجهاز العسكري'!$B$2:$B$631,$B185,'الجهاز العسكري'!$G$2:$G$631,$G185,'الجهاز العسكري'!$I$2:$I$631,$I185))/$L185,0))</f>
        <v>68</v>
      </c>
      <c r="O185" s="18"/>
      <c r="P185" s="15">
        <f>SUMIFS(المرجع!$G$2:$G$19,المرجع!$B$2:$B$19,$G185,المرجع!$E$2:$E$19,$I185)</f>
        <v>20</v>
      </c>
      <c r="Q185" s="20">
        <f t="shared" si="3"/>
        <v>13.6</v>
      </c>
      <c r="R185" s="21" t="str">
        <f>IF($N185&gt;المرجع!$K$3,"متقدم",IF($N185&lt;=المرجع!$K$2,"أولي","جزئي"))</f>
        <v>جزئي</v>
      </c>
    </row>
    <row r="186" spans="1:18">
      <c r="A186" s="16" t="s">
        <v>1626</v>
      </c>
      <c r="B186" s="16" t="s">
        <v>168</v>
      </c>
      <c r="C186" s="15" t="str">
        <f>IFERROR(INDEX('قائمة الوحدات'!$B$2:$B$41,MATCH($B186,'قائمة الوحدات'!$A$2:$A$41,0)),"")</f>
        <v>EXE</v>
      </c>
      <c r="D186" s="14" t="str">
        <f>IFERROR(INDEX('قائمة الوحدات'!$C$2:$C$41,MATCH($B186,'قائمة الوحدات'!$A$2:$A$41,0)),"")</f>
        <v>الشؤون التنفيذية</v>
      </c>
      <c r="E186" s="14" t="str">
        <f>IFERROR(INDEX('قائمة الوحدات'!$D$2:$D$41,MATCH($B186,'قائمة الوحدات'!$A$2:$A$41,0)),"")</f>
        <v>وكالة الشؤون الفنية</v>
      </c>
      <c r="F186" s="14" t="str">
        <f>IFERROR(INDEX('قائمة الوحدات'!$F$2:$F$41,MATCH($B186,'قائمة الوحدات'!$A$2:$A$41,0)),"")</f>
        <v>الإدارة العامة للأصول والمرافق</v>
      </c>
      <c r="G186" s="16" t="s">
        <v>43</v>
      </c>
      <c r="H186" s="14" t="str">
        <f>IFERROR(INDEX(المرجع!$A$2:$A$19,MATCH($G186,المرجع!$B$2:$B$19,0)),"")</f>
        <v>التصميم</v>
      </c>
      <c r="I186" s="16" t="s">
        <v>56</v>
      </c>
      <c r="J186" s="14" t="str">
        <f>IFERROR(INDEX(المرجع!$D$2:$D$19,MATCH($I186,المرجع!$E$2:$E$19,0)),"")</f>
        <v>الموارد</v>
      </c>
      <c r="K186" s="15">
        <f>IFERROR(INDEX(المرجع!$F$2:$F$19,MATCH($I186,المرجع!$E$2:$E$19,0)),"")</f>
        <v>5</v>
      </c>
      <c r="L186" s="15">
        <f>SUMIFS(المرجع!$H$2:$H$19,المرجع!$B$2:$B$19,$G186,المرجع!$E$2:$E$19,$I186)</f>
        <v>1</v>
      </c>
      <c r="M186" s="15">
        <f>COUNTIFS('المرتبطة بسمو الوزير'!$B$2:$B$151,$B186,'المرتبطة بسمو الوزير'!$G$2:$G$151,$G186,'المرتبطة بسمو الوزير'!$I$2:$I$151,$I186,'المرتبطة بسمو الوزير'!$M$2:$M$151,"&lt;&gt;")+COUNTIFS('الشؤون التنفيذية'!$B$2:$B$421,$B186,'الشؤون التنفيذية'!$G$2:$G$421,$G186,'الشؤون التنفيذية'!$I$2:$I$421,$I186,'الشؤون التنفيذية'!$N$2:$N$421,"&lt;&gt;")+COUNTIFS('الجهاز العسكري'!$B$2:$B$631,$B186,'الجهاز العسكري'!$G$2:$G$631,$G186,'الجهاز العسكري'!$I$2:$I$631,$I186,'الجهاز العسكري'!$M$2:$M$631,"&lt;&gt;")</f>
        <v>1</v>
      </c>
      <c r="N186" s="19">
        <f>IF($L186=0,0,ROUND((SUMIFS('المرتبطة بسمو الوزير'!$M$2:$M$151,'المرتبطة بسمو الوزير'!$B$2:$B$151,$B186,'المرتبطة بسمو الوزير'!$G$2:$G$151,$G186,'المرتبطة بسمو الوزير'!$I$2:$I$151,$I186)+SUMIFS('الشؤون التنفيذية'!$N$2:$N$421,'الشؤون التنفيذية'!$B$2:$B$421,$B186,'الشؤون التنفيذية'!$G$2:$G$421,$G186,'الشؤون التنفيذية'!$I$2:$I$421,$I186)+SUMIFS('الجهاز العسكري'!$M$2:$M$631,'الجهاز العسكري'!$B$2:$B$631,$B186,'الجهاز العسكري'!$G$2:$G$631,$G186,'الجهاز العسكري'!$I$2:$I$631,$I186))/$L186,0))</f>
        <v>83</v>
      </c>
      <c r="O186" s="18"/>
      <c r="P186" s="15">
        <f>SUMIFS(المرجع!$G$2:$G$19,المرجع!$B$2:$B$19,$G186,المرجع!$E$2:$E$19,$I186)</f>
        <v>20</v>
      </c>
      <c r="Q186" s="20">
        <f t="shared" si="3"/>
        <v>16.600000000000001</v>
      </c>
      <c r="R186" s="21" t="str">
        <f>IF($N186&gt;المرجع!$K$3,"متقدم",IF($N186&lt;=المرجع!$K$2,"أولي","جزئي"))</f>
        <v>متقدم</v>
      </c>
    </row>
    <row r="187" spans="1:18">
      <c r="A187" s="16" t="s">
        <v>1627</v>
      </c>
      <c r="B187" s="16" t="s">
        <v>168</v>
      </c>
      <c r="C187" s="15" t="str">
        <f>IFERROR(INDEX('قائمة الوحدات'!$B$2:$B$41,MATCH($B187,'قائمة الوحدات'!$A$2:$A$41,0)),"")</f>
        <v>EXE</v>
      </c>
      <c r="D187" s="14" t="str">
        <f>IFERROR(INDEX('قائمة الوحدات'!$C$2:$C$41,MATCH($B187,'قائمة الوحدات'!$A$2:$A$41,0)),"")</f>
        <v>الشؤون التنفيذية</v>
      </c>
      <c r="E187" s="14" t="str">
        <f>IFERROR(INDEX('قائمة الوحدات'!$D$2:$D$41,MATCH($B187,'قائمة الوحدات'!$A$2:$A$41,0)),"")</f>
        <v>وكالة الشؤون الفنية</v>
      </c>
      <c r="F187" s="14" t="str">
        <f>IFERROR(INDEX('قائمة الوحدات'!$F$2:$F$41,MATCH($B187,'قائمة الوحدات'!$A$2:$A$41,0)),"")</f>
        <v>الإدارة العامة للأصول والمرافق</v>
      </c>
      <c r="G187" s="16" t="s">
        <v>43</v>
      </c>
      <c r="H187" s="14" t="str">
        <f>IFERROR(INDEX(المرجع!$A$2:$A$19,MATCH($G187,المرجع!$B$2:$B$19,0)),"")</f>
        <v>التصميم</v>
      </c>
      <c r="I187" s="16" t="s">
        <v>59</v>
      </c>
      <c r="J187" s="14" t="str">
        <f>IFERROR(INDEX(المرجع!$D$2:$D$19,MATCH($I187,المرجع!$E$2:$E$19,0)),"")</f>
        <v>الإجراءات</v>
      </c>
      <c r="K187" s="15">
        <f>IFERROR(INDEX(المرجع!$F$2:$F$19,MATCH($I187,المرجع!$E$2:$E$19,0)),"")</f>
        <v>6</v>
      </c>
      <c r="L187" s="15">
        <f>SUMIFS(المرجع!$H$2:$H$19,المرجع!$B$2:$B$19,$G187,المرجع!$E$2:$E$19,$I187)</f>
        <v>1</v>
      </c>
      <c r="M187" s="15">
        <f>COUNTIFS('المرتبطة بسمو الوزير'!$B$2:$B$151,$B187,'المرتبطة بسمو الوزير'!$G$2:$G$151,$G187,'المرتبطة بسمو الوزير'!$I$2:$I$151,$I187,'المرتبطة بسمو الوزير'!$M$2:$M$151,"&lt;&gt;")+COUNTIFS('الشؤون التنفيذية'!$B$2:$B$421,$B187,'الشؤون التنفيذية'!$G$2:$G$421,$G187,'الشؤون التنفيذية'!$I$2:$I$421,$I187,'الشؤون التنفيذية'!$N$2:$N$421,"&lt;&gt;")+COUNTIFS('الجهاز العسكري'!$B$2:$B$631,$B187,'الجهاز العسكري'!$G$2:$G$631,$G187,'الجهاز العسكري'!$I$2:$I$631,$I187,'الجهاز العسكري'!$M$2:$M$631,"&lt;&gt;")</f>
        <v>1</v>
      </c>
      <c r="N187" s="19">
        <f>IF($L187=0,0,ROUND((SUMIFS('المرتبطة بسمو الوزير'!$M$2:$M$151,'المرتبطة بسمو الوزير'!$B$2:$B$151,$B187,'المرتبطة بسمو الوزير'!$G$2:$G$151,$G187,'المرتبطة بسمو الوزير'!$I$2:$I$151,$I187)+SUMIFS('الشؤون التنفيذية'!$N$2:$N$421,'الشؤون التنفيذية'!$B$2:$B$421,$B187,'الشؤون التنفيذية'!$G$2:$G$421,$G187,'الشؤون التنفيذية'!$I$2:$I$421,$I187)+SUMIFS('الجهاز العسكري'!$M$2:$M$631,'الجهاز العسكري'!$B$2:$B$631,$B187,'الجهاز العسكري'!$G$2:$G$631,$G187,'الجهاز العسكري'!$I$2:$I$631,$I187))/$L187,0))</f>
        <v>79</v>
      </c>
      <c r="O187" s="18"/>
      <c r="P187" s="15">
        <f>SUMIFS(المرجع!$G$2:$G$19,المرجع!$B$2:$B$19,$G187,المرجع!$E$2:$E$19,$I187)</f>
        <v>5</v>
      </c>
      <c r="Q187" s="20">
        <f t="shared" si="3"/>
        <v>3.95</v>
      </c>
      <c r="R187" s="21" t="str">
        <f>IF($N187&gt;المرجع!$K$3,"متقدم",IF($N187&lt;=المرجع!$K$2,"أولي","جزئي"))</f>
        <v>متقدم</v>
      </c>
    </row>
    <row r="188" spans="1:18">
      <c r="A188" s="16" t="s">
        <v>1628</v>
      </c>
      <c r="B188" s="16" t="s">
        <v>168</v>
      </c>
      <c r="C188" s="15" t="str">
        <f>IFERROR(INDEX('قائمة الوحدات'!$B$2:$B$41,MATCH($B188,'قائمة الوحدات'!$A$2:$A$41,0)),"")</f>
        <v>EXE</v>
      </c>
      <c r="D188" s="14" t="str">
        <f>IFERROR(INDEX('قائمة الوحدات'!$C$2:$C$41,MATCH($B188,'قائمة الوحدات'!$A$2:$A$41,0)),"")</f>
        <v>الشؤون التنفيذية</v>
      </c>
      <c r="E188" s="14" t="str">
        <f>IFERROR(INDEX('قائمة الوحدات'!$D$2:$D$41,MATCH($B188,'قائمة الوحدات'!$A$2:$A$41,0)),"")</f>
        <v>وكالة الشؤون الفنية</v>
      </c>
      <c r="F188" s="14" t="str">
        <f>IFERROR(INDEX('قائمة الوحدات'!$F$2:$F$41,MATCH($B188,'قائمة الوحدات'!$A$2:$A$41,0)),"")</f>
        <v>الإدارة العامة للأصول والمرافق</v>
      </c>
      <c r="G188" s="16" t="s">
        <v>61</v>
      </c>
      <c r="H188" s="14" t="str">
        <f>IFERROR(INDEX(المرجع!$A$2:$A$19,MATCH($G188,المرجع!$B$2:$B$19,0)),"")</f>
        <v>البناء المؤسسي</v>
      </c>
      <c r="I188" s="16" t="s">
        <v>45</v>
      </c>
      <c r="J188" s="14" t="str">
        <f>IFERROR(INDEX(المرجع!$D$2:$D$19,MATCH($I188,المرجع!$E$2:$E$19,0)),"")</f>
        <v>الدور</v>
      </c>
      <c r="K188" s="15">
        <f>IFERROR(INDEX(المرجع!$F$2:$F$19,MATCH($I188,المرجع!$E$2:$E$19,0)),"")</f>
        <v>1</v>
      </c>
      <c r="L188" s="15">
        <f>SUMIFS(المرجع!$H$2:$H$19,المرجع!$B$2:$B$19,$G188,المرجع!$E$2:$E$19,$I188)</f>
        <v>1</v>
      </c>
      <c r="M188" s="15">
        <f>COUNTIFS('المرتبطة بسمو الوزير'!$B$2:$B$151,$B188,'المرتبطة بسمو الوزير'!$G$2:$G$151,$G188,'المرتبطة بسمو الوزير'!$I$2:$I$151,$I188,'المرتبطة بسمو الوزير'!$M$2:$M$151,"&lt;&gt;")+COUNTIFS('الشؤون التنفيذية'!$B$2:$B$421,$B188,'الشؤون التنفيذية'!$G$2:$G$421,$G188,'الشؤون التنفيذية'!$I$2:$I$421,$I188,'الشؤون التنفيذية'!$N$2:$N$421,"&lt;&gt;")+COUNTIFS('الجهاز العسكري'!$B$2:$B$631,$B188,'الجهاز العسكري'!$G$2:$G$631,$G188,'الجهاز العسكري'!$I$2:$I$631,$I188,'الجهاز العسكري'!$M$2:$M$631,"&lt;&gt;")</f>
        <v>1</v>
      </c>
      <c r="N188" s="19">
        <f>IF($L188=0,0,ROUND((SUMIFS('المرتبطة بسمو الوزير'!$M$2:$M$151,'المرتبطة بسمو الوزير'!$B$2:$B$151,$B188,'المرتبطة بسمو الوزير'!$G$2:$G$151,$G188,'المرتبطة بسمو الوزير'!$I$2:$I$151,$I188)+SUMIFS('الشؤون التنفيذية'!$N$2:$N$421,'الشؤون التنفيذية'!$B$2:$B$421,$B188,'الشؤون التنفيذية'!$G$2:$G$421,$G188,'الشؤون التنفيذية'!$I$2:$I$421,$I188)+SUMIFS('الجهاز العسكري'!$M$2:$M$631,'الجهاز العسكري'!$B$2:$B$631,$B188,'الجهاز العسكري'!$G$2:$G$631,$G188,'الجهاز العسكري'!$I$2:$I$631,$I188))/$L188,0))</f>
        <v>53</v>
      </c>
      <c r="O188" s="18"/>
      <c r="P188" s="15">
        <f>SUMIFS(المرجع!$G$2:$G$19,المرجع!$B$2:$B$19,$G188,المرجع!$E$2:$E$19,$I188)</f>
        <v>15</v>
      </c>
      <c r="Q188" s="20">
        <f t="shared" si="3"/>
        <v>7.95</v>
      </c>
      <c r="R188" s="21" t="str">
        <f>IF($N188&gt;المرجع!$K$3,"متقدم",IF($N188&lt;=المرجع!$K$2,"أولي","جزئي"))</f>
        <v>جزئي</v>
      </c>
    </row>
    <row r="189" spans="1:18">
      <c r="A189" s="16" t="s">
        <v>1629</v>
      </c>
      <c r="B189" s="16" t="s">
        <v>168</v>
      </c>
      <c r="C189" s="15" t="str">
        <f>IFERROR(INDEX('قائمة الوحدات'!$B$2:$B$41,MATCH($B189,'قائمة الوحدات'!$A$2:$A$41,0)),"")</f>
        <v>EXE</v>
      </c>
      <c r="D189" s="14" t="str">
        <f>IFERROR(INDEX('قائمة الوحدات'!$C$2:$C$41,MATCH($B189,'قائمة الوحدات'!$A$2:$A$41,0)),"")</f>
        <v>الشؤون التنفيذية</v>
      </c>
      <c r="E189" s="14" t="str">
        <f>IFERROR(INDEX('قائمة الوحدات'!$D$2:$D$41,MATCH($B189,'قائمة الوحدات'!$A$2:$A$41,0)),"")</f>
        <v>وكالة الشؤون الفنية</v>
      </c>
      <c r="F189" s="14" t="str">
        <f>IFERROR(INDEX('قائمة الوحدات'!$F$2:$F$41,MATCH($B189,'قائمة الوحدات'!$A$2:$A$41,0)),"")</f>
        <v>الإدارة العامة للأصول والمرافق</v>
      </c>
      <c r="G189" s="16" t="s">
        <v>61</v>
      </c>
      <c r="H189" s="14" t="str">
        <f>IFERROR(INDEX(المرجع!$A$2:$A$19,MATCH($G189,المرجع!$B$2:$B$19,0)),"")</f>
        <v>البناء المؤسسي</v>
      </c>
      <c r="I189" s="16" t="s">
        <v>48</v>
      </c>
      <c r="J189" s="14" t="str">
        <f>IFERROR(INDEX(المرجع!$D$2:$D$19,MATCH($I189,المرجع!$E$2:$E$19,0)),"")</f>
        <v>الأهداف ومؤشرات الأداء</v>
      </c>
      <c r="K189" s="15">
        <f>IFERROR(INDEX(المرجع!$F$2:$F$19,MATCH($I189,المرجع!$E$2:$E$19,0)),"")</f>
        <v>2</v>
      </c>
      <c r="L189" s="15">
        <f>SUMIFS(المرجع!$H$2:$H$19,المرجع!$B$2:$B$19,$G189,المرجع!$E$2:$E$19,$I189)</f>
        <v>2</v>
      </c>
      <c r="M189" s="15">
        <f>COUNTIFS('المرتبطة بسمو الوزير'!$B$2:$B$151,$B189,'المرتبطة بسمو الوزير'!$G$2:$G$151,$G189,'المرتبطة بسمو الوزير'!$I$2:$I$151,$I189,'المرتبطة بسمو الوزير'!$M$2:$M$151,"&lt;&gt;")+COUNTIFS('الشؤون التنفيذية'!$B$2:$B$421,$B189,'الشؤون التنفيذية'!$G$2:$G$421,$G189,'الشؤون التنفيذية'!$I$2:$I$421,$I189,'الشؤون التنفيذية'!$N$2:$N$421,"&lt;&gt;")+COUNTIFS('الجهاز العسكري'!$B$2:$B$631,$B189,'الجهاز العسكري'!$G$2:$G$631,$G189,'الجهاز العسكري'!$I$2:$I$631,$I189,'الجهاز العسكري'!$M$2:$M$631,"&lt;&gt;")</f>
        <v>2</v>
      </c>
      <c r="N189" s="19">
        <f>IF($L189=0,0,ROUND((SUMIFS('المرتبطة بسمو الوزير'!$M$2:$M$151,'المرتبطة بسمو الوزير'!$B$2:$B$151,$B189,'المرتبطة بسمو الوزير'!$G$2:$G$151,$G189,'المرتبطة بسمو الوزير'!$I$2:$I$151,$I189)+SUMIFS('الشؤون التنفيذية'!$N$2:$N$421,'الشؤون التنفيذية'!$B$2:$B$421,$B189,'الشؤون التنفيذية'!$G$2:$G$421,$G189,'الشؤون التنفيذية'!$I$2:$I$421,$I189)+SUMIFS('الجهاز العسكري'!$M$2:$M$631,'الجهاز العسكري'!$B$2:$B$631,$B189,'الجهاز العسكري'!$G$2:$G$631,$G189,'الجهاز العسكري'!$I$2:$I$631,$I189))/$L189,0))</f>
        <v>88</v>
      </c>
      <c r="O189" s="18"/>
      <c r="P189" s="15">
        <f>SUMIFS(المرجع!$G$2:$G$19,المرجع!$B$2:$B$19,$G189,المرجع!$E$2:$E$19,$I189)</f>
        <v>15</v>
      </c>
      <c r="Q189" s="20">
        <f t="shared" si="3"/>
        <v>13.2</v>
      </c>
      <c r="R189" s="21" t="str">
        <f>IF($N189&gt;المرجع!$K$3,"متقدم",IF($N189&lt;=المرجع!$K$2,"أولي","جزئي"))</f>
        <v>متقدم</v>
      </c>
    </row>
    <row r="190" spans="1:18">
      <c r="A190" s="16" t="s">
        <v>1630</v>
      </c>
      <c r="B190" s="16" t="s">
        <v>168</v>
      </c>
      <c r="C190" s="15" t="str">
        <f>IFERROR(INDEX('قائمة الوحدات'!$B$2:$B$41,MATCH($B190,'قائمة الوحدات'!$A$2:$A$41,0)),"")</f>
        <v>EXE</v>
      </c>
      <c r="D190" s="14" t="str">
        <f>IFERROR(INDEX('قائمة الوحدات'!$C$2:$C$41,MATCH($B190,'قائمة الوحدات'!$A$2:$A$41,0)),"")</f>
        <v>الشؤون التنفيذية</v>
      </c>
      <c r="E190" s="14" t="str">
        <f>IFERROR(INDEX('قائمة الوحدات'!$D$2:$D$41,MATCH($B190,'قائمة الوحدات'!$A$2:$A$41,0)),"")</f>
        <v>وكالة الشؤون الفنية</v>
      </c>
      <c r="F190" s="14" t="str">
        <f>IFERROR(INDEX('قائمة الوحدات'!$F$2:$F$41,MATCH($B190,'قائمة الوحدات'!$A$2:$A$41,0)),"")</f>
        <v>الإدارة العامة للأصول والمرافق</v>
      </c>
      <c r="G190" s="16" t="s">
        <v>61</v>
      </c>
      <c r="H190" s="14" t="str">
        <f>IFERROR(INDEX(المرجع!$A$2:$A$19,MATCH($G190,المرجع!$B$2:$B$19,0)),"")</f>
        <v>البناء المؤسسي</v>
      </c>
      <c r="I190" s="16" t="s">
        <v>51</v>
      </c>
      <c r="J190" s="14" t="str">
        <f>IFERROR(INDEX(المرجع!$D$2:$D$19,MATCH($I190,المرجع!$E$2:$E$19,0)),"")</f>
        <v>الحوكمة</v>
      </c>
      <c r="K190" s="15">
        <f>IFERROR(INDEX(المرجع!$F$2:$F$19,MATCH($I190,المرجع!$E$2:$E$19,0)),"")</f>
        <v>3</v>
      </c>
      <c r="L190" s="15">
        <f>SUMIFS(المرجع!$H$2:$H$19,المرجع!$B$2:$B$19,$G190,المرجع!$E$2:$E$19,$I190)</f>
        <v>3</v>
      </c>
      <c r="M190" s="15">
        <f>COUNTIFS('المرتبطة بسمو الوزير'!$B$2:$B$151,$B190,'المرتبطة بسمو الوزير'!$G$2:$G$151,$G190,'المرتبطة بسمو الوزير'!$I$2:$I$151,$I190,'المرتبطة بسمو الوزير'!$M$2:$M$151,"&lt;&gt;")+COUNTIFS('الشؤون التنفيذية'!$B$2:$B$421,$B190,'الشؤون التنفيذية'!$G$2:$G$421,$G190,'الشؤون التنفيذية'!$I$2:$I$421,$I190,'الشؤون التنفيذية'!$N$2:$N$421,"&lt;&gt;")+COUNTIFS('الجهاز العسكري'!$B$2:$B$631,$B190,'الجهاز العسكري'!$G$2:$G$631,$G190,'الجهاز العسكري'!$I$2:$I$631,$I190,'الجهاز العسكري'!$M$2:$M$631,"&lt;&gt;")</f>
        <v>3</v>
      </c>
      <c r="N190" s="19">
        <f>IF($L190=0,0,ROUND((SUMIFS('المرتبطة بسمو الوزير'!$M$2:$M$151,'المرتبطة بسمو الوزير'!$B$2:$B$151,$B190,'المرتبطة بسمو الوزير'!$G$2:$G$151,$G190,'المرتبطة بسمو الوزير'!$I$2:$I$151,$I190)+SUMIFS('الشؤون التنفيذية'!$N$2:$N$421,'الشؤون التنفيذية'!$B$2:$B$421,$B190,'الشؤون التنفيذية'!$G$2:$G$421,$G190,'الشؤون التنفيذية'!$I$2:$I$421,$I190)+SUMIFS('الجهاز العسكري'!$M$2:$M$631,'الجهاز العسكري'!$B$2:$B$631,$B190,'الجهاز العسكري'!$G$2:$G$631,$G190,'الجهاز العسكري'!$I$2:$I$631,$I190))/$L190,0))</f>
        <v>55</v>
      </c>
      <c r="O190" s="18"/>
      <c r="P190" s="15">
        <f>SUMIFS(المرجع!$G$2:$G$19,المرجع!$B$2:$B$19,$G190,المرجع!$E$2:$E$19,$I190)</f>
        <v>15</v>
      </c>
      <c r="Q190" s="20">
        <f t="shared" si="3"/>
        <v>8.25</v>
      </c>
      <c r="R190" s="21" t="str">
        <f>IF($N190&gt;المرجع!$K$3,"متقدم",IF($N190&lt;=المرجع!$K$2,"أولي","جزئي"))</f>
        <v>جزئي</v>
      </c>
    </row>
    <row r="191" spans="1:18">
      <c r="A191" s="16" t="s">
        <v>1631</v>
      </c>
      <c r="B191" s="16" t="s">
        <v>168</v>
      </c>
      <c r="C191" s="15" t="str">
        <f>IFERROR(INDEX('قائمة الوحدات'!$B$2:$B$41,MATCH($B191,'قائمة الوحدات'!$A$2:$A$41,0)),"")</f>
        <v>EXE</v>
      </c>
      <c r="D191" s="14" t="str">
        <f>IFERROR(INDEX('قائمة الوحدات'!$C$2:$C$41,MATCH($B191,'قائمة الوحدات'!$A$2:$A$41,0)),"")</f>
        <v>الشؤون التنفيذية</v>
      </c>
      <c r="E191" s="14" t="str">
        <f>IFERROR(INDEX('قائمة الوحدات'!$D$2:$D$41,MATCH($B191,'قائمة الوحدات'!$A$2:$A$41,0)),"")</f>
        <v>وكالة الشؤون الفنية</v>
      </c>
      <c r="F191" s="14" t="str">
        <f>IFERROR(INDEX('قائمة الوحدات'!$F$2:$F$41,MATCH($B191,'قائمة الوحدات'!$A$2:$A$41,0)),"")</f>
        <v>الإدارة العامة للأصول والمرافق</v>
      </c>
      <c r="G191" s="16" t="s">
        <v>61</v>
      </c>
      <c r="H191" s="14" t="str">
        <f>IFERROR(INDEX(المرجع!$A$2:$A$19,MATCH($G191,المرجع!$B$2:$B$19,0)),"")</f>
        <v>البناء المؤسسي</v>
      </c>
      <c r="I191" s="16" t="s">
        <v>54</v>
      </c>
      <c r="J191" s="14" t="str">
        <f>IFERROR(INDEX(المرجع!$D$2:$D$19,MATCH($I191,المرجع!$E$2:$E$19,0)),"")</f>
        <v>التنظيم</v>
      </c>
      <c r="K191" s="15">
        <f>IFERROR(INDEX(المرجع!$F$2:$F$19,MATCH($I191,المرجع!$E$2:$E$19,0)),"")</f>
        <v>4</v>
      </c>
      <c r="L191" s="15">
        <f>SUMIFS(المرجع!$H$2:$H$19,المرجع!$B$2:$B$19,$G191,المرجع!$E$2:$E$19,$I191)</f>
        <v>3</v>
      </c>
      <c r="M191" s="15">
        <f>COUNTIFS('المرتبطة بسمو الوزير'!$B$2:$B$151,$B191,'المرتبطة بسمو الوزير'!$G$2:$G$151,$G191,'المرتبطة بسمو الوزير'!$I$2:$I$151,$I191,'المرتبطة بسمو الوزير'!$M$2:$M$151,"&lt;&gt;")+COUNTIFS('الشؤون التنفيذية'!$B$2:$B$421,$B191,'الشؤون التنفيذية'!$G$2:$G$421,$G191,'الشؤون التنفيذية'!$I$2:$I$421,$I191,'الشؤون التنفيذية'!$N$2:$N$421,"&lt;&gt;")+COUNTIFS('الجهاز العسكري'!$B$2:$B$631,$B191,'الجهاز العسكري'!$G$2:$G$631,$G191,'الجهاز العسكري'!$I$2:$I$631,$I191,'الجهاز العسكري'!$M$2:$M$631,"&lt;&gt;")</f>
        <v>3</v>
      </c>
      <c r="N191" s="19">
        <f>IF($L191=0,0,ROUND((SUMIFS('المرتبطة بسمو الوزير'!$M$2:$M$151,'المرتبطة بسمو الوزير'!$B$2:$B$151,$B191,'المرتبطة بسمو الوزير'!$G$2:$G$151,$G191,'المرتبطة بسمو الوزير'!$I$2:$I$151,$I191)+SUMIFS('الشؤون التنفيذية'!$N$2:$N$421,'الشؤون التنفيذية'!$B$2:$B$421,$B191,'الشؤون التنفيذية'!$G$2:$G$421,$G191,'الشؤون التنفيذية'!$I$2:$I$421,$I191)+SUMIFS('الجهاز العسكري'!$M$2:$M$631,'الجهاز العسكري'!$B$2:$B$631,$B191,'الجهاز العسكري'!$G$2:$G$631,$G191,'الجهاز العسكري'!$I$2:$I$631,$I191))/$L191,0))</f>
        <v>38</v>
      </c>
      <c r="O191" s="18"/>
      <c r="P191" s="15">
        <f>SUMIFS(المرجع!$G$2:$G$19,المرجع!$B$2:$B$19,$G191,المرجع!$E$2:$E$19,$I191)</f>
        <v>20</v>
      </c>
      <c r="Q191" s="20">
        <f t="shared" si="3"/>
        <v>7.6</v>
      </c>
      <c r="R191" s="21" t="str">
        <f>IF($N191&gt;المرجع!$K$3,"متقدم",IF($N191&lt;=المرجع!$K$2,"أولي","جزئي"))</f>
        <v>جزئي</v>
      </c>
    </row>
    <row r="192" spans="1:18">
      <c r="A192" s="16" t="s">
        <v>1632</v>
      </c>
      <c r="B192" s="16" t="s">
        <v>168</v>
      </c>
      <c r="C192" s="15" t="str">
        <f>IFERROR(INDEX('قائمة الوحدات'!$B$2:$B$41,MATCH($B192,'قائمة الوحدات'!$A$2:$A$41,0)),"")</f>
        <v>EXE</v>
      </c>
      <c r="D192" s="14" t="str">
        <f>IFERROR(INDEX('قائمة الوحدات'!$C$2:$C$41,MATCH($B192,'قائمة الوحدات'!$A$2:$A$41,0)),"")</f>
        <v>الشؤون التنفيذية</v>
      </c>
      <c r="E192" s="14" t="str">
        <f>IFERROR(INDEX('قائمة الوحدات'!$D$2:$D$41,MATCH($B192,'قائمة الوحدات'!$A$2:$A$41,0)),"")</f>
        <v>وكالة الشؤون الفنية</v>
      </c>
      <c r="F192" s="14" t="str">
        <f>IFERROR(INDEX('قائمة الوحدات'!$F$2:$F$41,MATCH($B192,'قائمة الوحدات'!$A$2:$A$41,0)),"")</f>
        <v>الإدارة العامة للأصول والمرافق</v>
      </c>
      <c r="G192" s="16" t="s">
        <v>61</v>
      </c>
      <c r="H192" s="14" t="str">
        <f>IFERROR(INDEX(المرجع!$A$2:$A$19,MATCH($G192,المرجع!$B$2:$B$19,0)),"")</f>
        <v>البناء المؤسسي</v>
      </c>
      <c r="I192" s="16" t="s">
        <v>56</v>
      </c>
      <c r="J192" s="14" t="str">
        <f>IFERROR(INDEX(المرجع!$D$2:$D$19,MATCH($I192,المرجع!$E$2:$E$19,0)),"")</f>
        <v>الموارد</v>
      </c>
      <c r="K192" s="15">
        <f>IFERROR(INDEX(المرجع!$F$2:$F$19,MATCH($I192,المرجع!$E$2:$E$19,0)),"")</f>
        <v>5</v>
      </c>
      <c r="L192" s="15">
        <f>SUMIFS(المرجع!$H$2:$H$19,المرجع!$B$2:$B$19,$G192,المرجع!$E$2:$E$19,$I192)</f>
        <v>4</v>
      </c>
      <c r="M192" s="15">
        <f>COUNTIFS('المرتبطة بسمو الوزير'!$B$2:$B$151,$B192,'المرتبطة بسمو الوزير'!$G$2:$G$151,$G192,'المرتبطة بسمو الوزير'!$I$2:$I$151,$I192,'المرتبطة بسمو الوزير'!$M$2:$M$151,"&lt;&gt;")+COUNTIFS('الشؤون التنفيذية'!$B$2:$B$421,$B192,'الشؤون التنفيذية'!$G$2:$G$421,$G192,'الشؤون التنفيذية'!$I$2:$I$421,$I192,'الشؤون التنفيذية'!$N$2:$N$421,"&lt;&gt;")+COUNTIFS('الجهاز العسكري'!$B$2:$B$631,$B192,'الجهاز العسكري'!$G$2:$G$631,$G192,'الجهاز العسكري'!$I$2:$I$631,$I192,'الجهاز العسكري'!$M$2:$M$631,"&lt;&gt;")</f>
        <v>4</v>
      </c>
      <c r="N192" s="19">
        <f>IF($L192=0,0,ROUND((SUMIFS('المرتبطة بسمو الوزير'!$M$2:$M$151,'المرتبطة بسمو الوزير'!$B$2:$B$151,$B192,'المرتبطة بسمو الوزير'!$G$2:$G$151,$G192,'المرتبطة بسمو الوزير'!$I$2:$I$151,$I192)+SUMIFS('الشؤون التنفيذية'!$N$2:$N$421,'الشؤون التنفيذية'!$B$2:$B$421,$B192,'الشؤون التنفيذية'!$G$2:$G$421,$G192,'الشؤون التنفيذية'!$I$2:$I$421,$I192)+SUMIFS('الجهاز العسكري'!$M$2:$M$631,'الجهاز العسكري'!$B$2:$B$631,$B192,'الجهاز العسكري'!$G$2:$G$631,$G192,'الجهاز العسكري'!$I$2:$I$631,$I192))/$L192,0))</f>
        <v>58</v>
      </c>
      <c r="O192" s="18"/>
      <c r="P192" s="15">
        <f>SUMIFS(المرجع!$G$2:$G$19,المرجع!$B$2:$B$19,$G192,المرجع!$E$2:$E$19,$I192)</f>
        <v>25</v>
      </c>
      <c r="Q192" s="20">
        <f t="shared" si="3"/>
        <v>14.5</v>
      </c>
      <c r="R192" s="21" t="str">
        <f>IF($N192&gt;المرجع!$K$3,"متقدم",IF($N192&lt;=المرجع!$K$2,"أولي","جزئي"))</f>
        <v>جزئي</v>
      </c>
    </row>
    <row r="193" spans="1:18">
      <c r="A193" s="16" t="s">
        <v>1633</v>
      </c>
      <c r="B193" s="16" t="s">
        <v>168</v>
      </c>
      <c r="C193" s="15" t="str">
        <f>IFERROR(INDEX('قائمة الوحدات'!$B$2:$B$41,MATCH($B193,'قائمة الوحدات'!$A$2:$A$41,0)),"")</f>
        <v>EXE</v>
      </c>
      <c r="D193" s="14" t="str">
        <f>IFERROR(INDEX('قائمة الوحدات'!$C$2:$C$41,MATCH($B193,'قائمة الوحدات'!$A$2:$A$41,0)),"")</f>
        <v>الشؤون التنفيذية</v>
      </c>
      <c r="E193" s="14" t="str">
        <f>IFERROR(INDEX('قائمة الوحدات'!$D$2:$D$41,MATCH($B193,'قائمة الوحدات'!$A$2:$A$41,0)),"")</f>
        <v>وكالة الشؤون الفنية</v>
      </c>
      <c r="F193" s="14" t="str">
        <f>IFERROR(INDEX('قائمة الوحدات'!$F$2:$F$41,MATCH($B193,'قائمة الوحدات'!$A$2:$A$41,0)),"")</f>
        <v>الإدارة العامة للأصول والمرافق</v>
      </c>
      <c r="G193" s="16" t="s">
        <v>61</v>
      </c>
      <c r="H193" s="14" t="str">
        <f>IFERROR(INDEX(المرجع!$A$2:$A$19,MATCH($G193,المرجع!$B$2:$B$19,0)),"")</f>
        <v>البناء المؤسسي</v>
      </c>
      <c r="I193" s="16" t="s">
        <v>59</v>
      </c>
      <c r="J193" s="14" t="str">
        <f>IFERROR(INDEX(المرجع!$D$2:$D$19,MATCH($I193,المرجع!$E$2:$E$19,0)),"")</f>
        <v>الإجراءات</v>
      </c>
      <c r="K193" s="15">
        <f>IFERROR(INDEX(المرجع!$F$2:$F$19,MATCH($I193,المرجع!$E$2:$E$19,0)),"")</f>
        <v>6</v>
      </c>
      <c r="L193" s="15">
        <f>SUMIFS(المرجع!$H$2:$H$19,المرجع!$B$2:$B$19,$G193,المرجع!$E$2:$E$19,$I193)</f>
        <v>1</v>
      </c>
      <c r="M193" s="15">
        <f>COUNTIFS('المرتبطة بسمو الوزير'!$B$2:$B$151,$B193,'المرتبطة بسمو الوزير'!$G$2:$G$151,$G193,'المرتبطة بسمو الوزير'!$I$2:$I$151,$I193,'المرتبطة بسمو الوزير'!$M$2:$M$151,"&lt;&gt;")+COUNTIFS('الشؤون التنفيذية'!$B$2:$B$421,$B193,'الشؤون التنفيذية'!$G$2:$G$421,$G193,'الشؤون التنفيذية'!$I$2:$I$421,$I193,'الشؤون التنفيذية'!$N$2:$N$421,"&lt;&gt;")+COUNTIFS('الجهاز العسكري'!$B$2:$B$631,$B193,'الجهاز العسكري'!$G$2:$G$631,$G193,'الجهاز العسكري'!$I$2:$I$631,$I193,'الجهاز العسكري'!$M$2:$M$631,"&lt;&gt;")</f>
        <v>1</v>
      </c>
      <c r="N193" s="19">
        <f>IF($L193=0,0,ROUND((SUMIFS('المرتبطة بسمو الوزير'!$M$2:$M$151,'المرتبطة بسمو الوزير'!$B$2:$B$151,$B193,'المرتبطة بسمو الوزير'!$G$2:$G$151,$G193,'المرتبطة بسمو الوزير'!$I$2:$I$151,$I193)+SUMIFS('الشؤون التنفيذية'!$N$2:$N$421,'الشؤون التنفيذية'!$B$2:$B$421,$B193,'الشؤون التنفيذية'!$G$2:$G$421,$G193,'الشؤون التنفيذية'!$I$2:$I$421,$I193)+SUMIFS('الجهاز العسكري'!$M$2:$M$631,'الجهاز العسكري'!$B$2:$B$631,$B193,'الجهاز العسكري'!$G$2:$G$631,$G193,'الجهاز العسكري'!$I$2:$I$631,$I193))/$L193,0))</f>
        <v>74</v>
      </c>
      <c r="O193" s="18"/>
      <c r="P193" s="15">
        <f>SUMIFS(المرجع!$G$2:$G$19,المرجع!$B$2:$B$19,$G193,المرجع!$E$2:$E$19,$I193)</f>
        <v>5</v>
      </c>
      <c r="Q193" s="20">
        <f t="shared" si="3"/>
        <v>3.7</v>
      </c>
      <c r="R193" s="21" t="str">
        <f>IF($N193&gt;المرجع!$K$3,"متقدم",IF($N193&lt;=المرجع!$K$2,"أولي","جزئي"))</f>
        <v>متقدم</v>
      </c>
    </row>
    <row r="194" spans="1:18">
      <c r="A194" s="16" t="s">
        <v>1634</v>
      </c>
      <c r="B194" s="16" t="s">
        <v>168</v>
      </c>
      <c r="C194" s="15" t="str">
        <f>IFERROR(INDEX('قائمة الوحدات'!$B$2:$B$41,MATCH($B194,'قائمة الوحدات'!$A$2:$A$41,0)),"")</f>
        <v>EXE</v>
      </c>
      <c r="D194" s="14" t="str">
        <f>IFERROR(INDEX('قائمة الوحدات'!$C$2:$C$41,MATCH($B194,'قائمة الوحدات'!$A$2:$A$41,0)),"")</f>
        <v>الشؤون التنفيذية</v>
      </c>
      <c r="E194" s="14" t="str">
        <f>IFERROR(INDEX('قائمة الوحدات'!$D$2:$D$41,MATCH($B194,'قائمة الوحدات'!$A$2:$A$41,0)),"")</f>
        <v>وكالة الشؤون الفنية</v>
      </c>
      <c r="F194" s="14" t="str">
        <f>IFERROR(INDEX('قائمة الوحدات'!$F$2:$F$41,MATCH($B194,'قائمة الوحدات'!$A$2:$A$41,0)),"")</f>
        <v>الإدارة العامة للأصول والمرافق</v>
      </c>
      <c r="G194" s="16" t="s">
        <v>61</v>
      </c>
      <c r="H194" s="14" t="str">
        <f>IFERROR(INDEX(المرجع!$A$2:$A$19,MATCH($G194,المرجع!$B$2:$B$19,0)),"")</f>
        <v>البناء المؤسسي</v>
      </c>
      <c r="I194" s="16" t="s">
        <v>63</v>
      </c>
      <c r="J194" s="14" t="str">
        <f>IFERROR(INDEX(المرجع!$D$2:$D$19,MATCH($I194,المرجع!$E$2:$E$19,0)),"")</f>
        <v>إنتاج المخرج الأول</v>
      </c>
      <c r="K194" s="15">
        <f>IFERROR(INDEX(المرجع!$F$2:$F$19,MATCH($I194,المرجع!$E$2:$E$19,0)),"")</f>
        <v>7</v>
      </c>
      <c r="L194" s="15">
        <f>SUMIFS(المرجع!$H$2:$H$19,المرجع!$B$2:$B$19,$G194,المرجع!$E$2:$E$19,$I194)</f>
        <v>1</v>
      </c>
      <c r="M194" s="15">
        <f>COUNTIFS('المرتبطة بسمو الوزير'!$B$2:$B$151,$B194,'المرتبطة بسمو الوزير'!$G$2:$G$151,$G194,'المرتبطة بسمو الوزير'!$I$2:$I$151,$I194,'المرتبطة بسمو الوزير'!$M$2:$M$151,"&lt;&gt;")+COUNTIFS('الشؤون التنفيذية'!$B$2:$B$421,$B194,'الشؤون التنفيذية'!$G$2:$G$421,$G194,'الشؤون التنفيذية'!$I$2:$I$421,$I194,'الشؤون التنفيذية'!$N$2:$N$421,"&lt;&gt;")+COUNTIFS('الجهاز العسكري'!$B$2:$B$631,$B194,'الجهاز العسكري'!$G$2:$G$631,$G194,'الجهاز العسكري'!$I$2:$I$631,$I194,'الجهاز العسكري'!$M$2:$M$631,"&lt;&gt;")</f>
        <v>1</v>
      </c>
      <c r="N194" s="19">
        <f>IF($L194=0,0,ROUND((SUMIFS('المرتبطة بسمو الوزير'!$M$2:$M$151,'المرتبطة بسمو الوزير'!$B$2:$B$151,$B194,'المرتبطة بسمو الوزير'!$G$2:$G$151,$G194,'المرتبطة بسمو الوزير'!$I$2:$I$151,$I194)+SUMIFS('الشؤون التنفيذية'!$N$2:$N$421,'الشؤون التنفيذية'!$B$2:$B$421,$B194,'الشؤون التنفيذية'!$G$2:$G$421,$G194,'الشؤون التنفيذية'!$I$2:$I$421,$I194)+SUMIFS('الجهاز العسكري'!$M$2:$M$631,'الجهاز العسكري'!$B$2:$B$631,$B194,'الجهاز العسكري'!$G$2:$G$631,$G194,'الجهاز العسكري'!$I$2:$I$631,$I194))/$L194,0))</f>
        <v>42</v>
      </c>
      <c r="O194" s="18"/>
      <c r="P194" s="15">
        <f>SUMIFS(المرجع!$G$2:$G$19,المرجع!$B$2:$B$19,$G194,المرجع!$E$2:$E$19,$I194)</f>
        <v>5</v>
      </c>
      <c r="Q194" s="20">
        <f t="shared" ref="Q194:Q257" si="4">ROUND($P194*$N194/100,2)</f>
        <v>2.1</v>
      </c>
      <c r="R194" s="21" t="str">
        <f>IF($N194&gt;المرجع!$K$3,"متقدم",IF($N194&lt;=المرجع!$K$2,"أولي","جزئي"))</f>
        <v>جزئي</v>
      </c>
    </row>
    <row r="195" spans="1:18">
      <c r="A195" s="16" t="s">
        <v>1635</v>
      </c>
      <c r="B195" s="16" t="s">
        <v>168</v>
      </c>
      <c r="C195" s="15" t="str">
        <f>IFERROR(INDEX('قائمة الوحدات'!$B$2:$B$41,MATCH($B195,'قائمة الوحدات'!$A$2:$A$41,0)),"")</f>
        <v>EXE</v>
      </c>
      <c r="D195" s="14" t="str">
        <f>IFERROR(INDEX('قائمة الوحدات'!$C$2:$C$41,MATCH($B195,'قائمة الوحدات'!$A$2:$A$41,0)),"")</f>
        <v>الشؤون التنفيذية</v>
      </c>
      <c r="E195" s="14" t="str">
        <f>IFERROR(INDEX('قائمة الوحدات'!$D$2:$D$41,MATCH($B195,'قائمة الوحدات'!$A$2:$A$41,0)),"")</f>
        <v>وكالة الشؤون الفنية</v>
      </c>
      <c r="F195" s="14" t="str">
        <f>IFERROR(INDEX('قائمة الوحدات'!$F$2:$F$41,MATCH($B195,'قائمة الوحدات'!$A$2:$A$41,0)),"")</f>
        <v>الإدارة العامة للأصول والمرافق</v>
      </c>
      <c r="G195" s="16" t="s">
        <v>65</v>
      </c>
      <c r="H195" s="14" t="str">
        <f>IFERROR(INDEX(المرجع!$A$2:$A$19,MATCH($G195,المرجع!$B$2:$B$19,0)),"")</f>
        <v>التشغيل</v>
      </c>
      <c r="I195" s="16" t="s">
        <v>48</v>
      </c>
      <c r="J195" s="14" t="str">
        <f>IFERROR(INDEX(المرجع!$D$2:$D$19,MATCH($I195,المرجع!$E$2:$E$19,0)),"")</f>
        <v>الأهداف ومؤشرات الأداء</v>
      </c>
      <c r="K195" s="15">
        <f>IFERROR(INDEX(المرجع!$F$2:$F$19,MATCH($I195,المرجع!$E$2:$E$19,0)),"")</f>
        <v>2</v>
      </c>
      <c r="L195" s="15">
        <f>SUMIFS(المرجع!$H$2:$H$19,المرجع!$B$2:$B$19,$G195,المرجع!$E$2:$E$19,$I195)</f>
        <v>2</v>
      </c>
      <c r="M195" s="15">
        <f>COUNTIFS('المرتبطة بسمو الوزير'!$B$2:$B$151,$B195,'المرتبطة بسمو الوزير'!$G$2:$G$151,$G195,'المرتبطة بسمو الوزير'!$I$2:$I$151,$I195,'المرتبطة بسمو الوزير'!$M$2:$M$151,"&lt;&gt;")+COUNTIFS('الشؤون التنفيذية'!$B$2:$B$421,$B195,'الشؤون التنفيذية'!$G$2:$G$421,$G195,'الشؤون التنفيذية'!$I$2:$I$421,$I195,'الشؤون التنفيذية'!$N$2:$N$421,"&lt;&gt;")+COUNTIFS('الجهاز العسكري'!$B$2:$B$631,$B195,'الجهاز العسكري'!$G$2:$G$631,$G195,'الجهاز العسكري'!$I$2:$I$631,$I195,'الجهاز العسكري'!$M$2:$M$631,"&lt;&gt;")</f>
        <v>2</v>
      </c>
      <c r="N195" s="19">
        <f>IF($L195=0,0,ROUND((SUMIFS('المرتبطة بسمو الوزير'!$M$2:$M$151,'المرتبطة بسمو الوزير'!$B$2:$B$151,$B195,'المرتبطة بسمو الوزير'!$G$2:$G$151,$G195,'المرتبطة بسمو الوزير'!$I$2:$I$151,$I195)+SUMIFS('الشؤون التنفيذية'!$N$2:$N$421,'الشؤون التنفيذية'!$B$2:$B$421,$B195,'الشؤون التنفيذية'!$G$2:$G$421,$G195,'الشؤون التنفيذية'!$I$2:$I$421,$I195)+SUMIFS('الجهاز العسكري'!$M$2:$M$631,'الجهاز العسكري'!$B$2:$B$631,$B195,'الجهاز العسكري'!$G$2:$G$631,$G195,'الجهاز العسكري'!$I$2:$I$631,$I195))/$L195,0))</f>
        <v>60</v>
      </c>
      <c r="O195" s="18"/>
      <c r="P195" s="15">
        <f>SUMIFS(المرجع!$G$2:$G$19,المرجع!$B$2:$B$19,$G195,المرجع!$E$2:$E$19,$I195)</f>
        <v>25</v>
      </c>
      <c r="Q195" s="20">
        <f t="shared" si="4"/>
        <v>15</v>
      </c>
      <c r="R195" s="21" t="str">
        <f>IF($N195&gt;المرجع!$K$3,"متقدم",IF($N195&lt;=المرجع!$K$2,"أولي","جزئي"))</f>
        <v>جزئي</v>
      </c>
    </row>
    <row r="196" spans="1:18">
      <c r="A196" s="16" t="s">
        <v>1636</v>
      </c>
      <c r="B196" s="16" t="s">
        <v>168</v>
      </c>
      <c r="C196" s="15" t="str">
        <f>IFERROR(INDEX('قائمة الوحدات'!$B$2:$B$41,MATCH($B196,'قائمة الوحدات'!$A$2:$A$41,0)),"")</f>
        <v>EXE</v>
      </c>
      <c r="D196" s="14" t="str">
        <f>IFERROR(INDEX('قائمة الوحدات'!$C$2:$C$41,MATCH($B196,'قائمة الوحدات'!$A$2:$A$41,0)),"")</f>
        <v>الشؤون التنفيذية</v>
      </c>
      <c r="E196" s="14" t="str">
        <f>IFERROR(INDEX('قائمة الوحدات'!$D$2:$D$41,MATCH($B196,'قائمة الوحدات'!$A$2:$A$41,0)),"")</f>
        <v>وكالة الشؤون الفنية</v>
      </c>
      <c r="F196" s="14" t="str">
        <f>IFERROR(INDEX('قائمة الوحدات'!$F$2:$F$41,MATCH($B196,'قائمة الوحدات'!$A$2:$A$41,0)),"")</f>
        <v>الإدارة العامة للأصول والمرافق</v>
      </c>
      <c r="G196" s="16" t="s">
        <v>65</v>
      </c>
      <c r="H196" s="14" t="str">
        <f>IFERROR(INDEX(المرجع!$A$2:$A$19,MATCH($G196,المرجع!$B$2:$B$19,0)),"")</f>
        <v>التشغيل</v>
      </c>
      <c r="I196" s="16" t="s">
        <v>51</v>
      </c>
      <c r="J196" s="14" t="str">
        <f>IFERROR(INDEX(المرجع!$D$2:$D$19,MATCH($I196,المرجع!$E$2:$E$19,0)),"")</f>
        <v>الحوكمة</v>
      </c>
      <c r="K196" s="15">
        <f>IFERROR(INDEX(المرجع!$F$2:$F$19,MATCH($I196,المرجع!$E$2:$E$19,0)),"")</f>
        <v>3</v>
      </c>
      <c r="L196" s="15">
        <f>SUMIFS(المرجع!$H$2:$H$19,المرجع!$B$2:$B$19,$G196,المرجع!$E$2:$E$19,$I196)</f>
        <v>3</v>
      </c>
      <c r="M196" s="15">
        <f>COUNTIFS('المرتبطة بسمو الوزير'!$B$2:$B$151,$B196,'المرتبطة بسمو الوزير'!$G$2:$G$151,$G196,'المرتبطة بسمو الوزير'!$I$2:$I$151,$I196,'المرتبطة بسمو الوزير'!$M$2:$M$151,"&lt;&gt;")+COUNTIFS('الشؤون التنفيذية'!$B$2:$B$421,$B196,'الشؤون التنفيذية'!$G$2:$G$421,$G196,'الشؤون التنفيذية'!$I$2:$I$421,$I196,'الشؤون التنفيذية'!$N$2:$N$421,"&lt;&gt;")+COUNTIFS('الجهاز العسكري'!$B$2:$B$631,$B196,'الجهاز العسكري'!$G$2:$G$631,$G196,'الجهاز العسكري'!$I$2:$I$631,$I196,'الجهاز العسكري'!$M$2:$M$631,"&lt;&gt;")</f>
        <v>3</v>
      </c>
      <c r="N196" s="19">
        <f>IF($L196=0,0,ROUND((SUMIFS('المرتبطة بسمو الوزير'!$M$2:$M$151,'المرتبطة بسمو الوزير'!$B$2:$B$151,$B196,'المرتبطة بسمو الوزير'!$G$2:$G$151,$G196,'المرتبطة بسمو الوزير'!$I$2:$I$151,$I196)+SUMIFS('الشؤون التنفيذية'!$N$2:$N$421,'الشؤون التنفيذية'!$B$2:$B$421,$B196,'الشؤون التنفيذية'!$G$2:$G$421,$G196,'الشؤون التنفيذية'!$I$2:$I$421,$I196)+SUMIFS('الجهاز العسكري'!$M$2:$M$631,'الجهاز العسكري'!$B$2:$B$631,$B196,'الجهاز العسكري'!$G$2:$G$631,$G196,'الجهاز العسكري'!$I$2:$I$631,$I196))/$L196,0))</f>
        <v>57</v>
      </c>
      <c r="O196" s="18"/>
      <c r="P196" s="15">
        <f>SUMIFS(المرجع!$G$2:$G$19,المرجع!$B$2:$B$19,$G196,المرجع!$E$2:$E$19,$I196)</f>
        <v>15</v>
      </c>
      <c r="Q196" s="20">
        <f t="shared" si="4"/>
        <v>8.5500000000000007</v>
      </c>
      <c r="R196" s="21" t="str">
        <f>IF($N196&gt;المرجع!$K$3,"متقدم",IF($N196&lt;=المرجع!$K$2,"أولي","جزئي"))</f>
        <v>جزئي</v>
      </c>
    </row>
    <row r="197" spans="1:18">
      <c r="A197" s="16" t="s">
        <v>1637</v>
      </c>
      <c r="B197" s="16" t="s">
        <v>168</v>
      </c>
      <c r="C197" s="15" t="str">
        <f>IFERROR(INDEX('قائمة الوحدات'!$B$2:$B$41,MATCH($B197,'قائمة الوحدات'!$A$2:$A$41,0)),"")</f>
        <v>EXE</v>
      </c>
      <c r="D197" s="14" t="str">
        <f>IFERROR(INDEX('قائمة الوحدات'!$C$2:$C$41,MATCH($B197,'قائمة الوحدات'!$A$2:$A$41,0)),"")</f>
        <v>الشؤون التنفيذية</v>
      </c>
      <c r="E197" s="14" t="str">
        <f>IFERROR(INDEX('قائمة الوحدات'!$D$2:$D$41,MATCH($B197,'قائمة الوحدات'!$A$2:$A$41,0)),"")</f>
        <v>وكالة الشؤون الفنية</v>
      </c>
      <c r="F197" s="14" t="str">
        <f>IFERROR(INDEX('قائمة الوحدات'!$F$2:$F$41,MATCH($B197,'قائمة الوحدات'!$A$2:$A$41,0)),"")</f>
        <v>الإدارة العامة للأصول والمرافق</v>
      </c>
      <c r="G197" s="16" t="s">
        <v>65</v>
      </c>
      <c r="H197" s="14" t="str">
        <f>IFERROR(INDEX(المرجع!$A$2:$A$19,MATCH($G197,المرجع!$B$2:$B$19,0)),"")</f>
        <v>التشغيل</v>
      </c>
      <c r="I197" s="16" t="s">
        <v>56</v>
      </c>
      <c r="J197" s="14" t="str">
        <f>IFERROR(INDEX(المرجع!$D$2:$D$19,MATCH($I197,المرجع!$E$2:$E$19,0)),"")</f>
        <v>الموارد</v>
      </c>
      <c r="K197" s="15">
        <f>IFERROR(INDEX(المرجع!$F$2:$F$19,MATCH($I197,المرجع!$E$2:$E$19,0)),"")</f>
        <v>5</v>
      </c>
      <c r="L197" s="15">
        <f>SUMIFS(المرجع!$H$2:$H$19,المرجع!$B$2:$B$19,$G197,المرجع!$E$2:$E$19,$I197)</f>
        <v>1</v>
      </c>
      <c r="M197" s="15">
        <f>COUNTIFS('المرتبطة بسمو الوزير'!$B$2:$B$151,$B197,'المرتبطة بسمو الوزير'!$G$2:$G$151,$G197,'المرتبطة بسمو الوزير'!$I$2:$I$151,$I197,'المرتبطة بسمو الوزير'!$M$2:$M$151,"&lt;&gt;")+COUNTIFS('الشؤون التنفيذية'!$B$2:$B$421,$B197,'الشؤون التنفيذية'!$G$2:$G$421,$G197,'الشؤون التنفيذية'!$I$2:$I$421,$I197,'الشؤون التنفيذية'!$N$2:$N$421,"&lt;&gt;")+COUNTIFS('الجهاز العسكري'!$B$2:$B$631,$B197,'الجهاز العسكري'!$G$2:$G$631,$G197,'الجهاز العسكري'!$I$2:$I$631,$I197,'الجهاز العسكري'!$M$2:$M$631,"&lt;&gt;")</f>
        <v>1</v>
      </c>
      <c r="N197" s="19">
        <f>IF($L197=0,0,ROUND((SUMIFS('المرتبطة بسمو الوزير'!$M$2:$M$151,'المرتبطة بسمو الوزير'!$B$2:$B$151,$B197,'المرتبطة بسمو الوزير'!$G$2:$G$151,$G197,'المرتبطة بسمو الوزير'!$I$2:$I$151,$I197)+SUMIFS('الشؤون التنفيذية'!$N$2:$N$421,'الشؤون التنفيذية'!$B$2:$B$421,$B197,'الشؤون التنفيذية'!$G$2:$G$421,$G197,'الشؤون التنفيذية'!$I$2:$I$421,$I197)+SUMIFS('الجهاز العسكري'!$M$2:$M$631,'الجهاز العسكري'!$B$2:$B$631,$B197,'الجهاز العسكري'!$G$2:$G$631,$G197,'الجهاز العسكري'!$I$2:$I$631,$I197))/$L197,0))</f>
        <v>62</v>
      </c>
      <c r="O197" s="18"/>
      <c r="P197" s="15">
        <f>SUMIFS(المرجع!$G$2:$G$19,المرجع!$B$2:$B$19,$G197,المرجع!$E$2:$E$19,$I197)</f>
        <v>15</v>
      </c>
      <c r="Q197" s="20">
        <f t="shared" si="4"/>
        <v>9.3000000000000007</v>
      </c>
      <c r="R197" s="21" t="str">
        <f>IF($N197&gt;المرجع!$K$3,"متقدم",IF($N197&lt;=المرجع!$K$2,"أولي","جزئي"))</f>
        <v>جزئي</v>
      </c>
    </row>
    <row r="198" spans="1:18">
      <c r="A198" s="16" t="s">
        <v>1638</v>
      </c>
      <c r="B198" s="16" t="s">
        <v>168</v>
      </c>
      <c r="C198" s="15" t="str">
        <f>IFERROR(INDEX('قائمة الوحدات'!$B$2:$B$41,MATCH($B198,'قائمة الوحدات'!$A$2:$A$41,0)),"")</f>
        <v>EXE</v>
      </c>
      <c r="D198" s="14" t="str">
        <f>IFERROR(INDEX('قائمة الوحدات'!$C$2:$C$41,MATCH($B198,'قائمة الوحدات'!$A$2:$A$41,0)),"")</f>
        <v>الشؤون التنفيذية</v>
      </c>
      <c r="E198" s="14" t="str">
        <f>IFERROR(INDEX('قائمة الوحدات'!$D$2:$D$41,MATCH($B198,'قائمة الوحدات'!$A$2:$A$41,0)),"")</f>
        <v>وكالة الشؤون الفنية</v>
      </c>
      <c r="F198" s="14" t="str">
        <f>IFERROR(INDEX('قائمة الوحدات'!$F$2:$F$41,MATCH($B198,'قائمة الوحدات'!$A$2:$A$41,0)),"")</f>
        <v>الإدارة العامة للأصول والمرافق</v>
      </c>
      <c r="G198" s="16" t="s">
        <v>65</v>
      </c>
      <c r="H198" s="14" t="str">
        <f>IFERROR(INDEX(المرجع!$A$2:$A$19,MATCH($G198,المرجع!$B$2:$B$19,0)),"")</f>
        <v>التشغيل</v>
      </c>
      <c r="I198" s="16" t="s">
        <v>59</v>
      </c>
      <c r="J198" s="14" t="str">
        <f>IFERROR(INDEX(المرجع!$D$2:$D$19,MATCH($I198,المرجع!$E$2:$E$19,0)),"")</f>
        <v>الإجراءات</v>
      </c>
      <c r="K198" s="15">
        <f>IFERROR(INDEX(المرجع!$F$2:$F$19,MATCH($I198,المرجع!$E$2:$E$19,0)),"")</f>
        <v>6</v>
      </c>
      <c r="L198" s="15">
        <f>SUMIFS(المرجع!$H$2:$H$19,المرجع!$B$2:$B$19,$G198,المرجع!$E$2:$E$19,$I198)</f>
        <v>1</v>
      </c>
      <c r="M198" s="15">
        <f>COUNTIFS('المرتبطة بسمو الوزير'!$B$2:$B$151,$B198,'المرتبطة بسمو الوزير'!$G$2:$G$151,$G198,'المرتبطة بسمو الوزير'!$I$2:$I$151,$I198,'المرتبطة بسمو الوزير'!$M$2:$M$151,"&lt;&gt;")+COUNTIFS('الشؤون التنفيذية'!$B$2:$B$421,$B198,'الشؤون التنفيذية'!$G$2:$G$421,$G198,'الشؤون التنفيذية'!$I$2:$I$421,$I198,'الشؤون التنفيذية'!$N$2:$N$421,"&lt;&gt;")+COUNTIFS('الجهاز العسكري'!$B$2:$B$631,$B198,'الجهاز العسكري'!$G$2:$G$631,$G198,'الجهاز العسكري'!$I$2:$I$631,$I198,'الجهاز العسكري'!$M$2:$M$631,"&lt;&gt;")</f>
        <v>1</v>
      </c>
      <c r="N198" s="19">
        <f>IF($L198=0,0,ROUND((SUMIFS('المرتبطة بسمو الوزير'!$M$2:$M$151,'المرتبطة بسمو الوزير'!$B$2:$B$151,$B198,'المرتبطة بسمو الوزير'!$G$2:$G$151,$G198,'المرتبطة بسمو الوزير'!$I$2:$I$151,$I198)+SUMIFS('الشؤون التنفيذية'!$N$2:$N$421,'الشؤون التنفيذية'!$B$2:$B$421,$B198,'الشؤون التنفيذية'!$G$2:$G$421,$G198,'الشؤون التنفيذية'!$I$2:$I$421,$I198)+SUMIFS('الجهاز العسكري'!$M$2:$M$631,'الجهاز العسكري'!$B$2:$B$631,$B198,'الجهاز العسكري'!$G$2:$G$631,$G198,'الجهاز العسكري'!$I$2:$I$631,$I198))/$L198,0))</f>
        <v>33</v>
      </c>
      <c r="O198" s="18"/>
      <c r="P198" s="15">
        <f>SUMIFS(المرجع!$G$2:$G$19,المرجع!$B$2:$B$19,$G198,المرجع!$E$2:$E$19,$I198)</f>
        <v>15</v>
      </c>
      <c r="Q198" s="20">
        <f t="shared" si="4"/>
        <v>4.95</v>
      </c>
      <c r="R198" s="21" t="str">
        <f>IF($N198&gt;المرجع!$K$3,"متقدم",IF($N198&lt;=المرجع!$K$2,"أولي","جزئي"))</f>
        <v>جزئي</v>
      </c>
    </row>
    <row r="199" spans="1:18">
      <c r="A199" s="16" t="s">
        <v>1639</v>
      </c>
      <c r="B199" s="16" t="s">
        <v>168</v>
      </c>
      <c r="C199" s="15" t="str">
        <f>IFERROR(INDEX('قائمة الوحدات'!$B$2:$B$41,MATCH($B199,'قائمة الوحدات'!$A$2:$A$41,0)),"")</f>
        <v>EXE</v>
      </c>
      <c r="D199" s="14" t="str">
        <f>IFERROR(INDEX('قائمة الوحدات'!$C$2:$C$41,MATCH($B199,'قائمة الوحدات'!$A$2:$A$41,0)),"")</f>
        <v>الشؤون التنفيذية</v>
      </c>
      <c r="E199" s="14" t="str">
        <f>IFERROR(INDEX('قائمة الوحدات'!$D$2:$D$41,MATCH($B199,'قائمة الوحدات'!$A$2:$A$41,0)),"")</f>
        <v>وكالة الشؤون الفنية</v>
      </c>
      <c r="F199" s="14" t="str">
        <f>IFERROR(INDEX('قائمة الوحدات'!$F$2:$F$41,MATCH($B199,'قائمة الوحدات'!$A$2:$A$41,0)),"")</f>
        <v>الإدارة العامة للأصول والمرافق</v>
      </c>
      <c r="G199" s="16" t="s">
        <v>65</v>
      </c>
      <c r="H199" s="14" t="str">
        <f>IFERROR(INDEX(المرجع!$A$2:$A$19,MATCH($G199,المرجع!$B$2:$B$19,0)),"")</f>
        <v>التشغيل</v>
      </c>
      <c r="I199" s="16" t="s">
        <v>67</v>
      </c>
      <c r="J199" s="14" t="str">
        <f>IFERROR(INDEX(المرجع!$D$2:$D$19,MATCH($I199,المرجع!$E$2:$E$19,0)),"")</f>
        <v>اكتمال المخرجات المستهدفة</v>
      </c>
      <c r="K199" s="15">
        <f>IFERROR(INDEX(المرجع!$F$2:$F$19,MATCH($I199,المرجع!$E$2:$E$19,0)),"")</f>
        <v>8</v>
      </c>
      <c r="L199" s="15">
        <f>SUMIFS(المرجع!$H$2:$H$19,المرجع!$B$2:$B$19,$G199,المرجع!$E$2:$E$19,$I199)</f>
        <v>1</v>
      </c>
      <c r="M199" s="15">
        <f>COUNTIFS('المرتبطة بسمو الوزير'!$B$2:$B$151,$B199,'المرتبطة بسمو الوزير'!$G$2:$G$151,$G199,'المرتبطة بسمو الوزير'!$I$2:$I$151,$I199,'المرتبطة بسمو الوزير'!$M$2:$M$151,"&lt;&gt;")+COUNTIFS('الشؤون التنفيذية'!$B$2:$B$421,$B199,'الشؤون التنفيذية'!$G$2:$G$421,$G199,'الشؤون التنفيذية'!$I$2:$I$421,$I199,'الشؤون التنفيذية'!$N$2:$N$421,"&lt;&gt;")+COUNTIFS('الجهاز العسكري'!$B$2:$B$631,$B199,'الجهاز العسكري'!$G$2:$G$631,$G199,'الجهاز العسكري'!$I$2:$I$631,$I199,'الجهاز العسكري'!$M$2:$M$631,"&lt;&gt;")</f>
        <v>1</v>
      </c>
      <c r="N199" s="19">
        <f>IF($L199=0,0,ROUND((SUMIFS('المرتبطة بسمو الوزير'!$M$2:$M$151,'المرتبطة بسمو الوزير'!$B$2:$B$151,$B199,'المرتبطة بسمو الوزير'!$G$2:$G$151,$G199,'المرتبطة بسمو الوزير'!$I$2:$I$151,$I199)+SUMIFS('الشؤون التنفيذية'!$N$2:$N$421,'الشؤون التنفيذية'!$B$2:$B$421,$B199,'الشؤون التنفيذية'!$G$2:$G$421,$G199,'الشؤون التنفيذية'!$I$2:$I$421,$I199)+SUMIFS('الجهاز العسكري'!$M$2:$M$631,'الجهاز العسكري'!$B$2:$B$631,$B199,'الجهاز العسكري'!$G$2:$G$631,$G199,'الجهاز العسكري'!$I$2:$I$631,$I199))/$L199,0))</f>
        <v>41</v>
      </c>
      <c r="O199" s="18"/>
      <c r="P199" s="15">
        <f>SUMIFS(المرجع!$G$2:$G$19,المرجع!$B$2:$B$19,$G199,المرجع!$E$2:$E$19,$I199)</f>
        <v>30</v>
      </c>
      <c r="Q199" s="20">
        <f t="shared" si="4"/>
        <v>12.3</v>
      </c>
      <c r="R199" s="21" t="str">
        <f>IF($N199&gt;المرجع!$K$3,"متقدم",IF($N199&lt;=المرجع!$K$2,"أولي","جزئي"))</f>
        <v>جزئي</v>
      </c>
    </row>
    <row r="200" spans="1:18">
      <c r="A200" s="16" t="s">
        <v>1640</v>
      </c>
      <c r="B200" s="16" t="s">
        <v>170</v>
      </c>
      <c r="C200" s="15" t="str">
        <f>IFERROR(INDEX('قائمة الوحدات'!$B$2:$B$41,MATCH($B200,'قائمة الوحدات'!$A$2:$A$41,0)),"")</f>
        <v>EXE</v>
      </c>
      <c r="D200" s="14" t="str">
        <f>IFERROR(INDEX('قائمة الوحدات'!$C$2:$C$41,MATCH($B200,'قائمة الوحدات'!$A$2:$A$41,0)),"")</f>
        <v>الشؤون التنفيذية</v>
      </c>
      <c r="E200" s="14" t="str">
        <f>IFERROR(INDEX('قائمة الوحدات'!$D$2:$D$41,MATCH($B200,'قائمة الوحدات'!$A$2:$A$41,0)),"")</f>
        <v>وكالة الشؤون الفنية</v>
      </c>
      <c r="F200" s="14" t="str">
        <f>IFERROR(INDEX('قائمة الوحدات'!$F$2:$F$41,MATCH($B200,'قائمة الوحدات'!$A$2:$A$41,0)),"")</f>
        <v>الإدارة العامة للأمن والحماية</v>
      </c>
      <c r="G200" s="16" t="s">
        <v>43</v>
      </c>
      <c r="H200" s="14" t="str">
        <f>IFERROR(INDEX(المرجع!$A$2:$A$19,MATCH($G200,المرجع!$B$2:$B$19,0)),"")</f>
        <v>التصميم</v>
      </c>
      <c r="I200" s="16" t="s">
        <v>45</v>
      </c>
      <c r="J200" s="14" t="str">
        <f>IFERROR(INDEX(المرجع!$D$2:$D$19,MATCH($I200,المرجع!$E$2:$E$19,0)),"")</f>
        <v>الدور</v>
      </c>
      <c r="K200" s="15">
        <f>IFERROR(INDEX(المرجع!$F$2:$F$19,MATCH($I200,المرجع!$E$2:$E$19,0)),"")</f>
        <v>1</v>
      </c>
      <c r="L200" s="15">
        <f>SUMIFS(المرجع!$H$2:$H$19,المرجع!$B$2:$B$19,$G200,المرجع!$E$2:$E$19,$I200)</f>
        <v>1</v>
      </c>
      <c r="M200" s="15">
        <f>COUNTIFS('المرتبطة بسمو الوزير'!$B$2:$B$151,$B200,'المرتبطة بسمو الوزير'!$G$2:$G$151,$G200,'المرتبطة بسمو الوزير'!$I$2:$I$151,$I200,'المرتبطة بسمو الوزير'!$M$2:$M$151,"&lt;&gt;")+COUNTIFS('الشؤون التنفيذية'!$B$2:$B$421,$B200,'الشؤون التنفيذية'!$G$2:$G$421,$G200,'الشؤون التنفيذية'!$I$2:$I$421,$I200,'الشؤون التنفيذية'!$N$2:$N$421,"&lt;&gt;")+COUNTIFS('الجهاز العسكري'!$B$2:$B$631,$B200,'الجهاز العسكري'!$G$2:$G$631,$G200,'الجهاز العسكري'!$I$2:$I$631,$I200,'الجهاز العسكري'!$M$2:$M$631,"&lt;&gt;")</f>
        <v>1</v>
      </c>
      <c r="N200" s="19">
        <f>IF($L200=0,0,ROUND((SUMIFS('المرتبطة بسمو الوزير'!$M$2:$M$151,'المرتبطة بسمو الوزير'!$B$2:$B$151,$B200,'المرتبطة بسمو الوزير'!$G$2:$G$151,$G200,'المرتبطة بسمو الوزير'!$I$2:$I$151,$I200)+SUMIFS('الشؤون التنفيذية'!$N$2:$N$421,'الشؤون التنفيذية'!$B$2:$B$421,$B200,'الشؤون التنفيذية'!$G$2:$G$421,$G200,'الشؤون التنفيذية'!$I$2:$I$421,$I200)+SUMIFS('الجهاز العسكري'!$M$2:$M$631,'الجهاز العسكري'!$B$2:$B$631,$B200,'الجهاز العسكري'!$G$2:$G$631,$G200,'الجهاز العسكري'!$I$2:$I$631,$I200))/$L200,0))</f>
        <v>78</v>
      </c>
      <c r="O200" s="18"/>
      <c r="P200" s="15">
        <f>SUMIFS(المرجع!$G$2:$G$19,المرجع!$B$2:$B$19,$G200,المرجع!$E$2:$E$19,$I200)</f>
        <v>25</v>
      </c>
      <c r="Q200" s="20">
        <f t="shared" si="4"/>
        <v>19.5</v>
      </c>
      <c r="R200" s="21" t="str">
        <f>IF($N200&gt;المرجع!$K$3,"متقدم",IF($N200&lt;=المرجع!$K$2,"أولي","جزئي"))</f>
        <v>متقدم</v>
      </c>
    </row>
    <row r="201" spans="1:18">
      <c r="A201" s="16" t="s">
        <v>1641</v>
      </c>
      <c r="B201" s="16" t="s">
        <v>170</v>
      </c>
      <c r="C201" s="15" t="str">
        <f>IFERROR(INDEX('قائمة الوحدات'!$B$2:$B$41,MATCH($B201,'قائمة الوحدات'!$A$2:$A$41,0)),"")</f>
        <v>EXE</v>
      </c>
      <c r="D201" s="14" t="str">
        <f>IFERROR(INDEX('قائمة الوحدات'!$C$2:$C$41,MATCH($B201,'قائمة الوحدات'!$A$2:$A$41,0)),"")</f>
        <v>الشؤون التنفيذية</v>
      </c>
      <c r="E201" s="14" t="str">
        <f>IFERROR(INDEX('قائمة الوحدات'!$D$2:$D$41,MATCH($B201,'قائمة الوحدات'!$A$2:$A$41,0)),"")</f>
        <v>وكالة الشؤون الفنية</v>
      </c>
      <c r="F201" s="14" t="str">
        <f>IFERROR(INDEX('قائمة الوحدات'!$F$2:$F$41,MATCH($B201,'قائمة الوحدات'!$A$2:$A$41,0)),"")</f>
        <v>الإدارة العامة للأمن والحماية</v>
      </c>
      <c r="G201" s="16" t="s">
        <v>43</v>
      </c>
      <c r="H201" s="14" t="str">
        <f>IFERROR(INDEX(المرجع!$A$2:$A$19,MATCH($G201,المرجع!$B$2:$B$19,0)),"")</f>
        <v>التصميم</v>
      </c>
      <c r="I201" s="16" t="s">
        <v>48</v>
      </c>
      <c r="J201" s="14" t="str">
        <f>IFERROR(INDEX(المرجع!$D$2:$D$19,MATCH($I201,المرجع!$E$2:$E$19,0)),"")</f>
        <v>الأهداف ومؤشرات الأداء</v>
      </c>
      <c r="K201" s="15">
        <f>IFERROR(INDEX(المرجع!$F$2:$F$19,MATCH($I201,المرجع!$E$2:$E$19,0)),"")</f>
        <v>2</v>
      </c>
      <c r="L201" s="15">
        <f>SUMIFS(المرجع!$H$2:$H$19,المرجع!$B$2:$B$19,$G201,المرجع!$E$2:$E$19,$I201)</f>
        <v>2</v>
      </c>
      <c r="M201" s="15">
        <f>COUNTIFS('المرتبطة بسمو الوزير'!$B$2:$B$151,$B201,'المرتبطة بسمو الوزير'!$G$2:$G$151,$G201,'المرتبطة بسمو الوزير'!$I$2:$I$151,$I201,'المرتبطة بسمو الوزير'!$M$2:$M$151,"&lt;&gt;")+COUNTIFS('الشؤون التنفيذية'!$B$2:$B$421,$B201,'الشؤون التنفيذية'!$G$2:$G$421,$G201,'الشؤون التنفيذية'!$I$2:$I$421,$I201,'الشؤون التنفيذية'!$N$2:$N$421,"&lt;&gt;")+COUNTIFS('الجهاز العسكري'!$B$2:$B$631,$B201,'الجهاز العسكري'!$G$2:$G$631,$G201,'الجهاز العسكري'!$I$2:$I$631,$I201,'الجهاز العسكري'!$M$2:$M$631,"&lt;&gt;")</f>
        <v>2</v>
      </c>
      <c r="N201" s="19">
        <f>IF($L201=0,0,ROUND((SUMIFS('المرتبطة بسمو الوزير'!$M$2:$M$151,'المرتبطة بسمو الوزير'!$B$2:$B$151,$B201,'المرتبطة بسمو الوزير'!$G$2:$G$151,$G201,'المرتبطة بسمو الوزير'!$I$2:$I$151,$I201)+SUMIFS('الشؤون التنفيذية'!$N$2:$N$421,'الشؤون التنفيذية'!$B$2:$B$421,$B201,'الشؤون التنفيذية'!$G$2:$G$421,$G201,'الشؤون التنفيذية'!$I$2:$I$421,$I201)+SUMIFS('الجهاز العسكري'!$M$2:$M$631,'الجهاز العسكري'!$B$2:$B$631,$B201,'الجهاز العسكري'!$G$2:$G$631,$G201,'الجهاز العسكري'!$I$2:$I$631,$I201))/$L201,0))</f>
        <v>85</v>
      </c>
      <c r="O201" s="18"/>
      <c r="P201" s="15">
        <f>SUMIFS(المرجع!$G$2:$G$19,المرجع!$B$2:$B$19,$G201,المرجع!$E$2:$E$19,$I201)</f>
        <v>15</v>
      </c>
      <c r="Q201" s="20">
        <f t="shared" si="4"/>
        <v>12.75</v>
      </c>
      <c r="R201" s="21" t="str">
        <f>IF($N201&gt;المرجع!$K$3,"متقدم",IF($N201&lt;=المرجع!$K$2,"أولي","جزئي"))</f>
        <v>متقدم</v>
      </c>
    </row>
    <row r="202" spans="1:18">
      <c r="A202" s="16" t="s">
        <v>1642</v>
      </c>
      <c r="B202" s="16" t="s">
        <v>170</v>
      </c>
      <c r="C202" s="15" t="str">
        <f>IFERROR(INDEX('قائمة الوحدات'!$B$2:$B$41,MATCH($B202,'قائمة الوحدات'!$A$2:$A$41,0)),"")</f>
        <v>EXE</v>
      </c>
      <c r="D202" s="14" t="str">
        <f>IFERROR(INDEX('قائمة الوحدات'!$C$2:$C$41,MATCH($B202,'قائمة الوحدات'!$A$2:$A$41,0)),"")</f>
        <v>الشؤون التنفيذية</v>
      </c>
      <c r="E202" s="14" t="str">
        <f>IFERROR(INDEX('قائمة الوحدات'!$D$2:$D$41,MATCH($B202,'قائمة الوحدات'!$A$2:$A$41,0)),"")</f>
        <v>وكالة الشؤون الفنية</v>
      </c>
      <c r="F202" s="14" t="str">
        <f>IFERROR(INDEX('قائمة الوحدات'!$F$2:$F$41,MATCH($B202,'قائمة الوحدات'!$A$2:$A$41,0)),"")</f>
        <v>الإدارة العامة للأمن والحماية</v>
      </c>
      <c r="G202" s="16" t="s">
        <v>43</v>
      </c>
      <c r="H202" s="14" t="str">
        <f>IFERROR(INDEX(المرجع!$A$2:$A$19,MATCH($G202,المرجع!$B$2:$B$19,0)),"")</f>
        <v>التصميم</v>
      </c>
      <c r="I202" s="16" t="s">
        <v>51</v>
      </c>
      <c r="J202" s="14" t="str">
        <f>IFERROR(INDEX(المرجع!$D$2:$D$19,MATCH($I202,المرجع!$E$2:$E$19,0)),"")</f>
        <v>الحوكمة</v>
      </c>
      <c r="K202" s="15">
        <f>IFERROR(INDEX(المرجع!$F$2:$F$19,MATCH($I202,المرجع!$E$2:$E$19,0)),"")</f>
        <v>3</v>
      </c>
      <c r="L202" s="15">
        <f>SUMIFS(المرجع!$H$2:$H$19,المرجع!$B$2:$B$19,$G202,المرجع!$E$2:$E$19,$I202)</f>
        <v>1</v>
      </c>
      <c r="M202" s="15">
        <f>COUNTIFS('المرتبطة بسمو الوزير'!$B$2:$B$151,$B202,'المرتبطة بسمو الوزير'!$G$2:$G$151,$G202,'المرتبطة بسمو الوزير'!$I$2:$I$151,$I202,'المرتبطة بسمو الوزير'!$M$2:$M$151,"&lt;&gt;")+COUNTIFS('الشؤون التنفيذية'!$B$2:$B$421,$B202,'الشؤون التنفيذية'!$G$2:$G$421,$G202,'الشؤون التنفيذية'!$I$2:$I$421,$I202,'الشؤون التنفيذية'!$N$2:$N$421,"&lt;&gt;")+COUNTIFS('الجهاز العسكري'!$B$2:$B$631,$B202,'الجهاز العسكري'!$G$2:$G$631,$G202,'الجهاز العسكري'!$I$2:$I$631,$I202,'الجهاز العسكري'!$M$2:$M$631,"&lt;&gt;")</f>
        <v>1</v>
      </c>
      <c r="N202" s="19">
        <f>IF($L202=0,0,ROUND((SUMIFS('المرتبطة بسمو الوزير'!$M$2:$M$151,'المرتبطة بسمو الوزير'!$B$2:$B$151,$B202,'المرتبطة بسمو الوزير'!$G$2:$G$151,$G202,'المرتبطة بسمو الوزير'!$I$2:$I$151,$I202)+SUMIFS('الشؤون التنفيذية'!$N$2:$N$421,'الشؤون التنفيذية'!$B$2:$B$421,$B202,'الشؤون التنفيذية'!$G$2:$G$421,$G202,'الشؤون التنفيذية'!$I$2:$I$421,$I202)+SUMIFS('الجهاز العسكري'!$M$2:$M$631,'الجهاز العسكري'!$B$2:$B$631,$B202,'الجهاز العسكري'!$G$2:$G$631,$G202,'الجهاز العسكري'!$I$2:$I$631,$I202))/$L202,0))</f>
        <v>74</v>
      </c>
      <c r="O202" s="18"/>
      <c r="P202" s="15">
        <f>SUMIFS(المرجع!$G$2:$G$19,المرجع!$B$2:$B$19,$G202,المرجع!$E$2:$E$19,$I202)</f>
        <v>15</v>
      </c>
      <c r="Q202" s="20">
        <f t="shared" si="4"/>
        <v>11.1</v>
      </c>
      <c r="R202" s="21" t="str">
        <f>IF($N202&gt;المرجع!$K$3,"متقدم",IF($N202&lt;=المرجع!$K$2,"أولي","جزئي"))</f>
        <v>متقدم</v>
      </c>
    </row>
    <row r="203" spans="1:18">
      <c r="A203" s="16" t="s">
        <v>1643</v>
      </c>
      <c r="B203" s="16" t="s">
        <v>170</v>
      </c>
      <c r="C203" s="15" t="str">
        <f>IFERROR(INDEX('قائمة الوحدات'!$B$2:$B$41,MATCH($B203,'قائمة الوحدات'!$A$2:$A$41,0)),"")</f>
        <v>EXE</v>
      </c>
      <c r="D203" s="14" t="str">
        <f>IFERROR(INDEX('قائمة الوحدات'!$C$2:$C$41,MATCH($B203,'قائمة الوحدات'!$A$2:$A$41,0)),"")</f>
        <v>الشؤون التنفيذية</v>
      </c>
      <c r="E203" s="14" t="str">
        <f>IFERROR(INDEX('قائمة الوحدات'!$D$2:$D$41,MATCH($B203,'قائمة الوحدات'!$A$2:$A$41,0)),"")</f>
        <v>وكالة الشؤون الفنية</v>
      </c>
      <c r="F203" s="14" t="str">
        <f>IFERROR(INDEX('قائمة الوحدات'!$F$2:$F$41,MATCH($B203,'قائمة الوحدات'!$A$2:$A$41,0)),"")</f>
        <v>الإدارة العامة للأمن والحماية</v>
      </c>
      <c r="G203" s="16" t="s">
        <v>43</v>
      </c>
      <c r="H203" s="14" t="str">
        <f>IFERROR(INDEX(المرجع!$A$2:$A$19,MATCH($G203,المرجع!$B$2:$B$19,0)),"")</f>
        <v>التصميم</v>
      </c>
      <c r="I203" s="16" t="s">
        <v>54</v>
      </c>
      <c r="J203" s="14" t="str">
        <f>IFERROR(INDEX(المرجع!$D$2:$D$19,MATCH($I203,المرجع!$E$2:$E$19,0)),"")</f>
        <v>التنظيم</v>
      </c>
      <c r="K203" s="15">
        <f>IFERROR(INDEX(المرجع!$F$2:$F$19,MATCH($I203,المرجع!$E$2:$E$19,0)),"")</f>
        <v>4</v>
      </c>
      <c r="L203" s="15">
        <f>SUMIFS(المرجع!$H$2:$H$19,المرجع!$B$2:$B$19,$G203,المرجع!$E$2:$E$19,$I203)</f>
        <v>1</v>
      </c>
      <c r="M203" s="15">
        <f>COUNTIFS('المرتبطة بسمو الوزير'!$B$2:$B$151,$B203,'المرتبطة بسمو الوزير'!$G$2:$G$151,$G203,'المرتبطة بسمو الوزير'!$I$2:$I$151,$I203,'المرتبطة بسمو الوزير'!$M$2:$M$151,"&lt;&gt;")+COUNTIFS('الشؤون التنفيذية'!$B$2:$B$421,$B203,'الشؤون التنفيذية'!$G$2:$G$421,$G203,'الشؤون التنفيذية'!$I$2:$I$421,$I203,'الشؤون التنفيذية'!$N$2:$N$421,"&lt;&gt;")+COUNTIFS('الجهاز العسكري'!$B$2:$B$631,$B203,'الجهاز العسكري'!$G$2:$G$631,$G203,'الجهاز العسكري'!$I$2:$I$631,$I203,'الجهاز العسكري'!$M$2:$M$631,"&lt;&gt;")</f>
        <v>1</v>
      </c>
      <c r="N203" s="19">
        <f>IF($L203=0,0,ROUND((SUMIFS('المرتبطة بسمو الوزير'!$M$2:$M$151,'المرتبطة بسمو الوزير'!$B$2:$B$151,$B203,'المرتبطة بسمو الوزير'!$G$2:$G$151,$G203,'المرتبطة بسمو الوزير'!$I$2:$I$151,$I203)+SUMIFS('الشؤون التنفيذية'!$N$2:$N$421,'الشؤون التنفيذية'!$B$2:$B$421,$B203,'الشؤون التنفيذية'!$G$2:$G$421,$G203,'الشؤون التنفيذية'!$I$2:$I$421,$I203)+SUMIFS('الجهاز العسكري'!$M$2:$M$631,'الجهاز العسكري'!$B$2:$B$631,$B203,'الجهاز العسكري'!$G$2:$G$631,$G203,'الجهاز العسكري'!$I$2:$I$631,$I203))/$L203,0))</f>
        <v>94</v>
      </c>
      <c r="O203" s="18"/>
      <c r="P203" s="15">
        <f>SUMIFS(المرجع!$G$2:$G$19,المرجع!$B$2:$B$19,$G203,المرجع!$E$2:$E$19,$I203)</f>
        <v>20</v>
      </c>
      <c r="Q203" s="20">
        <f t="shared" si="4"/>
        <v>18.8</v>
      </c>
      <c r="R203" s="21" t="str">
        <f>IF($N203&gt;المرجع!$K$3,"متقدم",IF($N203&lt;=المرجع!$K$2,"أولي","جزئي"))</f>
        <v>متقدم</v>
      </c>
    </row>
    <row r="204" spans="1:18">
      <c r="A204" s="16" t="s">
        <v>1644</v>
      </c>
      <c r="B204" s="16" t="s">
        <v>170</v>
      </c>
      <c r="C204" s="15" t="str">
        <f>IFERROR(INDEX('قائمة الوحدات'!$B$2:$B$41,MATCH($B204,'قائمة الوحدات'!$A$2:$A$41,0)),"")</f>
        <v>EXE</v>
      </c>
      <c r="D204" s="14" t="str">
        <f>IFERROR(INDEX('قائمة الوحدات'!$C$2:$C$41,MATCH($B204,'قائمة الوحدات'!$A$2:$A$41,0)),"")</f>
        <v>الشؤون التنفيذية</v>
      </c>
      <c r="E204" s="14" t="str">
        <f>IFERROR(INDEX('قائمة الوحدات'!$D$2:$D$41,MATCH($B204,'قائمة الوحدات'!$A$2:$A$41,0)),"")</f>
        <v>وكالة الشؤون الفنية</v>
      </c>
      <c r="F204" s="14" t="str">
        <f>IFERROR(INDEX('قائمة الوحدات'!$F$2:$F$41,MATCH($B204,'قائمة الوحدات'!$A$2:$A$41,0)),"")</f>
        <v>الإدارة العامة للأمن والحماية</v>
      </c>
      <c r="G204" s="16" t="s">
        <v>43</v>
      </c>
      <c r="H204" s="14" t="str">
        <f>IFERROR(INDEX(المرجع!$A$2:$A$19,MATCH($G204,المرجع!$B$2:$B$19,0)),"")</f>
        <v>التصميم</v>
      </c>
      <c r="I204" s="16" t="s">
        <v>56</v>
      </c>
      <c r="J204" s="14" t="str">
        <f>IFERROR(INDEX(المرجع!$D$2:$D$19,MATCH($I204,المرجع!$E$2:$E$19,0)),"")</f>
        <v>الموارد</v>
      </c>
      <c r="K204" s="15">
        <f>IFERROR(INDEX(المرجع!$F$2:$F$19,MATCH($I204,المرجع!$E$2:$E$19,0)),"")</f>
        <v>5</v>
      </c>
      <c r="L204" s="15">
        <f>SUMIFS(المرجع!$H$2:$H$19,المرجع!$B$2:$B$19,$G204,المرجع!$E$2:$E$19,$I204)</f>
        <v>1</v>
      </c>
      <c r="M204" s="15">
        <f>COUNTIFS('المرتبطة بسمو الوزير'!$B$2:$B$151,$B204,'المرتبطة بسمو الوزير'!$G$2:$G$151,$G204,'المرتبطة بسمو الوزير'!$I$2:$I$151,$I204,'المرتبطة بسمو الوزير'!$M$2:$M$151,"&lt;&gt;")+COUNTIFS('الشؤون التنفيذية'!$B$2:$B$421,$B204,'الشؤون التنفيذية'!$G$2:$G$421,$G204,'الشؤون التنفيذية'!$I$2:$I$421,$I204,'الشؤون التنفيذية'!$N$2:$N$421,"&lt;&gt;")+COUNTIFS('الجهاز العسكري'!$B$2:$B$631,$B204,'الجهاز العسكري'!$G$2:$G$631,$G204,'الجهاز العسكري'!$I$2:$I$631,$I204,'الجهاز العسكري'!$M$2:$M$631,"&lt;&gt;")</f>
        <v>1</v>
      </c>
      <c r="N204" s="19">
        <f>IF($L204=0,0,ROUND((SUMIFS('المرتبطة بسمو الوزير'!$M$2:$M$151,'المرتبطة بسمو الوزير'!$B$2:$B$151,$B204,'المرتبطة بسمو الوزير'!$G$2:$G$151,$G204,'المرتبطة بسمو الوزير'!$I$2:$I$151,$I204)+SUMIFS('الشؤون التنفيذية'!$N$2:$N$421,'الشؤون التنفيذية'!$B$2:$B$421,$B204,'الشؤون التنفيذية'!$G$2:$G$421,$G204,'الشؤون التنفيذية'!$I$2:$I$421,$I204)+SUMIFS('الجهاز العسكري'!$M$2:$M$631,'الجهاز العسكري'!$B$2:$B$631,$B204,'الجهاز العسكري'!$G$2:$G$631,$G204,'الجهاز العسكري'!$I$2:$I$631,$I204))/$L204,0))</f>
        <v>75</v>
      </c>
      <c r="O204" s="18"/>
      <c r="P204" s="15">
        <f>SUMIFS(المرجع!$G$2:$G$19,المرجع!$B$2:$B$19,$G204,المرجع!$E$2:$E$19,$I204)</f>
        <v>20</v>
      </c>
      <c r="Q204" s="20">
        <f t="shared" si="4"/>
        <v>15</v>
      </c>
      <c r="R204" s="21" t="str">
        <f>IF($N204&gt;المرجع!$K$3,"متقدم",IF($N204&lt;=المرجع!$K$2,"أولي","جزئي"))</f>
        <v>متقدم</v>
      </c>
    </row>
    <row r="205" spans="1:18">
      <c r="A205" s="16" t="s">
        <v>1645</v>
      </c>
      <c r="B205" s="16" t="s">
        <v>170</v>
      </c>
      <c r="C205" s="15" t="str">
        <f>IFERROR(INDEX('قائمة الوحدات'!$B$2:$B$41,MATCH($B205,'قائمة الوحدات'!$A$2:$A$41,0)),"")</f>
        <v>EXE</v>
      </c>
      <c r="D205" s="14" t="str">
        <f>IFERROR(INDEX('قائمة الوحدات'!$C$2:$C$41,MATCH($B205,'قائمة الوحدات'!$A$2:$A$41,0)),"")</f>
        <v>الشؤون التنفيذية</v>
      </c>
      <c r="E205" s="14" t="str">
        <f>IFERROR(INDEX('قائمة الوحدات'!$D$2:$D$41,MATCH($B205,'قائمة الوحدات'!$A$2:$A$41,0)),"")</f>
        <v>وكالة الشؤون الفنية</v>
      </c>
      <c r="F205" s="14" t="str">
        <f>IFERROR(INDEX('قائمة الوحدات'!$F$2:$F$41,MATCH($B205,'قائمة الوحدات'!$A$2:$A$41,0)),"")</f>
        <v>الإدارة العامة للأمن والحماية</v>
      </c>
      <c r="G205" s="16" t="s">
        <v>43</v>
      </c>
      <c r="H205" s="14" t="str">
        <f>IFERROR(INDEX(المرجع!$A$2:$A$19,MATCH($G205,المرجع!$B$2:$B$19,0)),"")</f>
        <v>التصميم</v>
      </c>
      <c r="I205" s="16" t="s">
        <v>59</v>
      </c>
      <c r="J205" s="14" t="str">
        <f>IFERROR(INDEX(المرجع!$D$2:$D$19,MATCH($I205,المرجع!$E$2:$E$19,0)),"")</f>
        <v>الإجراءات</v>
      </c>
      <c r="K205" s="15">
        <f>IFERROR(INDEX(المرجع!$F$2:$F$19,MATCH($I205,المرجع!$E$2:$E$19,0)),"")</f>
        <v>6</v>
      </c>
      <c r="L205" s="15">
        <f>SUMIFS(المرجع!$H$2:$H$19,المرجع!$B$2:$B$19,$G205,المرجع!$E$2:$E$19,$I205)</f>
        <v>1</v>
      </c>
      <c r="M205" s="15">
        <f>COUNTIFS('المرتبطة بسمو الوزير'!$B$2:$B$151,$B205,'المرتبطة بسمو الوزير'!$G$2:$G$151,$G205,'المرتبطة بسمو الوزير'!$I$2:$I$151,$I205,'المرتبطة بسمو الوزير'!$M$2:$M$151,"&lt;&gt;")+COUNTIFS('الشؤون التنفيذية'!$B$2:$B$421,$B205,'الشؤون التنفيذية'!$G$2:$G$421,$G205,'الشؤون التنفيذية'!$I$2:$I$421,$I205,'الشؤون التنفيذية'!$N$2:$N$421,"&lt;&gt;")+COUNTIFS('الجهاز العسكري'!$B$2:$B$631,$B205,'الجهاز العسكري'!$G$2:$G$631,$G205,'الجهاز العسكري'!$I$2:$I$631,$I205,'الجهاز العسكري'!$M$2:$M$631,"&lt;&gt;")</f>
        <v>1</v>
      </c>
      <c r="N205" s="19">
        <f>IF($L205=0,0,ROUND((SUMIFS('المرتبطة بسمو الوزير'!$M$2:$M$151,'المرتبطة بسمو الوزير'!$B$2:$B$151,$B205,'المرتبطة بسمو الوزير'!$G$2:$G$151,$G205,'المرتبطة بسمو الوزير'!$I$2:$I$151,$I205)+SUMIFS('الشؤون التنفيذية'!$N$2:$N$421,'الشؤون التنفيذية'!$B$2:$B$421,$B205,'الشؤون التنفيذية'!$G$2:$G$421,$G205,'الشؤون التنفيذية'!$I$2:$I$421,$I205)+SUMIFS('الجهاز العسكري'!$M$2:$M$631,'الجهاز العسكري'!$B$2:$B$631,$B205,'الجهاز العسكري'!$G$2:$G$631,$G205,'الجهاز العسكري'!$I$2:$I$631,$I205))/$L205,0))</f>
        <v>86</v>
      </c>
      <c r="O205" s="18"/>
      <c r="P205" s="15">
        <f>SUMIFS(المرجع!$G$2:$G$19,المرجع!$B$2:$B$19,$G205,المرجع!$E$2:$E$19,$I205)</f>
        <v>5</v>
      </c>
      <c r="Q205" s="20">
        <f t="shared" si="4"/>
        <v>4.3</v>
      </c>
      <c r="R205" s="21" t="str">
        <f>IF($N205&gt;المرجع!$K$3,"متقدم",IF($N205&lt;=المرجع!$K$2,"أولي","جزئي"))</f>
        <v>متقدم</v>
      </c>
    </row>
    <row r="206" spans="1:18">
      <c r="A206" s="16" t="s">
        <v>1646</v>
      </c>
      <c r="B206" s="16" t="s">
        <v>170</v>
      </c>
      <c r="C206" s="15" t="str">
        <f>IFERROR(INDEX('قائمة الوحدات'!$B$2:$B$41,MATCH($B206,'قائمة الوحدات'!$A$2:$A$41,0)),"")</f>
        <v>EXE</v>
      </c>
      <c r="D206" s="14" t="str">
        <f>IFERROR(INDEX('قائمة الوحدات'!$C$2:$C$41,MATCH($B206,'قائمة الوحدات'!$A$2:$A$41,0)),"")</f>
        <v>الشؤون التنفيذية</v>
      </c>
      <c r="E206" s="14" t="str">
        <f>IFERROR(INDEX('قائمة الوحدات'!$D$2:$D$41,MATCH($B206,'قائمة الوحدات'!$A$2:$A$41,0)),"")</f>
        <v>وكالة الشؤون الفنية</v>
      </c>
      <c r="F206" s="14" t="str">
        <f>IFERROR(INDEX('قائمة الوحدات'!$F$2:$F$41,MATCH($B206,'قائمة الوحدات'!$A$2:$A$41,0)),"")</f>
        <v>الإدارة العامة للأمن والحماية</v>
      </c>
      <c r="G206" s="16" t="s">
        <v>61</v>
      </c>
      <c r="H206" s="14" t="str">
        <f>IFERROR(INDEX(المرجع!$A$2:$A$19,MATCH($G206,المرجع!$B$2:$B$19,0)),"")</f>
        <v>البناء المؤسسي</v>
      </c>
      <c r="I206" s="16" t="s">
        <v>45</v>
      </c>
      <c r="J206" s="14" t="str">
        <f>IFERROR(INDEX(المرجع!$D$2:$D$19,MATCH($I206,المرجع!$E$2:$E$19,0)),"")</f>
        <v>الدور</v>
      </c>
      <c r="K206" s="15">
        <f>IFERROR(INDEX(المرجع!$F$2:$F$19,MATCH($I206,المرجع!$E$2:$E$19,0)),"")</f>
        <v>1</v>
      </c>
      <c r="L206" s="15">
        <f>SUMIFS(المرجع!$H$2:$H$19,المرجع!$B$2:$B$19,$G206,المرجع!$E$2:$E$19,$I206)</f>
        <v>1</v>
      </c>
      <c r="M206" s="15">
        <f>COUNTIFS('المرتبطة بسمو الوزير'!$B$2:$B$151,$B206,'المرتبطة بسمو الوزير'!$G$2:$G$151,$G206,'المرتبطة بسمو الوزير'!$I$2:$I$151,$I206,'المرتبطة بسمو الوزير'!$M$2:$M$151,"&lt;&gt;")+COUNTIFS('الشؤون التنفيذية'!$B$2:$B$421,$B206,'الشؤون التنفيذية'!$G$2:$G$421,$G206,'الشؤون التنفيذية'!$I$2:$I$421,$I206,'الشؤون التنفيذية'!$N$2:$N$421,"&lt;&gt;")+COUNTIFS('الجهاز العسكري'!$B$2:$B$631,$B206,'الجهاز العسكري'!$G$2:$G$631,$G206,'الجهاز العسكري'!$I$2:$I$631,$I206,'الجهاز العسكري'!$M$2:$M$631,"&lt;&gt;")</f>
        <v>1</v>
      </c>
      <c r="N206" s="19">
        <f>IF($L206=0,0,ROUND((SUMIFS('المرتبطة بسمو الوزير'!$M$2:$M$151,'المرتبطة بسمو الوزير'!$B$2:$B$151,$B206,'المرتبطة بسمو الوزير'!$G$2:$G$151,$G206,'المرتبطة بسمو الوزير'!$I$2:$I$151,$I206)+SUMIFS('الشؤون التنفيذية'!$N$2:$N$421,'الشؤون التنفيذية'!$B$2:$B$421,$B206,'الشؤون التنفيذية'!$G$2:$G$421,$G206,'الشؤون التنفيذية'!$I$2:$I$421,$I206)+SUMIFS('الجهاز العسكري'!$M$2:$M$631,'الجهاز العسكري'!$B$2:$B$631,$B206,'الجهاز العسكري'!$G$2:$G$631,$G206,'الجهاز العسكري'!$I$2:$I$631,$I206))/$L206,0))</f>
        <v>54</v>
      </c>
      <c r="O206" s="18"/>
      <c r="P206" s="15">
        <f>SUMIFS(المرجع!$G$2:$G$19,المرجع!$B$2:$B$19,$G206,المرجع!$E$2:$E$19,$I206)</f>
        <v>15</v>
      </c>
      <c r="Q206" s="20">
        <f t="shared" si="4"/>
        <v>8.1</v>
      </c>
      <c r="R206" s="21" t="str">
        <f>IF($N206&gt;المرجع!$K$3,"متقدم",IF($N206&lt;=المرجع!$K$2,"أولي","جزئي"))</f>
        <v>جزئي</v>
      </c>
    </row>
    <row r="207" spans="1:18">
      <c r="A207" s="16" t="s">
        <v>1647</v>
      </c>
      <c r="B207" s="16" t="s">
        <v>170</v>
      </c>
      <c r="C207" s="15" t="str">
        <f>IFERROR(INDEX('قائمة الوحدات'!$B$2:$B$41,MATCH($B207,'قائمة الوحدات'!$A$2:$A$41,0)),"")</f>
        <v>EXE</v>
      </c>
      <c r="D207" s="14" t="str">
        <f>IFERROR(INDEX('قائمة الوحدات'!$C$2:$C$41,MATCH($B207,'قائمة الوحدات'!$A$2:$A$41,0)),"")</f>
        <v>الشؤون التنفيذية</v>
      </c>
      <c r="E207" s="14" t="str">
        <f>IFERROR(INDEX('قائمة الوحدات'!$D$2:$D$41,MATCH($B207,'قائمة الوحدات'!$A$2:$A$41,0)),"")</f>
        <v>وكالة الشؤون الفنية</v>
      </c>
      <c r="F207" s="14" t="str">
        <f>IFERROR(INDEX('قائمة الوحدات'!$F$2:$F$41,MATCH($B207,'قائمة الوحدات'!$A$2:$A$41,0)),"")</f>
        <v>الإدارة العامة للأمن والحماية</v>
      </c>
      <c r="G207" s="16" t="s">
        <v>61</v>
      </c>
      <c r="H207" s="14" t="str">
        <f>IFERROR(INDEX(المرجع!$A$2:$A$19,MATCH($G207,المرجع!$B$2:$B$19,0)),"")</f>
        <v>البناء المؤسسي</v>
      </c>
      <c r="I207" s="16" t="s">
        <v>48</v>
      </c>
      <c r="J207" s="14" t="str">
        <f>IFERROR(INDEX(المرجع!$D$2:$D$19,MATCH($I207,المرجع!$E$2:$E$19,0)),"")</f>
        <v>الأهداف ومؤشرات الأداء</v>
      </c>
      <c r="K207" s="15">
        <f>IFERROR(INDEX(المرجع!$F$2:$F$19,MATCH($I207,المرجع!$E$2:$E$19,0)),"")</f>
        <v>2</v>
      </c>
      <c r="L207" s="15">
        <f>SUMIFS(المرجع!$H$2:$H$19,المرجع!$B$2:$B$19,$G207,المرجع!$E$2:$E$19,$I207)</f>
        <v>2</v>
      </c>
      <c r="M207" s="15">
        <f>COUNTIFS('المرتبطة بسمو الوزير'!$B$2:$B$151,$B207,'المرتبطة بسمو الوزير'!$G$2:$G$151,$G207,'المرتبطة بسمو الوزير'!$I$2:$I$151,$I207,'المرتبطة بسمو الوزير'!$M$2:$M$151,"&lt;&gt;")+COUNTIFS('الشؤون التنفيذية'!$B$2:$B$421,$B207,'الشؤون التنفيذية'!$G$2:$G$421,$G207,'الشؤون التنفيذية'!$I$2:$I$421,$I207,'الشؤون التنفيذية'!$N$2:$N$421,"&lt;&gt;")+COUNTIFS('الجهاز العسكري'!$B$2:$B$631,$B207,'الجهاز العسكري'!$G$2:$G$631,$G207,'الجهاز العسكري'!$I$2:$I$631,$I207,'الجهاز العسكري'!$M$2:$M$631,"&lt;&gt;")</f>
        <v>2</v>
      </c>
      <c r="N207" s="19">
        <f>IF($L207=0,0,ROUND((SUMIFS('المرتبطة بسمو الوزير'!$M$2:$M$151,'المرتبطة بسمو الوزير'!$B$2:$B$151,$B207,'المرتبطة بسمو الوزير'!$G$2:$G$151,$G207,'المرتبطة بسمو الوزير'!$I$2:$I$151,$I207)+SUMIFS('الشؤون التنفيذية'!$N$2:$N$421,'الشؤون التنفيذية'!$B$2:$B$421,$B207,'الشؤون التنفيذية'!$G$2:$G$421,$G207,'الشؤون التنفيذية'!$I$2:$I$421,$I207)+SUMIFS('الجهاز العسكري'!$M$2:$M$631,'الجهاز العسكري'!$B$2:$B$631,$B207,'الجهاز العسكري'!$G$2:$G$631,$G207,'الجهاز العسكري'!$I$2:$I$631,$I207))/$L207,0))</f>
        <v>100</v>
      </c>
      <c r="O207" s="18"/>
      <c r="P207" s="15">
        <f>SUMIFS(المرجع!$G$2:$G$19,المرجع!$B$2:$B$19,$G207,المرجع!$E$2:$E$19,$I207)</f>
        <v>15</v>
      </c>
      <c r="Q207" s="20">
        <f t="shared" si="4"/>
        <v>15</v>
      </c>
      <c r="R207" s="21" t="str">
        <f>IF($N207&gt;المرجع!$K$3,"متقدم",IF($N207&lt;=المرجع!$K$2,"أولي","جزئي"))</f>
        <v>متقدم</v>
      </c>
    </row>
    <row r="208" spans="1:18">
      <c r="A208" s="16" t="s">
        <v>1648</v>
      </c>
      <c r="B208" s="16" t="s">
        <v>170</v>
      </c>
      <c r="C208" s="15" t="str">
        <f>IFERROR(INDEX('قائمة الوحدات'!$B$2:$B$41,MATCH($B208,'قائمة الوحدات'!$A$2:$A$41,0)),"")</f>
        <v>EXE</v>
      </c>
      <c r="D208" s="14" t="str">
        <f>IFERROR(INDEX('قائمة الوحدات'!$C$2:$C$41,MATCH($B208,'قائمة الوحدات'!$A$2:$A$41,0)),"")</f>
        <v>الشؤون التنفيذية</v>
      </c>
      <c r="E208" s="14" t="str">
        <f>IFERROR(INDEX('قائمة الوحدات'!$D$2:$D$41,MATCH($B208,'قائمة الوحدات'!$A$2:$A$41,0)),"")</f>
        <v>وكالة الشؤون الفنية</v>
      </c>
      <c r="F208" s="14" t="str">
        <f>IFERROR(INDEX('قائمة الوحدات'!$F$2:$F$41,MATCH($B208,'قائمة الوحدات'!$A$2:$A$41,0)),"")</f>
        <v>الإدارة العامة للأمن والحماية</v>
      </c>
      <c r="G208" s="16" t="s">
        <v>61</v>
      </c>
      <c r="H208" s="14" t="str">
        <f>IFERROR(INDEX(المرجع!$A$2:$A$19,MATCH($G208,المرجع!$B$2:$B$19,0)),"")</f>
        <v>البناء المؤسسي</v>
      </c>
      <c r="I208" s="16" t="s">
        <v>51</v>
      </c>
      <c r="J208" s="14" t="str">
        <f>IFERROR(INDEX(المرجع!$D$2:$D$19,MATCH($I208,المرجع!$E$2:$E$19,0)),"")</f>
        <v>الحوكمة</v>
      </c>
      <c r="K208" s="15">
        <f>IFERROR(INDEX(المرجع!$F$2:$F$19,MATCH($I208,المرجع!$E$2:$E$19,0)),"")</f>
        <v>3</v>
      </c>
      <c r="L208" s="15">
        <f>SUMIFS(المرجع!$H$2:$H$19,المرجع!$B$2:$B$19,$G208,المرجع!$E$2:$E$19,$I208)</f>
        <v>3</v>
      </c>
      <c r="M208" s="15">
        <f>COUNTIFS('المرتبطة بسمو الوزير'!$B$2:$B$151,$B208,'المرتبطة بسمو الوزير'!$G$2:$G$151,$G208,'المرتبطة بسمو الوزير'!$I$2:$I$151,$I208,'المرتبطة بسمو الوزير'!$M$2:$M$151,"&lt;&gt;")+COUNTIFS('الشؤون التنفيذية'!$B$2:$B$421,$B208,'الشؤون التنفيذية'!$G$2:$G$421,$G208,'الشؤون التنفيذية'!$I$2:$I$421,$I208,'الشؤون التنفيذية'!$N$2:$N$421,"&lt;&gt;")+COUNTIFS('الجهاز العسكري'!$B$2:$B$631,$B208,'الجهاز العسكري'!$G$2:$G$631,$G208,'الجهاز العسكري'!$I$2:$I$631,$I208,'الجهاز العسكري'!$M$2:$M$631,"&lt;&gt;")</f>
        <v>3</v>
      </c>
      <c r="N208" s="19">
        <f>IF($L208=0,0,ROUND((SUMIFS('المرتبطة بسمو الوزير'!$M$2:$M$151,'المرتبطة بسمو الوزير'!$B$2:$B$151,$B208,'المرتبطة بسمو الوزير'!$G$2:$G$151,$G208,'المرتبطة بسمو الوزير'!$I$2:$I$151,$I208)+SUMIFS('الشؤون التنفيذية'!$N$2:$N$421,'الشؤون التنفيذية'!$B$2:$B$421,$B208,'الشؤون التنفيذية'!$G$2:$G$421,$G208,'الشؤون التنفيذية'!$I$2:$I$421,$I208)+SUMIFS('الجهاز العسكري'!$M$2:$M$631,'الجهاز العسكري'!$B$2:$B$631,$B208,'الجهاز العسكري'!$G$2:$G$631,$G208,'الجهاز العسكري'!$I$2:$I$631,$I208))/$L208,0))</f>
        <v>55</v>
      </c>
      <c r="O208" s="18"/>
      <c r="P208" s="15">
        <f>SUMIFS(المرجع!$G$2:$G$19,المرجع!$B$2:$B$19,$G208,المرجع!$E$2:$E$19,$I208)</f>
        <v>15</v>
      </c>
      <c r="Q208" s="20">
        <f t="shared" si="4"/>
        <v>8.25</v>
      </c>
      <c r="R208" s="21" t="str">
        <f>IF($N208&gt;المرجع!$K$3,"متقدم",IF($N208&lt;=المرجع!$K$2,"أولي","جزئي"))</f>
        <v>جزئي</v>
      </c>
    </row>
    <row r="209" spans="1:18">
      <c r="A209" s="16" t="s">
        <v>1649</v>
      </c>
      <c r="B209" s="16" t="s">
        <v>170</v>
      </c>
      <c r="C209" s="15" t="str">
        <f>IFERROR(INDEX('قائمة الوحدات'!$B$2:$B$41,MATCH($B209,'قائمة الوحدات'!$A$2:$A$41,0)),"")</f>
        <v>EXE</v>
      </c>
      <c r="D209" s="14" t="str">
        <f>IFERROR(INDEX('قائمة الوحدات'!$C$2:$C$41,MATCH($B209,'قائمة الوحدات'!$A$2:$A$41,0)),"")</f>
        <v>الشؤون التنفيذية</v>
      </c>
      <c r="E209" s="14" t="str">
        <f>IFERROR(INDEX('قائمة الوحدات'!$D$2:$D$41,MATCH($B209,'قائمة الوحدات'!$A$2:$A$41,0)),"")</f>
        <v>وكالة الشؤون الفنية</v>
      </c>
      <c r="F209" s="14" t="str">
        <f>IFERROR(INDEX('قائمة الوحدات'!$F$2:$F$41,MATCH($B209,'قائمة الوحدات'!$A$2:$A$41,0)),"")</f>
        <v>الإدارة العامة للأمن والحماية</v>
      </c>
      <c r="G209" s="16" t="s">
        <v>61</v>
      </c>
      <c r="H209" s="14" t="str">
        <f>IFERROR(INDEX(المرجع!$A$2:$A$19,MATCH($G209,المرجع!$B$2:$B$19,0)),"")</f>
        <v>البناء المؤسسي</v>
      </c>
      <c r="I209" s="16" t="s">
        <v>54</v>
      </c>
      <c r="J209" s="14" t="str">
        <f>IFERROR(INDEX(المرجع!$D$2:$D$19,MATCH($I209,المرجع!$E$2:$E$19,0)),"")</f>
        <v>التنظيم</v>
      </c>
      <c r="K209" s="15">
        <f>IFERROR(INDEX(المرجع!$F$2:$F$19,MATCH($I209,المرجع!$E$2:$E$19,0)),"")</f>
        <v>4</v>
      </c>
      <c r="L209" s="15">
        <f>SUMIFS(المرجع!$H$2:$H$19,المرجع!$B$2:$B$19,$G209,المرجع!$E$2:$E$19,$I209)</f>
        <v>3</v>
      </c>
      <c r="M209" s="15">
        <f>COUNTIFS('المرتبطة بسمو الوزير'!$B$2:$B$151,$B209,'المرتبطة بسمو الوزير'!$G$2:$G$151,$G209,'المرتبطة بسمو الوزير'!$I$2:$I$151,$I209,'المرتبطة بسمو الوزير'!$M$2:$M$151,"&lt;&gt;")+COUNTIFS('الشؤون التنفيذية'!$B$2:$B$421,$B209,'الشؤون التنفيذية'!$G$2:$G$421,$G209,'الشؤون التنفيذية'!$I$2:$I$421,$I209,'الشؤون التنفيذية'!$N$2:$N$421,"&lt;&gt;")+COUNTIFS('الجهاز العسكري'!$B$2:$B$631,$B209,'الجهاز العسكري'!$G$2:$G$631,$G209,'الجهاز العسكري'!$I$2:$I$631,$I209,'الجهاز العسكري'!$M$2:$M$631,"&lt;&gt;")</f>
        <v>3</v>
      </c>
      <c r="N209" s="19">
        <f>IF($L209=0,0,ROUND((SUMIFS('المرتبطة بسمو الوزير'!$M$2:$M$151,'المرتبطة بسمو الوزير'!$B$2:$B$151,$B209,'المرتبطة بسمو الوزير'!$G$2:$G$151,$G209,'المرتبطة بسمو الوزير'!$I$2:$I$151,$I209)+SUMIFS('الشؤون التنفيذية'!$N$2:$N$421,'الشؤون التنفيذية'!$B$2:$B$421,$B209,'الشؤون التنفيذية'!$G$2:$G$421,$G209,'الشؤون التنفيذية'!$I$2:$I$421,$I209)+SUMIFS('الجهاز العسكري'!$M$2:$M$631,'الجهاز العسكري'!$B$2:$B$631,$B209,'الجهاز العسكري'!$G$2:$G$631,$G209,'الجهاز العسكري'!$I$2:$I$631,$I209))/$L209,0))</f>
        <v>77</v>
      </c>
      <c r="O209" s="18"/>
      <c r="P209" s="15">
        <f>SUMIFS(المرجع!$G$2:$G$19,المرجع!$B$2:$B$19,$G209,المرجع!$E$2:$E$19,$I209)</f>
        <v>20</v>
      </c>
      <c r="Q209" s="20">
        <f t="shared" si="4"/>
        <v>15.4</v>
      </c>
      <c r="R209" s="21" t="str">
        <f>IF($N209&gt;المرجع!$K$3,"متقدم",IF($N209&lt;=المرجع!$K$2,"أولي","جزئي"))</f>
        <v>متقدم</v>
      </c>
    </row>
    <row r="210" spans="1:18">
      <c r="A210" s="16" t="s">
        <v>1650</v>
      </c>
      <c r="B210" s="16" t="s">
        <v>170</v>
      </c>
      <c r="C210" s="15" t="str">
        <f>IFERROR(INDEX('قائمة الوحدات'!$B$2:$B$41,MATCH($B210,'قائمة الوحدات'!$A$2:$A$41,0)),"")</f>
        <v>EXE</v>
      </c>
      <c r="D210" s="14" t="str">
        <f>IFERROR(INDEX('قائمة الوحدات'!$C$2:$C$41,MATCH($B210,'قائمة الوحدات'!$A$2:$A$41,0)),"")</f>
        <v>الشؤون التنفيذية</v>
      </c>
      <c r="E210" s="14" t="str">
        <f>IFERROR(INDEX('قائمة الوحدات'!$D$2:$D$41,MATCH($B210,'قائمة الوحدات'!$A$2:$A$41,0)),"")</f>
        <v>وكالة الشؤون الفنية</v>
      </c>
      <c r="F210" s="14" t="str">
        <f>IFERROR(INDEX('قائمة الوحدات'!$F$2:$F$41,MATCH($B210,'قائمة الوحدات'!$A$2:$A$41,0)),"")</f>
        <v>الإدارة العامة للأمن والحماية</v>
      </c>
      <c r="G210" s="16" t="s">
        <v>61</v>
      </c>
      <c r="H210" s="14" t="str">
        <f>IFERROR(INDEX(المرجع!$A$2:$A$19,MATCH($G210,المرجع!$B$2:$B$19,0)),"")</f>
        <v>البناء المؤسسي</v>
      </c>
      <c r="I210" s="16" t="s">
        <v>56</v>
      </c>
      <c r="J210" s="14" t="str">
        <f>IFERROR(INDEX(المرجع!$D$2:$D$19,MATCH($I210,المرجع!$E$2:$E$19,0)),"")</f>
        <v>الموارد</v>
      </c>
      <c r="K210" s="15">
        <f>IFERROR(INDEX(المرجع!$F$2:$F$19,MATCH($I210,المرجع!$E$2:$E$19,0)),"")</f>
        <v>5</v>
      </c>
      <c r="L210" s="15">
        <f>SUMIFS(المرجع!$H$2:$H$19,المرجع!$B$2:$B$19,$G210,المرجع!$E$2:$E$19,$I210)</f>
        <v>4</v>
      </c>
      <c r="M210" s="15">
        <f>COUNTIFS('المرتبطة بسمو الوزير'!$B$2:$B$151,$B210,'المرتبطة بسمو الوزير'!$G$2:$G$151,$G210,'المرتبطة بسمو الوزير'!$I$2:$I$151,$I210,'المرتبطة بسمو الوزير'!$M$2:$M$151,"&lt;&gt;")+COUNTIFS('الشؤون التنفيذية'!$B$2:$B$421,$B210,'الشؤون التنفيذية'!$G$2:$G$421,$G210,'الشؤون التنفيذية'!$I$2:$I$421,$I210,'الشؤون التنفيذية'!$N$2:$N$421,"&lt;&gt;")+COUNTIFS('الجهاز العسكري'!$B$2:$B$631,$B210,'الجهاز العسكري'!$G$2:$G$631,$G210,'الجهاز العسكري'!$I$2:$I$631,$I210,'الجهاز العسكري'!$M$2:$M$631,"&lt;&gt;")</f>
        <v>4</v>
      </c>
      <c r="N210" s="19">
        <f>IF($L210=0,0,ROUND((SUMIFS('المرتبطة بسمو الوزير'!$M$2:$M$151,'المرتبطة بسمو الوزير'!$B$2:$B$151,$B210,'المرتبطة بسمو الوزير'!$G$2:$G$151,$G210,'المرتبطة بسمو الوزير'!$I$2:$I$151,$I210)+SUMIFS('الشؤون التنفيذية'!$N$2:$N$421,'الشؤون التنفيذية'!$B$2:$B$421,$B210,'الشؤون التنفيذية'!$G$2:$G$421,$G210,'الشؤون التنفيذية'!$I$2:$I$421,$I210)+SUMIFS('الجهاز العسكري'!$M$2:$M$631,'الجهاز العسكري'!$B$2:$B$631,$B210,'الجهاز العسكري'!$G$2:$G$631,$G210,'الجهاز العسكري'!$I$2:$I$631,$I210))/$L210,0))</f>
        <v>74</v>
      </c>
      <c r="O210" s="18"/>
      <c r="P210" s="15">
        <f>SUMIFS(المرجع!$G$2:$G$19,المرجع!$B$2:$B$19,$G210,المرجع!$E$2:$E$19,$I210)</f>
        <v>25</v>
      </c>
      <c r="Q210" s="20">
        <f t="shared" si="4"/>
        <v>18.5</v>
      </c>
      <c r="R210" s="21" t="str">
        <f>IF($N210&gt;المرجع!$K$3,"متقدم",IF($N210&lt;=المرجع!$K$2,"أولي","جزئي"))</f>
        <v>متقدم</v>
      </c>
    </row>
    <row r="211" spans="1:18">
      <c r="A211" s="16" t="s">
        <v>1651</v>
      </c>
      <c r="B211" s="16" t="s">
        <v>170</v>
      </c>
      <c r="C211" s="15" t="str">
        <f>IFERROR(INDEX('قائمة الوحدات'!$B$2:$B$41,MATCH($B211,'قائمة الوحدات'!$A$2:$A$41,0)),"")</f>
        <v>EXE</v>
      </c>
      <c r="D211" s="14" t="str">
        <f>IFERROR(INDEX('قائمة الوحدات'!$C$2:$C$41,MATCH($B211,'قائمة الوحدات'!$A$2:$A$41,0)),"")</f>
        <v>الشؤون التنفيذية</v>
      </c>
      <c r="E211" s="14" t="str">
        <f>IFERROR(INDEX('قائمة الوحدات'!$D$2:$D$41,MATCH($B211,'قائمة الوحدات'!$A$2:$A$41,0)),"")</f>
        <v>وكالة الشؤون الفنية</v>
      </c>
      <c r="F211" s="14" t="str">
        <f>IFERROR(INDEX('قائمة الوحدات'!$F$2:$F$41,MATCH($B211,'قائمة الوحدات'!$A$2:$A$41,0)),"")</f>
        <v>الإدارة العامة للأمن والحماية</v>
      </c>
      <c r="G211" s="16" t="s">
        <v>61</v>
      </c>
      <c r="H211" s="14" t="str">
        <f>IFERROR(INDEX(المرجع!$A$2:$A$19,MATCH($G211,المرجع!$B$2:$B$19,0)),"")</f>
        <v>البناء المؤسسي</v>
      </c>
      <c r="I211" s="16" t="s">
        <v>59</v>
      </c>
      <c r="J211" s="14" t="str">
        <f>IFERROR(INDEX(المرجع!$D$2:$D$19,MATCH($I211,المرجع!$E$2:$E$19,0)),"")</f>
        <v>الإجراءات</v>
      </c>
      <c r="K211" s="15">
        <f>IFERROR(INDEX(المرجع!$F$2:$F$19,MATCH($I211,المرجع!$E$2:$E$19,0)),"")</f>
        <v>6</v>
      </c>
      <c r="L211" s="15">
        <f>SUMIFS(المرجع!$H$2:$H$19,المرجع!$B$2:$B$19,$G211,المرجع!$E$2:$E$19,$I211)</f>
        <v>1</v>
      </c>
      <c r="M211" s="15">
        <f>COUNTIFS('المرتبطة بسمو الوزير'!$B$2:$B$151,$B211,'المرتبطة بسمو الوزير'!$G$2:$G$151,$G211,'المرتبطة بسمو الوزير'!$I$2:$I$151,$I211,'المرتبطة بسمو الوزير'!$M$2:$M$151,"&lt;&gt;")+COUNTIFS('الشؤون التنفيذية'!$B$2:$B$421,$B211,'الشؤون التنفيذية'!$G$2:$G$421,$G211,'الشؤون التنفيذية'!$I$2:$I$421,$I211,'الشؤون التنفيذية'!$N$2:$N$421,"&lt;&gt;")+COUNTIFS('الجهاز العسكري'!$B$2:$B$631,$B211,'الجهاز العسكري'!$G$2:$G$631,$G211,'الجهاز العسكري'!$I$2:$I$631,$I211,'الجهاز العسكري'!$M$2:$M$631,"&lt;&gt;")</f>
        <v>1</v>
      </c>
      <c r="N211" s="19">
        <f>IF($L211=0,0,ROUND((SUMIFS('المرتبطة بسمو الوزير'!$M$2:$M$151,'المرتبطة بسمو الوزير'!$B$2:$B$151,$B211,'المرتبطة بسمو الوزير'!$G$2:$G$151,$G211,'المرتبطة بسمو الوزير'!$I$2:$I$151,$I211)+SUMIFS('الشؤون التنفيذية'!$N$2:$N$421,'الشؤون التنفيذية'!$B$2:$B$421,$B211,'الشؤون التنفيذية'!$G$2:$G$421,$G211,'الشؤون التنفيذية'!$I$2:$I$421,$I211)+SUMIFS('الجهاز العسكري'!$M$2:$M$631,'الجهاز العسكري'!$B$2:$B$631,$B211,'الجهاز العسكري'!$G$2:$G$631,$G211,'الجهاز العسكري'!$I$2:$I$631,$I211))/$L211,0))</f>
        <v>57</v>
      </c>
      <c r="O211" s="18"/>
      <c r="P211" s="15">
        <f>SUMIFS(المرجع!$G$2:$G$19,المرجع!$B$2:$B$19,$G211,المرجع!$E$2:$E$19,$I211)</f>
        <v>5</v>
      </c>
      <c r="Q211" s="20">
        <f t="shared" si="4"/>
        <v>2.85</v>
      </c>
      <c r="R211" s="21" t="str">
        <f>IF($N211&gt;المرجع!$K$3,"متقدم",IF($N211&lt;=المرجع!$K$2,"أولي","جزئي"))</f>
        <v>جزئي</v>
      </c>
    </row>
    <row r="212" spans="1:18">
      <c r="A212" s="16" t="s">
        <v>1652</v>
      </c>
      <c r="B212" s="16" t="s">
        <v>170</v>
      </c>
      <c r="C212" s="15" t="str">
        <f>IFERROR(INDEX('قائمة الوحدات'!$B$2:$B$41,MATCH($B212,'قائمة الوحدات'!$A$2:$A$41,0)),"")</f>
        <v>EXE</v>
      </c>
      <c r="D212" s="14" t="str">
        <f>IFERROR(INDEX('قائمة الوحدات'!$C$2:$C$41,MATCH($B212,'قائمة الوحدات'!$A$2:$A$41,0)),"")</f>
        <v>الشؤون التنفيذية</v>
      </c>
      <c r="E212" s="14" t="str">
        <f>IFERROR(INDEX('قائمة الوحدات'!$D$2:$D$41,MATCH($B212,'قائمة الوحدات'!$A$2:$A$41,0)),"")</f>
        <v>وكالة الشؤون الفنية</v>
      </c>
      <c r="F212" s="14" t="str">
        <f>IFERROR(INDEX('قائمة الوحدات'!$F$2:$F$41,MATCH($B212,'قائمة الوحدات'!$A$2:$A$41,0)),"")</f>
        <v>الإدارة العامة للأمن والحماية</v>
      </c>
      <c r="G212" s="16" t="s">
        <v>61</v>
      </c>
      <c r="H212" s="14" t="str">
        <f>IFERROR(INDEX(المرجع!$A$2:$A$19,MATCH($G212,المرجع!$B$2:$B$19,0)),"")</f>
        <v>البناء المؤسسي</v>
      </c>
      <c r="I212" s="16" t="s">
        <v>63</v>
      </c>
      <c r="J212" s="14" t="str">
        <f>IFERROR(INDEX(المرجع!$D$2:$D$19,MATCH($I212,المرجع!$E$2:$E$19,0)),"")</f>
        <v>إنتاج المخرج الأول</v>
      </c>
      <c r="K212" s="15">
        <f>IFERROR(INDEX(المرجع!$F$2:$F$19,MATCH($I212,المرجع!$E$2:$E$19,0)),"")</f>
        <v>7</v>
      </c>
      <c r="L212" s="15">
        <f>SUMIFS(المرجع!$H$2:$H$19,المرجع!$B$2:$B$19,$G212,المرجع!$E$2:$E$19,$I212)</f>
        <v>1</v>
      </c>
      <c r="M212" s="15">
        <f>COUNTIFS('المرتبطة بسمو الوزير'!$B$2:$B$151,$B212,'المرتبطة بسمو الوزير'!$G$2:$G$151,$G212,'المرتبطة بسمو الوزير'!$I$2:$I$151,$I212,'المرتبطة بسمو الوزير'!$M$2:$M$151,"&lt;&gt;")+COUNTIFS('الشؤون التنفيذية'!$B$2:$B$421,$B212,'الشؤون التنفيذية'!$G$2:$G$421,$G212,'الشؤون التنفيذية'!$I$2:$I$421,$I212,'الشؤون التنفيذية'!$N$2:$N$421,"&lt;&gt;")+COUNTIFS('الجهاز العسكري'!$B$2:$B$631,$B212,'الجهاز العسكري'!$G$2:$G$631,$G212,'الجهاز العسكري'!$I$2:$I$631,$I212,'الجهاز العسكري'!$M$2:$M$631,"&lt;&gt;")</f>
        <v>1</v>
      </c>
      <c r="N212" s="19">
        <f>IF($L212=0,0,ROUND((SUMIFS('المرتبطة بسمو الوزير'!$M$2:$M$151,'المرتبطة بسمو الوزير'!$B$2:$B$151,$B212,'المرتبطة بسمو الوزير'!$G$2:$G$151,$G212,'المرتبطة بسمو الوزير'!$I$2:$I$151,$I212)+SUMIFS('الشؤون التنفيذية'!$N$2:$N$421,'الشؤون التنفيذية'!$B$2:$B$421,$B212,'الشؤون التنفيذية'!$G$2:$G$421,$G212,'الشؤون التنفيذية'!$I$2:$I$421,$I212)+SUMIFS('الجهاز العسكري'!$M$2:$M$631,'الجهاز العسكري'!$B$2:$B$631,$B212,'الجهاز العسكري'!$G$2:$G$631,$G212,'الجهاز العسكري'!$I$2:$I$631,$I212))/$L212,0))</f>
        <v>68</v>
      </c>
      <c r="O212" s="18"/>
      <c r="P212" s="15">
        <f>SUMIFS(المرجع!$G$2:$G$19,المرجع!$B$2:$B$19,$G212,المرجع!$E$2:$E$19,$I212)</f>
        <v>5</v>
      </c>
      <c r="Q212" s="20">
        <f t="shared" si="4"/>
        <v>3.4</v>
      </c>
      <c r="R212" s="21" t="str">
        <f>IF($N212&gt;المرجع!$K$3,"متقدم",IF($N212&lt;=المرجع!$K$2,"أولي","جزئي"))</f>
        <v>جزئي</v>
      </c>
    </row>
    <row r="213" spans="1:18">
      <c r="A213" s="16" t="s">
        <v>1653</v>
      </c>
      <c r="B213" s="16" t="s">
        <v>170</v>
      </c>
      <c r="C213" s="15" t="str">
        <f>IFERROR(INDEX('قائمة الوحدات'!$B$2:$B$41,MATCH($B213,'قائمة الوحدات'!$A$2:$A$41,0)),"")</f>
        <v>EXE</v>
      </c>
      <c r="D213" s="14" t="str">
        <f>IFERROR(INDEX('قائمة الوحدات'!$C$2:$C$41,MATCH($B213,'قائمة الوحدات'!$A$2:$A$41,0)),"")</f>
        <v>الشؤون التنفيذية</v>
      </c>
      <c r="E213" s="14" t="str">
        <f>IFERROR(INDEX('قائمة الوحدات'!$D$2:$D$41,MATCH($B213,'قائمة الوحدات'!$A$2:$A$41,0)),"")</f>
        <v>وكالة الشؤون الفنية</v>
      </c>
      <c r="F213" s="14" t="str">
        <f>IFERROR(INDEX('قائمة الوحدات'!$F$2:$F$41,MATCH($B213,'قائمة الوحدات'!$A$2:$A$41,0)),"")</f>
        <v>الإدارة العامة للأمن والحماية</v>
      </c>
      <c r="G213" s="16" t="s">
        <v>65</v>
      </c>
      <c r="H213" s="14" t="str">
        <f>IFERROR(INDEX(المرجع!$A$2:$A$19,MATCH($G213,المرجع!$B$2:$B$19,0)),"")</f>
        <v>التشغيل</v>
      </c>
      <c r="I213" s="16" t="s">
        <v>48</v>
      </c>
      <c r="J213" s="14" t="str">
        <f>IFERROR(INDEX(المرجع!$D$2:$D$19,MATCH($I213,المرجع!$E$2:$E$19,0)),"")</f>
        <v>الأهداف ومؤشرات الأداء</v>
      </c>
      <c r="K213" s="15">
        <f>IFERROR(INDEX(المرجع!$F$2:$F$19,MATCH($I213,المرجع!$E$2:$E$19,0)),"")</f>
        <v>2</v>
      </c>
      <c r="L213" s="15">
        <f>SUMIFS(المرجع!$H$2:$H$19,المرجع!$B$2:$B$19,$G213,المرجع!$E$2:$E$19,$I213)</f>
        <v>2</v>
      </c>
      <c r="M213" s="15">
        <f>COUNTIFS('المرتبطة بسمو الوزير'!$B$2:$B$151,$B213,'المرتبطة بسمو الوزير'!$G$2:$G$151,$G213,'المرتبطة بسمو الوزير'!$I$2:$I$151,$I213,'المرتبطة بسمو الوزير'!$M$2:$M$151,"&lt;&gt;")+COUNTIFS('الشؤون التنفيذية'!$B$2:$B$421,$B213,'الشؤون التنفيذية'!$G$2:$G$421,$G213,'الشؤون التنفيذية'!$I$2:$I$421,$I213,'الشؤون التنفيذية'!$N$2:$N$421,"&lt;&gt;")+COUNTIFS('الجهاز العسكري'!$B$2:$B$631,$B213,'الجهاز العسكري'!$G$2:$G$631,$G213,'الجهاز العسكري'!$I$2:$I$631,$I213,'الجهاز العسكري'!$M$2:$M$631,"&lt;&gt;")</f>
        <v>2</v>
      </c>
      <c r="N213" s="19">
        <f>IF($L213=0,0,ROUND((SUMIFS('المرتبطة بسمو الوزير'!$M$2:$M$151,'المرتبطة بسمو الوزير'!$B$2:$B$151,$B213,'المرتبطة بسمو الوزير'!$G$2:$G$151,$G213,'المرتبطة بسمو الوزير'!$I$2:$I$151,$I213)+SUMIFS('الشؤون التنفيذية'!$N$2:$N$421,'الشؤون التنفيذية'!$B$2:$B$421,$B213,'الشؤون التنفيذية'!$G$2:$G$421,$G213,'الشؤون التنفيذية'!$I$2:$I$421,$I213)+SUMIFS('الجهاز العسكري'!$M$2:$M$631,'الجهاز العسكري'!$B$2:$B$631,$B213,'الجهاز العسكري'!$G$2:$G$631,$G213,'الجهاز العسكري'!$I$2:$I$631,$I213))/$L213,0))</f>
        <v>40</v>
      </c>
      <c r="O213" s="18"/>
      <c r="P213" s="15">
        <f>SUMIFS(المرجع!$G$2:$G$19,المرجع!$B$2:$B$19,$G213,المرجع!$E$2:$E$19,$I213)</f>
        <v>25</v>
      </c>
      <c r="Q213" s="20">
        <f t="shared" si="4"/>
        <v>10</v>
      </c>
      <c r="R213" s="21" t="str">
        <f>IF($N213&gt;المرجع!$K$3,"متقدم",IF($N213&lt;=المرجع!$K$2,"أولي","جزئي"))</f>
        <v>جزئي</v>
      </c>
    </row>
    <row r="214" spans="1:18">
      <c r="A214" s="16" t="s">
        <v>1654</v>
      </c>
      <c r="B214" s="16" t="s">
        <v>170</v>
      </c>
      <c r="C214" s="15" t="str">
        <f>IFERROR(INDEX('قائمة الوحدات'!$B$2:$B$41,MATCH($B214,'قائمة الوحدات'!$A$2:$A$41,0)),"")</f>
        <v>EXE</v>
      </c>
      <c r="D214" s="14" t="str">
        <f>IFERROR(INDEX('قائمة الوحدات'!$C$2:$C$41,MATCH($B214,'قائمة الوحدات'!$A$2:$A$41,0)),"")</f>
        <v>الشؤون التنفيذية</v>
      </c>
      <c r="E214" s="14" t="str">
        <f>IFERROR(INDEX('قائمة الوحدات'!$D$2:$D$41,MATCH($B214,'قائمة الوحدات'!$A$2:$A$41,0)),"")</f>
        <v>وكالة الشؤون الفنية</v>
      </c>
      <c r="F214" s="14" t="str">
        <f>IFERROR(INDEX('قائمة الوحدات'!$F$2:$F$41,MATCH($B214,'قائمة الوحدات'!$A$2:$A$41,0)),"")</f>
        <v>الإدارة العامة للأمن والحماية</v>
      </c>
      <c r="G214" s="16" t="s">
        <v>65</v>
      </c>
      <c r="H214" s="14" t="str">
        <f>IFERROR(INDEX(المرجع!$A$2:$A$19,MATCH($G214,المرجع!$B$2:$B$19,0)),"")</f>
        <v>التشغيل</v>
      </c>
      <c r="I214" s="16" t="s">
        <v>51</v>
      </c>
      <c r="J214" s="14" t="str">
        <f>IFERROR(INDEX(المرجع!$D$2:$D$19,MATCH($I214,المرجع!$E$2:$E$19,0)),"")</f>
        <v>الحوكمة</v>
      </c>
      <c r="K214" s="15">
        <f>IFERROR(INDEX(المرجع!$F$2:$F$19,MATCH($I214,المرجع!$E$2:$E$19,0)),"")</f>
        <v>3</v>
      </c>
      <c r="L214" s="15">
        <f>SUMIFS(المرجع!$H$2:$H$19,المرجع!$B$2:$B$19,$G214,المرجع!$E$2:$E$19,$I214)</f>
        <v>3</v>
      </c>
      <c r="M214" s="15">
        <f>COUNTIFS('المرتبطة بسمو الوزير'!$B$2:$B$151,$B214,'المرتبطة بسمو الوزير'!$G$2:$G$151,$G214,'المرتبطة بسمو الوزير'!$I$2:$I$151,$I214,'المرتبطة بسمو الوزير'!$M$2:$M$151,"&lt;&gt;")+COUNTIFS('الشؤون التنفيذية'!$B$2:$B$421,$B214,'الشؤون التنفيذية'!$G$2:$G$421,$G214,'الشؤون التنفيذية'!$I$2:$I$421,$I214,'الشؤون التنفيذية'!$N$2:$N$421,"&lt;&gt;")+COUNTIFS('الجهاز العسكري'!$B$2:$B$631,$B214,'الجهاز العسكري'!$G$2:$G$631,$G214,'الجهاز العسكري'!$I$2:$I$631,$I214,'الجهاز العسكري'!$M$2:$M$631,"&lt;&gt;")</f>
        <v>3</v>
      </c>
      <c r="N214" s="19">
        <f>IF($L214=0,0,ROUND((SUMIFS('المرتبطة بسمو الوزير'!$M$2:$M$151,'المرتبطة بسمو الوزير'!$B$2:$B$151,$B214,'المرتبطة بسمو الوزير'!$G$2:$G$151,$G214,'المرتبطة بسمو الوزير'!$I$2:$I$151,$I214)+SUMIFS('الشؤون التنفيذية'!$N$2:$N$421,'الشؤون التنفيذية'!$B$2:$B$421,$B214,'الشؤون التنفيذية'!$G$2:$G$421,$G214,'الشؤون التنفيذية'!$I$2:$I$421,$I214)+SUMIFS('الجهاز العسكري'!$M$2:$M$631,'الجهاز العسكري'!$B$2:$B$631,$B214,'الجهاز العسكري'!$G$2:$G$631,$G214,'الجهاز العسكري'!$I$2:$I$631,$I214))/$L214,0))</f>
        <v>25</v>
      </c>
      <c r="O214" s="18"/>
      <c r="P214" s="15">
        <f>SUMIFS(المرجع!$G$2:$G$19,المرجع!$B$2:$B$19,$G214,المرجع!$E$2:$E$19,$I214)</f>
        <v>15</v>
      </c>
      <c r="Q214" s="20">
        <f t="shared" si="4"/>
        <v>3.75</v>
      </c>
      <c r="R214" s="21" t="str">
        <f>IF($N214&gt;المرجع!$K$3,"متقدم",IF($N214&lt;=المرجع!$K$2,"أولي","جزئي"))</f>
        <v>أولي</v>
      </c>
    </row>
    <row r="215" spans="1:18">
      <c r="A215" s="16" t="s">
        <v>1655</v>
      </c>
      <c r="B215" s="16" t="s">
        <v>170</v>
      </c>
      <c r="C215" s="15" t="str">
        <f>IFERROR(INDEX('قائمة الوحدات'!$B$2:$B$41,MATCH($B215,'قائمة الوحدات'!$A$2:$A$41,0)),"")</f>
        <v>EXE</v>
      </c>
      <c r="D215" s="14" t="str">
        <f>IFERROR(INDEX('قائمة الوحدات'!$C$2:$C$41,MATCH($B215,'قائمة الوحدات'!$A$2:$A$41,0)),"")</f>
        <v>الشؤون التنفيذية</v>
      </c>
      <c r="E215" s="14" t="str">
        <f>IFERROR(INDEX('قائمة الوحدات'!$D$2:$D$41,MATCH($B215,'قائمة الوحدات'!$A$2:$A$41,0)),"")</f>
        <v>وكالة الشؤون الفنية</v>
      </c>
      <c r="F215" s="14" t="str">
        <f>IFERROR(INDEX('قائمة الوحدات'!$F$2:$F$41,MATCH($B215,'قائمة الوحدات'!$A$2:$A$41,0)),"")</f>
        <v>الإدارة العامة للأمن والحماية</v>
      </c>
      <c r="G215" s="16" t="s">
        <v>65</v>
      </c>
      <c r="H215" s="14" t="str">
        <f>IFERROR(INDEX(المرجع!$A$2:$A$19,MATCH($G215,المرجع!$B$2:$B$19,0)),"")</f>
        <v>التشغيل</v>
      </c>
      <c r="I215" s="16" t="s">
        <v>56</v>
      </c>
      <c r="J215" s="14" t="str">
        <f>IFERROR(INDEX(المرجع!$D$2:$D$19,MATCH($I215,المرجع!$E$2:$E$19,0)),"")</f>
        <v>الموارد</v>
      </c>
      <c r="K215" s="15">
        <f>IFERROR(INDEX(المرجع!$F$2:$F$19,MATCH($I215,المرجع!$E$2:$E$19,0)),"")</f>
        <v>5</v>
      </c>
      <c r="L215" s="15">
        <f>SUMIFS(المرجع!$H$2:$H$19,المرجع!$B$2:$B$19,$G215,المرجع!$E$2:$E$19,$I215)</f>
        <v>1</v>
      </c>
      <c r="M215" s="15">
        <f>COUNTIFS('المرتبطة بسمو الوزير'!$B$2:$B$151,$B215,'المرتبطة بسمو الوزير'!$G$2:$G$151,$G215,'المرتبطة بسمو الوزير'!$I$2:$I$151,$I215,'المرتبطة بسمو الوزير'!$M$2:$M$151,"&lt;&gt;")+COUNTIFS('الشؤون التنفيذية'!$B$2:$B$421,$B215,'الشؤون التنفيذية'!$G$2:$G$421,$G215,'الشؤون التنفيذية'!$I$2:$I$421,$I215,'الشؤون التنفيذية'!$N$2:$N$421,"&lt;&gt;")+COUNTIFS('الجهاز العسكري'!$B$2:$B$631,$B215,'الجهاز العسكري'!$G$2:$G$631,$G215,'الجهاز العسكري'!$I$2:$I$631,$I215,'الجهاز العسكري'!$M$2:$M$631,"&lt;&gt;")</f>
        <v>1</v>
      </c>
      <c r="N215" s="19">
        <f>IF($L215=0,0,ROUND((SUMIFS('المرتبطة بسمو الوزير'!$M$2:$M$151,'المرتبطة بسمو الوزير'!$B$2:$B$151,$B215,'المرتبطة بسمو الوزير'!$G$2:$G$151,$G215,'المرتبطة بسمو الوزير'!$I$2:$I$151,$I215)+SUMIFS('الشؤون التنفيذية'!$N$2:$N$421,'الشؤون التنفيذية'!$B$2:$B$421,$B215,'الشؤون التنفيذية'!$G$2:$G$421,$G215,'الشؤون التنفيذية'!$I$2:$I$421,$I215)+SUMIFS('الجهاز العسكري'!$M$2:$M$631,'الجهاز العسكري'!$B$2:$B$631,$B215,'الجهاز العسكري'!$G$2:$G$631,$G215,'الجهاز العسكري'!$I$2:$I$631,$I215))/$L215,0))</f>
        <v>44</v>
      </c>
      <c r="O215" s="18"/>
      <c r="P215" s="15">
        <f>SUMIFS(المرجع!$G$2:$G$19,المرجع!$B$2:$B$19,$G215,المرجع!$E$2:$E$19,$I215)</f>
        <v>15</v>
      </c>
      <c r="Q215" s="20">
        <f t="shared" si="4"/>
        <v>6.6</v>
      </c>
      <c r="R215" s="21" t="str">
        <f>IF($N215&gt;المرجع!$K$3,"متقدم",IF($N215&lt;=المرجع!$K$2,"أولي","جزئي"))</f>
        <v>جزئي</v>
      </c>
    </row>
    <row r="216" spans="1:18">
      <c r="A216" s="16" t="s">
        <v>1656</v>
      </c>
      <c r="B216" s="16" t="s">
        <v>170</v>
      </c>
      <c r="C216" s="15" t="str">
        <f>IFERROR(INDEX('قائمة الوحدات'!$B$2:$B$41,MATCH($B216,'قائمة الوحدات'!$A$2:$A$41,0)),"")</f>
        <v>EXE</v>
      </c>
      <c r="D216" s="14" t="str">
        <f>IFERROR(INDEX('قائمة الوحدات'!$C$2:$C$41,MATCH($B216,'قائمة الوحدات'!$A$2:$A$41,0)),"")</f>
        <v>الشؤون التنفيذية</v>
      </c>
      <c r="E216" s="14" t="str">
        <f>IFERROR(INDEX('قائمة الوحدات'!$D$2:$D$41,MATCH($B216,'قائمة الوحدات'!$A$2:$A$41,0)),"")</f>
        <v>وكالة الشؤون الفنية</v>
      </c>
      <c r="F216" s="14" t="str">
        <f>IFERROR(INDEX('قائمة الوحدات'!$F$2:$F$41,MATCH($B216,'قائمة الوحدات'!$A$2:$A$41,0)),"")</f>
        <v>الإدارة العامة للأمن والحماية</v>
      </c>
      <c r="G216" s="16" t="s">
        <v>65</v>
      </c>
      <c r="H216" s="14" t="str">
        <f>IFERROR(INDEX(المرجع!$A$2:$A$19,MATCH($G216,المرجع!$B$2:$B$19,0)),"")</f>
        <v>التشغيل</v>
      </c>
      <c r="I216" s="16" t="s">
        <v>59</v>
      </c>
      <c r="J216" s="14" t="str">
        <f>IFERROR(INDEX(المرجع!$D$2:$D$19,MATCH($I216,المرجع!$E$2:$E$19,0)),"")</f>
        <v>الإجراءات</v>
      </c>
      <c r="K216" s="15">
        <f>IFERROR(INDEX(المرجع!$F$2:$F$19,MATCH($I216,المرجع!$E$2:$E$19,0)),"")</f>
        <v>6</v>
      </c>
      <c r="L216" s="15">
        <f>SUMIFS(المرجع!$H$2:$H$19,المرجع!$B$2:$B$19,$G216,المرجع!$E$2:$E$19,$I216)</f>
        <v>1</v>
      </c>
      <c r="M216" s="15">
        <f>COUNTIFS('المرتبطة بسمو الوزير'!$B$2:$B$151,$B216,'المرتبطة بسمو الوزير'!$G$2:$G$151,$G216,'المرتبطة بسمو الوزير'!$I$2:$I$151,$I216,'المرتبطة بسمو الوزير'!$M$2:$M$151,"&lt;&gt;")+COUNTIFS('الشؤون التنفيذية'!$B$2:$B$421,$B216,'الشؤون التنفيذية'!$G$2:$G$421,$G216,'الشؤون التنفيذية'!$I$2:$I$421,$I216,'الشؤون التنفيذية'!$N$2:$N$421,"&lt;&gt;")+COUNTIFS('الجهاز العسكري'!$B$2:$B$631,$B216,'الجهاز العسكري'!$G$2:$G$631,$G216,'الجهاز العسكري'!$I$2:$I$631,$I216,'الجهاز العسكري'!$M$2:$M$631,"&lt;&gt;")</f>
        <v>1</v>
      </c>
      <c r="N216" s="19">
        <f>IF($L216=0,0,ROUND((SUMIFS('المرتبطة بسمو الوزير'!$M$2:$M$151,'المرتبطة بسمو الوزير'!$B$2:$B$151,$B216,'المرتبطة بسمو الوزير'!$G$2:$G$151,$G216,'المرتبطة بسمو الوزير'!$I$2:$I$151,$I216)+SUMIFS('الشؤون التنفيذية'!$N$2:$N$421,'الشؤون التنفيذية'!$B$2:$B$421,$B216,'الشؤون التنفيذية'!$G$2:$G$421,$G216,'الشؤون التنفيذية'!$I$2:$I$421,$I216)+SUMIFS('الجهاز العسكري'!$M$2:$M$631,'الجهاز العسكري'!$B$2:$B$631,$B216,'الجهاز العسكري'!$G$2:$G$631,$G216,'الجهاز العسكري'!$I$2:$I$631,$I216))/$L216,0))</f>
        <v>29</v>
      </c>
      <c r="O216" s="18"/>
      <c r="P216" s="15">
        <f>SUMIFS(المرجع!$G$2:$G$19,المرجع!$B$2:$B$19,$G216,المرجع!$E$2:$E$19,$I216)</f>
        <v>15</v>
      </c>
      <c r="Q216" s="20">
        <f t="shared" si="4"/>
        <v>4.3499999999999996</v>
      </c>
      <c r="R216" s="21" t="str">
        <f>IF($N216&gt;المرجع!$K$3,"متقدم",IF($N216&lt;=المرجع!$K$2,"أولي","جزئي"))</f>
        <v>أولي</v>
      </c>
    </row>
    <row r="217" spans="1:18">
      <c r="A217" s="16" t="s">
        <v>1657</v>
      </c>
      <c r="B217" s="16" t="s">
        <v>170</v>
      </c>
      <c r="C217" s="15" t="str">
        <f>IFERROR(INDEX('قائمة الوحدات'!$B$2:$B$41,MATCH($B217,'قائمة الوحدات'!$A$2:$A$41,0)),"")</f>
        <v>EXE</v>
      </c>
      <c r="D217" s="14" t="str">
        <f>IFERROR(INDEX('قائمة الوحدات'!$C$2:$C$41,MATCH($B217,'قائمة الوحدات'!$A$2:$A$41,0)),"")</f>
        <v>الشؤون التنفيذية</v>
      </c>
      <c r="E217" s="14" t="str">
        <f>IFERROR(INDEX('قائمة الوحدات'!$D$2:$D$41,MATCH($B217,'قائمة الوحدات'!$A$2:$A$41,0)),"")</f>
        <v>وكالة الشؤون الفنية</v>
      </c>
      <c r="F217" s="14" t="str">
        <f>IFERROR(INDEX('قائمة الوحدات'!$F$2:$F$41,MATCH($B217,'قائمة الوحدات'!$A$2:$A$41,0)),"")</f>
        <v>الإدارة العامة للأمن والحماية</v>
      </c>
      <c r="G217" s="16" t="s">
        <v>65</v>
      </c>
      <c r="H217" s="14" t="str">
        <f>IFERROR(INDEX(المرجع!$A$2:$A$19,MATCH($G217,المرجع!$B$2:$B$19,0)),"")</f>
        <v>التشغيل</v>
      </c>
      <c r="I217" s="16" t="s">
        <v>67</v>
      </c>
      <c r="J217" s="14" t="str">
        <f>IFERROR(INDEX(المرجع!$D$2:$D$19,MATCH($I217,المرجع!$E$2:$E$19,0)),"")</f>
        <v>اكتمال المخرجات المستهدفة</v>
      </c>
      <c r="K217" s="15">
        <f>IFERROR(INDEX(المرجع!$F$2:$F$19,MATCH($I217,المرجع!$E$2:$E$19,0)),"")</f>
        <v>8</v>
      </c>
      <c r="L217" s="15">
        <f>SUMIFS(المرجع!$H$2:$H$19,المرجع!$B$2:$B$19,$G217,المرجع!$E$2:$E$19,$I217)</f>
        <v>1</v>
      </c>
      <c r="M217" s="15">
        <f>COUNTIFS('المرتبطة بسمو الوزير'!$B$2:$B$151,$B217,'المرتبطة بسمو الوزير'!$G$2:$G$151,$G217,'المرتبطة بسمو الوزير'!$I$2:$I$151,$I217,'المرتبطة بسمو الوزير'!$M$2:$M$151,"&lt;&gt;")+COUNTIFS('الشؤون التنفيذية'!$B$2:$B$421,$B217,'الشؤون التنفيذية'!$G$2:$G$421,$G217,'الشؤون التنفيذية'!$I$2:$I$421,$I217,'الشؤون التنفيذية'!$N$2:$N$421,"&lt;&gt;")+COUNTIFS('الجهاز العسكري'!$B$2:$B$631,$B217,'الجهاز العسكري'!$G$2:$G$631,$G217,'الجهاز العسكري'!$I$2:$I$631,$I217,'الجهاز العسكري'!$M$2:$M$631,"&lt;&gt;")</f>
        <v>1</v>
      </c>
      <c r="N217" s="19">
        <f>IF($L217=0,0,ROUND((SUMIFS('المرتبطة بسمو الوزير'!$M$2:$M$151,'المرتبطة بسمو الوزير'!$B$2:$B$151,$B217,'المرتبطة بسمو الوزير'!$G$2:$G$151,$G217,'المرتبطة بسمو الوزير'!$I$2:$I$151,$I217)+SUMIFS('الشؤون التنفيذية'!$N$2:$N$421,'الشؤون التنفيذية'!$B$2:$B$421,$B217,'الشؤون التنفيذية'!$G$2:$G$421,$G217,'الشؤون التنفيذية'!$I$2:$I$421,$I217)+SUMIFS('الجهاز العسكري'!$M$2:$M$631,'الجهاز العسكري'!$B$2:$B$631,$B217,'الجهاز العسكري'!$G$2:$G$631,$G217,'الجهاز العسكري'!$I$2:$I$631,$I217))/$L217,0))</f>
        <v>45</v>
      </c>
      <c r="O217" s="18"/>
      <c r="P217" s="15">
        <f>SUMIFS(المرجع!$G$2:$G$19,المرجع!$B$2:$B$19,$G217,المرجع!$E$2:$E$19,$I217)</f>
        <v>30</v>
      </c>
      <c r="Q217" s="20">
        <f t="shared" si="4"/>
        <v>13.5</v>
      </c>
      <c r="R217" s="21" t="str">
        <f>IF($N217&gt;المرجع!$K$3,"متقدم",IF($N217&lt;=المرجع!$K$2,"أولي","جزئي"))</f>
        <v>جزئي</v>
      </c>
    </row>
    <row r="218" spans="1:18">
      <c r="A218" s="16" t="s">
        <v>1658</v>
      </c>
      <c r="B218" s="16" t="s">
        <v>172</v>
      </c>
      <c r="C218" s="15" t="str">
        <f>IFERROR(INDEX('قائمة الوحدات'!$B$2:$B$41,MATCH($B218,'قائمة الوحدات'!$A$2:$A$41,0)),"")</f>
        <v>EXE</v>
      </c>
      <c r="D218" s="14" t="str">
        <f>IFERROR(INDEX('قائمة الوحدات'!$C$2:$C$41,MATCH($B218,'قائمة الوحدات'!$A$2:$A$41,0)),"")</f>
        <v>الشؤون التنفيذية</v>
      </c>
      <c r="E218" s="14" t="str">
        <f>IFERROR(INDEX('قائمة الوحدات'!$D$2:$D$41,MATCH($B218,'قائمة الوحدات'!$A$2:$A$41,0)),"")</f>
        <v>وكالة الخدمات المساندة</v>
      </c>
      <c r="F218" s="14" t="str">
        <f>IFERROR(INDEX('قائمة الوحدات'!$F$2:$F$41,MATCH($B218,'قائمة الوحدات'!$A$2:$A$41,0)),"")</f>
        <v>الإدارة العامة للموارد البشرية</v>
      </c>
      <c r="G218" s="16" t="s">
        <v>43</v>
      </c>
      <c r="H218" s="14" t="str">
        <f>IFERROR(INDEX(المرجع!$A$2:$A$19,MATCH($G218,المرجع!$B$2:$B$19,0)),"")</f>
        <v>التصميم</v>
      </c>
      <c r="I218" s="16" t="s">
        <v>45</v>
      </c>
      <c r="J218" s="14" t="str">
        <f>IFERROR(INDEX(المرجع!$D$2:$D$19,MATCH($I218,المرجع!$E$2:$E$19,0)),"")</f>
        <v>الدور</v>
      </c>
      <c r="K218" s="15">
        <f>IFERROR(INDEX(المرجع!$F$2:$F$19,MATCH($I218,المرجع!$E$2:$E$19,0)),"")</f>
        <v>1</v>
      </c>
      <c r="L218" s="15">
        <f>SUMIFS(المرجع!$H$2:$H$19,المرجع!$B$2:$B$19,$G218,المرجع!$E$2:$E$19,$I218)</f>
        <v>1</v>
      </c>
      <c r="M218" s="15">
        <f>COUNTIFS('المرتبطة بسمو الوزير'!$B$2:$B$151,$B218,'المرتبطة بسمو الوزير'!$G$2:$G$151,$G218,'المرتبطة بسمو الوزير'!$I$2:$I$151,$I218,'المرتبطة بسمو الوزير'!$M$2:$M$151,"&lt;&gt;")+COUNTIFS('الشؤون التنفيذية'!$B$2:$B$421,$B218,'الشؤون التنفيذية'!$G$2:$G$421,$G218,'الشؤون التنفيذية'!$I$2:$I$421,$I218,'الشؤون التنفيذية'!$N$2:$N$421,"&lt;&gt;")+COUNTIFS('الجهاز العسكري'!$B$2:$B$631,$B218,'الجهاز العسكري'!$G$2:$G$631,$G218,'الجهاز العسكري'!$I$2:$I$631,$I218,'الجهاز العسكري'!$M$2:$M$631,"&lt;&gt;")</f>
        <v>1</v>
      </c>
      <c r="N218" s="19">
        <f>IF($L218=0,0,ROUND((SUMIFS('المرتبطة بسمو الوزير'!$M$2:$M$151,'المرتبطة بسمو الوزير'!$B$2:$B$151,$B218,'المرتبطة بسمو الوزير'!$G$2:$G$151,$G218,'المرتبطة بسمو الوزير'!$I$2:$I$151,$I218)+SUMIFS('الشؤون التنفيذية'!$N$2:$N$421,'الشؤون التنفيذية'!$B$2:$B$421,$B218,'الشؤون التنفيذية'!$G$2:$G$421,$G218,'الشؤون التنفيذية'!$I$2:$I$421,$I218)+SUMIFS('الجهاز العسكري'!$M$2:$M$631,'الجهاز العسكري'!$B$2:$B$631,$B218,'الجهاز العسكري'!$G$2:$G$631,$G218,'الجهاز العسكري'!$I$2:$I$631,$I218))/$L218,0))</f>
        <v>89</v>
      </c>
      <c r="O218" s="18"/>
      <c r="P218" s="15">
        <f>SUMIFS(المرجع!$G$2:$G$19,المرجع!$B$2:$B$19,$G218,المرجع!$E$2:$E$19,$I218)</f>
        <v>25</v>
      </c>
      <c r="Q218" s="20">
        <f t="shared" si="4"/>
        <v>22.25</v>
      </c>
      <c r="R218" s="21" t="str">
        <f>IF($N218&gt;المرجع!$K$3,"متقدم",IF($N218&lt;=المرجع!$K$2,"أولي","جزئي"))</f>
        <v>متقدم</v>
      </c>
    </row>
    <row r="219" spans="1:18">
      <c r="A219" s="16" t="s">
        <v>1659</v>
      </c>
      <c r="B219" s="16" t="s">
        <v>172</v>
      </c>
      <c r="C219" s="15" t="str">
        <f>IFERROR(INDEX('قائمة الوحدات'!$B$2:$B$41,MATCH($B219,'قائمة الوحدات'!$A$2:$A$41,0)),"")</f>
        <v>EXE</v>
      </c>
      <c r="D219" s="14" t="str">
        <f>IFERROR(INDEX('قائمة الوحدات'!$C$2:$C$41,MATCH($B219,'قائمة الوحدات'!$A$2:$A$41,0)),"")</f>
        <v>الشؤون التنفيذية</v>
      </c>
      <c r="E219" s="14" t="str">
        <f>IFERROR(INDEX('قائمة الوحدات'!$D$2:$D$41,MATCH($B219,'قائمة الوحدات'!$A$2:$A$41,0)),"")</f>
        <v>وكالة الخدمات المساندة</v>
      </c>
      <c r="F219" s="14" t="str">
        <f>IFERROR(INDEX('قائمة الوحدات'!$F$2:$F$41,MATCH($B219,'قائمة الوحدات'!$A$2:$A$41,0)),"")</f>
        <v>الإدارة العامة للموارد البشرية</v>
      </c>
      <c r="G219" s="16" t="s">
        <v>43</v>
      </c>
      <c r="H219" s="14" t="str">
        <f>IFERROR(INDEX(المرجع!$A$2:$A$19,MATCH($G219,المرجع!$B$2:$B$19,0)),"")</f>
        <v>التصميم</v>
      </c>
      <c r="I219" s="16" t="s">
        <v>48</v>
      </c>
      <c r="J219" s="14" t="str">
        <f>IFERROR(INDEX(المرجع!$D$2:$D$19,MATCH($I219,المرجع!$E$2:$E$19,0)),"")</f>
        <v>الأهداف ومؤشرات الأداء</v>
      </c>
      <c r="K219" s="15">
        <f>IFERROR(INDEX(المرجع!$F$2:$F$19,MATCH($I219,المرجع!$E$2:$E$19,0)),"")</f>
        <v>2</v>
      </c>
      <c r="L219" s="15">
        <f>SUMIFS(المرجع!$H$2:$H$19,المرجع!$B$2:$B$19,$G219,المرجع!$E$2:$E$19,$I219)</f>
        <v>2</v>
      </c>
      <c r="M219" s="15">
        <f>COUNTIFS('المرتبطة بسمو الوزير'!$B$2:$B$151,$B219,'المرتبطة بسمو الوزير'!$G$2:$G$151,$G219,'المرتبطة بسمو الوزير'!$I$2:$I$151,$I219,'المرتبطة بسمو الوزير'!$M$2:$M$151,"&lt;&gt;")+COUNTIFS('الشؤون التنفيذية'!$B$2:$B$421,$B219,'الشؤون التنفيذية'!$G$2:$G$421,$G219,'الشؤون التنفيذية'!$I$2:$I$421,$I219,'الشؤون التنفيذية'!$N$2:$N$421,"&lt;&gt;")+COUNTIFS('الجهاز العسكري'!$B$2:$B$631,$B219,'الجهاز العسكري'!$G$2:$G$631,$G219,'الجهاز العسكري'!$I$2:$I$631,$I219,'الجهاز العسكري'!$M$2:$M$631,"&lt;&gt;")</f>
        <v>2</v>
      </c>
      <c r="N219" s="19">
        <f>IF($L219=0,0,ROUND((SUMIFS('المرتبطة بسمو الوزير'!$M$2:$M$151,'المرتبطة بسمو الوزير'!$B$2:$B$151,$B219,'المرتبطة بسمو الوزير'!$G$2:$G$151,$G219,'المرتبطة بسمو الوزير'!$I$2:$I$151,$I219)+SUMIFS('الشؤون التنفيذية'!$N$2:$N$421,'الشؤون التنفيذية'!$B$2:$B$421,$B219,'الشؤون التنفيذية'!$G$2:$G$421,$G219,'الشؤون التنفيذية'!$I$2:$I$421,$I219)+SUMIFS('الجهاز العسكري'!$M$2:$M$631,'الجهاز العسكري'!$B$2:$B$631,$B219,'الجهاز العسكري'!$G$2:$G$631,$G219,'الجهاز العسكري'!$I$2:$I$631,$I219))/$L219,0))</f>
        <v>65</v>
      </c>
      <c r="O219" s="18"/>
      <c r="P219" s="15">
        <f>SUMIFS(المرجع!$G$2:$G$19,المرجع!$B$2:$B$19,$G219,المرجع!$E$2:$E$19,$I219)</f>
        <v>15</v>
      </c>
      <c r="Q219" s="20">
        <f t="shared" si="4"/>
        <v>9.75</v>
      </c>
      <c r="R219" s="21" t="str">
        <f>IF($N219&gt;المرجع!$K$3,"متقدم",IF($N219&lt;=المرجع!$K$2,"أولي","جزئي"))</f>
        <v>جزئي</v>
      </c>
    </row>
    <row r="220" spans="1:18">
      <c r="A220" s="16" t="s">
        <v>1660</v>
      </c>
      <c r="B220" s="16" t="s">
        <v>172</v>
      </c>
      <c r="C220" s="15" t="str">
        <f>IFERROR(INDEX('قائمة الوحدات'!$B$2:$B$41,MATCH($B220,'قائمة الوحدات'!$A$2:$A$41,0)),"")</f>
        <v>EXE</v>
      </c>
      <c r="D220" s="14" t="str">
        <f>IFERROR(INDEX('قائمة الوحدات'!$C$2:$C$41,MATCH($B220,'قائمة الوحدات'!$A$2:$A$41,0)),"")</f>
        <v>الشؤون التنفيذية</v>
      </c>
      <c r="E220" s="14" t="str">
        <f>IFERROR(INDEX('قائمة الوحدات'!$D$2:$D$41,MATCH($B220,'قائمة الوحدات'!$A$2:$A$41,0)),"")</f>
        <v>وكالة الخدمات المساندة</v>
      </c>
      <c r="F220" s="14" t="str">
        <f>IFERROR(INDEX('قائمة الوحدات'!$F$2:$F$41,MATCH($B220,'قائمة الوحدات'!$A$2:$A$41,0)),"")</f>
        <v>الإدارة العامة للموارد البشرية</v>
      </c>
      <c r="G220" s="16" t="s">
        <v>43</v>
      </c>
      <c r="H220" s="14" t="str">
        <f>IFERROR(INDEX(المرجع!$A$2:$A$19,MATCH($G220,المرجع!$B$2:$B$19,0)),"")</f>
        <v>التصميم</v>
      </c>
      <c r="I220" s="16" t="s">
        <v>51</v>
      </c>
      <c r="J220" s="14" t="str">
        <f>IFERROR(INDEX(المرجع!$D$2:$D$19,MATCH($I220,المرجع!$E$2:$E$19,0)),"")</f>
        <v>الحوكمة</v>
      </c>
      <c r="K220" s="15">
        <f>IFERROR(INDEX(المرجع!$F$2:$F$19,MATCH($I220,المرجع!$E$2:$E$19,0)),"")</f>
        <v>3</v>
      </c>
      <c r="L220" s="15">
        <f>SUMIFS(المرجع!$H$2:$H$19,المرجع!$B$2:$B$19,$G220,المرجع!$E$2:$E$19,$I220)</f>
        <v>1</v>
      </c>
      <c r="M220" s="15">
        <f>COUNTIFS('المرتبطة بسمو الوزير'!$B$2:$B$151,$B220,'المرتبطة بسمو الوزير'!$G$2:$G$151,$G220,'المرتبطة بسمو الوزير'!$I$2:$I$151,$I220,'المرتبطة بسمو الوزير'!$M$2:$M$151,"&lt;&gt;")+COUNTIFS('الشؤون التنفيذية'!$B$2:$B$421,$B220,'الشؤون التنفيذية'!$G$2:$G$421,$G220,'الشؤون التنفيذية'!$I$2:$I$421,$I220,'الشؤون التنفيذية'!$N$2:$N$421,"&lt;&gt;")+COUNTIFS('الجهاز العسكري'!$B$2:$B$631,$B220,'الجهاز العسكري'!$G$2:$G$631,$G220,'الجهاز العسكري'!$I$2:$I$631,$I220,'الجهاز العسكري'!$M$2:$M$631,"&lt;&gt;")</f>
        <v>1</v>
      </c>
      <c r="N220" s="19">
        <f>IF($L220=0,0,ROUND((SUMIFS('المرتبطة بسمو الوزير'!$M$2:$M$151,'المرتبطة بسمو الوزير'!$B$2:$B$151,$B220,'المرتبطة بسمو الوزير'!$G$2:$G$151,$G220,'المرتبطة بسمو الوزير'!$I$2:$I$151,$I220)+SUMIFS('الشؤون التنفيذية'!$N$2:$N$421,'الشؤون التنفيذية'!$B$2:$B$421,$B220,'الشؤون التنفيذية'!$G$2:$G$421,$G220,'الشؤون التنفيذية'!$I$2:$I$421,$I220)+SUMIFS('الجهاز العسكري'!$M$2:$M$631,'الجهاز العسكري'!$B$2:$B$631,$B220,'الجهاز العسكري'!$G$2:$G$631,$G220,'الجهاز العسكري'!$I$2:$I$631,$I220))/$L220,0))</f>
        <v>71</v>
      </c>
      <c r="O220" s="18"/>
      <c r="P220" s="15">
        <f>SUMIFS(المرجع!$G$2:$G$19,المرجع!$B$2:$B$19,$G220,المرجع!$E$2:$E$19,$I220)</f>
        <v>15</v>
      </c>
      <c r="Q220" s="20">
        <f t="shared" si="4"/>
        <v>10.65</v>
      </c>
      <c r="R220" s="21" t="str">
        <f>IF($N220&gt;المرجع!$K$3,"متقدم",IF($N220&lt;=المرجع!$K$2,"أولي","جزئي"))</f>
        <v>متقدم</v>
      </c>
    </row>
    <row r="221" spans="1:18">
      <c r="A221" s="16" t="s">
        <v>1661</v>
      </c>
      <c r="B221" s="16" t="s">
        <v>172</v>
      </c>
      <c r="C221" s="15" t="str">
        <f>IFERROR(INDEX('قائمة الوحدات'!$B$2:$B$41,MATCH($B221,'قائمة الوحدات'!$A$2:$A$41,0)),"")</f>
        <v>EXE</v>
      </c>
      <c r="D221" s="14" t="str">
        <f>IFERROR(INDEX('قائمة الوحدات'!$C$2:$C$41,MATCH($B221,'قائمة الوحدات'!$A$2:$A$41,0)),"")</f>
        <v>الشؤون التنفيذية</v>
      </c>
      <c r="E221" s="14" t="str">
        <f>IFERROR(INDEX('قائمة الوحدات'!$D$2:$D$41,MATCH($B221,'قائمة الوحدات'!$A$2:$A$41,0)),"")</f>
        <v>وكالة الخدمات المساندة</v>
      </c>
      <c r="F221" s="14" t="str">
        <f>IFERROR(INDEX('قائمة الوحدات'!$F$2:$F$41,MATCH($B221,'قائمة الوحدات'!$A$2:$A$41,0)),"")</f>
        <v>الإدارة العامة للموارد البشرية</v>
      </c>
      <c r="G221" s="16" t="s">
        <v>43</v>
      </c>
      <c r="H221" s="14" t="str">
        <f>IFERROR(INDEX(المرجع!$A$2:$A$19,MATCH($G221,المرجع!$B$2:$B$19,0)),"")</f>
        <v>التصميم</v>
      </c>
      <c r="I221" s="16" t="s">
        <v>54</v>
      </c>
      <c r="J221" s="14" t="str">
        <f>IFERROR(INDEX(المرجع!$D$2:$D$19,MATCH($I221,المرجع!$E$2:$E$19,0)),"")</f>
        <v>التنظيم</v>
      </c>
      <c r="K221" s="15">
        <f>IFERROR(INDEX(المرجع!$F$2:$F$19,MATCH($I221,المرجع!$E$2:$E$19,0)),"")</f>
        <v>4</v>
      </c>
      <c r="L221" s="15">
        <f>SUMIFS(المرجع!$H$2:$H$19,المرجع!$B$2:$B$19,$G221,المرجع!$E$2:$E$19,$I221)</f>
        <v>1</v>
      </c>
      <c r="M221" s="15">
        <f>COUNTIFS('المرتبطة بسمو الوزير'!$B$2:$B$151,$B221,'المرتبطة بسمو الوزير'!$G$2:$G$151,$G221,'المرتبطة بسمو الوزير'!$I$2:$I$151,$I221,'المرتبطة بسمو الوزير'!$M$2:$M$151,"&lt;&gt;")+COUNTIFS('الشؤون التنفيذية'!$B$2:$B$421,$B221,'الشؤون التنفيذية'!$G$2:$G$421,$G221,'الشؤون التنفيذية'!$I$2:$I$421,$I221,'الشؤون التنفيذية'!$N$2:$N$421,"&lt;&gt;")+COUNTIFS('الجهاز العسكري'!$B$2:$B$631,$B221,'الجهاز العسكري'!$G$2:$G$631,$G221,'الجهاز العسكري'!$I$2:$I$631,$I221,'الجهاز العسكري'!$M$2:$M$631,"&lt;&gt;")</f>
        <v>1</v>
      </c>
      <c r="N221" s="19">
        <f>IF($L221=0,0,ROUND((SUMIFS('المرتبطة بسمو الوزير'!$M$2:$M$151,'المرتبطة بسمو الوزير'!$B$2:$B$151,$B221,'المرتبطة بسمو الوزير'!$G$2:$G$151,$G221,'المرتبطة بسمو الوزير'!$I$2:$I$151,$I221)+SUMIFS('الشؤون التنفيذية'!$N$2:$N$421,'الشؤون التنفيذية'!$B$2:$B$421,$B221,'الشؤون التنفيذية'!$G$2:$G$421,$G221,'الشؤون التنفيذية'!$I$2:$I$421,$I221)+SUMIFS('الجهاز العسكري'!$M$2:$M$631,'الجهاز العسكري'!$B$2:$B$631,$B221,'الجهاز العسكري'!$G$2:$G$631,$G221,'الجهاز العسكري'!$I$2:$I$631,$I221))/$L221,0))</f>
        <v>95</v>
      </c>
      <c r="O221" s="18"/>
      <c r="P221" s="15">
        <f>SUMIFS(المرجع!$G$2:$G$19,المرجع!$B$2:$B$19,$G221,المرجع!$E$2:$E$19,$I221)</f>
        <v>20</v>
      </c>
      <c r="Q221" s="20">
        <f t="shared" si="4"/>
        <v>19</v>
      </c>
      <c r="R221" s="21" t="str">
        <f>IF($N221&gt;المرجع!$K$3,"متقدم",IF($N221&lt;=المرجع!$K$2,"أولي","جزئي"))</f>
        <v>متقدم</v>
      </c>
    </row>
    <row r="222" spans="1:18">
      <c r="A222" s="16" t="s">
        <v>1662</v>
      </c>
      <c r="B222" s="16" t="s">
        <v>172</v>
      </c>
      <c r="C222" s="15" t="str">
        <f>IFERROR(INDEX('قائمة الوحدات'!$B$2:$B$41,MATCH($B222,'قائمة الوحدات'!$A$2:$A$41,0)),"")</f>
        <v>EXE</v>
      </c>
      <c r="D222" s="14" t="str">
        <f>IFERROR(INDEX('قائمة الوحدات'!$C$2:$C$41,MATCH($B222,'قائمة الوحدات'!$A$2:$A$41,0)),"")</f>
        <v>الشؤون التنفيذية</v>
      </c>
      <c r="E222" s="14" t="str">
        <f>IFERROR(INDEX('قائمة الوحدات'!$D$2:$D$41,MATCH($B222,'قائمة الوحدات'!$A$2:$A$41,0)),"")</f>
        <v>وكالة الخدمات المساندة</v>
      </c>
      <c r="F222" s="14" t="str">
        <f>IFERROR(INDEX('قائمة الوحدات'!$F$2:$F$41,MATCH($B222,'قائمة الوحدات'!$A$2:$A$41,0)),"")</f>
        <v>الإدارة العامة للموارد البشرية</v>
      </c>
      <c r="G222" s="16" t="s">
        <v>43</v>
      </c>
      <c r="H222" s="14" t="str">
        <f>IFERROR(INDEX(المرجع!$A$2:$A$19,MATCH($G222,المرجع!$B$2:$B$19,0)),"")</f>
        <v>التصميم</v>
      </c>
      <c r="I222" s="16" t="s">
        <v>56</v>
      </c>
      <c r="J222" s="14" t="str">
        <f>IFERROR(INDEX(المرجع!$D$2:$D$19,MATCH($I222,المرجع!$E$2:$E$19,0)),"")</f>
        <v>الموارد</v>
      </c>
      <c r="K222" s="15">
        <f>IFERROR(INDEX(المرجع!$F$2:$F$19,MATCH($I222,المرجع!$E$2:$E$19,0)),"")</f>
        <v>5</v>
      </c>
      <c r="L222" s="15">
        <f>SUMIFS(المرجع!$H$2:$H$19,المرجع!$B$2:$B$19,$G222,المرجع!$E$2:$E$19,$I222)</f>
        <v>1</v>
      </c>
      <c r="M222" s="15">
        <f>COUNTIFS('المرتبطة بسمو الوزير'!$B$2:$B$151,$B222,'المرتبطة بسمو الوزير'!$G$2:$G$151,$G222,'المرتبطة بسمو الوزير'!$I$2:$I$151,$I222,'المرتبطة بسمو الوزير'!$M$2:$M$151,"&lt;&gt;")+COUNTIFS('الشؤون التنفيذية'!$B$2:$B$421,$B222,'الشؤون التنفيذية'!$G$2:$G$421,$G222,'الشؤون التنفيذية'!$I$2:$I$421,$I222,'الشؤون التنفيذية'!$N$2:$N$421,"&lt;&gt;")+COUNTIFS('الجهاز العسكري'!$B$2:$B$631,$B222,'الجهاز العسكري'!$G$2:$G$631,$G222,'الجهاز العسكري'!$I$2:$I$631,$I222,'الجهاز العسكري'!$M$2:$M$631,"&lt;&gt;")</f>
        <v>1</v>
      </c>
      <c r="N222" s="19">
        <f>IF($L222=0,0,ROUND((SUMIFS('المرتبطة بسمو الوزير'!$M$2:$M$151,'المرتبطة بسمو الوزير'!$B$2:$B$151,$B222,'المرتبطة بسمو الوزير'!$G$2:$G$151,$G222,'المرتبطة بسمو الوزير'!$I$2:$I$151,$I222)+SUMIFS('الشؤون التنفيذية'!$N$2:$N$421,'الشؤون التنفيذية'!$B$2:$B$421,$B222,'الشؤون التنفيذية'!$G$2:$G$421,$G222,'الشؤون التنفيذية'!$I$2:$I$421,$I222)+SUMIFS('الجهاز العسكري'!$M$2:$M$631,'الجهاز العسكري'!$B$2:$B$631,$B222,'الجهاز العسكري'!$G$2:$G$631,$G222,'الجهاز العسكري'!$I$2:$I$631,$I222))/$L222,0))</f>
        <v>85</v>
      </c>
      <c r="O222" s="18"/>
      <c r="P222" s="15">
        <f>SUMIFS(المرجع!$G$2:$G$19,المرجع!$B$2:$B$19,$G222,المرجع!$E$2:$E$19,$I222)</f>
        <v>20</v>
      </c>
      <c r="Q222" s="20">
        <f t="shared" si="4"/>
        <v>17</v>
      </c>
      <c r="R222" s="21" t="str">
        <f>IF($N222&gt;المرجع!$K$3,"متقدم",IF($N222&lt;=المرجع!$K$2,"أولي","جزئي"))</f>
        <v>متقدم</v>
      </c>
    </row>
    <row r="223" spans="1:18">
      <c r="A223" s="16" t="s">
        <v>1663</v>
      </c>
      <c r="B223" s="16" t="s">
        <v>172</v>
      </c>
      <c r="C223" s="15" t="str">
        <f>IFERROR(INDEX('قائمة الوحدات'!$B$2:$B$41,MATCH($B223,'قائمة الوحدات'!$A$2:$A$41,0)),"")</f>
        <v>EXE</v>
      </c>
      <c r="D223" s="14" t="str">
        <f>IFERROR(INDEX('قائمة الوحدات'!$C$2:$C$41,MATCH($B223,'قائمة الوحدات'!$A$2:$A$41,0)),"")</f>
        <v>الشؤون التنفيذية</v>
      </c>
      <c r="E223" s="14" t="str">
        <f>IFERROR(INDEX('قائمة الوحدات'!$D$2:$D$41,MATCH($B223,'قائمة الوحدات'!$A$2:$A$41,0)),"")</f>
        <v>وكالة الخدمات المساندة</v>
      </c>
      <c r="F223" s="14" t="str">
        <f>IFERROR(INDEX('قائمة الوحدات'!$F$2:$F$41,MATCH($B223,'قائمة الوحدات'!$A$2:$A$41,0)),"")</f>
        <v>الإدارة العامة للموارد البشرية</v>
      </c>
      <c r="G223" s="16" t="s">
        <v>43</v>
      </c>
      <c r="H223" s="14" t="str">
        <f>IFERROR(INDEX(المرجع!$A$2:$A$19,MATCH($G223,المرجع!$B$2:$B$19,0)),"")</f>
        <v>التصميم</v>
      </c>
      <c r="I223" s="16" t="s">
        <v>59</v>
      </c>
      <c r="J223" s="14" t="str">
        <f>IFERROR(INDEX(المرجع!$D$2:$D$19,MATCH($I223,المرجع!$E$2:$E$19,0)),"")</f>
        <v>الإجراءات</v>
      </c>
      <c r="K223" s="15">
        <f>IFERROR(INDEX(المرجع!$F$2:$F$19,MATCH($I223,المرجع!$E$2:$E$19,0)),"")</f>
        <v>6</v>
      </c>
      <c r="L223" s="15">
        <f>SUMIFS(المرجع!$H$2:$H$19,المرجع!$B$2:$B$19,$G223,المرجع!$E$2:$E$19,$I223)</f>
        <v>1</v>
      </c>
      <c r="M223" s="15">
        <f>COUNTIFS('المرتبطة بسمو الوزير'!$B$2:$B$151,$B223,'المرتبطة بسمو الوزير'!$G$2:$G$151,$G223,'المرتبطة بسمو الوزير'!$I$2:$I$151,$I223,'المرتبطة بسمو الوزير'!$M$2:$M$151,"&lt;&gt;")+COUNTIFS('الشؤون التنفيذية'!$B$2:$B$421,$B223,'الشؤون التنفيذية'!$G$2:$G$421,$G223,'الشؤون التنفيذية'!$I$2:$I$421,$I223,'الشؤون التنفيذية'!$N$2:$N$421,"&lt;&gt;")+COUNTIFS('الجهاز العسكري'!$B$2:$B$631,$B223,'الجهاز العسكري'!$G$2:$G$631,$G223,'الجهاز العسكري'!$I$2:$I$631,$I223,'الجهاز العسكري'!$M$2:$M$631,"&lt;&gt;")</f>
        <v>1</v>
      </c>
      <c r="N223" s="19">
        <f>IF($L223=0,0,ROUND((SUMIFS('المرتبطة بسمو الوزير'!$M$2:$M$151,'المرتبطة بسمو الوزير'!$B$2:$B$151,$B223,'المرتبطة بسمو الوزير'!$G$2:$G$151,$G223,'المرتبطة بسمو الوزير'!$I$2:$I$151,$I223)+SUMIFS('الشؤون التنفيذية'!$N$2:$N$421,'الشؤون التنفيذية'!$B$2:$B$421,$B223,'الشؤون التنفيذية'!$G$2:$G$421,$G223,'الشؤون التنفيذية'!$I$2:$I$421,$I223)+SUMIFS('الجهاز العسكري'!$M$2:$M$631,'الجهاز العسكري'!$B$2:$B$631,$B223,'الجهاز العسكري'!$G$2:$G$631,$G223,'الجهاز العسكري'!$I$2:$I$631,$I223))/$L223,0))</f>
        <v>77</v>
      </c>
      <c r="O223" s="18"/>
      <c r="P223" s="15">
        <f>SUMIFS(المرجع!$G$2:$G$19,المرجع!$B$2:$B$19,$G223,المرجع!$E$2:$E$19,$I223)</f>
        <v>5</v>
      </c>
      <c r="Q223" s="20">
        <f t="shared" si="4"/>
        <v>3.85</v>
      </c>
      <c r="R223" s="21" t="str">
        <f>IF($N223&gt;المرجع!$K$3,"متقدم",IF($N223&lt;=المرجع!$K$2,"أولي","جزئي"))</f>
        <v>متقدم</v>
      </c>
    </row>
    <row r="224" spans="1:18">
      <c r="A224" s="16" t="s">
        <v>1664</v>
      </c>
      <c r="B224" s="16" t="s">
        <v>172</v>
      </c>
      <c r="C224" s="15" t="str">
        <f>IFERROR(INDEX('قائمة الوحدات'!$B$2:$B$41,MATCH($B224,'قائمة الوحدات'!$A$2:$A$41,0)),"")</f>
        <v>EXE</v>
      </c>
      <c r="D224" s="14" t="str">
        <f>IFERROR(INDEX('قائمة الوحدات'!$C$2:$C$41,MATCH($B224,'قائمة الوحدات'!$A$2:$A$41,0)),"")</f>
        <v>الشؤون التنفيذية</v>
      </c>
      <c r="E224" s="14" t="str">
        <f>IFERROR(INDEX('قائمة الوحدات'!$D$2:$D$41,MATCH($B224,'قائمة الوحدات'!$A$2:$A$41,0)),"")</f>
        <v>وكالة الخدمات المساندة</v>
      </c>
      <c r="F224" s="14" t="str">
        <f>IFERROR(INDEX('قائمة الوحدات'!$F$2:$F$41,MATCH($B224,'قائمة الوحدات'!$A$2:$A$41,0)),"")</f>
        <v>الإدارة العامة للموارد البشرية</v>
      </c>
      <c r="G224" s="16" t="s">
        <v>61</v>
      </c>
      <c r="H224" s="14" t="str">
        <f>IFERROR(INDEX(المرجع!$A$2:$A$19,MATCH($G224,المرجع!$B$2:$B$19,0)),"")</f>
        <v>البناء المؤسسي</v>
      </c>
      <c r="I224" s="16" t="s">
        <v>45</v>
      </c>
      <c r="J224" s="14" t="str">
        <f>IFERROR(INDEX(المرجع!$D$2:$D$19,MATCH($I224,المرجع!$E$2:$E$19,0)),"")</f>
        <v>الدور</v>
      </c>
      <c r="K224" s="15">
        <f>IFERROR(INDEX(المرجع!$F$2:$F$19,MATCH($I224,المرجع!$E$2:$E$19,0)),"")</f>
        <v>1</v>
      </c>
      <c r="L224" s="15">
        <f>SUMIFS(المرجع!$H$2:$H$19,المرجع!$B$2:$B$19,$G224,المرجع!$E$2:$E$19,$I224)</f>
        <v>1</v>
      </c>
      <c r="M224" s="15">
        <f>COUNTIFS('المرتبطة بسمو الوزير'!$B$2:$B$151,$B224,'المرتبطة بسمو الوزير'!$G$2:$G$151,$G224,'المرتبطة بسمو الوزير'!$I$2:$I$151,$I224,'المرتبطة بسمو الوزير'!$M$2:$M$151,"&lt;&gt;")+COUNTIFS('الشؤون التنفيذية'!$B$2:$B$421,$B224,'الشؤون التنفيذية'!$G$2:$G$421,$G224,'الشؤون التنفيذية'!$I$2:$I$421,$I224,'الشؤون التنفيذية'!$N$2:$N$421,"&lt;&gt;")+COUNTIFS('الجهاز العسكري'!$B$2:$B$631,$B224,'الجهاز العسكري'!$G$2:$G$631,$G224,'الجهاز العسكري'!$I$2:$I$631,$I224,'الجهاز العسكري'!$M$2:$M$631,"&lt;&gt;")</f>
        <v>1</v>
      </c>
      <c r="N224" s="19">
        <f>IF($L224=0,0,ROUND((SUMIFS('المرتبطة بسمو الوزير'!$M$2:$M$151,'المرتبطة بسمو الوزير'!$B$2:$B$151,$B224,'المرتبطة بسمو الوزير'!$G$2:$G$151,$G224,'المرتبطة بسمو الوزير'!$I$2:$I$151,$I224)+SUMIFS('الشؤون التنفيذية'!$N$2:$N$421,'الشؤون التنفيذية'!$B$2:$B$421,$B224,'الشؤون التنفيذية'!$G$2:$G$421,$G224,'الشؤون التنفيذية'!$I$2:$I$421,$I224)+SUMIFS('الجهاز العسكري'!$M$2:$M$631,'الجهاز العسكري'!$B$2:$B$631,$B224,'الجهاز العسكري'!$G$2:$G$631,$G224,'الجهاز العسكري'!$I$2:$I$631,$I224))/$L224,0))</f>
        <v>61</v>
      </c>
      <c r="O224" s="18"/>
      <c r="P224" s="15">
        <f>SUMIFS(المرجع!$G$2:$G$19,المرجع!$B$2:$B$19,$G224,المرجع!$E$2:$E$19,$I224)</f>
        <v>15</v>
      </c>
      <c r="Q224" s="20">
        <f t="shared" si="4"/>
        <v>9.15</v>
      </c>
      <c r="R224" s="21" t="str">
        <f>IF($N224&gt;المرجع!$K$3,"متقدم",IF($N224&lt;=المرجع!$K$2,"أولي","جزئي"))</f>
        <v>جزئي</v>
      </c>
    </row>
    <row r="225" spans="1:18">
      <c r="A225" s="16" t="s">
        <v>1665</v>
      </c>
      <c r="B225" s="16" t="s">
        <v>172</v>
      </c>
      <c r="C225" s="15" t="str">
        <f>IFERROR(INDEX('قائمة الوحدات'!$B$2:$B$41,MATCH($B225,'قائمة الوحدات'!$A$2:$A$41,0)),"")</f>
        <v>EXE</v>
      </c>
      <c r="D225" s="14" t="str">
        <f>IFERROR(INDEX('قائمة الوحدات'!$C$2:$C$41,MATCH($B225,'قائمة الوحدات'!$A$2:$A$41,0)),"")</f>
        <v>الشؤون التنفيذية</v>
      </c>
      <c r="E225" s="14" t="str">
        <f>IFERROR(INDEX('قائمة الوحدات'!$D$2:$D$41,MATCH($B225,'قائمة الوحدات'!$A$2:$A$41,0)),"")</f>
        <v>وكالة الخدمات المساندة</v>
      </c>
      <c r="F225" s="14" t="str">
        <f>IFERROR(INDEX('قائمة الوحدات'!$F$2:$F$41,MATCH($B225,'قائمة الوحدات'!$A$2:$A$41,0)),"")</f>
        <v>الإدارة العامة للموارد البشرية</v>
      </c>
      <c r="G225" s="16" t="s">
        <v>61</v>
      </c>
      <c r="H225" s="14" t="str">
        <f>IFERROR(INDEX(المرجع!$A$2:$A$19,MATCH($G225,المرجع!$B$2:$B$19,0)),"")</f>
        <v>البناء المؤسسي</v>
      </c>
      <c r="I225" s="16" t="s">
        <v>48</v>
      </c>
      <c r="J225" s="14" t="str">
        <f>IFERROR(INDEX(المرجع!$D$2:$D$19,MATCH($I225,المرجع!$E$2:$E$19,0)),"")</f>
        <v>الأهداف ومؤشرات الأداء</v>
      </c>
      <c r="K225" s="15">
        <f>IFERROR(INDEX(المرجع!$F$2:$F$19,MATCH($I225,المرجع!$E$2:$E$19,0)),"")</f>
        <v>2</v>
      </c>
      <c r="L225" s="15">
        <f>SUMIFS(المرجع!$H$2:$H$19,المرجع!$B$2:$B$19,$G225,المرجع!$E$2:$E$19,$I225)</f>
        <v>2</v>
      </c>
      <c r="M225" s="15">
        <f>COUNTIFS('المرتبطة بسمو الوزير'!$B$2:$B$151,$B225,'المرتبطة بسمو الوزير'!$G$2:$G$151,$G225,'المرتبطة بسمو الوزير'!$I$2:$I$151,$I225,'المرتبطة بسمو الوزير'!$M$2:$M$151,"&lt;&gt;")+COUNTIFS('الشؤون التنفيذية'!$B$2:$B$421,$B225,'الشؤون التنفيذية'!$G$2:$G$421,$G225,'الشؤون التنفيذية'!$I$2:$I$421,$I225,'الشؤون التنفيذية'!$N$2:$N$421,"&lt;&gt;")+COUNTIFS('الجهاز العسكري'!$B$2:$B$631,$B225,'الجهاز العسكري'!$G$2:$G$631,$G225,'الجهاز العسكري'!$I$2:$I$631,$I225,'الجهاز العسكري'!$M$2:$M$631,"&lt;&gt;")</f>
        <v>2</v>
      </c>
      <c r="N225" s="19">
        <f>IF($L225=0,0,ROUND((SUMIFS('المرتبطة بسمو الوزير'!$M$2:$M$151,'المرتبطة بسمو الوزير'!$B$2:$B$151,$B225,'المرتبطة بسمو الوزير'!$G$2:$G$151,$G225,'المرتبطة بسمو الوزير'!$I$2:$I$151,$I225)+SUMIFS('الشؤون التنفيذية'!$N$2:$N$421,'الشؤون التنفيذية'!$B$2:$B$421,$B225,'الشؤون التنفيذية'!$G$2:$G$421,$G225,'الشؤون التنفيذية'!$I$2:$I$421,$I225)+SUMIFS('الجهاز العسكري'!$M$2:$M$631,'الجهاز العسكري'!$B$2:$B$631,$B225,'الجهاز العسكري'!$G$2:$G$631,$G225,'الجهاز العسكري'!$I$2:$I$631,$I225))/$L225,0))</f>
        <v>58</v>
      </c>
      <c r="O225" s="18"/>
      <c r="P225" s="15">
        <f>SUMIFS(المرجع!$G$2:$G$19,المرجع!$B$2:$B$19,$G225,المرجع!$E$2:$E$19,$I225)</f>
        <v>15</v>
      </c>
      <c r="Q225" s="20">
        <f t="shared" si="4"/>
        <v>8.6999999999999993</v>
      </c>
      <c r="R225" s="21" t="str">
        <f>IF($N225&gt;المرجع!$K$3,"متقدم",IF($N225&lt;=المرجع!$K$2,"أولي","جزئي"))</f>
        <v>جزئي</v>
      </c>
    </row>
    <row r="226" spans="1:18">
      <c r="A226" s="16" t="s">
        <v>1666</v>
      </c>
      <c r="B226" s="16" t="s">
        <v>172</v>
      </c>
      <c r="C226" s="15" t="str">
        <f>IFERROR(INDEX('قائمة الوحدات'!$B$2:$B$41,MATCH($B226,'قائمة الوحدات'!$A$2:$A$41,0)),"")</f>
        <v>EXE</v>
      </c>
      <c r="D226" s="14" t="str">
        <f>IFERROR(INDEX('قائمة الوحدات'!$C$2:$C$41,MATCH($B226,'قائمة الوحدات'!$A$2:$A$41,0)),"")</f>
        <v>الشؤون التنفيذية</v>
      </c>
      <c r="E226" s="14" t="str">
        <f>IFERROR(INDEX('قائمة الوحدات'!$D$2:$D$41,MATCH($B226,'قائمة الوحدات'!$A$2:$A$41,0)),"")</f>
        <v>وكالة الخدمات المساندة</v>
      </c>
      <c r="F226" s="14" t="str">
        <f>IFERROR(INDEX('قائمة الوحدات'!$F$2:$F$41,MATCH($B226,'قائمة الوحدات'!$A$2:$A$41,0)),"")</f>
        <v>الإدارة العامة للموارد البشرية</v>
      </c>
      <c r="G226" s="16" t="s">
        <v>61</v>
      </c>
      <c r="H226" s="14" t="str">
        <f>IFERROR(INDEX(المرجع!$A$2:$A$19,MATCH($G226,المرجع!$B$2:$B$19,0)),"")</f>
        <v>البناء المؤسسي</v>
      </c>
      <c r="I226" s="16" t="s">
        <v>51</v>
      </c>
      <c r="J226" s="14" t="str">
        <f>IFERROR(INDEX(المرجع!$D$2:$D$19,MATCH($I226,المرجع!$E$2:$E$19,0)),"")</f>
        <v>الحوكمة</v>
      </c>
      <c r="K226" s="15">
        <f>IFERROR(INDEX(المرجع!$F$2:$F$19,MATCH($I226,المرجع!$E$2:$E$19,0)),"")</f>
        <v>3</v>
      </c>
      <c r="L226" s="15">
        <f>SUMIFS(المرجع!$H$2:$H$19,المرجع!$B$2:$B$19,$G226,المرجع!$E$2:$E$19,$I226)</f>
        <v>3</v>
      </c>
      <c r="M226" s="15">
        <f>COUNTIFS('المرتبطة بسمو الوزير'!$B$2:$B$151,$B226,'المرتبطة بسمو الوزير'!$G$2:$G$151,$G226,'المرتبطة بسمو الوزير'!$I$2:$I$151,$I226,'المرتبطة بسمو الوزير'!$M$2:$M$151,"&lt;&gt;")+COUNTIFS('الشؤون التنفيذية'!$B$2:$B$421,$B226,'الشؤون التنفيذية'!$G$2:$G$421,$G226,'الشؤون التنفيذية'!$I$2:$I$421,$I226,'الشؤون التنفيذية'!$N$2:$N$421,"&lt;&gt;")+COUNTIFS('الجهاز العسكري'!$B$2:$B$631,$B226,'الجهاز العسكري'!$G$2:$G$631,$G226,'الجهاز العسكري'!$I$2:$I$631,$I226,'الجهاز العسكري'!$M$2:$M$631,"&lt;&gt;")</f>
        <v>3</v>
      </c>
      <c r="N226" s="19">
        <f>IF($L226=0,0,ROUND((SUMIFS('المرتبطة بسمو الوزير'!$M$2:$M$151,'المرتبطة بسمو الوزير'!$B$2:$B$151,$B226,'المرتبطة بسمو الوزير'!$G$2:$G$151,$G226,'المرتبطة بسمو الوزير'!$I$2:$I$151,$I226)+SUMIFS('الشؤون التنفيذية'!$N$2:$N$421,'الشؤون التنفيذية'!$B$2:$B$421,$B226,'الشؤون التنفيذية'!$G$2:$G$421,$G226,'الشؤون التنفيذية'!$I$2:$I$421,$I226)+SUMIFS('الجهاز العسكري'!$M$2:$M$631,'الجهاز العسكري'!$B$2:$B$631,$B226,'الجهاز العسكري'!$G$2:$G$631,$G226,'الجهاز العسكري'!$I$2:$I$631,$I226))/$L226,0))</f>
        <v>72</v>
      </c>
      <c r="O226" s="18"/>
      <c r="P226" s="15">
        <f>SUMIFS(المرجع!$G$2:$G$19,المرجع!$B$2:$B$19,$G226,المرجع!$E$2:$E$19,$I226)</f>
        <v>15</v>
      </c>
      <c r="Q226" s="20">
        <f t="shared" si="4"/>
        <v>10.8</v>
      </c>
      <c r="R226" s="21" t="str">
        <f>IF($N226&gt;المرجع!$K$3,"متقدم",IF($N226&lt;=المرجع!$K$2,"أولي","جزئي"))</f>
        <v>متقدم</v>
      </c>
    </row>
    <row r="227" spans="1:18">
      <c r="A227" s="16" t="s">
        <v>1667</v>
      </c>
      <c r="B227" s="16" t="s">
        <v>172</v>
      </c>
      <c r="C227" s="15" t="str">
        <f>IFERROR(INDEX('قائمة الوحدات'!$B$2:$B$41,MATCH($B227,'قائمة الوحدات'!$A$2:$A$41,0)),"")</f>
        <v>EXE</v>
      </c>
      <c r="D227" s="14" t="str">
        <f>IFERROR(INDEX('قائمة الوحدات'!$C$2:$C$41,MATCH($B227,'قائمة الوحدات'!$A$2:$A$41,0)),"")</f>
        <v>الشؤون التنفيذية</v>
      </c>
      <c r="E227" s="14" t="str">
        <f>IFERROR(INDEX('قائمة الوحدات'!$D$2:$D$41,MATCH($B227,'قائمة الوحدات'!$A$2:$A$41,0)),"")</f>
        <v>وكالة الخدمات المساندة</v>
      </c>
      <c r="F227" s="14" t="str">
        <f>IFERROR(INDEX('قائمة الوحدات'!$F$2:$F$41,MATCH($B227,'قائمة الوحدات'!$A$2:$A$41,0)),"")</f>
        <v>الإدارة العامة للموارد البشرية</v>
      </c>
      <c r="G227" s="16" t="s">
        <v>61</v>
      </c>
      <c r="H227" s="14" t="str">
        <f>IFERROR(INDEX(المرجع!$A$2:$A$19,MATCH($G227,المرجع!$B$2:$B$19,0)),"")</f>
        <v>البناء المؤسسي</v>
      </c>
      <c r="I227" s="16" t="s">
        <v>54</v>
      </c>
      <c r="J227" s="14" t="str">
        <f>IFERROR(INDEX(المرجع!$D$2:$D$19,MATCH($I227,المرجع!$E$2:$E$19,0)),"")</f>
        <v>التنظيم</v>
      </c>
      <c r="K227" s="15">
        <f>IFERROR(INDEX(المرجع!$F$2:$F$19,MATCH($I227,المرجع!$E$2:$E$19,0)),"")</f>
        <v>4</v>
      </c>
      <c r="L227" s="15">
        <f>SUMIFS(المرجع!$H$2:$H$19,المرجع!$B$2:$B$19,$G227,المرجع!$E$2:$E$19,$I227)</f>
        <v>3</v>
      </c>
      <c r="M227" s="15">
        <f>COUNTIFS('المرتبطة بسمو الوزير'!$B$2:$B$151,$B227,'المرتبطة بسمو الوزير'!$G$2:$G$151,$G227,'المرتبطة بسمو الوزير'!$I$2:$I$151,$I227,'المرتبطة بسمو الوزير'!$M$2:$M$151,"&lt;&gt;")+COUNTIFS('الشؤون التنفيذية'!$B$2:$B$421,$B227,'الشؤون التنفيذية'!$G$2:$G$421,$G227,'الشؤون التنفيذية'!$I$2:$I$421,$I227,'الشؤون التنفيذية'!$N$2:$N$421,"&lt;&gt;")+COUNTIFS('الجهاز العسكري'!$B$2:$B$631,$B227,'الجهاز العسكري'!$G$2:$G$631,$G227,'الجهاز العسكري'!$I$2:$I$631,$I227,'الجهاز العسكري'!$M$2:$M$631,"&lt;&gt;")</f>
        <v>3</v>
      </c>
      <c r="N227" s="19">
        <f>IF($L227=0,0,ROUND((SUMIFS('المرتبطة بسمو الوزير'!$M$2:$M$151,'المرتبطة بسمو الوزير'!$B$2:$B$151,$B227,'المرتبطة بسمو الوزير'!$G$2:$G$151,$G227,'المرتبطة بسمو الوزير'!$I$2:$I$151,$I227)+SUMIFS('الشؤون التنفيذية'!$N$2:$N$421,'الشؤون التنفيذية'!$B$2:$B$421,$B227,'الشؤون التنفيذية'!$G$2:$G$421,$G227,'الشؤون التنفيذية'!$I$2:$I$421,$I227)+SUMIFS('الجهاز العسكري'!$M$2:$M$631,'الجهاز العسكري'!$B$2:$B$631,$B227,'الجهاز العسكري'!$G$2:$G$631,$G227,'الجهاز العسكري'!$I$2:$I$631,$I227))/$L227,0))</f>
        <v>77</v>
      </c>
      <c r="O227" s="18"/>
      <c r="P227" s="15">
        <f>SUMIFS(المرجع!$G$2:$G$19,المرجع!$B$2:$B$19,$G227,المرجع!$E$2:$E$19,$I227)</f>
        <v>20</v>
      </c>
      <c r="Q227" s="20">
        <f t="shared" si="4"/>
        <v>15.4</v>
      </c>
      <c r="R227" s="21" t="str">
        <f>IF($N227&gt;المرجع!$K$3,"متقدم",IF($N227&lt;=المرجع!$K$2,"أولي","جزئي"))</f>
        <v>متقدم</v>
      </c>
    </row>
    <row r="228" spans="1:18">
      <c r="A228" s="16" t="s">
        <v>1668</v>
      </c>
      <c r="B228" s="16" t="s">
        <v>172</v>
      </c>
      <c r="C228" s="15" t="str">
        <f>IFERROR(INDEX('قائمة الوحدات'!$B$2:$B$41,MATCH($B228,'قائمة الوحدات'!$A$2:$A$41,0)),"")</f>
        <v>EXE</v>
      </c>
      <c r="D228" s="14" t="str">
        <f>IFERROR(INDEX('قائمة الوحدات'!$C$2:$C$41,MATCH($B228,'قائمة الوحدات'!$A$2:$A$41,0)),"")</f>
        <v>الشؤون التنفيذية</v>
      </c>
      <c r="E228" s="14" t="str">
        <f>IFERROR(INDEX('قائمة الوحدات'!$D$2:$D$41,MATCH($B228,'قائمة الوحدات'!$A$2:$A$41,0)),"")</f>
        <v>وكالة الخدمات المساندة</v>
      </c>
      <c r="F228" s="14" t="str">
        <f>IFERROR(INDEX('قائمة الوحدات'!$F$2:$F$41,MATCH($B228,'قائمة الوحدات'!$A$2:$A$41,0)),"")</f>
        <v>الإدارة العامة للموارد البشرية</v>
      </c>
      <c r="G228" s="16" t="s">
        <v>61</v>
      </c>
      <c r="H228" s="14" t="str">
        <f>IFERROR(INDEX(المرجع!$A$2:$A$19,MATCH($G228,المرجع!$B$2:$B$19,0)),"")</f>
        <v>البناء المؤسسي</v>
      </c>
      <c r="I228" s="16" t="s">
        <v>56</v>
      </c>
      <c r="J228" s="14" t="str">
        <f>IFERROR(INDEX(المرجع!$D$2:$D$19,MATCH($I228,المرجع!$E$2:$E$19,0)),"")</f>
        <v>الموارد</v>
      </c>
      <c r="K228" s="15">
        <f>IFERROR(INDEX(المرجع!$F$2:$F$19,MATCH($I228,المرجع!$E$2:$E$19,0)),"")</f>
        <v>5</v>
      </c>
      <c r="L228" s="15">
        <f>SUMIFS(المرجع!$H$2:$H$19,المرجع!$B$2:$B$19,$G228,المرجع!$E$2:$E$19,$I228)</f>
        <v>4</v>
      </c>
      <c r="M228" s="15">
        <f>COUNTIFS('المرتبطة بسمو الوزير'!$B$2:$B$151,$B228,'المرتبطة بسمو الوزير'!$G$2:$G$151,$G228,'المرتبطة بسمو الوزير'!$I$2:$I$151,$I228,'المرتبطة بسمو الوزير'!$M$2:$M$151,"&lt;&gt;")+COUNTIFS('الشؤون التنفيذية'!$B$2:$B$421,$B228,'الشؤون التنفيذية'!$G$2:$G$421,$G228,'الشؤون التنفيذية'!$I$2:$I$421,$I228,'الشؤون التنفيذية'!$N$2:$N$421,"&lt;&gt;")+COUNTIFS('الجهاز العسكري'!$B$2:$B$631,$B228,'الجهاز العسكري'!$G$2:$G$631,$G228,'الجهاز العسكري'!$I$2:$I$631,$I228,'الجهاز العسكري'!$M$2:$M$631,"&lt;&gt;")</f>
        <v>4</v>
      </c>
      <c r="N228" s="19">
        <f>IF($L228=0,0,ROUND((SUMIFS('المرتبطة بسمو الوزير'!$M$2:$M$151,'المرتبطة بسمو الوزير'!$B$2:$B$151,$B228,'المرتبطة بسمو الوزير'!$G$2:$G$151,$G228,'المرتبطة بسمو الوزير'!$I$2:$I$151,$I228)+SUMIFS('الشؤون التنفيذية'!$N$2:$N$421,'الشؤون التنفيذية'!$B$2:$B$421,$B228,'الشؤون التنفيذية'!$G$2:$G$421,$G228,'الشؤون التنفيذية'!$I$2:$I$421,$I228)+SUMIFS('الجهاز العسكري'!$M$2:$M$631,'الجهاز العسكري'!$B$2:$B$631,$B228,'الجهاز العسكري'!$G$2:$G$631,$G228,'الجهاز العسكري'!$I$2:$I$631,$I228))/$L228,0))</f>
        <v>68</v>
      </c>
      <c r="O228" s="18"/>
      <c r="P228" s="15">
        <f>SUMIFS(المرجع!$G$2:$G$19,المرجع!$B$2:$B$19,$G228,المرجع!$E$2:$E$19,$I228)</f>
        <v>25</v>
      </c>
      <c r="Q228" s="20">
        <f t="shared" si="4"/>
        <v>17</v>
      </c>
      <c r="R228" s="21" t="str">
        <f>IF($N228&gt;المرجع!$K$3,"متقدم",IF($N228&lt;=المرجع!$K$2,"أولي","جزئي"))</f>
        <v>جزئي</v>
      </c>
    </row>
    <row r="229" spans="1:18">
      <c r="A229" s="16" t="s">
        <v>1669</v>
      </c>
      <c r="B229" s="16" t="s">
        <v>172</v>
      </c>
      <c r="C229" s="15" t="str">
        <f>IFERROR(INDEX('قائمة الوحدات'!$B$2:$B$41,MATCH($B229,'قائمة الوحدات'!$A$2:$A$41,0)),"")</f>
        <v>EXE</v>
      </c>
      <c r="D229" s="14" t="str">
        <f>IFERROR(INDEX('قائمة الوحدات'!$C$2:$C$41,MATCH($B229,'قائمة الوحدات'!$A$2:$A$41,0)),"")</f>
        <v>الشؤون التنفيذية</v>
      </c>
      <c r="E229" s="14" t="str">
        <f>IFERROR(INDEX('قائمة الوحدات'!$D$2:$D$41,MATCH($B229,'قائمة الوحدات'!$A$2:$A$41,0)),"")</f>
        <v>وكالة الخدمات المساندة</v>
      </c>
      <c r="F229" s="14" t="str">
        <f>IFERROR(INDEX('قائمة الوحدات'!$F$2:$F$41,MATCH($B229,'قائمة الوحدات'!$A$2:$A$41,0)),"")</f>
        <v>الإدارة العامة للموارد البشرية</v>
      </c>
      <c r="G229" s="16" t="s">
        <v>61</v>
      </c>
      <c r="H229" s="14" t="str">
        <f>IFERROR(INDEX(المرجع!$A$2:$A$19,MATCH($G229,المرجع!$B$2:$B$19,0)),"")</f>
        <v>البناء المؤسسي</v>
      </c>
      <c r="I229" s="16" t="s">
        <v>59</v>
      </c>
      <c r="J229" s="14" t="str">
        <f>IFERROR(INDEX(المرجع!$D$2:$D$19,MATCH($I229,المرجع!$E$2:$E$19,0)),"")</f>
        <v>الإجراءات</v>
      </c>
      <c r="K229" s="15">
        <f>IFERROR(INDEX(المرجع!$F$2:$F$19,MATCH($I229,المرجع!$E$2:$E$19,0)),"")</f>
        <v>6</v>
      </c>
      <c r="L229" s="15">
        <f>SUMIFS(المرجع!$H$2:$H$19,المرجع!$B$2:$B$19,$G229,المرجع!$E$2:$E$19,$I229)</f>
        <v>1</v>
      </c>
      <c r="M229" s="15">
        <f>COUNTIFS('المرتبطة بسمو الوزير'!$B$2:$B$151,$B229,'المرتبطة بسمو الوزير'!$G$2:$G$151,$G229,'المرتبطة بسمو الوزير'!$I$2:$I$151,$I229,'المرتبطة بسمو الوزير'!$M$2:$M$151,"&lt;&gt;")+COUNTIFS('الشؤون التنفيذية'!$B$2:$B$421,$B229,'الشؤون التنفيذية'!$G$2:$G$421,$G229,'الشؤون التنفيذية'!$I$2:$I$421,$I229,'الشؤون التنفيذية'!$N$2:$N$421,"&lt;&gt;")+COUNTIFS('الجهاز العسكري'!$B$2:$B$631,$B229,'الجهاز العسكري'!$G$2:$G$631,$G229,'الجهاز العسكري'!$I$2:$I$631,$I229,'الجهاز العسكري'!$M$2:$M$631,"&lt;&gt;")</f>
        <v>1</v>
      </c>
      <c r="N229" s="19">
        <f>IF($L229=0,0,ROUND((SUMIFS('المرتبطة بسمو الوزير'!$M$2:$M$151,'المرتبطة بسمو الوزير'!$B$2:$B$151,$B229,'المرتبطة بسمو الوزير'!$G$2:$G$151,$G229,'المرتبطة بسمو الوزير'!$I$2:$I$151,$I229)+SUMIFS('الشؤون التنفيذية'!$N$2:$N$421,'الشؤون التنفيذية'!$B$2:$B$421,$B229,'الشؤون التنفيذية'!$G$2:$G$421,$G229,'الشؤون التنفيذية'!$I$2:$I$421,$I229)+SUMIFS('الجهاز العسكري'!$M$2:$M$631,'الجهاز العسكري'!$B$2:$B$631,$B229,'الجهاز العسكري'!$G$2:$G$631,$G229,'الجهاز العسكري'!$I$2:$I$631,$I229))/$L229,0))</f>
        <v>46</v>
      </c>
      <c r="O229" s="18"/>
      <c r="P229" s="15">
        <f>SUMIFS(المرجع!$G$2:$G$19,المرجع!$B$2:$B$19,$G229,المرجع!$E$2:$E$19,$I229)</f>
        <v>5</v>
      </c>
      <c r="Q229" s="20">
        <f t="shared" si="4"/>
        <v>2.2999999999999998</v>
      </c>
      <c r="R229" s="21" t="str">
        <f>IF($N229&gt;المرجع!$K$3,"متقدم",IF($N229&lt;=المرجع!$K$2,"أولي","جزئي"))</f>
        <v>جزئي</v>
      </c>
    </row>
    <row r="230" spans="1:18">
      <c r="A230" s="16" t="s">
        <v>1670</v>
      </c>
      <c r="B230" s="16" t="s">
        <v>172</v>
      </c>
      <c r="C230" s="15" t="str">
        <f>IFERROR(INDEX('قائمة الوحدات'!$B$2:$B$41,MATCH($B230,'قائمة الوحدات'!$A$2:$A$41,0)),"")</f>
        <v>EXE</v>
      </c>
      <c r="D230" s="14" t="str">
        <f>IFERROR(INDEX('قائمة الوحدات'!$C$2:$C$41,MATCH($B230,'قائمة الوحدات'!$A$2:$A$41,0)),"")</f>
        <v>الشؤون التنفيذية</v>
      </c>
      <c r="E230" s="14" t="str">
        <f>IFERROR(INDEX('قائمة الوحدات'!$D$2:$D$41,MATCH($B230,'قائمة الوحدات'!$A$2:$A$41,0)),"")</f>
        <v>وكالة الخدمات المساندة</v>
      </c>
      <c r="F230" s="14" t="str">
        <f>IFERROR(INDEX('قائمة الوحدات'!$F$2:$F$41,MATCH($B230,'قائمة الوحدات'!$A$2:$A$41,0)),"")</f>
        <v>الإدارة العامة للموارد البشرية</v>
      </c>
      <c r="G230" s="16" t="s">
        <v>61</v>
      </c>
      <c r="H230" s="14" t="str">
        <f>IFERROR(INDEX(المرجع!$A$2:$A$19,MATCH($G230,المرجع!$B$2:$B$19,0)),"")</f>
        <v>البناء المؤسسي</v>
      </c>
      <c r="I230" s="16" t="s">
        <v>63</v>
      </c>
      <c r="J230" s="14" t="str">
        <f>IFERROR(INDEX(المرجع!$D$2:$D$19,MATCH($I230,المرجع!$E$2:$E$19,0)),"")</f>
        <v>إنتاج المخرج الأول</v>
      </c>
      <c r="K230" s="15">
        <f>IFERROR(INDEX(المرجع!$F$2:$F$19,MATCH($I230,المرجع!$E$2:$E$19,0)),"")</f>
        <v>7</v>
      </c>
      <c r="L230" s="15">
        <f>SUMIFS(المرجع!$H$2:$H$19,المرجع!$B$2:$B$19,$G230,المرجع!$E$2:$E$19,$I230)</f>
        <v>1</v>
      </c>
      <c r="M230" s="15">
        <f>COUNTIFS('المرتبطة بسمو الوزير'!$B$2:$B$151,$B230,'المرتبطة بسمو الوزير'!$G$2:$G$151,$G230,'المرتبطة بسمو الوزير'!$I$2:$I$151,$I230,'المرتبطة بسمو الوزير'!$M$2:$M$151,"&lt;&gt;")+COUNTIFS('الشؤون التنفيذية'!$B$2:$B$421,$B230,'الشؤون التنفيذية'!$G$2:$G$421,$G230,'الشؤون التنفيذية'!$I$2:$I$421,$I230,'الشؤون التنفيذية'!$N$2:$N$421,"&lt;&gt;")+COUNTIFS('الجهاز العسكري'!$B$2:$B$631,$B230,'الجهاز العسكري'!$G$2:$G$631,$G230,'الجهاز العسكري'!$I$2:$I$631,$I230,'الجهاز العسكري'!$M$2:$M$631,"&lt;&gt;")</f>
        <v>1</v>
      </c>
      <c r="N230" s="19">
        <f>IF($L230=0,0,ROUND((SUMIFS('المرتبطة بسمو الوزير'!$M$2:$M$151,'المرتبطة بسمو الوزير'!$B$2:$B$151,$B230,'المرتبطة بسمو الوزير'!$G$2:$G$151,$G230,'المرتبطة بسمو الوزير'!$I$2:$I$151,$I230)+SUMIFS('الشؤون التنفيذية'!$N$2:$N$421,'الشؤون التنفيذية'!$B$2:$B$421,$B230,'الشؤون التنفيذية'!$G$2:$G$421,$G230,'الشؤون التنفيذية'!$I$2:$I$421,$I230)+SUMIFS('الجهاز العسكري'!$M$2:$M$631,'الجهاز العسكري'!$B$2:$B$631,$B230,'الجهاز العسكري'!$G$2:$G$631,$G230,'الجهاز العسكري'!$I$2:$I$631,$I230))/$L230,0))</f>
        <v>64</v>
      </c>
      <c r="O230" s="18"/>
      <c r="P230" s="15">
        <f>SUMIFS(المرجع!$G$2:$G$19,المرجع!$B$2:$B$19,$G230,المرجع!$E$2:$E$19,$I230)</f>
        <v>5</v>
      </c>
      <c r="Q230" s="20">
        <f t="shared" si="4"/>
        <v>3.2</v>
      </c>
      <c r="R230" s="21" t="str">
        <f>IF($N230&gt;المرجع!$K$3,"متقدم",IF($N230&lt;=المرجع!$K$2,"أولي","جزئي"))</f>
        <v>جزئي</v>
      </c>
    </row>
    <row r="231" spans="1:18">
      <c r="A231" s="16" t="s">
        <v>1671</v>
      </c>
      <c r="B231" s="16" t="s">
        <v>172</v>
      </c>
      <c r="C231" s="15" t="str">
        <f>IFERROR(INDEX('قائمة الوحدات'!$B$2:$B$41,MATCH($B231,'قائمة الوحدات'!$A$2:$A$41,0)),"")</f>
        <v>EXE</v>
      </c>
      <c r="D231" s="14" t="str">
        <f>IFERROR(INDEX('قائمة الوحدات'!$C$2:$C$41,MATCH($B231,'قائمة الوحدات'!$A$2:$A$41,0)),"")</f>
        <v>الشؤون التنفيذية</v>
      </c>
      <c r="E231" s="14" t="str">
        <f>IFERROR(INDEX('قائمة الوحدات'!$D$2:$D$41,MATCH($B231,'قائمة الوحدات'!$A$2:$A$41,0)),"")</f>
        <v>وكالة الخدمات المساندة</v>
      </c>
      <c r="F231" s="14" t="str">
        <f>IFERROR(INDEX('قائمة الوحدات'!$F$2:$F$41,MATCH($B231,'قائمة الوحدات'!$A$2:$A$41,0)),"")</f>
        <v>الإدارة العامة للموارد البشرية</v>
      </c>
      <c r="G231" s="16" t="s">
        <v>65</v>
      </c>
      <c r="H231" s="14" t="str">
        <f>IFERROR(INDEX(المرجع!$A$2:$A$19,MATCH($G231,المرجع!$B$2:$B$19,0)),"")</f>
        <v>التشغيل</v>
      </c>
      <c r="I231" s="16" t="s">
        <v>48</v>
      </c>
      <c r="J231" s="14" t="str">
        <f>IFERROR(INDEX(المرجع!$D$2:$D$19,MATCH($I231,المرجع!$E$2:$E$19,0)),"")</f>
        <v>الأهداف ومؤشرات الأداء</v>
      </c>
      <c r="K231" s="15">
        <f>IFERROR(INDEX(المرجع!$F$2:$F$19,MATCH($I231,المرجع!$E$2:$E$19,0)),"")</f>
        <v>2</v>
      </c>
      <c r="L231" s="15">
        <f>SUMIFS(المرجع!$H$2:$H$19,المرجع!$B$2:$B$19,$G231,المرجع!$E$2:$E$19,$I231)</f>
        <v>2</v>
      </c>
      <c r="M231" s="15">
        <f>COUNTIFS('المرتبطة بسمو الوزير'!$B$2:$B$151,$B231,'المرتبطة بسمو الوزير'!$G$2:$G$151,$G231,'المرتبطة بسمو الوزير'!$I$2:$I$151,$I231,'المرتبطة بسمو الوزير'!$M$2:$M$151,"&lt;&gt;")+COUNTIFS('الشؤون التنفيذية'!$B$2:$B$421,$B231,'الشؤون التنفيذية'!$G$2:$G$421,$G231,'الشؤون التنفيذية'!$I$2:$I$421,$I231,'الشؤون التنفيذية'!$N$2:$N$421,"&lt;&gt;")+COUNTIFS('الجهاز العسكري'!$B$2:$B$631,$B231,'الجهاز العسكري'!$G$2:$G$631,$G231,'الجهاز العسكري'!$I$2:$I$631,$I231,'الجهاز العسكري'!$M$2:$M$631,"&lt;&gt;")</f>
        <v>2</v>
      </c>
      <c r="N231" s="19">
        <f>IF($L231=0,0,ROUND((SUMIFS('المرتبطة بسمو الوزير'!$M$2:$M$151,'المرتبطة بسمو الوزير'!$B$2:$B$151,$B231,'المرتبطة بسمو الوزير'!$G$2:$G$151,$G231,'المرتبطة بسمو الوزير'!$I$2:$I$151,$I231)+SUMIFS('الشؤون التنفيذية'!$N$2:$N$421,'الشؤون التنفيذية'!$B$2:$B$421,$B231,'الشؤون التنفيذية'!$G$2:$G$421,$G231,'الشؤون التنفيذية'!$I$2:$I$421,$I231)+SUMIFS('الجهاز العسكري'!$M$2:$M$631,'الجهاز العسكري'!$B$2:$B$631,$B231,'الجهاز العسكري'!$G$2:$G$631,$G231,'الجهاز العسكري'!$I$2:$I$631,$I231))/$L231,0))</f>
        <v>35</v>
      </c>
      <c r="O231" s="18"/>
      <c r="P231" s="15">
        <f>SUMIFS(المرجع!$G$2:$G$19,المرجع!$B$2:$B$19,$G231,المرجع!$E$2:$E$19,$I231)</f>
        <v>25</v>
      </c>
      <c r="Q231" s="20">
        <f t="shared" si="4"/>
        <v>8.75</v>
      </c>
      <c r="R231" s="21" t="str">
        <f>IF($N231&gt;المرجع!$K$3,"متقدم",IF($N231&lt;=المرجع!$K$2,"أولي","جزئي"))</f>
        <v>جزئي</v>
      </c>
    </row>
    <row r="232" spans="1:18">
      <c r="A232" s="16" t="s">
        <v>1672</v>
      </c>
      <c r="B232" s="16" t="s">
        <v>172</v>
      </c>
      <c r="C232" s="15" t="str">
        <f>IFERROR(INDEX('قائمة الوحدات'!$B$2:$B$41,MATCH($B232,'قائمة الوحدات'!$A$2:$A$41,0)),"")</f>
        <v>EXE</v>
      </c>
      <c r="D232" s="14" t="str">
        <f>IFERROR(INDEX('قائمة الوحدات'!$C$2:$C$41,MATCH($B232,'قائمة الوحدات'!$A$2:$A$41,0)),"")</f>
        <v>الشؤون التنفيذية</v>
      </c>
      <c r="E232" s="14" t="str">
        <f>IFERROR(INDEX('قائمة الوحدات'!$D$2:$D$41,MATCH($B232,'قائمة الوحدات'!$A$2:$A$41,0)),"")</f>
        <v>وكالة الخدمات المساندة</v>
      </c>
      <c r="F232" s="14" t="str">
        <f>IFERROR(INDEX('قائمة الوحدات'!$F$2:$F$41,MATCH($B232,'قائمة الوحدات'!$A$2:$A$41,0)),"")</f>
        <v>الإدارة العامة للموارد البشرية</v>
      </c>
      <c r="G232" s="16" t="s">
        <v>65</v>
      </c>
      <c r="H232" s="14" t="str">
        <f>IFERROR(INDEX(المرجع!$A$2:$A$19,MATCH($G232,المرجع!$B$2:$B$19,0)),"")</f>
        <v>التشغيل</v>
      </c>
      <c r="I232" s="16" t="s">
        <v>51</v>
      </c>
      <c r="J232" s="14" t="str">
        <f>IFERROR(INDEX(المرجع!$D$2:$D$19,MATCH($I232,المرجع!$E$2:$E$19,0)),"")</f>
        <v>الحوكمة</v>
      </c>
      <c r="K232" s="15">
        <f>IFERROR(INDEX(المرجع!$F$2:$F$19,MATCH($I232,المرجع!$E$2:$E$19,0)),"")</f>
        <v>3</v>
      </c>
      <c r="L232" s="15">
        <f>SUMIFS(المرجع!$H$2:$H$19,المرجع!$B$2:$B$19,$G232,المرجع!$E$2:$E$19,$I232)</f>
        <v>3</v>
      </c>
      <c r="M232" s="15">
        <f>COUNTIFS('المرتبطة بسمو الوزير'!$B$2:$B$151,$B232,'المرتبطة بسمو الوزير'!$G$2:$G$151,$G232,'المرتبطة بسمو الوزير'!$I$2:$I$151,$I232,'المرتبطة بسمو الوزير'!$M$2:$M$151,"&lt;&gt;")+COUNTIFS('الشؤون التنفيذية'!$B$2:$B$421,$B232,'الشؤون التنفيذية'!$G$2:$G$421,$G232,'الشؤون التنفيذية'!$I$2:$I$421,$I232,'الشؤون التنفيذية'!$N$2:$N$421,"&lt;&gt;")+COUNTIFS('الجهاز العسكري'!$B$2:$B$631,$B232,'الجهاز العسكري'!$G$2:$G$631,$G232,'الجهاز العسكري'!$I$2:$I$631,$I232,'الجهاز العسكري'!$M$2:$M$631,"&lt;&gt;")</f>
        <v>3</v>
      </c>
      <c r="N232" s="19">
        <f>IF($L232=0,0,ROUND((SUMIFS('المرتبطة بسمو الوزير'!$M$2:$M$151,'المرتبطة بسمو الوزير'!$B$2:$B$151,$B232,'المرتبطة بسمو الوزير'!$G$2:$G$151,$G232,'المرتبطة بسمو الوزير'!$I$2:$I$151,$I232)+SUMIFS('الشؤون التنفيذية'!$N$2:$N$421,'الشؤون التنفيذية'!$B$2:$B$421,$B232,'الشؤون التنفيذية'!$G$2:$G$421,$G232,'الشؤون التنفيذية'!$I$2:$I$421,$I232)+SUMIFS('الجهاز العسكري'!$M$2:$M$631,'الجهاز العسكري'!$B$2:$B$631,$B232,'الجهاز العسكري'!$G$2:$G$631,$G232,'الجهاز العسكري'!$I$2:$I$631,$I232))/$L232,0))</f>
        <v>37</v>
      </c>
      <c r="O232" s="18"/>
      <c r="P232" s="15">
        <f>SUMIFS(المرجع!$G$2:$G$19,المرجع!$B$2:$B$19,$G232,المرجع!$E$2:$E$19,$I232)</f>
        <v>15</v>
      </c>
      <c r="Q232" s="20">
        <f t="shared" si="4"/>
        <v>5.55</v>
      </c>
      <c r="R232" s="21" t="str">
        <f>IF($N232&gt;المرجع!$K$3,"متقدم",IF($N232&lt;=المرجع!$K$2,"أولي","جزئي"))</f>
        <v>جزئي</v>
      </c>
    </row>
    <row r="233" spans="1:18">
      <c r="A233" s="16" t="s">
        <v>1673</v>
      </c>
      <c r="B233" s="16" t="s">
        <v>172</v>
      </c>
      <c r="C233" s="15" t="str">
        <f>IFERROR(INDEX('قائمة الوحدات'!$B$2:$B$41,MATCH($B233,'قائمة الوحدات'!$A$2:$A$41,0)),"")</f>
        <v>EXE</v>
      </c>
      <c r="D233" s="14" t="str">
        <f>IFERROR(INDEX('قائمة الوحدات'!$C$2:$C$41,MATCH($B233,'قائمة الوحدات'!$A$2:$A$41,0)),"")</f>
        <v>الشؤون التنفيذية</v>
      </c>
      <c r="E233" s="14" t="str">
        <f>IFERROR(INDEX('قائمة الوحدات'!$D$2:$D$41,MATCH($B233,'قائمة الوحدات'!$A$2:$A$41,0)),"")</f>
        <v>وكالة الخدمات المساندة</v>
      </c>
      <c r="F233" s="14" t="str">
        <f>IFERROR(INDEX('قائمة الوحدات'!$F$2:$F$41,MATCH($B233,'قائمة الوحدات'!$A$2:$A$41,0)),"")</f>
        <v>الإدارة العامة للموارد البشرية</v>
      </c>
      <c r="G233" s="16" t="s">
        <v>65</v>
      </c>
      <c r="H233" s="14" t="str">
        <f>IFERROR(INDEX(المرجع!$A$2:$A$19,MATCH($G233,المرجع!$B$2:$B$19,0)),"")</f>
        <v>التشغيل</v>
      </c>
      <c r="I233" s="16" t="s">
        <v>56</v>
      </c>
      <c r="J233" s="14" t="str">
        <f>IFERROR(INDEX(المرجع!$D$2:$D$19,MATCH($I233,المرجع!$E$2:$E$19,0)),"")</f>
        <v>الموارد</v>
      </c>
      <c r="K233" s="15">
        <f>IFERROR(INDEX(المرجع!$F$2:$F$19,MATCH($I233,المرجع!$E$2:$E$19,0)),"")</f>
        <v>5</v>
      </c>
      <c r="L233" s="15">
        <f>SUMIFS(المرجع!$H$2:$H$19,المرجع!$B$2:$B$19,$G233,المرجع!$E$2:$E$19,$I233)</f>
        <v>1</v>
      </c>
      <c r="M233" s="15">
        <f>COUNTIFS('المرتبطة بسمو الوزير'!$B$2:$B$151,$B233,'المرتبطة بسمو الوزير'!$G$2:$G$151,$G233,'المرتبطة بسمو الوزير'!$I$2:$I$151,$I233,'المرتبطة بسمو الوزير'!$M$2:$M$151,"&lt;&gt;")+COUNTIFS('الشؤون التنفيذية'!$B$2:$B$421,$B233,'الشؤون التنفيذية'!$G$2:$G$421,$G233,'الشؤون التنفيذية'!$I$2:$I$421,$I233,'الشؤون التنفيذية'!$N$2:$N$421,"&lt;&gt;")+COUNTIFS('الجهاز العسكري'!$B$2:$B$631,$B233,'الجهاز العسكري'!$G$2:$G$631,$G233,'الجهاز العسكري'!$I$2:$I$631,$I233,'الجهاز العسكري'!$M$2:$M$631,"&lt;&gt;")</f>
        <v>1</v>
      </c>
      <c r="N233" s="19">
        <f>IF($L233=0,0,ROUND((SUMIFS('المرتبطة بسمو الوزير'!$M$2:$M$151,'المرتبطة بسمو الوزير'!$B$2:$B$151,$B233,'المرتبطة بسمو الوزير'!$G$2:$G$151,$G233,'المرتبطة بسمو الوزير'!$I$2:$I$151,$I233)+SUMIFS('الشؤون التنفيذية'!$N$2:$N$421,'الشؤون التنفيذية'!$B$2:$B$421,$B233,'الشؤون التنفيذية'!$G$2:$G$421,$G233,'الشؤون التنفيذية'!$I$2:$I$421,$I233)+SUMIFS('الجهاز العسكري'!$M$2:$M$631,'الجهاز العسكري'!$B$2:$B$631,$B233,'الجهاز العسكري'!$G$2:$G$631,$G233,'الجهاز العسكري'!$I$2:$I$631,$I233))/$L233,0))</f>
        <v>50</v>
      </c>
      <c r="O233" s="18"/>
      <c r="P233" s="15">
        <f>SUMIFS(المرجع!$G$2:$G$19,المرجع!$B$2:$B$19,$G233,المرجع!$E$2:$E$19,$I233)</f>
        <v>15</v>
      </c>
      <c r="Q233" s="20">
        <f t="shared" si="4"/>
        <v>7.5</v>
      </c>
      <c r="R233" s="21" t="str">
        <f>IF($N233&gt;المرجع!$K$3,"متقدم",IF($N233&lt;=المرجع!$K$2,"أولي","جزئي"))</f>
        <v>جزئي</v>
      </c>
    </row>
    <row r="234" spans="1:18">
      <c r="A234" s="16" t="s">
        <v>1674</v>
      </c>
      <c r="B234" s="16" t="s">
        <v>172</v>
      </c>
      <c r="C234" s="15" t="str">
        <f>IFERROR(INDEX('قائمة الوحدات'!$B$2:$B$41,MATCH($B234,'قائمة الوحدات'!$A$2:$A$41,0)),"")</f>
        <v>EXE</v>
      </c>
      <c r="D234" s="14" t="str">
        <f>IFERROR(INDEX('قائمة الوحدات'!$C$2:$C$41,MATCH($B234,'قائمة الوحدات'!$A$2:$A$41,0)),"")</f>
        <v>الشؤون التنفيذية</v>
      </c>
      <c r="E234" s="14" t="str">
        <f>IFERROR(INDEX('قائمة الوحدات'!$D$2:$D$41,MATCH($B234,'قائمة الوحدات'!$A$2:$A$41,0)),"")</f>
        <v>وكالة الخدمات المساندة</v>
      </c>
      <c r="F234" s="14" t="str">
        <f>IFERROR(INDEX('قائمة الوحدات'!$F$2:$F$41,MATCH($B234,'قائمة الوحدات'!$A$2:$A$41,0)),"")</f>
        <v>الإدارة العامة للموارد البشرية</v>
      </c>
      <c r="G234" s="16" t="s">
        <v>65</v>
      </c>
      <c r="H234" s="14" t="str">
        <f>IFERROR(INDEX(المرجع!$A$2:$A$19,MATCH($G234,المرجع!$B$2:$B$19,0)),"")</f>
        <v>التشغيل</v>
      </c>
      <c r="I234" s="16" t="s">
        <v>59</v>
      </c>
      <c r="J234" s="14" t="str">
        <f>IFERROR(INDEX(المرجع!$D$2:$D$19,MATCH($I234,المرجع!$E$2:$E$19,0)),"")</f>
        <v>الإجراءات</v>
      </c>
      <c r="K234" s="15">
        <f>IFERROR(INDEX(المرجع!$F$2:$F$19,MATCH($I234,المرجع!$E$2:$E$19,0)),"")</f>
        <v>6</v>
      </c>
      <c r="L234" s="15">
        <f>SUMIFS(المرجع!$H$2:$H$19,المرجع!$B$2:$B$19,$G234,المرجع!$E$2:$E$19,$I234)</f>
        <v>1</v>
      </c>
      <c r="M234" s="15">
        <f>COUNTIFS('المرتبطة بسمو الوزير'!$B$2:$B$151,$B234,'المرتبطة بسمو الوزير'!$G$2:$G$151,$G234,'المرتبطة بسمو الوزير'!$I$2:$I$151,$I234,'المرتبطة بسمو الوزير'!$M$2:$M$151,"&lt;&gt;")+COUNTIFS('الشؤون التنفيذية'!$B$2:$B$421,$B234,'الشؤون التنفيذية'!$G$2:$G$421,$G234,'الشؤون التنفيذية'!$I$2:$I$421,$I234,'الشؤون التنفيذية'!$N$2:$N$421,"&lt;&gt;")+COUNTIFS('الجهاز العسكري'!$B$2:$B$631,$B234,'الجهاز العسكري'!$G$2:$G$631,$G234,'الجهاز العسكري'!$I$2:$I$631,$I234,'الجهاز العسكري'!$M$2:$M$631,"&lt;&gt;")</f>
        <v>1</v>
      </c>
      <c r="N234" s="19">
        <f>IF($L234=0,0,ROUND((SUMIFS('المرتبطة بسمو الوزير'!$M$2:$M$151,'المرتبطة بسمو الوزير'!$B$2:$B$151,$B234,'المرتبطة بسمو الوزير'!$G$2:$G$151,$G234,'المرتبطة بسمو الوزير'!$I$2:$I$151,$I234)+SUMIFS('الشؤون التنفيذية'!$N$2:$N$421,'الشؤون التنفيذية'!$B$2:$B$421,$B234,'الشؤون التنفيذية'!$G$2:$G$421,$G234,'الشؤون التنفيذية'!$I$2:$I$421,$I234)+SUMIFS('الجهاز العسكري'!$M$2:$M$631,'الجهاز العسكري'!$B$2:$B$631,$B234,'الجهاز العسكري'!$G$2:$G$631,$G234,'الجهاز العسكري'!$I$2:$I$631,$I234))/$L234,0))</f>
        <v>60</v>
      </c>
      <c r="O234" s="18"/>
      <c r="P234" s="15">
        <f>SUMIFS(المرجع!$G$2:$G$19,المرجع!$B$2:$B$19,$G234,المرجع!$E$2:$E$19,$I234)</f>
        <v>15</v>
      </c>
      <c r="Q234" s="20">
        <f t="shared" si="4"/>
        <v>9</v>
      </c>
      <c r="R234" s="21" t="str">
        <f>IF($N234&gt;المرجع!$K$3,"متقدم",IF($N234&lt;=المرجع!$K$2,"أولي","جزئي"))</f>
        <v>جزئي</v>
      </c>
    </row>
    <row r="235" spans="1:18">
      <c r="A235" s="16" t="s">
        <v>1675</v>
      </c>
      <c r="B235" s="16" t="s">
        <v>172</v>
      </c>
      <c r="C235" s="15" t="str">
        <f>IFERROR(INDEX('قائمة الوحدات'!$B$2:$B$41,MATCH($B235,'قائمة الوحدات'!$A$2:$A$41,0)),"")</f>
        <v>EXE</v>
      </c>
      <c r="D235" s="14" t="str">
        <f>IFERROR(INDEX('قائمة الوحدات'!$C$2:$C$41,MATCH($B235,'قائمة الوحدات'!$A$2:$A$41,0)),"")</f>
        <v>الشؤون التنفيذية</v>
      </c>
      <c r="E235" s="14" t="str">
        <f>IFERROR(INDEX('قائمة الوحدات'!$D$2:$D$41,MATCH($B235,'قائمة الوحدات'!$A$2:$A$41,0)),"")</f>
        <v>وكالة الخدمات المساندة</v>
      </c>
      <c r="F235" s="14" t="str">
        <f>IFERROR(INDEX('قائمة الوحدات'!$F$2:$F$41,MATCH($B235,'قائمة الوحدات'!$A$2:$A$41,0)),"")</f>
        <v>الإدارة العامة للموارد البشرية</v>
      </c>
      <c r="G235" s="16" t="s">
        <v>65</v>
      </c>
      <c r="H235" s="14" t="str">
        <f>IFERROR(INDEX(المرجع!$A$2:$A$19,MATCH($G235,المرجع!$B$2:$B$19,0)),"")</f>
        <v>التشغيل</v>
      </c>
      <c r="I235" s="16" t="s">
        <v>67</v>
      </c>
      <c r="J235" s="14" t="str">
        <f>IFERROR(INDEX(المرجع!$D$2:$D$19,MATCH($I235,المرجع!$E$2:$E$19,0)),"")</f>
        <v>اكتمال المخرجات المستهدفة</v>
      </c>
      <c r="K235" s="15">
        <f>IFERROR(INDEX(المرجع!$F$2:$F$19,MATCH($I235,المرجع!$E$2:$E$19,0)),"")</f>
        <v>8</v>
      </c>
      <c r="L235" s="15">
        <f>SUMIFS(المرجع!$H$2:$H$19,المرجع!$B$2:$B$19,$G235,المرجع!$E$2:$E$19,$I235)</f>
        <v>1</v>
      </c>
      <c r="M235" s="15">
        <f>COUNTIFS('المرتبطة بسمو الوزير'!$B$2:$B$151,$B235,'المرتبطة بسمو الوزير'!$G$2:$G$151,$G235,'المرتبطة بسمو الوزير'!$I$2:$I$151,$I235,'المرتبطة بسمو الوزير'!$M$2:$M$151,"&lt;&gt;")+COUNTIFS('الشؤون التنفيذية'!$B$2:$B$421,$B235,'الشؤون التنفيذية'!$G$2:$G$421,$G235,'الشؤون التنفيذية'!$I$2:$I$421,$I235,'الشؤون التنفيذية'!$N$2:$N$421,"&lt;&gt;")+COUNTIFS('الجهاز العسكري'!$B$2:$B$631,$B235,'الجهاز العسكري'!$G$2:$G$631,$G235,'الجهاز العسكري'!$I$2:$I$631,$I235,'الجهاز العسكري'!$M$2:$M$631,"&lt;&gt;")</f>
        <v>1</v>
      </c>
      <c r="N235" s="19">
        <f>IF($L235=0,0,ROUND((SUMIFS('المرتبطة بسمو الوزير'!$M$2:$M$151,'المرتبطة بسمو الوزير'!$B$2:$B$151,$B235,'المرتبطة بسمو الوزير'!$G$2:$G$151,$G235,'المرتبطة بسمو الوزير'!$I$2:$I$151,$I235)+SUMIFS('الشؤون التنفيذية'!$N$2:$N$421,'الشؤون التنفيذية'!$B$2:$B$421,$B235,'الشؤون التنفيذية'!$G$2:$G$421,$G235,'الشؤون التنفيذية'!$I$2:$I$421,$I235)+SUMIFS('الجهاز العسكري'!$M$2:$M$631,'الجهاز العسكري'!$B$2:$B$631,$B235,'الجهاز العسكري'!$G$2:$G$631,$G235,'الجهاز العسكري'!$I$2:$I$631,$I235))/$L235,0))</f>
        <v>31</v>
      </c>
      <c r="O235" s="18"/>
      <c r="P235" s="15">
        <f>SUMIFS(المرجع!$G$2:$G$19,المرجع!$B$2:$B$19,$G235,المرجع!$E$2:$E$19,$I235)</f>
        <v>30</v>
      </c>
      <c r="Q235" s="20">
        <f t="shared" si="4"/>
        <v>9.3000000000000007</v>
      </c>
      <c r="R235" s="21" t="str">
        <f>IF($N235&gt;المرجع!$K$3,"متقدم",IF($N235&lt;=المرجع!$K$2,"أولي","جزئي"))</f>
        <v>جزئي</v>
      </c>
    </row>
    <row r="236" spans="1:18">
      <c r="A236" s="16" t="s">
        <v>1676</v>
      </c>
      <c r="B236" s="16" t="s">
        <v>175</v>
      </c>
      <c r="C236" s="15" t="str">
        <f>IFERROR(INDEX('قائمة الوحدات'!$B$2:$B$41,MATCH($B236,'قائمة الوحدات'!$A$2:$A$41,0)),"")</f>
        <v>EXE</v>
      </c>
      <c r="D236" s="14" t="str">
        <f>IFERROR(INDEX('قائمة الوحدات'!$C$2:$C$41,MATCH($B236,'قائمة الوحدات'!$A$2:$A$41,0)),"")</f>
        <v>الشؤون التنفيذية</v>
      </c>
      <c r="E236" s="14" t="str">
        <f>IFERROR(INDEX('قائمة الوحدات'!$D$2:$D$41,MATCH($B236,'قائمة الوحدات'!$A$2:$A$41,0)),"")</f>
        <v>وكالة الخدمات المساندة</v>
      </c>
      <c r="F236" s="14" t="str">
        <f>IFERROR(INDEX('قائمة الوحدات'!$F$2:$F$41,MATCH($B236,'قائمة الوحدات'!$A$2:$A$41,0)),"")</f>
        <v>الإدارة العامة للشؤون المالية</v>
      </c>
      <c r="G236" s="16" t="s">
        <v>43</v>
      </c>
      <c r="H236" s="14" t="str">
        <f>IFERROR(INDEX(المرجع!$A$2:$A$19,MATCH($G236,المرجع!$B$2:$B$19,0)),"")</f>
        <v>التصميم</v>
      </c>
      <c r="I236" s="16" t="s">
        <v>45</v>
      </c>
      <c r="J236" s="14" t="str">
        <f>IFERROR(INDEX(المرجع!$D$2:$D$19,MATCH($I236,المرجع!$E$2:$E$19,0)),"")</f>
        <v>الدور</v>
      </c>
      <c r="K236" s="15">
        <f>IFERROR(INDEX(المرجع!$F$2:$F$19,MATCH($I236,المرجع!$E$2:$E$19,0)),"")</f>
        <v>1</v>
      </c>
      <c r="L236" s="15">
        <f>SUMIFS(المرجع!$H$2:$H$19,المرجع!$B$2:$B$19,$G236,المرجع!$E$2:$E$19,$I236)</f>
        <v>1</v>
      </c>
      <c r="M236" s="15">
        <f>COUNTIFS('المرتبطة بسمو الوزير'!$B$2:$B$151,$B236,'المرتبطة بسمو الوزير'!$G$2:$G$151,$G236,'المرتبطة بسمو الوزير'!$I$2:$I$151,$I236,'المرتبطة بسمو الوزير'!$M$2:$M$151,"&lt;&gt;")+COUNTIFS('الشؤون التنفيذية'!$B$2:$B$421,$B236,'الشؤون التنفيذية'!$G$2:$G$421,$G236,'الشؤون التنفيذية'!$I$2:$I$421,$I236,'الشؤون التنفيذية'!$N$2:$N$421,"&lt;&gt;")+COUNTIFS('الجهاز العسكري'!$B$2:$B$631,$B236,'الجهاز العسكري'!$G$2:$G$631,$G236,'الجهاز العسكري'!$I$2:$I$631,$I236,'الجهاز العسكري'!$M$2:$M$631,"&lt;&gt;")</f>
        <v>1</v>
      </c>
      <c r="N236" s="19">
        <f>IF($L236=0,0,ROUND((SUMIFS('المرتبطة بسمو الوزير'!$M$2:$M$151,'المرتبطة بسمو الوزير'!$B$2:$B$151,$B236,'المرتبطة بسمو الوزير'!$G$2:$G$151,$G236,'المرتبطة بسمو الوزير'!$I$2:$I$151,$I236)+SUMIFS('الشؤون التنفيذية'!$N$2:$N$421,'الشؤون التنفيذية'!$B$2:$B$421,$B236,'الشؤون التنفيذية'!$G$2:$G$421,$G236,'الشؤون التنفيذية'!$I$2:$I$421,$I236)+SUMIFS('الجهاز العسكري'!$M$2:$M$631,'الجهاز العسكري'!$B$2:$B$631,$B236,'الجهاز العسكري'!$G$2:$G$631,$G236,'الجهاز العسكري'!$I$2:$I$631,$I236))/$L236,0))</f>
        <v>70</v>
      </c>
      <c r="O236" s="18"/>
      <c r="P236" s="15">
        <f>SUMIFS(المرجع!$G$2:$G$19,المرجع!$B$2:$B$19,$G236,المرجع!$E$2:$E$19,$I236)</f>
        <v>25</v>
      </c>
      <c r="Q236" s="20">
        <f t="shared" si="4"/>
        <v>17.5</v>
      </c>
      <c r="R236" s="21" t="str">
        <f>IF($N236&gt;المرجع!$K$3,"متقدم",IF($N236&lt;=المرجع!$K$2,"أولي","جزئي"))</f>
        <v>جزئي</v>
      </c>
    </row>
    <row r="237" spans="1:18">
      <c r="A237" s="16" t="s">
        <v>1677</v>
      </c>
      <c r="B237" s="16" t="s">
        <v>175</v>
      </c>
      <c r="C237" s="15" t="str">
        <f>IFERROR(INDEX('قائمة الوحدات'!$B$2:$B$41,MATCH($B237,'قائمة الوحدات'!$A$2:$A$41,0)),"")</f>
        <v>EXE</v>
      </c>
      <c r="D237" s="14" t="str">
        <f>IFERROR(INDEX('قائمة الوحدات'!$C$2:$C$41,MATCH($B237,'قائمة الوحدات'!$A$2:$A$41,0)),"")</f>
        <v>الشؤون التنفيذية</v>
      </c>
      <c r="E237" s="14" t="str">
        <f>IFERROR(INDEX('قائمة الوحدات'!$D$2:$D$41,MATCH($B237,'قائمة الوحدات'!$A$2:$A$41,0)),"")</f>
        <v>وكالة الخدمات المساندة</v>
      </c>
      <c r="F237" s="14" t="str">
        <f>IFERROR(INDEX('قائمة الوحدات'!$F$2:$F$41,MATCH($B237,'قائمة الوحدات'!$A$2:$A$41,0)),"")</f>
        <v>الإدارة العامة للشؤون المالية</v>
      </c>
      <c r="G237" s="16" t="s">
        <v>43</v>
      </c>
      <c r="H237" s="14" t="str">
        <f>IFERROR(INDEX(المرجع!$A$2:$A$19,MATCH($G237,المرجع!$B$2:$B$19,0)),"")</f>
        <v>التصميم</v>
      </c>
      <c r="I237" s="16" t="s">
        <v>48</v>
      </c>
      <c r="J237" s="14" t="str">
        <f>IFERROR(INDEX(المرجع!$D$2:$D$19,MATCH($I237,المرجع!$E$2:$E$19,0)),"")</f>
        <v>الأهداف ومؤشرات الأداء</v>
      </c>
      <c r="K237" s="15">
        <f>IFERROR(INDEX(المرجع!$F$2:$F$19,MATCH($I237,المرجع!$E$2:$E$19,0)),"")</f>
        <v>2</v>
      </c>
      <c r="L237" s="15">
        <f>SUMIFS(المرجع!$H$2:$H$19,المرجع!$B$2:$B$19,$G237,المرجع!$E$2:$E$19,$I237)</f>
        <v>2</v>
      </c>
      <c r="M237" s="15">
        <f>COUNTIFS('المرتبطة بسمو الوزير'!$B$2:$B$151,$B237,'المرتبطة بسمو الوزير'!$G$2:$G$151,$G237,'المرتبطة بسمو الوزير'!$I$2:$I$151,$I237,'المرتبطة بسمو الوزير'!$M$2:$M$151,"&lt;&gt;")+COUNTIFS('الشؤون التنفيذية'!$B$2:$B$421,$B237,'الشؤون التنفيذية'!$G$2:$G$421,$G237,'الشؤون التنفيذية'!$I$2:$I$421,$I237,'الشؤون التنفيذية'!$N$2:$N$421,"&lt;&gt;")+COUNTIFS('الجهاز العسكري'!$B$2:$B$631,$B237,'الجهاز العسكري'!$G$2:$G$631,$G237,'الجهاز العسكري'!$I$2:$I$631,$I237,'الجهاز العسكري'!$M$2:$M$631,"&lt;&gt;")</f>
        <v>2</v>
      </c>
      <c r="N237" s="19">
        <f>IF($L237=0,0,ROUND((SUMIFS('المرتبطة بسمو الوزير'!$M$2:$M$151,'المرتبطة بسمو الوزير'!$B$2:$B$151,$B237,'المرتبطة بسمو الوزير'!$G$2:$G$151,$G237,'المرتبطة بسمو الوزير'!$I$2:$I$151,$I237)+SUMIFS('الشؤون التنفيذية'!$N$2:$N$421,'الشؤون التنفيذية'!$B$2:$B$421,$B237,'الشؤون التنفيذية'!$G$2:$G$421,$G237,'الشؤون التنفيذية'!$I$2:$I$421,$I237)+SUMIFS('الجهاز العسكري'!$M$2:$M$631,'الجهاز العسكري'!$B$2:$B$631,$B237,'الجهاز العسكري'!$G$2:$G$631,$G237,'الجهاز العسكري'!$I$2:$I$631,$I237))/$L237,0))</f>
        <v>83</v>
      </c>
      <c r="O237" s="18"/>
      <c r="P237" s="15">
        <f>SUMIFS(المرجع!$G$2:$G$19,المرجع!$B$2:$B$19,$G237,المرجع!$E$2:$E$19,$I237)</f>
        <v>15</v>
      </c>
      <c r="Q237" s="20">
        <f t="shared" si="4"/>
        <v>12.45</v>
      </c>
      <c r="R237" s="21" t="str">
        <f>IF($N237&gt;المرجع!$K$3,"متقدم",IF($N237&lt;=المرجع!$K$2,"أولي","جزئي"))</f>
        <v>متقدم</v>
      </c>
    </row>
    <row r="238" spans="1:18">
      <c r="A238" s="16" t="s">
        <v>1678</v>
      </c>
      <c r="B238" s="16" t="s">
        <v>175</v>
      </c>
      <c r="C238" s="15" t="str">
        <f>IFERROR(INDEX('قائمة الوحدات'!$B$2:$B$41,MATCH($B238,'قائمة الوحدات'!$A$2:$A$41,0)),"")</f>
        <v>EXE</v>
      </c>
      <c r="D238" s="14" t="str">
        <f>IFERROR(INDEX('قائمة الوحدات'!$C$2:$C$41,MATCH($B238,'قائمة الوحدات'!$A$2:$A$41,0)),"")</f>
        <v>الشؤون التنفيذية</v>
      </c>
      <c r="E238" s="14" t="str">
        <f>IFERROR(INDEX('قائمة الوحدات'!$D$2:$D$41,MATCH($B238,'قائمة الوحدات'!$A$2:$A$41,0)),"")</f>
        <v>وكالة الخدمات المساندة</v>
      </c>
      <c r="F238" s="14" t="str">
        <f>IFERROR(INDEX('قائمة الوحدات'!$F$2:$F$41,MATCH($B238,'قائمة الوحدات'!$A$2:$A$41,0)),"")</f>
        <v>الإدارة العامة للشؤون المالية</v>
      </c>
      <c r="G238" s="16" t="s">
        <v>43</v>
      </c>
      <c r="H238" s="14" t="str">
        <f>IFERROR(INDEX(المرجع!$A$2:$A$19,MATCH($G238,المرجع!$B$2:$B$19,0)),"")</f>
        <v>التصميم</v>
      </c>
      <c r="I238" s="16" t="s">
        <v>51</v>
      </c>
      <c r="J238" s="14" t="str">
        <f>IFERROR(INDEX(المرجع!$D$2:$D$19,MATCH($I238,المرجع!$E$2:$E$19,0)),"")</f>
        <v>الحوكمة</v>
      </c>
      <c r="K238" s="15">
        <f>IFERROR(INDEX(المرجع!$F$2:$F$19,MATCH($I238,المرجع!$E$2:$E$19,0)),"")</f>
        <v>3</v>
      </c>
      <c r="L238" s="15">
        <f>SUMIFS(المرجع!$H$2:$H$19,المرجع!$B$2:$B$19,$G238,المرجع!$E$2:$E$19,$I238)</f>
        <v>1</v>
      </c>
      <c r="M238" s="15">
        <f>COUNTIFS('المرتبطة بسمو الوزير'!$B$2:$B$151,$B238,'المرتبطة بسمو الوزير'!$G$2:$G$151,$G238,'المرتبطة بسمو الوزير'!$I$2:$I$151,$I238,'المرتبطة بسمو الوزير'!$M$2:$M$151,"&lt;&gt;")+COUNTIFS('الشؤون التنفيذية'!$B$2:$B$421,$B238,'الشؤون التنفيذية'!$G$2:$G$421,$G238,'الشؤون التنفيذية'!$I$2:$I$421,$I238,'الشؤون التنفيذية'!$N$2:$N$421,"&lt;&gt;")+COUNTIFS('الجهاز العسكري'!$B$2:$B$631,$B238,'الجهاز العسكري'!$G$2:$G$631,$G238,'الجهاز العسكري'!$I$2:$I$631,$I238,'الجهاز العسكري'!$M$2:$M$631,"&lt;&gt;")</f>
        <v>1</v>
      </c>
      <c r="N238" s="19">
        <f>IF($L238=0,0,ROUND((SUMIFS('المرتبطة بسمو الوزير'!$M$2:$M$151,'المرتبطة بسمو الوزير'!$B$2:$B$151,$B238,'المرتبطة بسمو الوزير'!$G$2:$G$151,$G238,'المرتبطة بسمو الوزير'!$I$2:$I$151,$I238)+SUMIFS('الشؤون التنفيذية'!$N$2:$N$421,'الشؤون التنفيذية'!$B$2:$B$421,$B238,'الشؤون التنفيذية'!$G$2:$G$421,$G238,'الشؤون التنفيذية'!$I$2:$I$421,$I238)+SUMIFS('الجهاز العسكري'!$M$2:$M$631,'الجهاز العسكري'!$B$2:$B$631,$B238,'الجهاز العسكري'!$G$2:$G$631,$G238,'الجهاز العسكري'!$I$2:$I$631,$I238))/$L238,0))</f>
        <v>71</v>
      </c>
      <c r="O238" s="18"/>
      <c r="P238" s="15">
        <f>SUMIFS(المرجع!$G$2:$G$19,المرجع!$B$2:$B$19,$G238,المرجع!$E$2:$E$19,$I238)</f>
        <v>15</v>
      </c>
      <c r="Q238" s="20">
        <f t="shared" si="4"/>
        <v>10.65</v>
      </c>
      <c r="R238" s="21" t="str">
        <f>IF($N238&gt;المرجع!$K$3,"متقدم",IF($N238&lt;=المرجع!$K$2,"أولي","جزئي"))</f>
        <v>متقدم</v>
      </c>
    </row>
    <row r="239" spans="1:18">
      <c r="A239" s="16" t="s">
        <v>1679</v>
      </c>
      <c r="B239" s="16" t="s">
        <v>175</v>
      </c>
      <c r="C239" s="15" t="str">
        <f>IFERROR(INDEX('قائمة الوحدات'!$B$2:$B$41,MATCH($B239,'قائمة الوحدات'!$A$2:$A$41,0)),"")</f>
        <v>EXE</v>
      </c>
      <c r="D239" s="14" t="str">
        <f>IFERROR(INDEX('قائمة الوحدات'!$C$2:$C$41,MATCH($B239,'قائمة الوحدات'!$A$2:$A$41,0)),"")</f>
        <v>الشؤون التنفيذية</v>
      </c>
      <c r="E239" s="14" t="str">
        <f>IFERROR(INDEX('قائمة الوحدات'!$D$2:$D$41,MATCH($B239,'قائمة الوحدات'!$A$2:$A$41,0)),"")</f>
        <v>وكالة الخدمات المساندة</v>
      </c>
      <c r="F239" s="14" t="str">
        <f>IFERROR(INDEX('قائمة الوحدات'!$F$2:$F$41,MATCH($B239,'قائمة الوحدات'!$A$2:$A$41,0)),"")</f>
        <v>الإدارة العامة للشؤون المالية</v>
      </c>
      <c r="G239" s="16" t="s">
        <v>43</v>
      </c>
      <c r="H239" s="14" t="str">
        <f>IFERROR(INDEX(المرجع!$A$2:$A$19,MATCH($G239,المرجع!$B$2:$B$19,0)),"")</f>
        <v>التصميم</v>
      </c>
      <c r="I239" s="16" t="s">
        <v>54</v>
      </c>
      <c r="J239" s="14" t="str">
        <f>IFERROR(INDEX(المرجع!$D$2:$D$19,MATCH($I239,المرجع!$E$2:$E$19,0)),"")</f>
        <v>التنظيم</v>
      </c>
      <c r="K239" s="15">
        <f>IFERROR(INDEX(المرجع!$F$2:$F$19,MATCH($I239,المرجع!$E$2:$E$19,0)),"")</f>
        <v>4</v>
      </c>
      <c r="L239" s="15">
        <f>SUMIFS(المرجع!$H$2:$H$19,المرجع!$B$2:$B$19,$G239,المرجع!$E$2:$E$19,$I239)</f>
        <v>1</v>
      </c>
      <c r="M239" s="15">
        <f>COUNTIFS('المرتبطة بسمو الوزير'!$B$2:$B$151,$B239,'المرتبطة بسمو الوزير'!$G$2:$G$151,$G239,'المرتبطة بسمو الوزير'!$I$2:$I$151,$I239,'المرتبطة بسمو الوزير'!$M$2:$M$151,"&lt;&gt;")+COUNTIFS('الشؤون التنفيذية'!$B$2:$B$421,$B239,'الشؤون التنفيذية'!$G$2:$G$421,$G239,'الشؤون التنفيذية'!$I$2:$I$421,$I239,'الشؤون التنفيذية'!$N$2:$N$421,"&lt;&gt;")+COUNTIFS('الجهاز العسكري'!$B$2:$B$631,$B239,'الجهاز العسكري'!$G$2:$G$631,$G239,'الجهاز العسكري'!$I$2:$I$631,$I239,'الجهاز العسكري'!$M$2:$M$631,"&lt;&gt;")</f>
        <v>1</v>
      </c>
      <c r="N239" s="19">
        <f>IF($L239=0,0,ROUND((SUMIFS('المرتبطة بسمو الوزير'!$M$2:$M$151,'المرتبطة بسمو الوزير'!$B$2:$B$151,$B239,'المرتبطة بسمو الوزير'!$G$2:$G$151,$G239,'المرتبطة بسمو الوزير'!$I$2:$I$151,$I239)+SUMIFS('الشؤون التنفيذية'!$N$2:$N$421,'الشؤون التنفيذية'!$B$2:$B$421,$B239,'الشؤون التنفيذية'!$G$2:$G$421,$G239,'الشؤون التنفيذية'!$I$2:$I$421,$I239)+SUMIFS('الجهاز العسكري'!$M$2:$M$631,'الجهاز العسكري'!$B$2:$B$631,$B239,'الجهاز العسكري'!$G$2:$G$631,$G239,'الجهاز العسكري'!$I$2:$I$631,$I239))/$L239,0))</f>
        <v>80</v>
      </c>
      <c r="O239" s="18"/>
      <c r="P239" s="15">
        <f>SUMIFS(المرجع!$G$2:$G$19,المرجع!$B$2:$B$19,$G239,المرجع!$E$2:$E$19,$I239)</f>
        <v>20</v>
      </c>
      <c r="Q239" s="20">
        <f t="shared" si="4"/>
        <v>16</v>
      </c>
      <c r="R239" s="21" t="str">
        <f>IF($N239&gt;المرجع!$K$3,"متقدم",IF($N239&lt;=المرجع!$K$2,"أولي","جزئي"))</f>
        <v>متقدم</v>
      </c>
    </row>
    <row r="240" spans="1:18">
      <c r="A240" s="16" t="s">
        <v>1680</v>
      </c>
      <c r="B240" s="16" t="s">
        <v>175</v>
      </c>
      <c r="C240" s="15" t="str">
        <f>IFERROR(INDEX('قائمة الوحدات'!$B$2:$B$41,MATCH($B240,'قائمة الوحدات'!$A$2:$A$41,0)),"")</f>
        <v>EXE</v>
      </c>
      <c r="D240" s="14" t="str">
        <f>IFERROR(INDEX('قائمة الوحدات'!$C$2:$C$41,MATCH($B240,'قائمة الوحدات'!$A$2:$A$41,0)),"")</f>
        <v>الشؤون التنفيذية</v>
      </c>
      <c r="E240" s="14" t="str">
        <f>IFERROR(INDEX('قائمة الوحدات'!$D$2:$D$41,MATCH($B240,'قائمة الوحدات'!$A$2:$A$41,0)),"")</f>
        <v>وكالة الخدمات المساندة</v>
      </c>
      <c r="F240" s="14" t="str">
        <f>IFERROR(INDEX('قائمة الوحدات'!$F$2:$F$41,MATCH($B240,'قائمة الوحدات'!$A$2:$A$41,0)),"")</f>
        <v>الإدارة العامة للشؤون المالية</v>
      </c>
      <c r="G240" s="16" t="s">
        <v>43</v>
      </c>
      <c r="H240" s="14" t="str">
        <f>IFERROR(INDEX(المرجع!$A$2:$A$19,MATCH($G240,المرجع!$B$2:$B$19,0)),"")</f>
        <v>التصميم</v>
      </c>
      <c r="I240" s="16" t="s">
        <v>56</v>
      </c>
      <c r="J240" s="14" t="str">
        <f>IFERROR(INDEX(المرجع!$D$2:$D$19,MATCH($I240,المرجع!$E$2:$E$19,0)),"")</f>
        <v>الموارد</v>
      </c>
      <c r="K240" s="15">
        <f>IFERROR(INDEX(المرجع!$F$2:$F$19,MATCH($I240,المرجع!$E$2:$E$19,0)),"")</f>
        <v>5</v>
      </c>
      <c r="L240" s="15">
        <f>SUMIFS(المرجع!$H$2:$H$19,المرجع!$B$2:$B$19,$G240,المرجع!$E$2:$E$19,$I240)</f>
        <v>1</v>
      </c>
      <c r="M240" s="15">
        <f>COUNTIFS('المرتبطة بسمو الوزير'!$B$2:$B$151,$B240,'المرتبطة بسمو الوزير'!$G$2:$G$151,$G240,'المرتبطة بسمو الوزير'!$I$2:$I$151,$I240,'المرتبطة بسمو الوزير'!$M$2:$M$151,"&lt;&gt;")+COUNTIFS('الشؤون التنفيذية'!$B$2:$B$421,$B240,'الشؤون التنفيذية'!$G$2:$G$421,$G240,'الشؤون التنفيذية'!$I$2:$I$421,$I240,'الشؤون التنفيذية'!$N$2:$N$421,"&lt;&gt;")+COUNTIFS('الجهاز العسكري'!$B$2:$B$631,$B240,'الجهاز العسكري'!$G$2:$G$631,$G240,'الجهاز العسكري'!$I$2:$I$631,$I240,'الجهاز العسكري'!$M$2:$M$631,"&lt;&gt;")</f>
        <v>1</v>
      </c>
      <c r="N240" s="19">
        <f>IF($L240=0,0,ROUND((SUMIFS('المرتبطة بسمو الوزير'!$M$2:$M$151,'المرتبطة بسمو الوزير'!$B$2:$B$151,$B240,'المرتبطة بسمو الوزير'!$G$2:$G$151,$G240,'المرتبطة بسمو الوزير'!$I$2:$I$151,$I240)+SUMIFS('الشؤون التنفيذية'!$N$2:$N$421,'الشؤون التنفيذية'!$B$2:$B$421,$B240,'الشؤون التنفيذية'!$G$2:$G$421,$G240,'الشؤون التنفيذية'!$I$2:$I$421,$I240)+SUMIFS('الجهاز العسكري'!$M$2:$M$631,'الجهاز العسكري'!$B$2:$B$631,$B240,'الجهاز العسكري'!$G$2:$G$631,$G240,'الجهاز العسكري'!$I$2:$I$631,$I240))/$L240,0))</f>
        <v>89</v>
      </c>
      <c r="O240" s="18"/>
      <c r="P240" s="15">
        <f>SUMIFS(المرجع!$G$2:$G$19,المرجع!$B$2:$B$19,$G240,المرجع!$E$2:$E$19,$I240)</f>
        <v>20</v>
      </c>
      <c r="Q240" s="20">
        <f t="shared" si="4"/>
        <v>17.8</v>
      </c>
      <c r="R240" s="21" t="str">
        <f>IF($N240&gt;المرجع!$K$3,"متقدم",IF($N240&lt;=المرجع!$K$2,"أولي","جزئي"))</f>
        <v>متقدم</v>
      </c>
    </row>
    <row r="241" spans="1:18">
      <c r="A241" s="16" t="s">
        <v>1681</v>
      </c>
      <c r="B241" s="16" t="s">
        <v>175</v>
      </c>
      <c r="C241" s="15" t="str">
        <f>IFERROR(INDEX('قائمة الوحدات'!$B$2:$B$41,MATCH($B241,'قائمة الوحدات'!$A$2:$A$41,0)),"")</f>
        <v>EXE</v>
      </c>
      <c r="D241" s="14" t="str">
        <f>IFERROR(INDEX('قائمة الوحدات'!$C$2:$C$41,MATCH($B241,'قائمة الوحدات'!$A$2:$A$41,0)),"")</f>
        <v>الشؤون التنفيذية</v>
      </c>
      <c r="E241" s="14" t="str">
        <f>IFERROR(INDEX('قائمة الوحدات'!$D$2:$D$41,MATCH($B241,'قائمة الوحدات'!$A$2:$A$41,0)),"")</f>
        <v>وكالة الخدمات المساندة</v>
      </c>
      <c r="F241" s="14" t="str">
        <f>IFERROR(INDEX('قائمة الوحدات'!$F$2:$F$41,MATCH($B241,'قائمة الوحدات'!$A$2:$A$41,0)),"")</f>
        <v>الإدارة العامة للشؤون المالية</v>
      </c>
      <c r="G241" s="16" t="s">
        <v>43</v>
      </c>
      <c r="H241" s="14" t="str">
        <f>IFERROR(INDEX(المرجع!$A$2:$A$19,MATCH($G241,المرجع!$B$2:$B$19,0)),"")</f>
        <v>التصميم</v>
      </c>
      <c r="I241" s="16" t="s">
        <v>59</v>
      </c>
      <c r="J241" s="14" t="str">
        <f>IFERROR(INDEX(المرجع!$D$2:$D$19,MATCH($I241,المرجع!$E$2:$E$19,0)),"")</f>
        <v>الإجراءات</v>
      </c>
      <c r="K241" s="15">
        <f>IFERROR(INDEX(المرجع!$F$2:$F$19,MATCH($I241,المرجع!$E$2:$E$19,0)),"")</f>
        <v>6</v>
      </c>
      <c r="L241" s="15">
        <f>SUMIFS(المرجع!$H$2:$H$19,المرجع!$B$2:$B$19,$G241,المرجع!$E$2:$E$19,$I241)</f>
        <v>1</v>
      </c>
      <c r="M241" s="15">
        <f>COUNTIFS('المرتبطة بسمو الوزير'!$B$2:$B$151,$B241,'المرتبطة بسمو الوزير'!$G$2:$G$151,$G241,'المرتبطة بسمو الوزير'!$I$2:$I$151,$I241,'المرتبطة بسمو الوزير'!$M$2:$M$151,"&lt;&gt;")+COUNTIFS('الشؤون التنفيذية'!$B$2:$B$421,$B241,'الشؤون التنفيذية'!$G$2:$G$421,$G241,'الشؤون التنفيذية'!$I$2:$I$421,$I241,'الشؤون التنفيذية'!$N$2:$N$421,"&lt;&gt;")+COUNTIFS('الجهاز العسكري'!$B$2:$B$631,$B241,'الجهاز العسكري'!$G$2:$G$631,$G241,'الجهاز العسكري'!$I$2:$I$631,$I241,'الجهاز العسكري'!$M$2:$M$631,"&lt;&gt;")</f>
        <v>1</v>
      </c>
      <c r="N241" s="19">
        <f>IF($L241=0,0,ROUND((SUMIFS('المرتبطة بسمو الوزير'!$M$2:$M$151,'المرتبطة بسمو الوزير'!$B$2:$B$151,$B241,'المرتبطة بسمو الوزير'!$G$2:$G$151,$G241,'المرتبطة بسمو الوزير'!$I$2:$I$151,$I241)+SUMIFS('الشؤون التنفيذية'!$N$2:$N$421,'الشؤون التنفيذية'!$B$2:$B$421,$B241,'الشؤون التنفيذية'!$G$2:$G$421,$G241,'الشؤون التنفيذية'!$I$2:$I$421,$I241)+SUMIFS('الجهاز العسكري'!$M$2:$M$631,'الجهاز العسكري'!$B$2:$B$631,$B241,'الجهاز العسكري'!$G$2:$G$631,$G241,'الجهاز العسكري'!$I$2:$I$631,$I241))/$L241,0))</f>
        <v>81</v>
      </c>
      <c r="O241" s="18"/>
      <c r="P241" s="15">
        <f>SUMIFS(المرجع!$G$2:$G$19,المرجع!$B$2:$B$19,$G241,المرجع!$E$2:$E$19,$I241)</f>
        <v>5</v>
      </c>
      <c r="Q241" s="20">
        <f t="shared" si="4"/>
        <v>4.05</v>
      </c>
      <c r="R241" s="21" t="str">
        <f>IF($N241&gt;المرجع!$K$3,"متقدم",IF($N241&lt;=المرجع!$K$2,"أولي","جزئي"))</f>
        <v>متقدم</v>
      </c>
    </row>
    <row r="242" spans="1:18">
      <c r="A242" s="16" t="s">
        <v>1682</v>
      </c>
      <c r="B242" s="16" t="s">
        <v>175</v>
      </c>
      <c r="C242" s="15" t="str">
        <f>IFERROR(INDEX('قائمة الوحدات'!$B$2:$B$41,MATCH($B242,'قائمة الوحدات'!$A$2:$A$41,0)),"")</f>
        <v>EXE</v>
      </c>
      <c r="D242" s="14" t="str">
        <f>IFERROR(INDEX('قائمة الوحدات'!$C$2:$C$41,MATCH($B242,'قائمة الوحدات'!$A$2:$A$41,0)),"")</f>
        <v>الشؤون التنفيذية</v>
      </c>
      <c r="E242" s="14" t="str">
        <f>IFERROR(INDEX('قائمة الوحدات'!$D$2:$D$41,MATCH($B242,'قائمة الوحدات'!$A$2:$A$41,0)),"")</f>
        <v>وكالة الخدمات المساندة</v>
      </c>
      <c r="F242" s="14" t="str">
        <f>IFERROR(INDEX('قائمة الوحدات'!$F$2:$F$41,MATCH($B242,'قائمة الوحدات'!$A$2:$A$41,0)),"")</f>
        <v>الإدارة العامة للشؤون المالية</v>
      </c>
      <c r="G242" s="16" t="s">
        <v>61</v>
      </c>
      <c r="H242" s="14" t="str">
        <f>IFERROR(INDEX(المرجع!$A$2:$A$19,MATCH($G242,المرجع!$B$2:$B$19,0)),"")</f>
        <v>البناء المؤسسي</v>
      </c>
      <c r="I242" s="16" t="s">
        <v>45</v>
      </c>
      <c r="J242" s="14" t="str">
        <f>IFERROR(INDEX(المرجع!$D$2:$D$19,MATCH($I242,المرجع!$E$2:$E$19,0)),"")</f>
        <v>الدور</v>
      </c>
      <c r="K242" s="15">
        <f>IFERROR(INDEX(المرجع!$F$2:$F$19,MATCH($I242,المرجع!$E$2:$E$19,0)),"")</f>
        <v>1</v>
      </c>
      <c r="L242" s="15">
        <f>SUMIFS(المرجع!$H$2:$H$19,المرجع!$B$2:$B$19,$G242,المرجع!$E$2:$E$19,$I242)</f>
        <v>1</v>
      </c>
      <c r="M242" s="15">
        <f>COUNTIFS('المرتبطة بسمو الوزير'!$B$2:$B$151,$B242,'المرتبطة بسمو الوزير'!$G$2:$G$151,$G242,'المرتبطة بسمو الوزير'!$I$2:$I$151,$I242,'المرتبطة بسمو الوزير'!$M$2:$M$151,"&lt;&gt;")+COUNTIFS('الشؤون التنفيذية'!$B$2:$B$421,$B242,'الشؤون التنفيذية'!$G$2:$G$421,$G242,'الشؤون التنفيذية'!$I$2:$I$421,$I242,'الشؤون التنفيذية'!$N$2:$N$421,"&lt;&gt;")+COUNTIFS('الجهاز العسكري'!$B$2:$B$631,$B242,'الجهاز العسكري'!$G$2:$G$631,$G242,'الجهاز العسكري'!$I$2:$I$631,$I242,'الجهاز العسكري'!$M$2:$M$631,"&lt;&gt;")</f>
        <v>1</v>
      </c>
      <c r="N242" s="19">
        <f>IF($L242=0,0,ROUND((SUMIFS('المرتبطة بسمو الوزير'!$M$2:$M$151,'المرتبطة بسمو الوزير'!$B$2:$B$151,$B242,'المرتبطة بسمو الوزير'!$G$2:$G$151,$G242,'المرتبطة بسمو الوزير'!$I$2:$I$151,$I242)+SUMIFS('الشؤون التنفيذية'!$N$2:$N$421,'الشؤون التنفيذية'!$B$2:$B$421,$B242,'الشؤون التنفيذية'!$G$2:$G$421,$G242,'الشؤون التنفيذية'!$I$2:$I$421,$I242)+SUMIFS('الجهاز العسكري'!$M$2:$M$631,'الجهاز العسكري'!$B$2:$B$631,$B242,'الجهاز العسكري'!$G$2:$G$631,$G242,'الجهاز العسكري'!$I$2:$I$631,$I242))/$L242,0))</f>
        <v>53</v>
      </c>
      <c r="O242" s="18"/>
      <c r="P242" s="15">
        <f>SUMIFS(المرجع!$G$2:$G$19,المرجع!$B$2:$B$19,$G242,المرجع!$E$2:$E$19,$I242)</f>
        <v>15</v>
      </c>
      <c r="Q242" s="20">
        <f t="shared" si="4"/>
        <v>7.95</v>
      </c>
      <c r="R242" s="21" t="str">
        <f>IF($N242&gt;المرجع!$K$3,"متقدم",IF($N242&lt;=المرجع!$K$2,"أولي","جزئي"))</f>
        <v>جزئي</v>
      </c>
    </row>
    <row r="243" spans="1:18">
      <c r="A243" s="16" t="s">
        <v>1683</v>
      </c>
      <c r="B243" s="16" t="s">
        <v>175</v>
      </c>
      <c r="C243" s="15" t="str">
        <f>IFERROR(INDEX('قائمة الوحدات'!$B$2:$B$41,MATCH($B243,'قائمة الوحدات'!$A$2:$A$41,0)),"")</f>
        <v>EXE</v>
      </c>
      <c r="D243" s="14" t="str">
        <f>IFERROR(INDEX('قائمة الوحدات'!$C$2:$C$41,MATCH($B243,'قائمة الوحدات'!$A$2:$A$41,0)),"")</f>
        <v>الشؤون التنفيذية</v>
      </c>
      <c r="E243" s="14" t="str">
        <f>IFERROR(INDEX('قائمة الوحدات'!$D$2:$D$41,MATCH($B243,'قائمة الوحدات'!$A$2:$A$41,0)),"")</f>
        <v>وكالة الخدمات المساندة</v>
      </c>
      <c r="F243" s="14" t="str">
        <f>IFERROR(INDEX('قائمة الوحدات'!$F$2:$F$41,MATCH($B243,'قائمة الوحدات'!$A$2:$A$41,0)),"")</f>
        <v>الإدارة العامة للشؤون المالية</v>
      </c>
      <c r="G243" s="16" t="s">
        <v>61</v>
      </c>
      <c r="H243" s="14" t="str">
        <f>IFERROR(INDEX(المرجع!$A$2:$A$19,MATCH($G243,المرجع!$B$2:$B$19,0)),"")</f>
        <v>البناء المؤسسي</v>
      </c>
      <c r="I243" s="16" t="s">
        <v>48</v>
      </c>
      <c r="J243" s="14" t="str">
        <f>IFERROR(INDEX(المرجع!$D$2:$D$19,MATCH($I243,المرجع!$E$2:$E$19,0)),"")</f>
        <v>الأهداف ومؤشرات الأداء</v>
      </c>
      <c r="K243" s="15">
        <f>IFERROR(INDEX(المرجع!$F$2:$F$19,MATCH($I243,المرجع!$E$2:$E$19,0)),"")</f>
        <v>2</v>
      </c>
      <c r="L243" s="15">
        <f>SUMIFS(المرجع!$H$2:$H$19,المرجع!$B$2:$B$19,$G243,المرجع!$E$2:$E$19,$I243)</f>
        <v>2</v>
      </c>
      <c r="M243" s="15">
        <f>COUNTIFS('المرتبطة بسمو الوزير'!$B$2:$B$151,$B243,'المرتبطة بسمو الوزير'!$G$2:$G$151,$G243,'المرتبطة بسمو الوزير'!$I$2:$I$151,$I243,'المرتبطة بسمو الوزير'!$M$2:$M$151,"&lt;&gt;")+COUNTIFS('الشؤون التنفيذية'!$B$2:$B$421,$B243,'الشؤون التنفيذية'!$G$2:$G$421,$G243,'الشؤون التنفيذية'!$I$2:$I$421,$I243,'الشؤون التنفيذية'!$N$2:$N$421,"&lt;&gt;")+COUNTIFS('الجهاز العسكري'!$B$2:$B$631,$B243,'الجهاز العسكري'!$G$2:$G$631,$G243,'الجهاز العسكري'!$I$2:$I$631,$I243,'الجهاز العسكري'!$M$2:$M$631,"&lt;&gt;")</f>
        <v>2</v>
      </c>
      <c r="N243" s="19">
        <f>IF($L243=0,0,ROUND((SUMIFS('المرتبطة بسمو الوزير'!$M$2:$M$151,'المرتبطة بسمو الوزير'!$B$2:$B$151,$B243,'المرتبطة بسمو الوزير'!$G$2:$G$151,$G243,'المرتبطة بسمو الوزير'!$I$2:$I$151,$I243)+SUMIFS('الشؤون التنفيذية'!$N$2:$N$421,'الشؤون التنفيذية'!$B$2:$B$421,$B243,'الشؤون التنفيذية'!$G$2:$G$421,$G243,'الشؤون التنفيذية'!$I$2:$I$421,$I243)+SUMIFS('الجهاز العسكري'!$M$2:$M$631,'الجهاز العسكري'!$B$2:$B$631,$B243,'الجهاز العسكري'!$G$2:$G$631,$G243,'الجهاز العسكري'!$I$2:$I$631,$I243))/$L243,0))</f>
        <v>83</v>
      </c>
      <c r="O243" s="18"/>
      <c r="P243" s="15">
        <f>SUMIFS(المرجع!$G$2:$G$19,المرجع!$B$2:$B$19,$G243,المرجع!$E$2:$E$19,$I243)</f>
        <v>15</v>
      </c>
      <c r="Q243" s="20">
        <f t="shared" si="4"/>
        <v>12.45</v>
      </c>
      <c r="R243" s="21" t="str">
        <f>IF($N243&gt;المرجع!$K$3,"متقدم",IF($N243&lt;=المرجع!$K$2,"أولي","جزئي"))</f>
        <v>متقدم</v>
      </c>
    </row>
    <row r="244" spans="1:18">
      <c r="A244" s="16" t="s">
        <v>1684</v>
      </c>
      <c r="B244" s="16" t="s">
        <v>175</v>
      </c>
      <c r="C244" s="15" t="str">
        <f>IFERROR(INDEX('قائمة الوحدات'!$B$2:$B$41,MATCH($B244,'قائمة الوحدات'!$A$2:$A$41,0)),"")</f>
        <v>EXE</v>
      </c>
      <c r="D244" s="14" t="str">
        <f>IFERROR(INDEX('قائمة الوحدات'!$C$2:$C$41,MATCH($B244,'قائمة الوحدات'!$A$2:$A$41,0)),"")</f>
        <v>الشؤون التنفيذية</v>
      </c>
      <c r="E244" s="14" t="str">
        <f>IFERROR(INDEX('قائمة الوحدات'!$D$2:$D$41,MATCH($B244,'قائمة الوحدات'!$A$2:$A$41,0)),"")</f>
        <v>وكالة الخدمات المساندة</v>
      </c>
      <c r="F244" s="14" t="str">
        <f>IFERROR(INDEX('قائمة الوحدات'!$F$2:$F$41,MATCH($B244,'قائمة الوحدات'!$A$2:$A$41,0)),"")</f>
        <v>الإدارة العامة للشؤون المالية</v>
      </c>
      <c r="G244" s="16" t="s">
        <v>61</v>
      </c>
      <c r="H244" s="14" t="str">
        <f>IFERROR(INDEX(المرجع!$A$2:$A$19,MATCH($G244,المرجع!$B$2:$B$19,0)),"")</f>
        <v>البناء المؤسسي</v>
      </c>
      <c r="I244" s="16" t="s">
        <v>51</v>
      </c>
      <c r="J244" s="14" t="str">
        <f>IFERROR(INDEX(المرجع!$D$2:$D$19,MATCH($I244,المرجع!$E$2:$E$19,0)),"")</f>
        <v>الحوكمة</v>
      </c>
      <c r="K244" s="15">
        <f>IFERROR(INDEX(المرجع!$F$2:$F$19,MATCH($I244,المرجع!$E$2:$E$19,0)),"")</f>
        <v>3</v>
      </c>
      <c r="L244" s="15">
        <f>SUMIFS(المرجع!$H$2:$H$19,المرجع!$B$2:$B$19,$G244,المرجع!$E$2:$E$19,$I244)</f>
        <v>3</v>
      </c>
      <c r="M244" s="15">
        <f>COUNTIFS('المرتبطة بسمو الوزير'!$B$2:$B$151,$B244,'المرتبطة بسمو الوزير'!$G$2:$G$151,$G244,'المرتبطة بسمو الوزير'!$I$2:$I$151,$I244,'المرتبطة بسمو الوزير'!$M$2:$M$151,"&lt;&gt;")+COUNTIFS('الشؤون التنفيذية'!$B$2:$B$421,$B244,'الشؤون التنفيذية'!$G$2:$G$421,$G244,'الشؤون التنفيذية'!$I$2:$I$421,$I244,'الشؤون التنفيذية'!$N$2:$N$421,"&lt;&gt;")+COUNTIFS('الجهاز العسكري'!$B$2:$B$631,$B244,'الجهاز العسكري'!$G$2:$G$631,$G244,'الجهاز العسكري'!$I$2:$I$631,$I244,'الجهاز العسكري'!$M$2:$M$631,"&lt;&gt;")</f>
        <v>3</v>
      </c>
      <c r="N244" s="19">
        <f>IF($L244=0,0,ROUND((SUMIFS('المرتبطة بسمو الوزير'!$M$2:$M$151,'المرتبطة بسمو الوزير'!$B$2:$B$151,$B244,'المرتبطة بسمو الوزير'!$G$2:$G$151,$G244,'المرتبطة بسمو الوزير'!$I$2:$I$151,$I244)+SUMIFS('الشؤون التنفيذية'!$N$2:$N$421,'الشؤون التنفيذية'!$B$2:$B$421,$B244,'الشؤون التنفيذية'!$G$2:$G$421,$G244,'الشؤون التنفيذية'!$I$2:$I$421,$I244)+SUMIFS('الجهاز العسكري'!$M$2:$M$631,'الجهاز العسكري'!$B$2:$B$631,$B244,'الجهاز العسكري'!$G$2:$G$631,$G244,'الجهاز العسكري'!$I$2:$I$631,$I244))/$L244,0))</f>
        <v>93</v>
      </c>
      <c r="O244" s="18"/>
      <c r="P244" s="15">
        <f>SUMIFS(المرجع!$G$2:$G$19,المرجع!$B$2:$B$19,$G244,المرجع!$E$2:$E$19,$I244)</f>
        <v>15</v>
      </c>
      <c r="Q244" s="20">
        <f t="shared" si="4"/>
        <v>13.95</v>
      </c>
      <c r="R244" s="21" t="str">
        <f>IF($N244&gt;المرجع!$K$3,"متقدم",IF($N244&lt;=المرجع!$K$2,"أولي","جزئي"))</f>
        <v>متقدم</v>
      </c>
    </row>
    <row r="245" spans="1:18">
      <c r="A245" s="16" t="s">
        <v>1685</v>
      </c>
      <c r="B245" s="16" t="s">
        <v>175</v>
      </c>
      <c r="C245" s="15" t="str">
        <f>IFERROR(INDEX('قائمة الوحدات'!$B$2:$B$41,MATCH($B245,'قائمة الوحدات'!$A$2:$A$41,0)),"")</f>
        <v>EXE</v>
      </c>
      <c r="D245" s="14" t="str">
        <f>IFERROR(INDEX('قائمة الوحدات'!$C$2:$C$41,MATCH($B245,'قائمة الوحدات'!$A$2:$A$41,0)),"")</f>
        <v>الشؤون التنفيذية</v>
      </c>
      <c r="E245" s="14" t="str">
        <f>IFERROR(INDEX('قائمة الوحدات'!$D$2:$D$41,MATCH($B245,'قائمة الوحدات'!$A$2:$A$41,0)),"")</f>
        <v>وكالة الخدمات المساندة</v>
      </c>
      <c r="F245" s="14" t="str">
        <f>IFERROR(INDEX('قائمة الوحدات'!$F$2:$F$41,MATCH($B245,'قائمة الوحدات'!$A$2:$A$41,0)),"")</f>
        <v>الإدارة العامة للشؤون المالية</v>
      </c>
      <c r="G245" s="16" t="s">
        <v>61</v>
      </c>
      <c r="H245" s="14" t="str">
        <f>IFERROR(INDEX(المرجع!$A$2:$A$19,MATCH($G245,المرجع!$B$2:$B$19,0)),"")</f>
        <v>البناء المؤسسي</v>
      </c>
      <c r="I245" s="16" t="s">
        <v>54</v>
      </c>
      <c r="J245" s="14" t="str">
        <f>IFERROR(INDEX(المرجع!$D$2:$D$19,MATCH($I245,المرجع!$E$2:$E$19,0)),"")</f>
        <v>التنظيم</v>
      </c>
      <c r="K245" s="15">
        <f>IFERROR(INDEX(المرجع!$F$2:$F$19,MATCH($I245,المرجع!$E$2:$E$19,0)),"")</f>
        <v>4</v>
      </c>
      <c r="L245" s="15">
        <f>SUMIFS(المرجع!$H$2:$H$19,المرجع!$B$2:$B$19,$G245,المرجع!$E$2:$E$19,$I245)</f>
        <v>3</v>
      </c>
      <c r="M245" s="15">
        <f>COUNTIFS('المرتبطة بسمو الوزير'!$B$2:$B$151,$B245,'المرتبطة بسمو الوزير'!$G$2:$G$151,$G245,'المرتبطة بسمو الوزير'!$I$2:$I$151,$I245,'المرتبطة بسمو الوزير'!$M$2:$M$151,"&lt;&gt;")+COUNTIFS('الشؤون التنفيذية'!$B$2:$B$421,$B245,'الشؤون التنفيذية'!$G$2:$G$421,$G245,'الشؤون التنفيذية'!$I$2:$I$421,$I245,'الشؤون التنفيذية'!$N$2:$N$421,"&lt;&gt;")+COUNTIFS('الجهاز العسكري'!$B$2:$B$631,$B245,'الجهاز العسكري'!$G$2:$G$631,$G245,'الجهاز العسكري'!$I$2:$I$631,$I245,'الجهاز العسكري'!$M$2:$M$631,"&lt;&gt;")</f>
        <v>3</v>
      </c>
      <c r="N245" s="19">
        <f>IF($L245=0,0,ROUND((SUMIFS('المرتبطة بسمو الوزير'!$M$2:$M$151,'المرتبطة بسمو الوزير'!$B$2:$B$151,$B245,'المرتبطة بسمو الوزير'!$G$2:$G$151,$G245,'المرتبطة بسمو الوزير'!$I$2:$I$151,$I245)+SUMIFS('الشؤون التنفيذية'!$N$2:$N$421,'الشؤون التنفيذية'!$B$2:$B$421,$B245,'الشؤون التنفيذية'!$G$2:$G$421,$G245,'الشؤون التنفيذية'!$I$2:$I$421,$I245)+SUMIFS('الجهاز العسكري'!$M$2:$M$631,'الجهاز العسكري'!$B$2:$B$631,$B245,'الجهاز العسكري'!$G$2:$G$631,$G245,'الجهاز العسكري'!$I$2:$I$631,$I245))/$L245,0))</f>
        <v>57</v>
      </c>
      <c r="O245" s="18"/>
      <c r="P245" s="15">
        <f>SUMIFS(المرجع!$G$2:$G$19,المرجع!$B$2:$B$19,$G245,المرجع!$E$2:$E$19,$I245)</f>
        <v>20</v>
      </c>
      <c r="Q245" s="20">
        <f t="shared" si="4"/>
        <v>11.4</v>
      </c>
      <c r="R245" s="21" t="str">
        <f>IF($N245&gt;المرجع!$K$3,"متقدم",IF($N245&lt;=المرجع!$K$2,"أولي","جزئي"))</f>
        <v>جزئي</v>
      </c>
    </row>
    <row r="246" spans="1:18">
      <c r="A246" s="16" t="s">
        <v>1686</v>
      </c>
      <c r="B246" s="16" t="s">
        <v>175</v>
      </c>
      <c r="C246" s="15" t="str">
        <f>IFERROR(INDEX('قائمة الوحدات'!$B$2:$B$41,MATCH($B246,'قائمة الوحدات'!$A$2:$A$41,0)),"")</f>
        <v>EXE</v>
      </c>
      <c r="D246" s="14" t="str">
        <f>IFERROR(INDEX('قائمة الوحدات'!$C$2:$C$41,MATCH($B246,'قائمة الوحدات'!$A$2:$A$41,0)),"")</f>
        <v>الشؤون التنفيذية</v>
      </c>
      <c r="E246" s="14" t="str">
        <f>IFERROR(INDEX('قائمة الوحدات'!$D$2:$D$41,MATCH($B246,'قائمة الوحدات'!$A$2:$A$41,0)),"")</f>
        <v>وكالة الخدمات المساندة</v>
      </c>
      <c r="F246" s="14" t="str">
        <f>IFERROR(INDEX('قائمة الوحدات'!$F$2:$F$41,MATCH($B246,'قائمة الوحدات'!$A$2:$A$41,0)),"")</f>
        <v>الإدارة العامة للشؤون المالية</v>
      </c>
      <c r="G246" s="16" t="s">
        <v>61</v>
      </c>
      <c r="H246" s="14" t="str">
        <f>IFERROR(INDEX(المرجع!$A$2:$A$19,MATCH($G246,المرجع!$B$2:$B$19,0)),"")</f>
        <v>البناء المؤسسي</v>
      </c>
      <c r="I246" s="16" t="s">
        <v>56</v>
      </c>
      <c r="J246" s="14" t="str">
        <f>IFERROR(INDEX(المرجع!$D$2:$D$19,MATCH($I246,المرجع!$E$2:$E$19,0)),"")</f>
        <v>الموارد</v>
      </c>
      <c r="K246" s="15">
        <f>IFERROR(INDEX(المرجع!$F$2:$F$19,MATCH($I246,المرجع!$E$2:$E$19,0)),"")</f>
        <v>5</v>
      </c>
      <c r="L246" s="15">
        <f>SUMIFS(المرجع!$H$2:$H$19,المرجع!$B$2:$B$19,$G246,المرجع!$E$2:$E$19,$I246)</f>
        <v>4</v>
      </c>
      <c r="M246" s="15">
        <f>COUNTIFS('المرتبطة بسمو الوزير'!$B$2:$B$151,$B246,'المرتبطة بسمو الوزير'!$G$2:$G$151,$G246,'المرتبطة بسمو الوزير'!$I$2:$I$151,$I246,'المرتبطة بسمو الوزير'!$M$2:$M$151,"&lt;&gt;")+COUNTIFS('الشؤون التنفيذية'!$B$2:$B$421,$B246,'الشؤون التنفيذية'!$G$2:$G$421,$G246,'الشؤون التنفيذية'!$I$2:$I$421,$I246,'الشؤون التنفيذية'!$N$2:$N$421,"&lt;&gt;")+COUNTIFS('الجهاز العسكري'!$B$2:$B$631,$B246,'الجهاز العسكري'!$G$2:$G$631,$G246,'الجهاز العسكري'!$I$2:$I$631,$I246,'الجهاز العسكري'!$M$2:$M$631,"&lt;&gt;")</f>
        <v>4</v>
      </c>
      <c r="N246" s="19">
        <f>IF($L246=0,0,ROUND((SUMIFS('المرتبطة بسمو الوزير'!$M$2:$M$151,'المرتبطة بسمو الوزير'!$B$2:$B$151,$B246,'المرتبطة بسمو الوزير'!$G$2:$G$151,$G246,'المرتبطة بسمو الوزير'!$I$2:$I$151,$I246)+SUMIFS('الشؤون التنفيذية'!$N$2:$N$421,'الشؤون التنفيذية'!$B$2:$B$421,$B246,'الشؤون التنفيذية'!$G$2:$G$421,$G246,'الشؤون التنفيذية'!$I$2:$I$421,$I246)+SUMIFS('الجهاز العسكري'!$M$2:$M$631,'الجهاز العسكري'!$B$2:$B$631,$B246,'الجهاز العسكري'!$G$2:$G$631,$G246,'الجهاز العسكري'!$I$2:$I$631,$I246))/$L246,0))</f>
        <v>56</v>
      </c>
      <c r="O246" s="18"/>
      <c r="P246" s="15">
        <f>SUMIFS(المرجع!$G$2:$G$19,المرجع!$B$2:$B$19,$G246,المرجع!$E$2:$E$19,$I246)</f>
        <v>25</v>
      </c>
      <c r="Q246" s="20">
        <f t="shared" si="4"/>
        <v>14</v>
      </c>
      <c r="R246" s="21" t="str">
        <f>IF($N246&gt;المرجع!$K$3,"متقدم",IF($N246&lt;=المرجع!$K$2,"أولي","جزئي"))</f>
        <v>جزئي</v>
      </c>
    </row>
    <row r="247" spans="1:18">
      <c r="A247" s="16" t="s">
        <v>1687</v>
      </c>
      <c r="B247" s="16" t="s">
        <v>175</v>
      </c>
      <c r="C247" s="15" t="str">
        <f>IFERROR(INDEX('قائمة الوحدات'!$B$2:$B$41,MATCH($B247,'قائمة الوحدات'!$A$2:$A$41,0)),"")</f>
        <v>EXE</v>
      </c>
      <c r="D247" s="14" t="str">
        <f>IFERROR(INDEX('قائمة الوحدات'!$C$2:$C$41,MATCH($B247,'قائمة الوحدات'!$A$2:$A$41,0)),"")</f>
        <v>الشؤون التنفيذية</v>
      </c>
      <c r="E247" s="14" t="str">
        <f>IFERROR(INDEX('قائمة الوحدات'!$D$2:$D$41,MATCH($B247,'قائمة الوحدات'!$A$2:$A$41,0)),"")</f>
        <v>وكالة الخدمات المساندة</v>
      </c>
      <c r="F247" s="14" t="str">
        <f>IFERROR(INDEX('قائمة الوحدات'!$F$2:$F$41,MATCH($B247,'قائمة الوحدات'!$A$2:$A$41,0)),"")</f>
        <v>الإدارة العامة للشؤون المالية</v>
      </c>
      <c r="G247" s="16" t="s">
        <v>61</v>
      </c>
      <c r="H247" s="14" t="str">
        <f>IFERROR(INDEX(المرجع!$A$2:$A$19,MATCH($G247,المرجع!$B$2:$B$19,0)),"")</f>
        <v>البناء المؤسسي</v>
      </c>
      <c r="I247" s="16" t="s">
        <v>59</v>
      </c>
      <c r="J247" s="14" t="str">
        <f>IFERROR(INDEX(المرجع!$D$2:$D$19,MATCH($I247,المرجع!$E$2:$E$19,0)),"")</f>
        <v>الإجراءات</v>
      </c>
      <c r="K247" s="15">
        <f>IFERROR(INDEX(المرجع!$F$2:$F$19,MATCH($I247,المرجع!$E$2:$E$19,0)),"")</f>
        <v>6</v>
      </c>
      <c r="L247" s="15">
        <f>SUMIFS(المرجع!$H$2:$H$19,المرجع!$B$2:$B$19,$G247,المرجع!$E$2:$E$19,$I247)</f>
        <v>1</v>
      </c>
      <c r="M247" s="15">
        <f>COUNTIFS('المرتبطة بسمو الوزير'!$B$2:$B$151,$B247,'المرتبطة بسمو الوزير'!$G$2:$G$151,$G247,'المرتبطة بسمو الوزير'!$I$2:$I$151,$I247,'المرتبطة بسمو الوزير'!$M$2:$M$151,"&lt;&gt;")+COUNTIFS('الشؤون التنفيذية'!$B$2:$B$421,$B247,'الشؤون التنفيذية'!$G$2:$G$421,$G247,'الشؤون التنفيذية'!$I$2:$I$421,$I247,'الشؤون التنفيذية'!$N$2:$N$421,"&lt;&gt;")+COUNTIFS('الجهاز العسكري'!$B$2:$B$631,$B247,'الجهاز العسكري'!$G$2:$G$631,$G247,'الجهاز العسكري'!$I$2:$I$631,$I247,'الجهاز العسكري'!$M$2:$M$631,"&lt;&gt;")</f>
        <v>1</v>
      </c>
      <c r="N247" s="19">
        <f>IF($L247=0,0,ROUND((SUMIFS('المرتبطة بسمو الوزير'!$M$2:$M$151,'المرتبطة بسمو الوزير'!$B$2:$B$151,$B247,'المرتبطة بسمو الوزير'!$G$2:$G$151,$G247,'المرتبطة بسمو الوزير'!$I$2:$I$151,$I247)+SUMIFS('الشؤون التنفيذية'!$N$2:$N$421,'الشؤون التنفيذية'!$B$2:$B$421,$B247,'الشؤون التنفيذية'!$G$2:$G$421,$G247,'الشؤون التنفيذية'!$I$2:$I$421,$I247)+SUMIFS('الجهاز العسكري'!$M$2:$M$631,'الجهاز العسكري'!$B$2:$B$631,$B247,'الجهاز العسكري'!$G$2:$G$631,$G247,'الجهاز العسكري'!$I$2:$I$631,$I247))/$L247,0))</f>
        <v>66</v>
      </c>
      <c r="O247" s="18"/>
      <c r="P247" s="15">
        <f>SUMIFS(المرجع!$G$2:$G$19,المرجع!$B$2:$B$19,$G247,المرجع!$E$2:$E$19,$I247)</f>
        <v>5</v>
      </c>
      <c r="Q247" s="20">
        <f t="shared" si="4"/>
        <v>3.3</v>
      </c>
      <c r="R247" s="21" t="str">
        <f>IF($N247&gt;المرجع!$K$3,"متقدم",IF($N247&lt;=المرجع!$K$2,"أولي","جزئي"))</f>
        <v>جزئي</v>
      </c>
    </row>
    <row r="248" spans="1:18">
      <c r="A248" s="16" t="s">
        <v>1688</v>
      </c>
      <c r="B248" s="16" t="s">
        <v>175</v>
      </c>
      <c r="C248" s="15" t="str">
        <f>IFERROR(INDEX('قائمة الوحدات'!$B$2:$B$41,MATCH($B248,'قائمة الوحدات'!$A$2:$A$41,0)),"")</f>
        <v>EXE</v>
      </c>
      <c r="D248" s="14" t="str">
        <f>IFERROR(INDEX('قائمة الوحدات'!$C$2:$C$41,MATCH($B248,'قائمة الوحدات'!$A$2:$A$41,0)),"")</f>
        <v>الشؤون التنفيذية</v>
      </c>
      <c r="E248" s="14" t="str">
        <f>IFERROR(INDEX('قائمة الوحدات'!$D$2:$D$41,MATCH($B248,'قائمة الوحدات'!$A$2:$A$41,0)),"")</f>
        <v>وكالة الخدمات المساندة</v>
      </c>
      <c r="F248" s="14" t="str">
        <f>IFERROR(INDEX('قائمة الوحدات'!$F$2:$F$41,MATCH($B248,'قائمة الوحدات'!$A$2:$A$41,0)),"")</f>
        <v>الإدارة العامة للشؤون المالية</v>
      </c>
      <c r="G248" s="16" t="s">
        <v>61</v>
      </c>
      <c r="H248" s="14" t="str">
        <f>IFERROR(INDEX(المرجع!$A$2:$A$19,MATCH($G248,المرجع!$B$2:$B$19,0)),"")</f>
        <v>البناء المؤسسي</v>
      </c>
      <c r="I248" s="16" t="s">
        <v>63</v>
      </c>
      <c r="J248" s="14" t="str">
        <f>IFERROR(INDEX(المرجع!$D$2:$D$19,MATCH($I248,المرجع!$E$2:$E$19,0)),"")</f>
        <v>إنتاج المخرج الأول</v>
      </c>
      <c r="K248" s="15">
        <f>IFERROR(INDEX(المرجع!$F$2:$F$19,MATCH($I248,المرجع!$E$2:$E$19,0)),"")</f>
        <v>7</v>
      </c>
      <c r="L248" s="15">
        <f>SUMIFS(المرجع!$H$2:$H$19,المرجع!$B$2:$B$19,$G248,المرجع!$E$2:$E$19,$I248)</f>
        <v>1</v>
      </c>
      <c r="M248" s="15">
        <f>COUNTIFS('المرتبطة بسمو الوزير'!$B$2:$B$151,$B248,'المرتبطة بسمو الوزير'!$G$2:$G$151,$G248,'المرتبطة بسمو الوزير'!$I$2:$I$151,$I248,'المرتبطة بسمو الوزير'!$M$2:$M$151,"&lt;&gt;")+COUNTIFS('الشؤون التنفيذية'!$B$2:$B$421,$B248,'الشؤون التنفيذية'!$G$2:$G$421,$G248,'الشؤون التنفيذية'!$I$2:$I$421,$I248,'الشؤون التنفيذية'!$N$2:$N$421,"&lt;&gt;")+COUNTIFS('الجهاز العسكري'!$B$2:$B$631,$B248,'الجهاز العسكري'!$G$2:$G$631,$G248,'الجهاز العسكري'!$I$2:$I$631,$I248,'الجهاز العسكري'!$M$2:$M$631,"&lt;&gt;")</f>
        <v>1</v>
      </c>
      <c r="N248" s="19">
        <f>IF($L248=0,0,ROUND((SUMIFS('المرتبطة بسمو الوزير'!$M$2:$M$151,'المرتبطة بسمو الوزير'!$B$2:$B$151,$B248,'المرتبطة بسمو الوزير'!$G$2:$G$151,$G248,'المرتبطة بسمو الوزير'!$I$2:$I$151,$I248)+SUMIFS('الشؤون التنفيذية'!$N$2:$N$421,'الشؤون التنفيذية'!$B$2:$B$421,$B248,'الشؤون التنفيذية'!$G$2:$G$421,$G248,'الشؤون التنفيذية'!$I$2:$I$421,$I248)+SUMIFS('الجهاز العسكري'!$M$2:$M$631,'الجهاز العسكري'!$B$2:$B$631,$B248,'الجهاز العسكري'!$G$2:$G$631,$G248,'الجهاز العسكري'!$I$2:$I$631,$I248))/$L248,0))</f>
        <v>43</v>
      </c>
      <c r="O248" s="18"/>
      <c r="P248" s="15">
        <f>SUMIFS(المرجع!$G$2:$G$19,المرجع!$B$2:$B$19,$G248,المرجع!$E$2:$E$19,$I248)</f>
        <v>5</v>
      </c>
      <c r="Q248" s="20">
        <f t="shared" si="4"/>
        <v>2.15</v>
      </c>
      <c r="R248" s="21" t="str">
        <f>IF($N248&gt;المرجع!$K$3,"متقدم",IF($N248&lt;=المرجع!$K$2,"أولي","جزئي"))</f>
        <v>جزئي</v>
      </c>
    </row>
    <row r="249" spans="1:18">
      <c r="A249" s="16" t="s">
        <v>1689</v>
      </c>
      <c r="B249" s="16" t="s">
        <v>175</v>
      </c>
      <c r="C249" s="15" t="str">
        <f>IFERROR(INDEX('قائمة الوحدات'!$B$2:$B$41,MATCH($B249,'قائمة الوحدات'!$A$2:$A$41,0)),"")</f>
        <v>EXE</v>
      </c>
      <c r="D249" s="14" t="str">
        <f>IFERROR(INDEX('قائمة الوحدات'!$C$2:$C$41,MATCH($B249,'قائمة الوحدات'!$A$2:$A$41,0)),"")</f>
        <v>الشؤون التنفيذية</v>
      </c>
      <c r="E249" s="14" t="str">
        <f>IFERROR(INDEX('قائمة الوحدات'!$D$2:$D$41,MATCH($B249,'قائمة الوحدات'!$A$2:$A$41,0)),"")</f>
        <v>وكالة الخدمات المساندة</v>
      </c>
      <c r="F249" s="14" t="str">
        <f>IFERROR(INDEX('قائمة الوحدات'!$F$2:$F$41,MATCH($B249,'قائمة الوحدات'!$A$2:$A$41,0)),"")</f>
        <v>الإدارة العامة للشؤون المالية</v>
      </c>
      <c r="G249" s="16" t="s">
        <v>65</v>
      </c>
      <c r="H249" s="14" t="str">
        <f>IFERROR(INDEX(المرجع!$A$2:$A$19,MATCH($G249,المرجع!$B$2:$B$19,0)),"")</f>
        <v>التشغيل</v>
      </c>
      <c r="I249" s="16" t="s">
        <v>48</v>
      </c>
      <c r="J249" s="14" t="str">
        <f>IFERROR(INDEX(المرجع!$D$2:$D$19,MATCH($I249,المرجع!$E$2:$E$19,0)),"")</f>
        <v>الأهداف ومؤشرات الأداء</v>
      </c>
      <c r="K249" s="15">
        <f>IFERROR(INDEX(المرجع!$F$2:$F$19,MATCH($I249,المرجع!$E$2:$E$19,0)),"")</f>
        <v>2</v>
      </c>
      <c r="L249" s="15">
        <f>SUMIFS(المرجع!$H$2:$H$19,المرجع!$B$2:$B$19,$G249,المرجع!$E$2:$E$19,$I249)</f>
        <v>2</v>
      </c>
      <c r="M249" s="15">
        <f>COUNTIFS('المرتبطة بسمو الوزير'!$B$2:$B$151,$B249,'المرتبطة بسمو الوزير'!$G$2:$G$151,$G249,'المرتبطة بسمو الوزير'!$I$2:$I$151,$I249,'المرتبطة بسمو الوزير'!$M$2:$M$151,"&lt;&gt;")+COUNTIFS('الشؤون التنفيذية'!$B$2:$B$421,$B249,'الشؤون التنفيذية'!$G$2:$G$421,$G249,'الشؤون التنفيذية'!$I$2:$I$421,$I249,'الشؤون التنفيذية'!$N$2:$N$421,"&lt;&gt;")+COUNTIFS('الجهاز العسكري'!$B$2:$B$631,$B249,'الجهاز العسكري'!$G$2:$G$631,$G249,'الجهاز العسكري'!$I$2:$I$631,$I249,'الجهاز العسكري'!$M$2:$M$631,"&lt;&gt;")</f>
        <v>2</v>
      </c>
      <c r="N249" s="19">
        <f>IF($L249=0,0,ROUND((SUMIFS('المرتبطة بسمو الوزير'!$M$2:$M$151,'المرتبطة بسمو الوزير'!$B$2:$B$151,$B249,'المرتبطة بسمو الوزير'!$G$2:$G$151,$G249,'المرتبطة بسمو الوزير'!$I$2:$I$151,$I249)+SUMIFS('الشؤون التنفيذية'!$N$2:$N$421,'الشؤون التنفيذية'!$B$2:$B$421,$B249,'الشؤون التنفيذية'!$G$2:$G$421,$G249,'الشؤون التنفيذية'!$I$2:$I$421,$I249)+SUMIFS('الجهاز العسكري'!$M$2:$M$631,'الجهاز العسكري'!$B$2:$B$631,$B249,'الجهاز العسكري'!$G$2:$G$631,$G249,'الجهاز العسكري'!$I$2:$I$631,$I249))/$L249,0))</f>
        <v>25</v>
      </c>
      <c r="O249" s="18"/>
      <c r="P249" s="15">
        <f>SUMIFS(المرجع!$G$2:$G$19,المرجع!$B$2:$B$19,$G249,المرجع!$E$2:$E$19,$I249)</f>
        <v>25</v>
      </c>
      <c r="Q249" s="20">
        <f t="shared" si="4"/>
        <v>6.25</v>
      </c>
      <c r="R249" s="21" t="str">
        <f>IF($N249&gt;المرجع!$K$3,"متقدم",IF($N249&lt;=المرجع!$K$2,"أولي","جزئي"))</f>
        <v>أولي</v>
      </c>
    </row>
    <row r="250" spans="1:18">
      <c r="A250" s="16" t="s">
        <v>1690</v>
      </c>
      <c r="B250" s="16" t="s">
        <v>175</v>
      </c>
      <c r="C250" s="15" t="str">
        <f>IFERROR(INDEX('قائمة الوحدات'!$B$2:$B$41,MATCH($B250,'قائمة الوحدات'!$A$2:$A$41,0)),"")</f>
        <v>EXE</v>
      </c>
      <c r="D250" s="14" t="str">
        <f>IFERROR(INDEX('قائمة الوحدات'!$C$2:$C$41,MATCH($B250,'قائمة الوحدات'!$A$2:$A$41,0)),"")</f>
        <v>الشؤون التنفيذية</v>
      </c>
      <c r="E250" s="14" t="str">
        <f>IFERROR(INDEX('قائمة الوحدات'!$D$2:$D$41,MATCH($B250,'قائمة الوحدات'!$A$2:$A$41,0)),"")</f>
        <v>وكالة الخدمات المساندة</v>
      </c>
      <c r="F250" s="14" t="str">
        <f>IFERROR(INDEX('قائمة الوحدات'!$F$2:$F$41,MATCH($B250,'قائمة الوحدات'!$A$2:$A$41,0)),"")</f>
        <v>الإدارة العامة للشؤون المالية</v>
      </c>
      <c r="G250" s="16" t="s">
        <v>65</v>
      </c>
      <c r="H250" s="14" t="str">
        <f>IFERROR(INDEX(المرجع!$A$2:$A$19,MATCH($G250,المرجع!$B$2:$B$19,0)),"")</f>
        <v>التشغيل</v>
      </c>
      <c r="I250" s="16" t="s">
        <v>51</v>
      </c>
      <c r="J250" s="14" t="str">
        <f>IFERROR(INDEX(المرجع!$D$2:$D$19,MATCH($I250,المرجع!$E$2:$E$19,0)),"")</f>
        <v>الحوكمة</v>
      </c>
      <c r="K250" s="15">
        <f>IFERROR(INDEX(المرجع!$F$2:$F$19,MATCH($I250,المرجع!$E$2:$E$19,0)),"")</f>
        <v>3</v>
      </c>
      <c r="L250" s="15">
        <f>SUMIFS(المرجع!$H$2:$H$19,المرجع!$B$2:$B$19,$G250,المرجع!$E$2:$E$19,$I250)</f>
        <v>3</v>
      </c>
      <c r="M250" s="15">
        <f>COUNTIFS('المرتبطة بسمو الوزير'!$B$2:$B$151,$B250,'المرتبطة بسمو الوزير'!$G$2:$G$151,$G250,'المرتبطة بسمو الوزير'!$I$2:$I$151,$I250,'المرتبطة بسمو الوزير'!$M$2:$M$151,"&lt;&gt;")+COUNTIFS('الشؤون التنفيذية'!$B$2:$B$421,$B250,'الشؤون التنفيذية'!$G$2:$G$421,$G250,'الشؤون التنفيذية'!$I$2:$I$421,$I250,'الشؤون التنفيذية'!$N$2:$N$421,"&lt;&gt;")+COUNTIFS('الجهاز العسكري'!$B$2:$B$631,$B250,'الجهاز العسكري'!$G$2:$G$631,$G250,'الجهاز العسكري'!$I$2:$I$631,$I250,'الجهاز العسكري'!$M$2:$M$631,"&lt;&gt;")</f>
        <v>3</v>
      </c>
      <c r="N250" s="19">
        <f>IF($L250=0,0,ROUND((SUMIFS('المرتبطة بسمو الوزير'!$M$2:$M$151,'المرتبطة بسمو الوزير'!$B$2:$B$151,$B250,'المرتبطة بسمو الوزير'!$G$2:$G$151,$G250,'المرتبطة بسمو الوزير'!$I$2:$I$151,$I250)+SUMIFS('الشؤون التنفيذية'!$N$2:$N$421,'الشؤون التنفيذية'!$B$2:$B$421,$B250,'الشؤون التنفيذية'!$G$2:$G$421,$G250,'الشؤون التنفيذية'!$I$2:$I$421,$I250)+SUMIFS('الجهاز العسكري'!$M$2:$M$631,'الجهاز العسكري'!$B$2:$B$631,$B250,'الجهاز العسكري'!$G$2:$G$631,$G250,'الجهاز العسكري'!$I$2:$I$631,$I250))/$L250,0))</f>
        <v>28</v>
      </c>
      <c r="O250" s="18"/>
      <c r="P250" s="15">
        <f>SUMIFS(المرجع!$G$2:$G$19,المرجع!$B$2:$B$19,$G250,المرجع!$E$2:$E$19,$I250)</f>
        <v>15</v>
      </c>
      <c r="Q250" s="20">
        <f t="shared" si="4"/>
        <v>4.2</v>
      </c>
      <c r="R250" s="21" t="str">
        <f>IF($N250&gt;المرجع!$K$3,"متقدم",IF($N250&lt;=المرجع!$K$2,"أولي","جزئي"))</f>
        <v>أولي</v>
      </c>
    </row>
    <row r="251" spans="1:18">
      <c r="A251" s="16" t="s">
        <v>1691</v>
      </c>
      <c r="B251" s="16" t="s">
        <v>175</v>
      </c>
      <c r="C251" s="15" t="str">
        <f>IFERROR(INDEX('قائمة الوحدات'!$B$2:$B$41,MATCH($B251,'قائمة الوحدات'!$A$2:$A$41,0)),"")</f>
        <v>EXE</v>
      </c>
      <c r="D251" s="14" t="str">
        <f>IFERROR(INDEX('قائمة الوحدات'!$C$2:$C$41,MATCH($B251,'قائمة الوحدات'!$A$2:$A$41,0)),"")</f>
        <v>الشؤون التنفيذية</v>
      </c>
      <c r="E251" s="14" t="str">
        <f>IFERROR(INDEX('قائمة الوحدات'!$D$2:$D$41,MATCH($B251,'قائمة الوحدات'!$A$2:$A$41,0)),"")</f>
        <v>وكالة الخدمات المساندة</v>
      </c>
      <c r="F251" s="14" t="str">
        <f>IFERROR(INDEX('قائمة الوحدات'!$F$2:$F$41,MATCH($B251,'قائمة الوحدات'!$A$2:$A$41,0)),"")</f>
        <v>الإدارة العامة للشؤون المالية</v>
      </c>
      <c r="G251" s="16" t="s">
        <v>65</v>
      </c>
      <c r="H251" s="14" t="str">
        <f>IFERROR(INDEX(المرجع!$A$2:$A$19,MATCH($G251,المرجع!$B$2:$B$19,0)),"")</f>
        <v>التشغيل</v>
      </c>
      <c r="I251" s="16" t="s">
        <v>56</v>
      </c>
      <c r="J251" s="14" t="str">
        <f>IFERROR(INDEX(المرجع!$D$2:$D$19,MATCH($I251,المرجع!$E$2:$E$19,0)),"")</f>
        <v>الموارد</v>
      </c>
      <c r="K251" s="15">
        <f>IFERROR(INDEX(المرجع!$F$2:$F$19,MATCH($I251,المرجع!$E$2:$E$19,0)),"")</f>
        <v>5</v>
      </c>
      <c r="L251" s="15">
        <f>SUMIFS(المرجع!$H$2:$H$19,المرجع!$B$2:$B$19,$G251,المرجع!$E$2:$E$19,$I251)</f>
        <v>1</v>
      </c>
      <c r="M251" s="15">
        <f>COUNTIFS('المرتبطة بسمو الوزير'!$B$2:$B$151,$B251,'المرتبطة بسمو الوزير'!$G$2:$G$151,$G251,'المرتبطة بسمو الوزير'!$I$2:$I$151,$I251,'المرتبطة بسمو الوزير'!$M$2:$M$151,"&lt;&gt;")+COUNTIFS('الشؤون التنفيذية'!$B$2:$B$421,$B251,'الشؤون التنفيذية'!$G$2:$G$421,$G251,'الشؤون التنفيذية'!$I$2:$I$421,$I251,'الشؤون التنفيذية'!$N$2:$N$421,"&lt;&gt;")+COUNTIFS('الجهاز العسكري'!$B$2:$B$631,$B251,'الجهاز العسكري'!$G$2:$G$631,$G251,'الجهاز العسكري'!$I$2:$I$631,$I251,'الجهاز العسكري'!$M$2:$M$631,"&lt;&gt;")</f>
        <v>1</v>
      </c>
      <c r="N251" s="19">
        <f>IF($L251=0,0,ROUND((SUMIFS('المرتبطة بسمو الوزير'!$M$2:$M$151,'المرتبطة بسمو الوزير'!$B$2:$B$151,$B251,'المرتبطة بسمو الوزير'!$G$2:$G$151,$G251,'المرتبطة بسمو الوزير'!$I$2:$I$151,$I251)+SUMIFS('الشؤون التنفيذية'!$N$2:$N$421,'الشؤون التنفيذية'!$B$2:$B$421,$B251,'الشؤون التنفيذية'!$G$2:$G$421,$G251,'الشؤون التنفيذية'!$I$2:$I$421,$I251)+SUMIFS('الجهاز العسكري'!$M$2:$M$631,'الجهاز العسكري'!$B$2:$B$631,$B251,'الجهاز العسكري'!$G$2:$G$631,$G251,'الجهاز العسكري'!$I$2:$I$631,$I251))/$L251,0))</f>
        <v>36</v>
      </c>
      <c r="O251" s="18"/>
      <c r="P251" s="15">
        <f>SUMIFS(المرجع!$G$2:$G$19,المرجع!$B$2:$B$19,$G251,المرجع!$E$2:$E$19,$I251)</f>
        <v>15</v>
      </c>
      <c r="Q251" s="20">
        <f t="shared" si="4"/>
        <v>5.4</v>
      </c>
      <c r="R251" s="21" t="str">
        <f>IF($N251&gt;المرجع!$K$3,"متقدم",IF($N251&lt;=المرجع!$K$2,"أولي","جزئي"))</f>
        <v>جزئي</v>
      </c>
    </row>
    <row r="252" spans="1:18">
      <c r="A252" s="16" t="s">
        <v>1692</v>
      </c>
      <c r="B252" s="16" t="s">
        <v>175</v>
      </c>
      <c r="C252" s="15" t="str">
        <f>IFERROR(INDEX('قائمة الوحدات'!$B$2:$B$41,MATCH($B252,'قائمة الوحدات'!$A$2:$A$41,0)),"")</f>
        <v>EXE</v>
      </c>
      <c r="D252" s="14" t="str">
        <f>IFERROR(INDEX('قائمة الوحدات'!$C$2:$C$41,MATCH($B252,'قائمة الوحدات'!$A$2:$A$41,0)),"")</f>
        <v>الشؤون التنفيذية</v>
      </c>
      <c r="E252" s="14" t="str">
        <f>IFERROR(INDEX('قائمة الوحدات'!$D$2:$D$41,MATCH($B252,'قائمة الوحدات'!$A$2:$A$41,0)),"")</f>
        <v>وكالة الخدمات المساندة</v>
      </c>
      <c r="F252" s="14" t="str">
        <f>IFERROR(INDEX('قائمة الوحدات'!$F$2:$F$41,MATCH($B252,'قائمة الوحدات'!$A$2:$A$41,0)),"")</f>
        <v>الإدارة العامة للشؤون المالية</v>
      </c>
      <c r="G252" s="16" t="s">
        <v>65</v>
      </c>
      <c r="H252" s="14" t="str">
        <f>IFERROR(INDEX(المرجع!$A$2:$A$19,MATCH($G252,المرجع!$B$2:$B$19,0)),"")</f>
        <v>التشغيل</v>
      </c>
      <c r="I252" s="16" t="s">
        <v>59</v>
      </c>
      <c r="J252" s="14" t="str">
        <f>IFERROR(INDEX(المرجع!$D$2:$D$19,MATCH($I252,المرجع!$E$2:$E$19,0)),"")</f>
        <v>الإجراءات</v>
      </c>
      <c r="K252" s="15">
        <f>IFERROR(INDEX(المرجع!$F$2:$F$19,MATCH($I252,المرجع!$E$2:$E$19,0)),"")</f>
        <v>6</v>
      </c>
      <c r="L252" s="15">
        <f>SUMIFS(المرجع!$H$2:$H$19,المرجع!$B$2:$B$19,$G252,المرجع!$E$2:$E$19,$I252)</f>
        <v>1</v>
      </c>
      <c r="M252" s="15">
        <f>COUNTIFS('المرتبطة بسمو الوزير'!$B$2:$B$151,$B252,'المرتبطة بسمو الوزير'!$G$2:$G$151,$G252,'المرتبطة بسمو الوزير'!$I$2:$I$151,$I252,'المرتبطة بسمو الوزير'!$M$2:$M$151,"&lt;&gt;")+COUNTIFS('الشؤون التنفيذية'!$B$2:$B$421,$B252,'الشؤون التنفيذية'!$G$2:$G$421,$G252,'الشؤون التنفيذية'!$I$2:$I$421,$I252,'الشؤون التنفيذية'!$N$2:$N$421,"&lt;&gt;")+COUNTIFS('الجهاز العسكري'!$B$2:$B$631,$B252,'الجهاز العسكري'!$G$2:$G$631,$G252,'الجهاز العسكري'!$I$2:$I$631,$I252,'الجهاز العسكري'!$M$2:$M$631,"&lt;&gt;")</f>
        <v>1</v>
      </c>
      <c r="N252" s="19">
        <f>IF($L252=0,0,ROUND((SUMIFS('المرتبطة بسمو الوزير'!$M$2:$M$151,'المرتبطة بسمو الوزير'!$B$2:$B$151,$B252,'المرتبطة بسمو الوزير'!$G$2:$G$151,$G252,'المرتبطة بسمو الوزير'!$I$2:$I$151,$I252)+SUMIFS('الشؤون التنفيذية'!$N$2:$N$421,'الشؤون التنفيذية'!$B$2:$B$421,$B252,'الشؤون التنفيذية'!$G$2:$G$421,$G252,'الشؤون التنفيذية'!$I$2:$I$421,$I252)+SUMIFS('الجهاز العسكري'!$M$2:$M$631,'الجهاز العسكري'!$B$2:$B$631,$B252,'الجهاز العسكري'!$G$2:$G$631,$G252,'الجهاز العسكري'!$I$2:$I$631,$I252))/$L252,0))</f>
        <v>32</v>
      </c>
      <c r="O252" s="18"/>
      <c r="P252" s="15">
        <f>SUMIFS(المرجع!$G$2:$G$19,المرجع!$B$2:$B$19,$G252,المرجع!$E$2:$E$19,$I252)</f>
        <v>15</v>
      </c>
      <c r="Q252" s="20">
        <f t="shared" si="4"/>
        <v>4.8</v>
      </c>
      <c r="R252" s="21" t="str">
        <f>IF($N252&gt;المرجع!$K$3,"متقدم",IF($N252&lt;=المرجع!$K$2,"أولي","جزئي"))</f>
        <v>جزئي</v>
      </c>
    </row>
    <row r="253" spans="1:18">
      <c r="A253" s="16" t="s">
        <v>1693</v>
      </c>
      <c r="B253" s="16" t="s">
        <v>175</v>
      </c>
      <c r="C253" s="15" t="str">
        <f>IFERROR(INDEX('قائمة الوحدات'!$B$2:$B$41,MATCH($B253,'قائمة الوحدات'!$A$2:$A$41,0)),"")</f>
        <v>EXE</v>
      </c>
      <c r="D253" s="14" t="str">
        <f>IFERROR(INDEX('قائمة الوحدات'!$C$2:$C$41,MATCH($B253,'قائمة الوحدات'!$A$2:$A$41,0)),"")</f>
        <v>الشؤون التنفيذية</v>
      </c>
      <c r="E253" s="14" t="str">
        <f>IFERROR(INDEX('قائمة الوحدات'!$D$2:$D$41,MATCH($B253,'قائمة الوحدات'!$A$2:$A$41,0)),"")</f>
        <v>وكالة الخدمات المساندة</v>
      </c>
      <c r="F253" s="14" t="str">
        <f>IFERROR(INDEX('قائمة الوحدات'!$F$2:$F$41,MATCH($B253,'قائمة الوحدات'!$A$2:$A$41,0)),"")</f>
        <v>الإدارة العامة للشؤون المالية</v>
      </c>
      <c r="G253" s="16" t="s">
        <v>65</v>
      </c>
      <c r="H253" s="14" t="str">
        <f>IFERROR(INDEX(المرجع!$A$2:$A$19,MATCH($G253,المرجع!$B$2:$B$19,0)),"")</f>
        <v>التشغيل</v>
      </c>
      <c r="I253" s="16" t="s">
        <v>67</v>
      </c>
      <c r="J253" s="14" t="str">
        <f>IFERROR(INDEX(المرجع!$D$2:$D$19,MATCH($I253,المرجع!$E$2:$E$19,0)),"")</f>
        <v>اكتمال المخرجات المستهدفة</v>
      </c>
      <c r="K253" s="15">
        <f>IFERROR(INDEX(المرجع!$F$2:$F$19,MATCH($I253,المرجع!$E$2:$E$19,0)),"")</f>
        <v>8</v>
      </c>
      <c r="L253" s="15">
        <f>SUMIFS(المرجع!$H$2:$H$19,المرجع!$B$2:$B$19,$G253,المرجع!$E$2:$E$19,$I253)</f>
        <v>1</v>
      </c>
      <c r="M253" s="15">
        <f>COUNTIFS('المرتبطة بسمو الوزير'!$B$2:$B$151,$B253,'المرتبطة بسمو الوزير'!$G$2:$G$151,$G253,'المرتبطة بسمو الوزير'!$I$2:$I$151,$I253,'المرتبطة بسمو الوزير'!$M$2:$M$151,"&lt;&gt;")+COUNTIFS('الشؤون التنفيذية'!$B$2:$B$421,$B253,'الشؤون التنفيذية'!$G$2:$G$421,$G253,'الشؤون التنفيذية'!$I$2:$I$421,$I253,'الشؤون التنفيذية'!$N$2:$N$421,"&lt;&gt;")+COUNTIFS('الجهاز العسكري'!$B$2:$B$631,$B253,'الجهاز العسكري'!$G$2:$G$631,$G253,'الجهاز العسكري'!$I$2:$I$631,$I253,'الجهاز العسكري'!$M$2:$M$631,"&lt;&gt;")</f>
        <v>1</v>
      </c>
      <c r="N253" s="19">
        <f>IF($L253=0,0,ROUND((SUMIFS('المرتبطة بسمو الوزير'!$M$2:$M$151,'المرتبطة بسمو الوزير'!$B$2:$B$151,$B253,'المرتبطة بسمو الوزير'!$G$2:$G$151,$G253,'المرتبطة بسمو الوزير'!$I$2:$I$151,$I253)+SUMIFS('الشؤون التنفيذية'!$N$2:$N$421,'الشؤون التنفيذية'!$B$2:$B$421,$B253,'الشؤون التنفيذية'!$G$2:$G$421,$G253,'الشؤون التنفيذية'!$I$2:$I$421,$I253)+SUMIFS('الجهاز العسكري'!$M$2:$M$631,'الجهاز العسكري'!$B$2:$B$631,$B253,'الجهاز العسكري'!$G$2:$G$631,$G253,'الجهاز العسكري'!$I$2:$I$631,$I253))/$L253,0))</f>
        <v>57</v>
      </c>
      <c r="O253" s="18"/>
      <c r="P253" s="15">
        <f>SUMIFS(المرجع!$G$2:$G$19,المرجع!$B$2:$B$19,$G253,المرجع!$E$2:$E$19,$I253)</f>
        <v>30</v>
      </c>
      <c r="Q253" s="20">
        <f t="shared" si="4"/>
        <v>17.100000000000001</v>
      </c>
      <c r="R253" s="21" t="str">
        <f>IF($N253&gt;المرجع!$K$3,"متقدم",IF($N253&lt;=المرجع!$K$2,"أولي","جزئي"))</f>
        <v>جزئي</v>
      </c>
    </row>
    <row r="254" spans="1:18">
      <c r="A254" s="16" t="s">
        <v>1694</v>
      </c>
      <c r="B254" s="16" t="s">
        <v>177</v>
      </c>
      <c r="C254" s="15" t="str">
        <f>IFERROR(INDEX('قائمة الوحدات'!$B$2:$B$41,MATCH($B254,'قائمة الوحدات'!$A$2:$A$41,0)),"")</f>
        <v>EXE</v>
      </c>
      <c r="D254" s="14" t="str">
        <f>IFERROR(INDEX('قائمة الوحدات'!$C$2:$C$41,MATCH($B254,'قائمة الوحدات'!$A$2:$A$41,0)),"")</f>
        <v>الشؤون التنفيذية</v>
      </c>
      <c r="E254" s="14" t="str">
        <f>IFERROR(INDEX('قائمة الوحدات'!$D$2:$D$41,MATCH($B254,'قائمة الوحدات'!$A$2:$A$41,0)),"")</f>
        <v>وكالة الخدمات المساندة</v>
      </c>
      <c r="F254" s="14" t="str">
        <f>IFERROR(INDEX('قائمة الوحدات'!$F$2:$F$41,MATCH($B254,'قائمة الوحدات'!$A$2:$A$41,0)),"")</f>
        <v>الإدارة العامة لتقنية المعلومات</v>
      </c>
      <c r="G254" s="16" t="s">
        <v>43</v>
      </c>
      <c r="H254" s="14" t="str">
        <f>IFERROR(INDEX(المرجع!$A$2:$A$19,MATCH($G254,المرجع!$B$2:$B$19,0)),"")</f>
        <v>التصميم</v>
      </c>
      <c r="I254" s="16" t="s">
        <v>45</v>
      </c>
      <c r="J254" s="14" t="str">
        <f>IFERROR(INDEX(المرجع!$D$2:$D$19,MATCH($I254,المرجع!$E$2:$E$19,0)),"")</f>
        <v>الدور</v>
      </c>
      <c r="K254" s="15">
        <f>IFERROR(INDEX(المرجع!$F$2:$F$19,MATCH($I254,المرجع!$E$2:$E$19,0)),"")</f>
        <v>1</v>
      </c>
      <c r="L254" s="15">
        <f>SUMIFS(المرجع!$H$2:$H$19,المرجع!$B$2:$B$19,$G254,المرجع!$E$2:$E$19,$I254)</f>
        <v>1</v>
      </c>
      <c r="M254" s="15">
        <f>COUNTIFS('المرتبطة بسمو الوزير'!$B$2:$B$151,$B254,'المرتبطة بسمو الوزير'!$G$2:$G$151,$G254,'المرتبطة بسمو الوزير'!$I$2:$I$151,$I254,'المرتبطة بسمو الوزير'!$M$2:$M$151,"&lt;&gt;")+COUNTIFS('الشؤون التنفيذية'!$B$2:$B$421,$B254,'الشؤون التنفيذية'!$G$2:$G$421,$G254,'الشؤون التنفيذية'!$I$2:$I$421,$I254,'الشؤون التنفيذية'!$N$2:$N$421,"&lt;&gt;")+COUNTIFS('الجهاز العسكري'!$B$2:$B$631,$B254,'الجهاز العسكري'!$G$2:$G$631,$G254,'الجهاز العسكري'!$I$2:$I$631,$I254,'الجهاز العسكري'!$M$2:$M$631,"&lt;&gt;")</f>
        <v>1</v>
      </c>
      <c r="N254" s="19">
        <f>IF($L254=0,0,ROUND((SUMIFS('المرتبطة بسمو الوزير'!$M$2:$M$151,'المرتبطة بسمو الوزير'!$B$2:$B$151,$B254,'المرتبطة بسمو الوزير'!$G$2:$G$151,$G254,'المرتبطة بسمو الوزير'!$I$2:$I$151,$I254)+SUMIFS('الشؤون التنفيذية'!$N$2:$N$421,'الشؤون التنفيذية'!$B$2:$B$421,$B254,'الشؤون التنفيذية'!$G$2:$G$421,$G254,'الشؤون التنفيذية'!$I$2:$I$421,$I254)+SUMIFS('الجهاز العسكري'!$M$2:$M$631,'الجهاز العسكري'!$B$2:$B$631,$B254,'الجهاز العسكري'!$G$2:$G$631,$G254,'الجهاز العسكري'!$I$2:$I$631,$I254))/$L254,0))</f>
        <v>85</v>
      </c>
      <c r="O254" s="18"/>
      <c r="P254" s="15">
        <f>SUMIFS(المرجع!$G$2:$G$19,المرجع!$B$2:$B$19,$G254,المرجع!$E$2:$E$19,$I254)</f>
        <v>25</v>
      </c>
      <c r="Q254" s="20">
        <f t="shared" si="4"/>
        <v>21.25</v>
      </c>
      <c r="R254" s="21" t="str">
        <f>IF($N254&gt;المرجع!$K$3,"متقدم",IF($N254&lt;=المرجع!$K$2,"أولي","جزئي"))</f>
        <v>متقدم</v>
      </c>
    </row>
    <row r="255" spans="1:18">
      <c r="A255" s="16" t="s">
        <v>1695</v>
      </c>
      <c r="B255" s="16" t="s">
        <v>177</v>
      </c>
      <c r="C255" s="15" t="str">
        <f>IFERROR(INDEX('قائمة الوحدات'!$B$2:$B$41,MATCH($B255,'قائمة الوحدات'!$A$2:$A$41,0)),"")</f>
        <v>EXE</v>
      </c>
      <c r="D255" s="14" t="str">
        <f>IFERROR(INDEX('قائمة الوحدات'!$C$2:$C$41,MATCH($B255,'قائمة الوحدات'!$A$2:$A$41,0)),"")</f>
        <v>الشؤون التنفيذية</v>
      </c>
      <c r="E255" s="14" t="str">
        <f>IFERROR(INDEX('قائمة الوحدات'!$D$2:$D$41,MATCH($B255,'قائمة الوحدات'!$A$2:$A$41,0)),"")</f>
        <v>وكالة الخدمات المساندة</v>
      </c>
      <c r="F255" s="14" t="str">
        <f>IFERROR(INDEX('قائمة الوحدات'!$F$2:$F$41,MATCH($B255,'قائمة الوحدات'!$A$2:$A$41,0)),"")</f>
        <v>الإدارة العامة لتقنية المعلومات</v>
      </c>
      <c r="G255" s="16" t="s">
        <v>43</v>
      </c>
      <c r="H255" s="14" t="str">
        <f>IFERROR(INDEX(المرجع!$A$2:$A$19,MATCH($G255,المرجع!$B$2:$B$19,0)),"")</f>
        <v>التصميم</v>
      </c>
      <c r="I255" s="16" t="s">
        <v>48</v>
      </c>
      <c r="J255" s="14" t="str">
        <f>IFERROR(INDEX(المرجع!$D$2:$D$19,MATCH($I255,المرجع!$E$2:$E$19,0)),"")</f>
        <v>الأهداف ومؤشرات الأداء</v>
      </c>
      <c r="K255" s="15">
        <f>IFERROR(INDEX(المرجع!$F$2:$F$19,MATCH($I255,المرجع!$E$2:$E$19,0)),"")</f>
        <v>2</v>
      </c>
      <c r="L255" s="15">
        <f>SUMIFS(المرجع!$H$2:$H$19,المرجع!$B$2:$B$19,$G255,المرجع!$E$2:$E$19,$I255)</f>
        <v>2</v>
      </c>
      <c r="M255" s="15">
        <f>COUNTIFS('المرتبطة بسمو الوزير'!$B$2:$B$151,$B255,'المرتبطة بسمو الوزير'!$G$2:$G$151,$G255,'المرتبطة بسمو الوزير'!$I$2:$I$151,$I255,'المرتبطة بسمو الوزير'!$M$2:$M$151,"&lt;&gt;")+COUNTIFS('الشؤون التنفيذية'!$B$2:$B$421,$B255,'الشؤون التنفيذية'!$G$2:$G$421,$G255,'الشؤون التنفيذية'!$I$2:$I$421,$I255,'الشؤون التنفيذية'!$N$2:$N$421,"&lt;&gt;")+COUNTIFS('الجهاز العسكري'!$B$2:$B$631,$B255,'الجهاز العسكري'!$G$2:$G$631,$G255,'الجهاز العسكري'!$I$2:$I$631,$I255,'الجهاز العسكري'!$M$2:$M$631,"&lt;&gt;")</f>
        <v>2</v>
      </c>
      <c r="N255" s="19">
        <f>IF($L255=0,0,ROUND((SUMIFS('المرتبطة بسمو الوزير'!$M$2:$M$151,'المرتبطة بسمو الوزير'!$B$2:$B$151,$B255,'المرتبطة بسمو الوزير'!$G$2:$G$151,$G255,'المرتبطة بسمو الوزير'!$I$2:$I$151,$I255)+SUMIFS('الشؤون التنفيذية'!$N$2:$N$421,'الشؤون التنفيذية'!$B$2:$B$421,$B255,'الشؤون التنفيذية'!$G$2:$G$421,$G255,'الشؤون التنفيذية'!$I$2:$I$421,$I255)+SUMIFS('الجهاز العسكري'!$M$2:$M$631,'الجهاز العسكري'!$B$2:$B$631,$B255,'الجهاز العسكري'!$G$2:$G$631,$G255,'الجهاز العسكري'!$I$2:$I$631,$I255))/$L255,0))</f>
        <v>68</v>
      </c>
      <c r="O255" s="18"/>
      <c r="P255" s="15">
        <f>SUMIFS(المرجع!$G$2:$G$19,المرجع!$B$2:$B$19,$G255,المرجع!$E$2:$E$19,$I255)</f>
        <v>15</v>
      </c>
      <c r="Q255" s="20">
        <f t="shared" si="4"/>
        <v>10.199999999999999</v>
      </c>
      <c r="R255" s="21" t="str">
        <f>IF($N255&gt;المرجع!$K$3,"متقدم",IF($N255&lt;=المرجع!$K$2,"أولي","جزئي"))</f>
        <v>جزئي</v>
      </c>
    </row>
    <row r="256" spans="1:18">
      <c r="A256" s="16" t="s">
        <v>1696</v>
      </c>
      <c r="B256" s="16" t="s">
        <v>177</v>
      </c>
      <c r="C256" s="15" t="str">
        <f>IFERROR(INDEX('قائمة الوحدات'!$B$2:$B$41,MATCH($B256,'قائمة الوحدات'!$A$2:$A$41,0)),"")</f>
        <v>EXE</v>
      </c>
      <c r="D256" s="14" t="str">
        <f>IFERROR(INDEX('قائمة الوحدات'!$C$2:$C$41,MATCH($B256,'قائمة الوحدات'!$A$2:$A$41,0)),"")</f>
        <v>الشؤون التنفيذية</v>
      </c>
      <c r="E256" s="14" t="str">
        <f>IFERROR(INDEX('قائمة الوحدات'!$D$2:$D$41,MATCH($B256,'قائمة الوحدات'!$A$2:$A$41,0)),"")</f>
        <v>وكالة الخدمات المساندة</v>
      </c>
      <c r="F256" s="14" t="str">
        <f>IFERROR(INDEX('قائمة الوحدات'!$F$2:$F$41,MATCH($B256,'قائمة الوحدات'!$A$2:$A$41,0)),"")</f>
        <v>الإدارة العامة لتقنية المعلومات</v>
      </c>
      <c r="G256" s="16" t="s">
        <v>43</v>
      </c>
      <c r="H256" s="14" t="str">
        <f>IFERROR(INDEX(المرجع!$A$2:$A$19,MATCH($G256,المرجع!$B$2:$B$19,0)),"")</f>
        <v>التصميم</v>
      </c>
      <c r="I256" s="16" t="s">
        <v>51</v>
      </c>
      <c r="J256" s="14" t="str">
        <f>IFERROR(INDEX(المرجع!$D$2:$D$19,MATCH($I256,المرجع!$E$2:$E$19,0)),"")</f>
        <v>الحوكمة</v>
      </c>
      <c r="K256" s="15">
        <f>IFERROR(INDEX(المرجع!$F$2:$F$19,MATCH($I256,المرجع!$E$2:$E$19,0)),"")</f>
        <v>3</v>
      </c>
      <c r="L256" s="15">
        <f>SUMIFS(المرجع!$H$2:$H$19,المرجع!$B$2:$B$19,$G256,المرجع!$E$2:$E$19,$I256)</f>
        <v>1</v>
      </c>
      <c r="M256" s="15">
        <f>COUNTIFS('المرتبطة بسمو الوزير'!$B$2:$B$151,$B256,'المرتبطة بسمو الوزير'!$G$2:$G$151,$G256,'المرتبطة بسمو الوزير'!$I$2:$I$151,$I256,'المرتبطة بسمو الوزير'!$M$2:$M$151,"&lt;&gt;")+COUNTIFS('الشؤون التنفيذية'!$B$2:$B$421,$B256,'الشؤون التنفيذية'!$G$2:$G$421,$G256,'الشؤون التنفيذية'!$I$2:$I$421,$I256,'الشؤون التنفيذية'!$N$2:$N$421,"&lt;&gt;")+COUNTIFS('الجهاز العسكري'!$B$2:$B$631,$B256,'الجهاز العسكري'!$G$2:$G$631,$G256,'الجهاز العسكري'!$I$2:$I$631,$I256,'الجهاز العسكري'!$M$2:$M$631,"&lt;&gt;")</f>
        <v>1</v>
      </c>
      <c r="N256" s="19">
        <f>IF($L256=0,0,ROUND((SUMIFS('المرتبطة بسمو الوزير'!$M$2:$M$151,'المرتبطة بسمو الوزير'!$B$2:$B$151,$B256,'المرتبطة بسمو الوزير'!$G$2:$G$151,$G256,'المرتبطة بسمو الوزير'!$I$2:$I$151,$I256)+SUMIFS('الشؤون التنفيذية'!$N$2:$N$421,'الشؤون التنفيذية'!$B$2:$B$421,$B256,'الشؤون التنفيذية'!$G$2:$G$421,$G256,'الشؤون التنفيذية'!$I$2:$I$421,$I256)+SUMIFS('الجهاز العسكري'!$M$2:$M$631,'الجهاز العسكري'!$B$2:$B$631,$B256,'الجهاز العسكري'!$G$2:$G$631,$G256,'الجهاز العسكري'!$I$2:$I$631,$I256))/$L256,0))</f>
        <v>69</v>
      </c>
      <c r="O256" s="18"/>
      <c r="P256" s="15">
        <f>SUMIFS(المرجع!$G$2:$G$19,المرجع!$B$2:$B$19,$G256,المرجع!$E$2:$E$19,$I256)</f>
        <v>15</v>
      </c>
      <c r="Q256" s="20">
        <f t="shared" si="4"/>
        <v>10.35</v>
      </c>
      <c r="R256" s="21" t="str">
        <f>IF($N256&gt;المرجع!$K$3,"متقدم",IF($N256&lt;=المرجع!$K$2,"أولي","جزئي"))</f>
        <v>جزئي</v>
      </c>
    </row>
    <row r="257" spans="1:18">
      <c r="A257" s="16" t="s">
        <v>1697</v>
      </c>
      <c r="B257" s="16" t="s">
        <v>177</v>
      </c>
      <c r="C257" s="15" t="str">
        <f>IFERROR(INDEX('قائمة الوحدات'!$B$2:$B$41,MATCH($B257,'قائمة الوحدات'!$A$2:$A$41,0)),"")</f>
        <v>EXE</v>
      </c>
      <c r="D257" s="14" t="str">
        <f>IFERROR(INDEX('قائمة الوحدات'!$C$2:$C$41,MATCH($B257,'قائمة الوحدات'!$A$2:$A$41,0)),"")</f>
        <v>الشؤون التنفيذية</v>
      </c>
      <c r="E257" s="14" t="str">
        <f>IFERROR(INDEX('قائمة الوحدات'!$D$2:$D$41,MATCH($B257,'قائمة الوحدات'!$A$2:$A$41,0)),"")</f>
        <v>وكالة الخدمات المساندة</v>
      </c>
      <c r="F257" s="14" t="str">
        <f>IFERROR(INDEX('قائمة الوحدات'!$F$2:$F$41,MATCH($B257,'قائمة الوحدات'!$A$2:$A$41,0)),"")</f>
        <v>الإدارة العامة لتقنية المعلومات</v>
      </c>
      <c r="G257" s="16" t="s">
        <v>43</v>
      </c>
      <c r="H257" s="14" t="str">
        <f>IFERROR(INDEX(المرجع!$A$2:$A$19,MATCH($G257,المرجع!$B$2:$B$19,0)),"")</f>
        <v>التصميم</v>
      </c>
      <c r="I257" s="16" t="s">
        <v>54</v>
      </c>
      <c r="J257" s="14" t="str">
        <f>IFERROR(INDEX(المرجع!$D$2:$D$19,MATCH($I257,المرجع!$E$2:$E$19,0)),"")</f>
        <v>التنظيم</v>
      </c>
      <c r="K257" s="15">
        <f>IFERROR(INDEX(المرجع!$F$2:$F$19,MATCH($I257,المرجع!$E$2:$E$19,0)),"")</f>
        <v>4</v>
      </c>
      <c r="L257" s="15">
        <f>SUMIFS(المرجع!$H$2:$H$19,المرجع!$B$2:$B$19,$G257,المرجع!$E$2:$E$19,$I257)</f>
        <v>1</v>
      </c>
      <c r="M257" s="15">
        <f>COUNTIFS('المرتبطة بسمو الوزير'!$B$2:$B$151,$B257,'المرتبطة بسمو الوزير'!$G$2:$G$151,$G257,'المرتبطة بسمو الوزير'!$I$2:$I$151,$I257,'المرتبطة بسمو الوزير'!$M$2:$M$151,"&lt;&gt;")+COUNTIFS('الشؤون التنفيذية'!$B$2:$B$421,$B257,'الشؤون التنفيذية'!$G$2:$G$421,$G257,'الشؤون التنفيذية'!$I$2:$I$421,$I257,'الشؤون التنفيذية'!$N$2:$N$421,"&lt;&gt;")+COUNTIFS('الجهاز العسكري'!$B$2:$B$631,$B257,'الجهاز العسكري'!$G$2:$G$631,$G257,'الجهاز العسكري'!$I$2:$I$631,$I257,'الجهاز العسكري'!$M$2:$M$631,"&lt;&gt;")</f>
        <v>1</v>
      </c>
      <c r="N257" s="19">
        <f>IF($L257=0,0,ROUND((SUMIFS('المرتبطة بسمو الوزير'!$M$2:$M$151,'المرتبطة بسمو الوزير'!$B$2:$B$151,$B257,'المرتبطة بسمو الوزير'!$G$2:$G$151,$G257,'المرتبطة بسمو الوزير'!$I$2:$I$151,$I257)+SUMIFS('الشؤون التنفيذية'!$N$2:$N$421,'الشؤون التنفيذية'!$B$2:$B$421,$B257,'الشؤون التنفيذية'!$G$2:$G$421,$G257,'الشؤون التنفيذية'!$I$2:$I$421,$I257)+SUMIFS('الجهاز العسكري'!$M$2:$M$631,'الجهاز العسكري'!$B$2:$B$631,$B257,'الجهاز العسكري'!$G$2:$G$631,$G257,'الجهاز العسكري'!$I$2:$I$631,$I257))/$L257,0))</f>
        <v>71</v>
      </c>
      <c r="O257" s="18"/>
      <c r="P257" s="15">
        <f>SUMIFS(المرجع!$G$2:$G$19,المرجع!$B$2:$B$19,$G257,المرجع!$E$2:$E$19,$I257)</f>
        <v>20</v>
      </c>
      <c r="Q257" s="20">
        <f t="shared" si="4"/>
        <v>14.2</v>
      </c>
      <c r="R257" s="21" t="str">
        <f>IF($N257&gt;المرجع!$K$3,"متقدم",IF($N257&lt;=المرجع!$K$2,"أولي","جزئي"))</f>
        <v>متقدم</v>
      </c>
    </row>
    <row r="258" spans="1:18">
      <c r="A258" s="16" t="s">
        <v>1698</v>
      </c>
      <c r="B258" s="16" t="s">
        <v>177</v>
      </c>
      <c r="C258" s="15" t="str">
        <f>IFERROR(INDEX('قائمة الوحدات'!$B$2:$B$41,MATCH($B258,'قائمة الوحدات'!$A$2:$A$41,0)),"")</f>
        <v>EXE</v>
      </c>
      <c r="D258" s="14" t="str">
        <f>IFERROR(INDEX('قائمة الوحدات'!$C$2:$C$41,MATCH($B258,'قائمة الوحدات'!$A$2:$A$41,0)),"")</f>
        <v>الشؤون التنفيذية</v>
      </c>
      <c r="E258" s="14" t="str">
        <f>IFERROR(INDEX('قائمة الوحدات'!$D$2:$D$41,MATCH($B258,'قائمة الوحدات'!$A$2:$A$41,0)),"")</f>
        <v>وكالة الخدمات المساندة</v>
      </c>
      <c r="F258" s="14" t="str">
        <f>IFERROR(INDEX('قائمة الوحدات'!$F$2:$F$41,MATCH($B258,'قائمة الوحدات'!$A$2:$A$41,0)),"")</f>
        <v>الإدارة العامة لتقنية المعلومات</v>
      </c>
      <c r="G258" s="16" t="s">
        <v>43</v>
      </c>
      <c r="H258" s="14" t="str">
        <f>IFERROR(INDEX(المرجع!$A$2:$A$19,MATCH($G258,المرجع!$B$2:$B$19,0)),"")</f>
        <v>التصميم</v>
      </c>
      <c r="I258" s="16" t="s">
        <v>56</v>
      </c>
      <c r="J258" s="14" t="str">
        <f>IFERROR(INDEX(المرجع!$D$2:$D$19,MATCH($I258,المرجع!$E$2:$E$19,0)),"")</f>
        <v>الموارد</v>
      </c>
      <c r="K258" s="15">
        <f>IFERROR(INDEX(المرجع!$F$2:$F$19,MATCH($I258,المرجع!$E$2:$E$19,0)),"")</f>
        <v>5</v>
      </c>
      <c r="L258" s="15">
        <f>SUMIFS(المرجع!$H$2:$H$19,المرجع!$B$2:$B$19,$G258,المرجع!$E$2:$E$19,$I258)</f>
        <v>1</v>
      </c>
      <c r="M258" s="15">
        <f>COUNTIFS('المرتبطة بسمو الوزير'!$B$2:$B$151,$B258,'المرتبطة بسمو الوزير'!$G$2:$G$151,$G258,'المرتبطة بسمو الوزير'!$I$2:$I$151,$I258,'المرتبطة بسمو الوزير'!$M$2:$M$151,"&lt;&gt;")+COUNTIFS('الشؤون التنفيذية'!$B$2:$B$421,$B258,'الشؤون التنفيذية'!$G$2:$G$421,$G258,'الشؤون التنفيذية'!$I$2:$I$421,$I258,'الشؤون التنفيذية'!$N$2:$N$421,"&lt;&gt;")+COUNTIFS('الجهاز العسكري'!$B$2:$B$631,$B258,'الجهاز العسكري'!$G$2:$G$631,$G258,'الجهاز العسكري'!$I$2:$I$631,$I258,'الجهاز العسكري'!$M$2:$M$631,"&lt;&gt;")</f>
        <v>1</v>
      </c>
      <c r="N258" s="19">
        <f>IF($L258=0,0,ROUND((SUMIFS('المرتبطة بسمو الوزير'!$M$2:$M$151,'المرتبطة بسمو الوزير'!$B$2:$B$151,$B258,'المرتبطة بسمو الوزير'!$G$2:$G$151,$G258,'المرتبطة بسمو الوزير'!$I$2:$I$151,$I258)+SUMIFS('الشؤون التنفيذية'!$N$2:$N$421,'الشؤون التنفيذية'!$B$2:$B$421,$B258,'الشؤون التنفيذية'!$G$2:$G$421,$G258,'الشؤون التنفيذية'!$I$2:$I$421,$I258)+SUMIFS('الجهاز العسكري'!$M$2:$M$631,'الجهاز العسكري'!$B$2:$B$631,$B258,'الجهاز العسكري'!$G$2:$G$631,$G258,'الجهاز العسكري'!$I$2:$I$631,$I258))/$L258,0))</f>
        <v>68</v>
      </c>
      <c r="O258" s="18"/>
      <c r="P258" s="15">
        <f>SUMIFS(المرجع!$G$2:$G$19,المرجع!$B$2:$B$19,$G258,المرجع!$E$2:$E$19,$I258)</f>
        <v>20</v>
      </c>
      <c r="Q258" s="20">
        <f t="shared" ref="Q258:Q321" si="5">ROUND($P258*$N258/100,2)</f>
        <v>13.6</v>
      </c>
      <c r="R258" s="21" t="str">
        <f>IF($N258&gt;المرجع!$K$3,"متقدم",IF($N258&lt;=المرجع!$K$2,"أولي","جزئي"))</f>
        <v>جزئي</v>
      </c>
    </row>
    <row r="259" spans="1:18">
      <c r="A259" s="16" t="s">
        <v>1699</v>
      </c>
      <c r="B259" s="16" t="s">
        <v>177</v>
      </c>
      <c r="C259" s="15" t="str">
        <f>IFERROR(INDEX('قائمة الوحدات'!$B$2:$B$41,MATCH($B259,'قائمة الوحدات'!$A$2:$A$41,0)),"")</f>
        <v>EXE</v>
      </c>
      <c r="D259" s="14" t="str">
        <f>IFERROR(INDEX('قائمة الوحدات'!$C$2:$C$41,MATCH($B259,'قائمة الوحدات'!$A$2:$A$41,0)),"")</f>
        <v>الشؤون التنفيذية</v>
      </c>
      <c r="E259" s="14" t="str">
        <f>IFERROR(INDEX('قائمة الوحدات'!$D$2:$D$41,MATCH($B259,'قائمة الوحدات'!$A$2:$A$41,0)),"")</f>
        <v>وكالة الخدمات المساندة</v>
      </c>
      <c r="F259" s="14" t="str">
        <f>IFERROR(INDEX('قائمة الوحدات'!$F$2:$F$41,MATCH($B259,'قائمة الوحدات'!$A$2:$A$41,0)),"")</f>
        <v>الإدارة العامة لتقنية المعلومات</v>
      </c>
      <c r="G259" s="16" t="s">
        <v>43</v>
      </c>
      <c r="H259" s="14" t="str">
        <f>IFERROR(INDEX(المرجع!$A$2:$A$19,MATCH($G259,المرجع!$B$2:$B$19,0)),"")</f>
        <v>التصميم</v>
      </c>
      <c r="I259" s="16" t="s">
        <v>59</v>
      </c>
      <c r="J259" s="14" t="str">
        <f>IFERROR(INDEX(المرجع!$D$2:$D$19,MATCH($I259,المرجع!$E$2:$E$19,0)),"")</f>
        <v>الإجراءات</v>
      </c>
      <c r="K259" s="15">
        <f>IFERROR(INDEX(المرجع!$F$2:$F$19,MATCH($I259,المرجع!$E$2:$E$19,0)),"")</f>
        <v>6</v>
      </c>
      <c r="L259" s="15">
        <f>SUMIFS(المرجع!$H$2:$H$19,المرجع!$B$2:$B$19,$G259,المرجع!$E$2:$E$19,$I259)</f>
        <v>1</v>
      </c>
      <c r="M259" s="15">
        <f>COUNTIFS('المرتبطة بسمو الوزير'!$B$2:$B$151,$B259,'المرتبطة بسمو الوزير'!$G$2:$G$151,$G259,'المرتبطة بسمو الوزير'!$I$2:$I$151,$I259,'المرتبطة بسمو الوزير'!$M$2:$M$151,"&lt;&gt;")+COUNTIFS('الشؤون التنفيذية'!$B$2:$B$421,$B259,'الشؤون التنفيذية'!$G$2:$G$421,$G259,'الشؤون التنفيذية'!$I$2:$I$421,$I259,'الشؤون التنفيذية'!$N$2:$N$421,"&lt;&gt;")+COUNTIFS('الجهاز العسكري'!$B$2:$B$631,$B259,'الجهاز العسكري'!$G$2:$G$631,$G259,'الجهاز العسكري'!$I$2:$I$631,$I259,'الجهاز العسكري'!$M$2:$M$631,"&lt;&gt;")</f>
        <v>1</v>
      </c>
      <c r="N259" s="19">
        <f>IF($L259=0,0,ROUND((SUMIFS('المرتبطة بسمو الوزير'!$M$2:$M$151,'المرتبطة بسمو الوزير'!$B$2:$B$151,$B259,'المرتبطة بسمو الوزير'!$G$2:$G$151,$G259,'المرتبطة بسمو الوزير'!$I$2:$I$151,$I259)+SUMIFS('الشؤون التنفيذية'!$N$2:$N$421,'الشؤون التنفيذية'!$B$2:$B$421,$B259,'الشؤون التنفيذية'!$G$2:$G$421,$G259,'الشؤون التنفيذية'!$I$2:$I$421,$I259)+SUMIFS('الجهاز العسكري'!$M$2:$M$631,'الجهاز العسكري'!$B$2:$B$631,$B259,'الجهاز العسكري'!$G$2:$G$631,$G259,'الجهاز العسكري'!$I$2:$I$631,$I259))/$L259,0))</f>
        <v>77</v>
      </c>
      <c r="O259" s="18"/>
      <c r="P259" s="15">
        <f>SUMIFS(المرجع!$G$2:$G$19,المرجع!$B$2:$B$19,$G259,المرجع!$E$2:$E$19,$I259)</f>
        <v>5</v>
      </c>
      <c r="Q259" s="20">
        <f t="shared" si="5"/>
        <v>3.85</v>
      </c>
      <c r="R259" s="21" t="str">
        <f>IF($N259&gt;المرجع!$K$3,"متقدم",IF($N259&lt;=المرجع!$K$2,"أولي","جزئي"))</f>
        <v>متقدم</v>
      </c>
    </row>
    <row r="260" spans="1:18">
      <c r="A260" s="16" t="s">
        <v>1700</v>
      </c>
      <c r="B260" s="16" t="s">
        <v>177</v>
      </c>
      <c r="C260" s="15" t="str">
        <f>IFERROR(INDEX('قائمة الوحدات'!$B$2:$B$41,MATCH($B260,'قائمة الوحدات'!$A$2:$A$41,0)),"")</f>
        <v>EXE</v>
      </c>
      <c r="D260" s="14" t="str">
        <f>IFERROR(INDEX('قائمة الوحدات'!$C$2:$C$41,MATCH($B260,'قائمة الوحدات'!$A$2:$A$41,0)),"")</f>
        <v>الشؤون التنفيذية</v>
      </c>
      <c r="E260" s="14" t="str">
        <f>IFERROR(INDEX('قائمة الوحدات'!$D$2:$D$41,MATCH($B260,'قائمة الوحدات'!$A$2:$A$41,0)),"")</f>
        <v>وكالة الخدمات المساندة</v>
      </c>
      <c r="F260" s="14" t="str">
        <f>IFERROR(INDEX('قائمة الوحدات'!$F$2:$F$41,MATCH($B260,'قائمة الوحدات'!$A$2:$A$41,0)),"")</f>
        <v>الإدارة العامة لتقنية المعلومات</v>
      </c>
      <c r="G260" s="16" t="s">
        <v>61</v>
      </c>
      <c r="H260" s="14" t="str">
        <f>IFERROR(INDEX(المرجع!$A$2:$A$19,MATCH($G260,المرجع!$B$2:$B$19,0)),"")</f>
        <v>البناء المؤسسي</v>
      </c>
      <c r="I260" s="16" t="s">
        <v>45</v>
      </c>
      <c r="J260" s="14" t="str">
        <f>IFERROR(INDEX(المرجع!$D$2:$D$19,MATCH($I260,المرجع!$E$2:$E$19,0)),"")</f>
        <v>الدور</v>
      </c>
      <c r="K260" s="15">
        <f>IFERROR(INDEX(المرجع!$F$2:$F$19,MATCH($I260,المرجع!$E$2:$E$19,0)),"")</f>
        <v>1</v>
      </c>
      <c r="L260" s="15">
        <f>SUMIFS(المرجع!$H$2:$H$19,المرجع!$B$2:$B$19,$G260,المرجع!$E$2:$E$19,$I260)</f>
        <v>1</v>
      </c>
      <c r="M260" s="15">
        <f>COUNTIFS('المرتبطة بسمو الوزير'!$B$2:$B$151,$B260,'المرتبطة بسمو الوزير'!$G$2:$G$151,$G260,'المرتبطة بسمو الوزير'!$I$2:$I$151,$I260,'المرتبطة بسمو الوزير'!$M$2:$M$151,"&lt;&gt;")+COUNTIFS('الشؤون التنفيذية'!$B$2:$B$421,$B260,'الشؤون التنفيذية'!$G$2:$G$421,$G260,'الشؤون التنفيذية'!$I$2:$I$421,$I260,'الشؤون التنفيذية'!$N$2:$N$421,"&lt;&gt;")+COUNTIFS('الجهاز العسكري'!$B$2:$B$631,$B260,'الجهاز العسكري'!$G$2:$G$631,$G260,'الجهاز العسكري'!$I$2:$I$631,$I260,'الجهاز العسكري'!$M$2:$M$631,"&lt;&gt;")</f>
        <v>1</v>
      </c>
      <c r="N260" s="19">
        <f>IF($L260=0,0,ROUND((SUMIFS('المرتبطة بسمو الوزير'!$M$2:$M$151,'المرتبطة بسمو الوزير'!$B$2:$B$151,$B260,'المرتبطة بسمو الوزير'!$G$2:$G$151,$G260,'المرتبطة بسمو الوزير'!$I$2:$I$151,$I260)+SUMIFS('الشؤون التنفيذية'!$N$2:$N$421,'الشؤون التنفيذية'!$B$2:$B$421,$B260,'الشؤون التنفيذية'!$G$2:$G$421,$G260,'الشؤون التنفيذية'!$I$2:$I$421,$I260)+SUMIFS('الجهاز العسكري'!$M$2:$M$631,'الجهاز العسكري'!$B$2:$B$631,$B260,'الجهاز العسكري'!$G$2:$G$631,$G260,'الجهاز العسكري'!$I$2:$I$631,$I260))/$L260,0))</f>
        <v>58</v>
      </c>
      <c r="O260" s="18"/>
      <c r="P260" s="15">
        <f>SUMIFS(المرجع!$G$2:$G$19,المرجع!$B$2:$B$19,$G260,المرجع!$E$2:$E$19,$I260)</f>
        <v>15</v>
      </c>
      <c r="Q260" s="20">
        <f t="shared" si="5"/>
        <v>8.6999999999999993</v>
      </c>
      <c r="R260" s="21" t="str">
        <f>IF($N260&gt;المرجع!$K$3,"متقدم",IF($N260&lt;=المرجع!$K$2,"أولي","جزئي"))</f>
        <v>جزئي</v>
      </c>
    </row>
    <row r="261" spans="1:18">
      <c r="A261" s="16" t="s">
        <v>1701</v>
      </c>
      <c r="B261" s="16" t="s">
        <v>177</v>
      </c>
      <c r="C261" s="15" t="str">
        <f>IFERROR(INDEX('قائمة الوحدات'!$B$2:$B$41,MATCH($B261,'قائمة الوحدات'!$A$2:$A$41,0)),"")</f>
        <v>EXE</v>
      </c>
      <c r="D261" s="14" t="str">
        <f>IFERROR(INDEX('قائمة الوحدات'!$C$2:$C$41,MATCH($B261,'قائمة الوحدات'!$A$2:$A$41,0)),"")</f>
        <v>الشؤون التنفيذية</v>
      </c>
      <c r="E261" s="14" t="str">
        <f>IFERROR(INDEX('قائمة الوحدات'!$D$2:$D$41,MATCH($B261,'قائمة الوحدات'!$A$2:$A$41,0)),"")</f>
        <v>وكالة الخدمات المساندة</v>
      </c>
      <c r="F261" s="14" t="str">
        <f>IFERROR(INDEX('قائمة الوحدات'!$F$2:$F$41,MATCH($B261,'قائمة الوحدات'!$A$2:$A$41,0)),"")</f>
        <v>الإدارة العامة لتقنية المعلومات</v>
      </c>
      <c r="G261" s="16" t="s">
        <v>61</v>
      </c>
      <c r="H261" s="14" t="str">
        <f>IFERROR(INDEX(المرجع!$A$2:$A$19,MATCH($G261,المرجع!$B$2:$B$19,0)),"")</f>
        <v>البناء المؤسسي</v>
      </c>
      <c r="I261" s="16" t="s">
        <v>48</v>
      </c>
      <c r="J261" s="14" t="str">
        <f>IFERROR(INDEX(المرجع!$D$2:$D$19,MATCH($I261,المرجع!$E$2:$E$19,0)),"")</f>
        <v>الأهداف ومؤشرات الأداء</v>
      </c>
      <c r="K261" s="15">
        <f>IFERROR(INDEX(المرجع!$F$2:$F$19,MATCH($I261,المرجع!$E$2:$E$19,0)),"")</f>
        <v>2</v>
      </c>
      <c r="L261" s="15">
        <f>SUMIFS(المرجع!$H$2:$H$19,المرجع!$B$2:$B$19,$G261,المرجع!$E$2:$E$19,$I261)</f>
        <v>2</v>
      </c>
      <c r="M261" s="15">
        <f>COUNTIFS('المرتبطة بسمو الوزير'!$B$2:$B$151,$B261,'المرتبطة بسمو الوزير'!$G$2:$G$151,$G261,'المرتبطة بسمو الوزير'!$I$2:$I$151,$I261,'المرتبطة بسمو الوزير'!$M$2:$M$151,"&lt;&gt;")+COUNTIFS('الشؤون التنفيذية'!$B$2:$B$421,$B261,'الشؤون التنفيذية'!$G$2:$G$421,$G261,'الشؤون التنفيذية'!$I$2:$I$421,$I261,'الشؤون التنفيذية'!$N$2:$N$421,"&lt;&gt;")+COUNTIFS('الجهاز العسكري'!$B$2:$B$631,$B261,'الجهاز العسكري'!$G$2:$G$631,$G261,'الجهاز العسكري'!$I$2:$I$631,$I261,'الجهاز العسكري'!$M$2:$M$631,"&lt;&gt;")</f>
        <v>2</v>
      </c>
      <c r="N261" s="19">
        <f>IF($L261=0,0,ROUND((SUMIFS('المرتبطة بسمو الوزير'!$M$2:$M$151,'المرتبطة بسمو الوزير'!$B$2:$B$151,$B261,'المرتبطة بسمو الوزير'!$G$2:$G$151,$G261,'المرتبطة بسمو الوزير'!$I$2:$I$151,$I261)+SUMIFS('الشؤون التنفيذية'!$N$2:$N$421,'الشؤون التنفيذية'!$B$2:$B$421,$B261,'الشؤون التنفيذية'!$G$2:$G$421,$G261,'الشؤون التنفيذية'!$I$2:$I$421,$I261)+SUMIFS('الجهاز العسكري'!$M$2:$M$631,'الجهاز العسكري'!$B$2:$B$631,$B261,'الجهاز العسكري'!$G$2:$G$631,$G261,'الجهاز العسكري'!$I$2:$I$631,$I261))/$L261,0))</f>
        <v>75</v>
      </c>
      <c r="O261" s="18"/>
      <c r="P261" s="15">
        <f>SUMIFS(المرجع!$G$2:$G$19,المرجع!$B$2:$B$19,$G261,المرجع!$E$2:$E$19,$I261)</f>
        <v>15</v>
      </c>
      <c r="Q261" s="20">
        <f t="shared" si="5"/>
        <v>11.25</v>
      </c>
      <c r="R261" s="21" t="str">
        <f>IF($N261&gt;المرجع!$K$3,"متقدم",IF($N261&lt;=المرجع!$K$2,"أولي","جزئي"))</f>
        <v>متقدم</v>
      </c>
    </row>
    <row r="262" spans="1:18">
      <c r="A262" s="16" t="s">
        <v>1702</v>
      </c>
      <c r="B262" s="16" t="s">
        <v>177</v>
      </c>
      <c r="C262" s="15" t="str">
        <f>IFERROR(INDEX('قائمة الوحدات'!$B$2:$B$41,MATCH($B262,'قائمة الوحدات'!$A$2:$A$41,0)),"")</f>
        <v>EXE</v>
      </c>
      <c r="D262" s="14" t="str">
        <f>IFERROR(INDEX('قائمة الوحدات'!$C$2:$C$41,MATCH($B262,'قائمة الوحدات'!$A$2:$A$41,0)),"")</f>
        <v>الشؤون التنفيذية</v>
      </c>
      <c r="E262" s="14" t="str">
        <f>IFERROR(INDEX('قائمة الوحدات'!$D$2:$D$41,MATCH($B262,'قائمة الوحدات'!$A$2:$A$41,0)),"")</f>
        <v>وكالة الخدمات المساندة</v>
      </c>
      <c r="F262" s="14" t="str">
        <f>IFERROR(INDEX('قائمة الوحدات'!$F$2:$F$41,MATCH($B262,'قائمة الوحدات'!$A$2:$A$41,0)),"")</f>
        <v>الإدارة العامة لتقنية المعلومات</v>
      </c>
      <c r="G262" s="16" t="s">
        <v>61</v>
      </c>
      <c r="H262" s="14" t="str">
        <f>IFERROR(INDEX(المرجع!$A$2:$A$19,MATCH($G262,المرجع!$B$2:$B$19,0)),"")</f>
        <v>البناء المؤسسي</v>
      </c>
      <c r="I262" s="16" t="s">
        <v>51</v>
      </c>
      <c r="J262" s="14" t="str">
        <f>IFERROR(INDEX(المرجع!$D$2:$D$19,MATCH($I262,المرجع!$E$2:$E$19,0)),"")</f>
        <v>الحوكمة</v>
      </c>
      <c r="K262" s="15">
        <f>IFERROR(INDEX(المرجع!$F$2:$F$19,MATCH($I262,المرجع!$E$2:$E$19,0)),"")</f>
        <v>3</v>
      </c>
      <c r="L262" s="15">
        <f>SUMIFS(المرجع!$H$2:$H$19,المرجع!$B$2:$B$19,$G262,المرجع!$E$2:$E$19,$I262)</f>
        <v>3</v>
      </c>
      <c r="M262" s="15">
        <f>COUNTIFS('المرتبطة بسمو الوزير'!$B$2:$B$151,$B262,'المرتبطة بسمو الوزير'!$G$2:$G$151,$G262,'المرتبطة بسمو الوزير'!$I$2:$I$151,$I262,'المرتبطة بسمو الوزير'!$M$2:$M$151,"&lt;&gt;")+COUNTIFS('الشؤون التنفيذية'!$B$2:$B$421,$B262,'الشؤون التنفيذية'!$G$2:$G$421,$G262,'الشؤون التنفيذية'!$I$2:$I$421,$I262,'الشؤون التنفيذية'!$N$2:$N$421,"&lt;&gt;")+COUNTIFS('الجهاز العسكري'!$B$2:$B$631,$B262,'الجهاز العسكري'!$G$2:$G$631,$G262,'الجهاز العسكري'!$I$2:$I$631,$I262,'الجهاز العسكري'!$M$2:$M$631,"&lt;&gt;")</f>
        <v>3</v>
      </c>
      <c r="N262" s="19">
        <f>IF($L262=0,0,ROUND((SUMIFS('المرتبطة بسمو الوزير'!$M$2:$M$151,'المرتبطة بسمو الوزير'!$B$2:$B$151,$B262,'المرتبطة بسمو الوزير'!$G$2:$G$151,$G262,'المرتبطة بسمو الوزير'!$I$2:$I$151,$I262)+SUMIFS('الشؤون التنفيذية'!$N$2:$N$421,'الشؤون التنفيذية'!$B$2:$B$421,$B262,'الشؤون التنفيذية'!$G$2:$G$421,$G262,'الشؤون التنفيذية'!$I$2:$I$421,$I262)+SUMIFS('الجهاز العسكري'!$M$2:$M$631,'الجهاز العسكري'!$B$2:$B$631,$B262,'الجهاز العسكري'!$G$2:$G$631,$G262,'الجهاز العسكري'!$I$2:$I$631,$I262))/$L262,0))</f>
        <v>48</v>
      </c>
      <c r="O262" s="18"/>
      <c r="P262" s="15">
        <f>SUMIFS(المرجع!$G$2:$G$19,المرجع!$B$2:$B$19,$G262,المرجع!$E$2:$E$19,$I262)</f>
        <v>15</v>
      </c>
      <c r="Q262" s="20">
        <f t="shared" si="5"/>
        <v>7.2</v>
      </c>
      <c r="R262" s="21" t="str">
        <f>IF($N262&gt;المرجع!$K$3,"متقدم",IF($N262&lt;=المرجع!$K$2,"أولي","جزئي"))</f>
        <v>جزئي</v>
      </c>
    </row>
    <row r="263" spans="1:18">
      <c r="A263" s="16" t="s">
        <v>1703</v>
      </c>
      <c r="B263" s="16" t="s">
        <v>177</v>
      </c>
      <c r="C263" s="15" t="str">
        <f>IFERROR(INDEX('قائمة الوحدات'!$B$2:$B$41,MATCH($B263,'قائمة الوحدات'!$A$2:$A$41,0)),"")</f>
        <v>EXE</v>
      </c>
      <c r="D263" s="14" t="str">
        <f>IFERROR(INDEX('قائمة الوحدات'!$C$2:$C$41,MATCH($B263,'قائمة الوحدات'!$A$2:$A$41,0)),"")</f>
        <v>الشؤون التنفيذية</v>
      </c>
      <c r="E263" s="14" t="str">
        <f>IFERROR(INDEX('قائمة الوحدات'!$D$2:$D$41,MATCH($B263,'قائمة الوحدات'!$A$2:$A$41,0)),"")</f>
        <v>وكالة الخدمات المساندة</v>
      </c>
      <c r="F263" s="14" t="str">
        <f>IFERROR(INDEX('قائمة الوحدات'!$F$2:$F$41,MATCH($B263,'قائمة الوحدات'!$A$2:$A$41,0)),"")</f>
        <v>الإدارة العامة لتقنية المعلومات</v>
      </c>
      <c r="G263" s="16" t="s">
        <v>61</v>
      </c>
      <c r="H263" s="14" t="str">
        <f>IFERROR(INDEX(المرجع!$A$2:$A$19,MATCH($G263,المرجع!$B$2:$B$19,0)),"")</f>
        <v>البناء المؤسسي</v>
      </c>
      <c r="I263" s="16" t="s">
        <v>54</v>
      </c>
      <c r="J263" s="14" t="str">
        <f>IFERROR(INDEX(المرجع!$D$2:$D$19,MATCH($I263,المرجع!$E$2:$E$19,0)),"")</f>
        <v>التنظيم</v>
      </c>
      <c r="K263" s="15">
        <f>IFERROR(INDEX(المرجع!$F$2:$F$19,MATCH($I263,المرجع!$E$2:$E$19,0)),"")</f>
        <v>4</v>
      </c>
      <c r="L263" s="15">
        <f>SUMIFS(المرجع!$H$2:$H$19,المرجع!$B$2:$B$19,$G263,المرجع!$E$2:$E$19,$I263)</f>
        <v>3</v>
      </c>
      <c r="M263" s="15">
        <f>COUNTIFS('المرتبطة بسمو الوزير'!$B$2:$B$151,$B263,'المرتبطة بسمو الوزير'!$G$2:$G$151,$G263,'المرتبطة بسمو الوزير'!$I$2:$I$151,$I263,'المرتبطة بسمو الوزير'!$M$2:$M$151,"&lt;&gt;")+COUNTIFS('الشؤون التنفيذية'!$B$2:$B$421,$B263,'الشؤون التنفيذية'!$G$2:$G$421,$G263,'الشؤون التنفيذية'!$I$2:$I$421,$I263,'الشؤون التنفيذية'!$N$2:$N$421,"&lt;&gt;")+COUNTIFS('الجهاز العسكري'!$B$2:$B$631,$B263,'الجهاز العسكري'!$G$2:$G$631,$G263,'الجهاز العسكري'!$I$2:$I$631,$I263,'الجهاز العسكري'!$M$2:$M$631,"&lt;&gt;")</f>
        <v>3</v>
      </c>
      <c r="N263" s="19">
        <f>IF($L263=0,0,ROUND((SUMIFS('المرتبطة بسمو الوزير'!$M$2:$M$151,'المرتبطة بسمو الوزير'!$B$2:$B$151,$B263,'المرتبطة بسمو الوزير'!$G$2:$G$151,$G263,'المرتبطة بسمو الوزير'!$I$2:$I$151,$I263)+SUMIFS('الشؤون التنفيذية'!$N$2:$N$421,'الشؤون التنفيذية'!$B$2:$B$421,$B263,'الشؤون التنفيذية'!$G$2:$G$421,$G263,'الشؤون التنفيذية'!$I$2:$I$421,$I263)+SUMIFS('الجهاز العسكري'!$M$2:$M$631,'الجهاز العسكري'!$B$2:$B$631,$B263,'الجهاز العسكري'!$G$2:$G$631,$G263,'الجهاز العسكري'!$I$2:$I$631,$I263))/$L263,0))</f>
        <v>42</v>
      </c>
      <c r="O263" s="18"/>
      <c r="P263" s="15">
        <f>SUMIFS(المرجع!$G$2:$G$19,المرجع!$B$2:$B$19,$G263,المرجع!$E$2:$E$19,$I263)</f>
        <v>20</v>
      </c>
      <c r="Q263" s="20">
        <f t="shared" si="5"/>
        <v>8.4</v>
      </c>
      <c r="R263" s="21" t="str">
        <f>IF($N263&gt;المرجع!$K$3,"متقدم",IF($N263&lt;=المرجع!$K$2,"أولي","جزئي"))</f>
        <v>جزئي</v>
      </c>
    </row>
    <row r="264" spans="1:18">
      <c r="A264" s="16" t="s">
        <v>1704</v>
      </c>
      <c r="B264" s="16" t="s">
        <v>177</v>
      </c>
      <c r="C264" s="15" t="str">
        <f>IFERROR(INDEX('قائمة الوحدات'!$B$2:$B$41,MATCH($B264,'قائمة الوحدات'!$A$2:$A$41,0)),"")</f>
        <v>EXE</v>
      </c>
      <c r="D264" s="14" t="str">
        <f>IFERROR(INDEX('قائمة الوحدات'!$C$2:$C$41,MATCH($B264,'قائمة الوحدات'!$A$2:$A$41,0)),"")</f>
        <v>الشؤون التنفيذية</v>
      </c>
      <c r="E264" s="14" t="str">
        <f>IFERROR(INDEX('قائمة الوحدات'!$D$2:$D$41,MATCH($B264,'قائمة الوحدات'!$A$2:$A$41,0)),"")</f>
        <v>وكالة الخدمات المساندة</v>
      </c>
      <c r="F264" s="14" t="str">
        <f>IFERROR(INDEX('قائمة الوحدات'!$F$2:$F$41,MATCH($B264,'قائمة الوحدات'!$A$2:$A$41,0)),"")</f>
        <v>الإدارة العامة لتقنية المعلومات</v>
      </c>
      <c r="G264" s="16" t="s">
        <v>61</v>
      </c>
      <c r="H264" s="14" t="str">
        <f>IFERROR(INDEX(المرجع!$A$2:$A$19,MATCH($G264,المرجع!$B$2:$B$19,0)),"")</f>
        <v>البناء المؤسسي</v>
      </c>
      <c r="I264" s="16" t="s">
        <v>56</v>
      </c>
      <c r="J264" s="14" t="str">
        <f>IFERROR(INDEX(المرجع!$D$2:$D$19,MATCH($I264,المرجع!$E$2:$E$19,0)),"")</f>
        <v>الموارد</v>
      </c>
      <c r="K264" s="15">
        <f>IFERROR(INDEX(المرجع!$F$2:$F$19,MATCH($I264,المرجع!$E$2:$E$19,0)),"")</f>
        <v>5</v>
      </c>
      <c r="L264" s="15">
        <f>SUMIFS(المرجع!$H$2:$H$19,المرجع!$B$2:$B$19,$G264,المرجع!$E$2:$E$19,$I264)</f>
        <v>4</v>
      </c>
      <c r="M264" s="15">
        <f>COUNTIFS('المرتبطة بسمو الوزير'!$B$2:$B$151,$B264,'المرتبطة بسمو الوزير'!$G$2:$G$151,$G264,'المرتبطة بسمو الوزير'!$I$2:$I$151,$I264,'المرتبطة بسمو الوزير'!$M$2:$M$151,"&lt;&gt;")+COUNTIFS('الشؤون التنفيذية'!$B$2:$B$421,$B264,'الشؤون التنفيذية'!$G$2:$G$421,$G264,'الشؤون التنفيذية'!$I$2:$I$421,$I264,'الشؤون التنفيذية'!$N$2:$N$421,"&lt;&gt;")+COUNTIFS('الجهاز العسكري'!$B$2:$B$631,$B264,'الجهاز العسكري'!$G$2:$G$631,$G264,'الجهاز العسكري'!$I$2:$I$631,$I264,'الجهاز العسكري'!$M$2:$M$631,"&lt;&gt;")</f>
        <v>4</v>
      </c>
      <c r="N264" s="19">
        <f>IF($L264=0,0,ROUND((SUMIFS('المرتبطة بسمو الوزير'!$M$2:$M$151,'المرتبطة بسمو الوزير'!$B$2:$B$151,$B264,'المرتبطة بسمو الوزير'!$G$2:$G$151,$G264,'المرتبطة بسمو الوزير'!$I$2:$I$151,$I264)+SUMIFS('الشؤون التنفيذية'!$N$2:$N$421,'الشؤون التنفيذية'!$B$2:$B$421,$B264,'الشؤون التنفيذية'!$G$2:$G$421,$G264,'الشؤون التنفيذية'!$I$2:$I$421,$I264)+SUMIFS('الجهاز العسكري'!$M$2:$M$631,'الجهاز العسكري'!$B$2:$B$631,$B264,'الجهاز العسكري'!$G$2:$G$631,$G264,'الجهاز العسكري'!$I$2:$I$631,$I264))/$L264,0))</f>
        <v>81</v>
      </c>
      <c r="O264" s="18"/>
      <c r="P264" s="15">
        <f>SUMIFS(المرجع!$G$2:$G$19,المرجع!$B$2:$B$19,$G264,المرجع!$E$2:$E$19,$I264)</f>
        <v>25</v>
      </c>
      <c r="Q264" s="20">
        <f t="shared" si="5"/>
        <v>20.25</v>
      </c>
      <c r="R264" s="21" t="str">
        <f>IF($N264&gt;المرجع!$K$3,"متقدم",IF($N264&lt;=المرجع!$K$2,"أولي","جزئي"))</f>
        <v>متقدم</v>
      </c>
    </row>
    <row r="265" spans="1:18">
      <c r="A265" s="16" t="s">
        <v>1705</v>
      </c>
      <c r="B265" s="16" t="s">
        <v>177</v>
      </c>
      <c r="C265" s="15" t="str">
        <f>IFERROR(INDEX('قائمة الوحدات'!$B$2:$B$41,MATCH($B265,'قائمة الوحدات'!$A$2:$A$41,0)),"")</f>
        <v>EXE</v>
      </c>
      <c r="D265" s="14" t="str">
        <f>IFERROR(INDEX('قائمة الوحدات'!$C$2:$C$41,MATCH($B265,'قائمة الوحدات'!$A$2:$A$41,0)),"")</f>
        <v>الشؤون التنفيذية</v>
      </c>
      <c r="E265" s="14" t="str">
        <f>IFERROR(INDEX('قائمة الوحدات'!$D$2:$D$41,MATCH($B265,'قائمة الوحدات'!$A$2:$A$41,0)),"")</f>
        <v>وكالة الخدمات المساندة</v>
      </c>
      <c r="F265" s="14" t="str">
        <f>IFERROR(INDEX('قائمة الوحدات'!$F$2:$F$41,MATCH($B265,'قائمة الوحدات'!$A$2:$A$41,0)),"")</f>
        <v>الإدارة العامة لتقنية المعلومات</v>
      </c>
      <c r="G265" s="16" t="s">
        <v>61</v>
      </c>
      <c r="H265" s="14" t="str">
        <f>IFERROR(INDEX(المرجع!$A$2:$A$19,MATCH($G265,المرجع!$B$2:$B$19,0)),"")</f>
        <v>البناء المؤسسي</v>
      </c>
      <c r="I265" s="16" t="s">
        <v>59</v>
      </c>
      <c r="J265" s="14" t="str">
        <f>IFERROR(INDEX(المرجع!$D$2:$D$19,MATCH($I265,المرجع!$E$2:$E$19,0)),"")</f>
        <v>الإجراءات</v>
      </c>
      <c r="K265" s="15">
        <f>IFERROR(INDEX(المرجع!$F$2:$F$19,MATCH($I265,المرجع!$E$2:$E$19,0)),"")</f>
        <v>6</v>
      </c>
      <c r="L265" s="15">
        <f>SUMIFS(المرجع!$H$2:$H$19,المرجع!$B$2:$B$19,$G265,المرجع!$E$2:$E$19,$I265)</f>
        <v>1</v>
      </c>
      <c r="M265" s="15">
        <f>COUNTIFS('المرتبطة بسمو الوزير'!$B$2:$B$151,$B265,'المرتبطة بسمو الوزير'!$G$2:$G$151,$G265,'المرتبطة بسمو الوزير'!$I$2:$I$151,$I265,'المرتبطة بسمو الوزير'!$M$2:$M$151,"&lt;&gt;")+COUNTIFS('الشؤون التنفيذية'!$B$2:$B$421,$B265,'الشؤون التنفيذية'!$G$2:$G$421,$G265,'الشؤون التنفيذية'!$I$2:$I$421,$I265,'الشؤون التنفيذية'!$N$2:$N$421,"&lt;&gt;")+COUNTIFS('الجهاز العسكري'!$B$2:$B$631,$B265,'الجهاز العسكري'!$G$2:$G$631,$G265,'الجهاز العسكري'!$I$2:$I$631,$I265,'الجهاز العسكري'!$M$2:$M$631,"&lt;&gt;")</f>
        <v>1</v>
      </c>
      <c r="N265" s="19">
        <f>IF($L265=0,0,ROUND((SUMIFS('المرتبطة بسمو الوزير'!$M$2:$M$151,'المرتبطة بسمو الوزير'!$B$2:$B$151,$B265,'المرتبطة بسمو الوزير'!$G$2:$G$151,$G265,'المرتبطة بسمو الوزير'!$I$2:$I$151,$I265)+SUMIFS('الشؤون التنفيذية'!$N$2:$N$421,'الشؤون التنفيذية'!$B$2:$B$421,$B265,'الشؤون التنفيذية'!$G$2:$G$421,$G265,'الشؤون التنفيذية'!$I$2:$I$421,$I265)+SUMIFS('الجهاز العسكري'!$M$2:$M$631,'الجهاز العسكري'!$B$2:$B$631,$B265,'الجهاز العسكري'!$G$2:$G$631,$G265,'الجهاز العسكري'!$I$2:$I$631,$I265))/$L265,0))</f>
        <v>74</v>
      </c>
      <c r="O265" s="18"/>
      <c r="P265" s="15">
        <f>SUMIFS(المرجع!$G$2:$G$19,المرجع!$B$2:$B$19,$G265,المرجع!$E$2:$E$19,$I265)</f>
        <v>5</v>
      </c>
      <c r="Q265" s="20">
        <f t="shared" si="5"/>
        <v>3.7</v>
      </c>
      <c r="R265" s="21" t="str">
        <f>IF($N265&gt;المرجع!$K$3,"متقدم",IF($N265&lt;=المرجع!$K$2,"أولي","جزئي"))</f>
        <v>متقدم</v>
      </c>
    </row>
    <row r="266" spans="1:18">
      <c r="A266" s="16" t="s">
        <v>1706</v>
      </c>
      <c r="B266" s="16" t="s">
        <v>177</v>
      </c>
      <c r="C266" s="15" t="str">
        <f>IFERROR(INDEX('قائمة الوحدات'!$B$2:$B$41,MATCH($B266,'قائمة الوحدات'!$A$2:$A$41,0)),"")</f>
        <v>EXE</v>
      </c>
      <c r="D266" s="14" t="str">
        <f>IFERROR(INDEX('قائمة الوحدات'!$C$2:$C$41,MATCH($B266,'قائمة الوحدات'!$A$2:$A$41,0)),"")</f>
        <v>الشؤون التنفيذية</v>
      </c>
      <c r="E266" s="14" t="str">
        <f>IFERROR(INDEX('قائمة الوحدات'!$D$2:$D$41,MATCH($B266,'قائمة الوحدات'!$A$2:$A$41,0)),"")</f>
        <v>وكالة الخدمات المساندة</v>
      </c>
      <c r="F266" s="14" t="str">
        <f>IFERROR(INDEX('قائمة الوحدات'!$F$2:$F$41,MATCH($B266,'قائمة الوحدات'!$A$2:$A$41,0)),"")</f>
        <v>الإدارة العامة لتقنية المعلومات</v>
      </c>
      <c r="G266" s="16" t="s">
        <v>61</v>
      </c>
      <c r="H266" s="14" t="str">
        <f>IFERROR(INDEX(المرجع!$A$2:$A$19,MATCH($G266,المرجع!$B$2:$B$19,0)),"")</f>
        <v>البناء المؤسسي</v>
      </c>
      <c r="I266" s="16" t="s">
        <v>63</v>
      </c>
      <c r="J266" s="14" t="str">
        <f>IFERROR(INDEX(المرجع!$D$2:$D$19,MATCH($I266,المرجع!$E$2:$E$19,0)),"")</f>
        <v>إنتاج المخرج الأول</v>
      </c>
      <c r="K266" s="15">
        <f>IFERROR(INDEX(المرجع!$F$2:$F$19,MATCH($I266,المرجع!$E$2:$E$19,0)),"")</f>
        <v>7</v>
      </c>
      <c r="L266" s="15">
        <f>SUMIFS(المرجع!$H$2:$H$19,المرجع!$B$2:$B$19,$G266,المرجع!$E$2:$E$19,$I266)</f>
        <v>1</v>
      </c>
      <c r="M266" s="15">
        <f>COUNTIFS('المرتبطة بسمو الوزير'!$B$2:$B$151,$B266,'المرتبطة بسمو الوزير'!$G$2:$G$151,$G266,'المرتبطة بسمو الوزير'!$I$2:$I$151,$I266,'المرتبطة بسمو الوزير'!$M$2:$M$151,"&lt;&gt;")+COUNTIFS('الشؤون التنفيذية'!$B$2:$B$421,$B266,'الشؤون التنفيذية'!$G$2:$G$421,$G266,'الشؤون التنفيذية'!$I$2:$I$421,$I266,'الشؤون التنفيذية'!$N$2:$N$421,"&lt;&gt;")+COUNTIFS('الجهاز العسكري'!$B$2:$B$631,$B266,'الجهاز العسكري'!$G$2:$G$631,$G266,'الجهاز العسكري'!$I$2:$I$631,$I266,'الجهاز العسكري'!$M$2:$M$631,"&lt;&gt;")</f>
        <v>1</v>
      </c>
      <c r="N266" s="19">
        <f>IF($L266=0,0,ROUND((SUMIFS('المرتبطة بسمو الوزير'!$M$2:$M$151,'المرتبطة بسمو الوزير'!$B$2:$B$151,$B266,'المرتبطة بسمو الوزير'!$G$2:$G$151,$G266,'المرتبطة بسمو الوزير'!$I$2:$I$151,$I266)+SUMIFS('الشؤون التنفيذية'!$N$2:$N$421,'الشؤون التنفيذية'!$B$2:$B$421,$B266,'الشؤون التنفيذية'!$G$2:$G$421,$G266,'الشؤون التنفيذية'!$I$2:$I$421,$I266)+SUMIFS('الجهاز العسكري'!$M$2:$M$631,'الجهاز العسكري'!$B$2:$B$631,$B266,'الجهاز العسكري'!$G$2:$G$631,$G266,'الجهاز العسكري'!$I$2:$I$631,$I266))/$L266,0))</f>
        <v>85</v>
      </c>
      <c r="O266" s="18"/>
      <c r="P266" s="15">
        <f>SUMIFS(المرجع!$G$2:$G$19,المرجع!$B$2:$B$19,$G266,المرجع!$E$2:$E$19,$I266)</f>
        <v>5</v>
      </c>
      <c r="Q266" s="20">
        <f t="shared" si="5"/>
        <v>4.25</v>
      </c>
      <c r="R266" s="21" t="str">
        <f>IF($N266&gt;المرجع!$K$3,"متقدم",IF($N266&lt;=المرجع!$K$2,"أولي","جزئي"))</f>
        <v>متقدم</v>
      </c>
    </row>
    <row r="267" spans="1:18">
      <c r="A267" s="16" t="s">
        <v>1707</v>
      </c>
      <c r="B267" s="16" t="s">
        <v>177</v>
      </c>
      <c r="C267" s="15" t="str">
        <f>IFERROR(INDEX('قائمة الوحدات'!$B$2:$B$41,MATCH($B267,'قائمة الوحدات'!$A$2:$A$41,0)),"")</f>
        <v>EXE</v>
      </c>
      <c r="D267" s="14" t="str">
        <f>IFERROR(INDEX('قائمة الوحدات'!$C$2:$C$41,MATCH($B267,'قائمة الوحدات'!$A$2:$A$41,0)),"")</f>
        <v>الشؤون التنفيذية</v>
      </c>
      <c r="E267" s="14" t="str">
        <f>IFERROR(INDEX('قائمة الوحدات'!$D$2:$D$41,MATCH($B267,'قائمة الوحدات'!$A$2:$A$41,0)),"")</f>
        <v>وكالة الخدمات المساندة</v>
      </c>
      <c r="F267" s="14" t="str">
        <f>IFERROR(INDEX('قائمة الوحدات'!$F$2:$F$41,MATCH($B267,'قائمة الوحدات'!$A$2:$A$41,0)),"")</f>
        <v>الإدارة العامة لتقنية المعلومات</v>
      </c>
      <c r="G267" s="16" t="s">
        <v>65</v>
      </c>
      <c r="H267" s="14" t="str">
        <f>IFERROR(INDEX(المرجع!$A$2:$A$19,MATCH($G267,المرجع!$B$2:$B$19,0)),"")</f>
        <v>التشغيل</v>
      </c>
      <c r="I267" s="16" t="s">
        <v>48</v>
      </c>
      <c r="J267" s="14" t="str">
        <f>IFERROR(INDEX(المرجع!$D$2:$D$19,MATCH($I267,المرجع!$E$2:$E$19,0)),"")</f>
        <v>الأهداف ومؤشرات الأداء</v>
      </c>
      <c r="K267" s="15">
        <f>IFERROR(INDEX(المرجع!$F$2:$F$19,MATCH($I267,المرجع!$E$2:$E$19,0)),"")</f>
        <v>2</v>
      </c>
      <c r="L267" s="15">
        <f>SUMIFS(المرجع!$H$2:$H$19,المرجع!$B$2:$B$19,$G267,المرجع!$E$2:$E$19,$I267)</f>
        <v>2</v>
      </c>
      <c r="M267" s="15">
        <f>COUNTIFS('المرتبطة بسمو الوزير'!$B$2:$B$151,$B267,'المرتبطة بسمو الوزير'!$G$2:$G$151,$G267,'المرتبطة بسمو الوزير'!$I$2:$I$151,$I267,'المرتبطة بسمو الوزير'!$M$2:$M$151,"&lt;&gt;")+COUNTIFS('الشؤون التنفيذية'!$B$2:$B$421,$B267,'الشؤون التنفيذية'!$G$2:$G$421,$G267,'الشؤون التنفيذية'!$I$2:$I$421,$I267,'الشؤون التنفيذية'!$N$2:$N$421,"&lt;&gt;")+COUNTIFS('الجهاز العسكري'!$B$2:$B$631,$B267,'الجهاز العسكري'!$G$2:$G$631,$G267,'الجهاز العسكري'!$I$2:$I$631,$I267,'الجهاز العسكري'!$M$2:$M$631,"&lt;&gt;")</f>
        <v>2</v>
      </c>
      <c r="N267" s="19">
        <f>IF($L267=0,0,ROUND((SUMIFS('المرتبطة بسمو الوزير'!$M$2:$M$151,'المرتبطة بسمو الوزير'!$B$2:$B$151,$B267,'المرتبطة بسمو الوزير'!$G$2:$G$151,$G267,'المرتبطة بسمو الوزير'!$I$2:$I$151,$I267)+SUMIFS('الشؤون التنفيذية'!$N$2:$N$421,'الشؤون التنفيذية'!$B$2:$B$421,$B267,'الشؤون التنفيذية'!$G$2:$G$421,$G267,'الشؤون التنفيذية'!$I$2:$I$421,$I267)+SUMIFS('الجهاز العسكري'!$M$2:$M$631,'الجهاز العسكري'!$B$2:$B$631,$B267,'الجهاز العسكري'!$G$2:$G$631,$G267,'الجهاز العسكري'!$I$2:$I$631,$I267))/$L267,0))</f>
        <v>63</v>
      </c>
      <c r="O267" s="18"/>
      <c r="P267" s="15">
        <f>SUMIFS(المرجع!$G$2:$G$19,المرجع!$B$2:$B$19,$G267,المرجع!$E$2:$E$19,$I267)</f>
        <v>25</v>
      </c>
      <c r="Q267" s="20">
        <f t="shared" si="5"/>
        <v>15.75</v>
      </c>
      <c r="R267" s="21" t="str">
        <f>IF($N267&gt;المرجع!$K$3,"متقدم",IF($N267&lt;=المرجع!$K$2,"أولي","جزئي"))</f>
        <v>جزئي</v>
      </c>
    </row>
    <row r="268" spans="1:18">
      <c r="A268" s="16" t="s">
        <v>1708</v>
      </c>
      <c r="B268" s="16" t="s">
        <v>177</v>
      </c>
      <c r="C268" s="15" t="str">
        <f>IFERROR(INDEX('قائمة الوحدات'!$B$2:$B$41,MATCH($B268,'قائمة الوحدات'!$A$2:$A$41,0)),"")</f>
        <v>EXE</v>
      </c>
      <c r="D268" s="14" t="str">
        <f>IFERROR(INDEX('قائمة الوحدات'!$C$2:$C$41,MATCH($B268,'قائمة الوحدات'!$A$2:$A$41,0)),"")</f>
        <v>الشؤون التنفيذية</v>
      </c>
      <c r="E268" s="14" t="str">
        <f>IFERROR(INDEX('قائمة الوحدات'!$D$2:$D$41,MATCH($B268,'قائمة الوحدات'!$A$2:$A$41,0)),"")</f>
        <v>وكالة الخدمات المساندة</v>
      </c>
      <c r="F268" s="14" t="str">
        <f>IFERROR(INDEX('قائمة الوحدات'!$F$2:$F$41,MATCH($B268,'قائمة الوحدات'!$A$2:$A$41,0)),"")</f>
        <v>الإدارة العامة لتقنية المعلومات</v>
      </c>
      <c r="G268" s="16" t="s">
        <v>65</v>
      </c>
      <c r="H268" s="14" t="str">
        <f>IFERROR(INDEX(المرجع!$A$2:$A$19,MATCH($G268,المرجع!$B$2:$B$19,0)),"")</f>
        <v>التشغيل</v>
      </c>
      <c r="I268" s="16" t="s">
        <v>51</v>
      </c>
      <c r="J268" s="14" t="str">
        <f>IFERROR(INDEX(المرجع!$D$2:$D$19,MATCH($I268,المرجع!$E$2:$E$19,0)),"")</f>
        <v>الحوكمة</v>
      </c>
      <c r="K268" s="15">
        <f>IFERROR(INDEX(المرجع!$F$2:$F$19,MATCH($I268,المرجع!$E$2:$E$19,0)),"")</f>
        <v>3</v>
      </c>
      <c r="L268" s="15">
        <f>SUMIFS(المرجع!$H$2:$H$19,المرجع!$B$2:$B$19,$G268,المرجع!$E$2:$E$19,$I268)</f>
        <v>3</v>
      </c>
      <c r="M268" s="15">
        <f>COUNTIFS('المرتبطة بسمو الوزير'!$B$2:$B$151,$B268,'المرتبطة بسمو الوزير'!$G$2:$G$151,$G268,'المرتبطة بسمو الوزير'!$I$2:$I$151,$I268,'المرتبطة بسمو الوزير'!$M$2:$M$151,"&lt;&gt;")+COUNTIFS('الشؤون التنفيذية'!$B$2:$B$421,$B268,'الشؤون التنفيذية'!$G$2:$G$421,$G268,'الشؤون التنفيذية'!$I$2:$I$421,$I268,'الشؤون التنفيذية'!$N$2:$N$421,"&lt;&gt;")+COUNTIFS('الجهاز العسكري'!$B$2:$B$631,$B268,'الجهاز العسكري'!$G$2:$G$631,$G268,'الجهاز العسكري'!$I$2:$I$631,$I268,'الجهاز العسكري'!$M$2:$M$631,"&lt;&gt;")</f>
        <v>3</v>
      </c>
      <c r="N268" s="19">
        <f>IF($L268=0,0,ROUND((SUMIFS('المرتبطة بسمو الوزير'!$M$2:$M$151,'المرتبطة بسمو الوزير'!$B$2:$B$151,$B268,'المرتبطة بسمو الوزير'!$G$2:$G$151,$G268,'المرتبطة بسمو الوزير'!$I$2:$I$151,$I268)+SUMIFS('الشؤون التنفيذية'!$N$2:$N$421,'الشؤون التنفيذية'!$B$2:$B$421,$B268,'الشؤون التنفيذية'!$G$2:$G$421,$G268,'الشؤون التنفيذية'!$I$2:$I$421,$I268)+SUMIFS('الجهاز العسكري'!$M$2:$M$631,'الجهاز العسكري'!$B$2:$B$631,$B268,'الجهاز العسكري'!$G$2:$G$631,$G268,'الجهاز العسكري'!$I$2:$I$631,$I268))/$L268,0))</f>
        <v>13</v>
      </c>
      <c r="O268" s="18"/>
      <c r="P268" s="15">
        <f>SUMIFS(المرجع!$G$2:$G$19,المرجع!$B$2:$B$19,$G268,المرجع!$E$2:$E$19,$I268)</f>
        <v>15</v>
      </c>
      <c r="Q268" s="20">
        <f t="shared" si="5"/>
        <v>1.95</v>
      </c>
      <c r="R268" s="21" t="str">
        <f>IF($N268&gt;المرجع!$K$3,"متقدم",IF($N268&lt;=المرجع!$K$2,"أولي","جزئي"))</f>
        <v>أولي</v>
      </c>
    </row>
    <row r="269" spans="1:18">
      <c r="A269" s="16" t="s">
        <v>1709</v>
      </c>
      <c r="B269" s="16" t="s">
        <v>177</v>
      </c>
      <c r="C269" s="15" t="str">
        <f>IFERROR(INDEX('قائمة الوحدات'!$B$2:$B$41,MATCH($B269,'قائمة الوحدات'!$A$2:$A$41,0)),"")</f>
        <v>EXE</v>
      </c>
      <c r="D269" s="14" t="str">
        <f>IFERROR(INDEX('قائمة الوحدات'!$C$2:$C$41,MATCH($B269,'قائمة الوحدات'!$A$2:$A$41,0)),"")</f>
        <v>الشؤون التنفيذية</v>
      </c>
      <c r="E269" s="14" t="str">
        <f>IFERROR(INDEX('قائمة الوحدات'!$D$2:$D$41,MATCH($B269,'قائمة الوحدات'!$A$2:$A$41,0)),"")</f>
        <v>وكالة الخدمات المساندة</v>
      </c>
      <c r="F269" s="14" t="str">
        <f>IFERROR(INDEX('قائمة الوحدات'!$F$2:$F$41,MATCH($B269,'قائمة الوحدات'!$A$2:$A$41,0)),"")</f>
        <v>الإدارة العامة لتقنية المعلومات</v>
      </c>
      <c r="G269" s="16" t="s">
        <v>65</v>
      </c>
      <c r="H269" s="14" t="str">
        <f>IFERROR(INDEX(المرجع!$A$2:$A$19,MATCH($G269,المرجع!$B$2:$B$19,0)),"")</f>
        <v>التشغيل</v>
      </c>
      <c r="I269" s="16" t="s">
        <v>56</v>
      </c>
      <c r="J269" s="14" t="str">
        <f>IFERROR(INDEX(المرجع!$D$2:$D$19,MATCH($I269,المرجع!$E$2:$E$19,0)),"")</f>
        <v>الموارد</v>
      </c>
      <c r="K269" s="15">
        <f>IFERROR(INDEX(المرجع!$F$2:$F$19,MATCH($I269,المرجع!$E$2:$E$19,0)),"")</f>
        <v>5</v>
      </c>
      <c r="L269" s="15">
        <f>SUMIFS(المرجع!$H$2:$H$19,المرجع!$B$2:$B$19,$G269,المرجع!$E$2:$E$19,$I269)</f>
        <v>1</v>
      </c>
      <c r="M269" s="15">
        <f>COUNTIFS('المرتبطة بسمو الوزير'!$B$2:$B$151,$B269,'المرتبطة بسمو الوزير'!$G$2:$G$151,$G269,'المرتبطة بسمو الوزير'!$I$2:$I$151,$I269,'المرتبطة بسمو الوزير'!$M$2:$M$151,"&lt;&gt;")+COUNTIFS('الشؤون التنفيذية'!$B$2:$B$421,$B269,'الشؤون التنفيذية'!$G$2:$G$421,$G269,'الشؤون التنفيذية'!$I$2:$I$421,$I269,'الشؤون التنفيذية'!$N$2:$N$421,"&lt;&gt;")+COUNTIFS('الجهاز العسكري'!$B$2:$B$631,$B269,'الجهاز العسكري'!$G$2:$G$631,$G269,'الجهاز العسكري'!$I$2:$I$631,$I269,'الجهاز العسكري'!$M$2:$M$631,"&lt;&gt;")</f>
        <v>1</v>
      </c>
      <c r="N269" s="19">
        <f>IF($L269=0,0,ROUND((SUMIFS('المرتبطة بسمو الوزير'!$M$2:$M$151,'المرتبطة بسمو الوزير'!$B$2:$B$151,$B269,'المرتبطة بسمو الوزير'!$G$2:$G$151,$G269,'المرتبطة بسمو الوزير'!$I$2:$I$151,$I269)+SUMIFS('الشؤون التنفيذية'!$N$2:$N$421,'الشؤون التنفيذية'!$B$2:$B$421,$B269,'الشؤون التنفيذية'!$G$2:$G$421,$G269,'الشؤون التنفيذية'!$I$2:$I$421,$I269)+SUMIFS('الجهاز العسكري'!$M$2:$M$631,'الجهاز العسكري'!$B$2:$B$631,$B269,'الجهاز العسكري'!$G$2:$G$631,$G269,'الجهاز العسكري'!$I$2:$I$631,$I269))/$L269,0))</f>
        <v>46</v>
      </c>
      <c r="O269" s="18"/>
      <c r="P269" s="15">
        <f>SUMIFS(المرجع!$G$2:$G$19,المرجع!$B$2:$B$19,$G269,المرجع!$E$2:$E$19,$I269)</f>
        <v>15</v>
      </c>
      <c r="Q269" s="20">
        <f t="shared" si="5"/>
        <v>6.9</v>
      </c>
      <c r="R269" s="21" t="str">
        <f>IF($N269&gt;المرجع!$K$3,"متقدم",IF($N269&lt;=المرجع!$K$2,"أولي","جزئي"))</f>
        <v>جزئي</v>
      </c>
    </row>
    <row r="270" spans="1:18">
      <c r="A270" s="16" t="s">
        <v>1710</v>
      </c>
      <c r="B270" s="16" t="s">
        <v>177</v>
      </c>
      <c r="C270" s="15" t="str">
        <f>IFERROR(INDEX('قائمة الوحدات'!$B$2:$B$41,MATCH($B270,'قائمة الوحدات'!$A$2:$A$41,0)),"")</f>
        <v>EXE</v>
      </c>
      <c r="D270" s="14" t="str">
        <f>IFERROR(INDEX('قائمة الوحدات'!$C$2:$C$41,MATCH($B270,'قائمة الوحدات'!$A$2:$A$41,0)),"")</f>
        <v>الشؤون التنفيذية</v>
      </c>
      <c r="E270" s="14" t="str">
        <f>IFERROR(INDEX('قائمة الوحدات'!$D$2:$D$41,MATCH($B270,'قائمة الوحدات'!$A$2:$A$41,0)),"")</f>
        <v>وكالة الخدمات المساندة</v>
      </c>
      <c r="F270" s="14" t="str">
        <f>IFERROR(INDEX('قائمة الوحدات'!$F$2:$F$41,MATCH($B270,'قائمة الوحدات'!$A$2:$A$41,0)),"")</f>
        <v>الإدارة العامة لتقنية المعلومات</v>
      </c>
      <c r="G270" s="16" t="s">
        <v>65</v>
      </c>
      <c r="H270" s="14" t="str">
        <f>IFERROR(INDEX(المرجع!$A$2:$A$19,MATCH($G270,المرجع!$B$2:$B$19,0)),"")</f>
        <v>التشغيل</v>
      </c>
      <c r="I270" s="16" t="s">
        <v>59</v>
      </c>
      <c r="J270" s="14" t="str">
        <f>IFERROR(INDEX(المرجع!$D$2:$D$19,MATCH($I270,المرجع!$E$2:$E$19,0)),"")</f>
        <v>الإجراءات</v>
      </c>
      <c r="K270" s="15">
        <f>IFERROR(INDEX(المرجع!$F$2:$F$19,MATCH($I270,المرجع!$E$2:$E$19,0)),"")</f>
        <v>6</v>
      </c>
      <c r="L270" s="15">
        <f>SUMIFS(المرجع!$H$2:$H$19,المرجع!$B$2:$B$19,$G270,المرجع!$E$2:$E$19,$I270)</f>
        <v>1</v>
      </c>
      <c r="M270" s="15">
        <f>COUNTIFS('المرتبطة بسمو الوزير'!$B$2:$B$151,$B270,'المرتبطة بسمو الوزير'!$G$2:$G$151,$G270,'المرتبطة بسمو الوزير'!$I$2:$I$151,$I270,'المرتبطة بسمو الوزير'!$M$2:$M$151,"&lt;&gt;")+COUNTIFS('الشؤون التنفيذية'!$B$2:$B$421,$B270,'الشؤون التنفيذية'!$G$2:$G$421,$G270,'الشؤون التنفيذية'!$I$2:$I$421,$I270,'الشؤون التنفيذية'!$N$2:$N$421,"&lt;&gt;")+COUNTIFS('الجهاز العسكري'!$B$2:$B$631,$B270,'الجهاز العسكري'!$G$2:$G$631,$G270,'الجهاز العسكري'!$I$2:$I$631,$I270,'الجهاز العسكري'!$M$2:$M$631,"&lt;&gt;")</f>
        <v>1</v>
      </c>
      <c r="N270" s="19">
        <f>IF($L270=0,0,ROUND((SUMIFS('المرتبطة بسمو الوزير'!$M$2:$M$151,'المرتبطة بسمو الوزير'!$B$2:$B$151,$B270,'المرتبطة بسمو الوزير'!$G$2:$G$151,$G270,'المرتبطة بسمو الوزير'!$I$2:$I$151,$I270)+SUMIFS('الشؤون التنفيذية'!$N$2:$N$421,'الشؤون التنفيذية'!$B$2:$B$421,$B270,'الشؤون التنفيذية'!$G$2:$G$421,$G270,'الشؤون التنفيذية'!$I$2:$I$421,$I270)+SUMIFS('الجهاز العسكري'!$M$2:$M$631,'الجهاز العسكري'!$B$2:$B$631,$B270,'الجهاز العسكري'!$G$2:$G$631,$G270,'الجهاز العسكري'!$I$2:$I$631,$I270))/$L270,0))</f>
        <v>56</v>
      </c>
      <c r="O270" s="18"/>
      <c r="P270" s="15">
        <f>SUMIFS(المرجع!$G$2:$G$19,المرجع!$B$2:$B$19,$G270,المرجع!$E$2:$E$19,$I270)</f>
        <v>15</v>
      </c>
      <c r="Q270" s="20">
        <f t="shared" si="5"/>
        <v>8.4</v>
      </c>
      <c r="R270" s="21" t="str">
        <f>IF($N270&gt;المرجع!$K$3,"متقدم",IF($N270&lt;=المرجع!$K$2,"أولي","جزئي"))</f>
        <v>جزئي</v>
      </c>
    </row>
    <row r="271" spans="1:18">
      <c r="A271" s="16" t="s">
        <v>1711</v>
      </c>
      <c r="B271" s="16" t="s">
        <v>177</v>
      </c>
      <c r="C271" s="15" t="str">
        <f>IFERROR(INDEX('قائمة الوحدات'!$B$2:$B$41,MATCH($B271,'قائمة الوحدات'!$A$2:$A$41,0)),"")</f>
        <v>EXE</v>
      </c>
      <c r="D271" s="14" t="str">
        <f>IFERROR(INDEX('قائمة الوحدات'!$C$2:$C$41,MATCH($B271,'قائمة الوحدات'!$A$2:$A$41,0)),"")</f>
        <v>الشؤون التنفيذية</v>
      </c>
      <c r="E271" s="14" t="str">
        <f>IFERROR(INDEX('قائمة الوحدات'!$D$2:$D$41,MATCH($B271,'قائمة الوحدات'!$A$2:$A$41,0)),"")</f>
        <v>وكالة الخدمات المساندة</v>
      </c>
      <c r="F271" s="14" t="str">
        <f>IFERROR(INDEX('قائمة الوحدات'!$F$2:$F$41,MATCH($B271,'قائمة الوحدات'!$A$2:$A$41,0)),"")</f>
        <v>الإدارة العامة لتقنية المعلومات</v>
      </c>
      <c r="G271" s="16" t="s">
        <v>65</v>
      </c>
      <c r="H271" s="14" t="str">
        <f>IFERROR(INDEX(المرجع!$A$2:$A$19,MATCH($G271,المرجع!$B$2:$B$19,0)),"")</f>
        <v>التشغيل</v>
      </c>
      <c r="I271" s="16" t="s">
        <v>67</v>
      </c>
      <c r="J271" s="14" t="str">
        <f>IFERROR(INDEX(المرجع!$D$2:$D$19,MATCH($I271,المرجع!$E$2:$E$19,0)),"")</f>
        <v>اكتمال المخرجات المستهدفة</v>
      </c>
      <c r="K271" s="15">
        <f>IFERROR(INDEX(المرجع!$F$2:$F$19,MATCH($I271,المرجع!$E$2:$E$19,0)),"")</f>
        <v>8</v>
      </c>
      <c r="L271" s="15">
        <f>SUMIFS(المرجع!$H$2:$H$19,المرجع!$B$2:$B$19,$G271,المرجع!$E$2:$E$19,$I271)</f>
        <v>1</v>
      </c>
      <c r="M271" s="15">
        <f>COUNTIFS('المرتبطة بسمو الوزير'!$B$2:$B$151,$B271,'المرتبطة بسمو الوزير'!$G$2:$G$151,$G271,'المرتبطة بسمو الوزير'!$I$2:$I$151,$I271,'المرتبطة بسمو الوزير'!$M$2:$M$151,"&lt;&gt;")+COUNTIFS('الشؤون التنفيذية'!$B$2:$B$421,$B271,'الشؤون التنفيذية'!$G$2:$G$421,$G271,'الشؤون التنفيذية'!$I$2:$I$421,$I271,'الشؤون التنفيذية'!$N$2:$N$421,"&lt;&gt;")+COUNTIFS('الجهاز العسكري'!$B$2:$B$631,$B271,'الجهاز العسكري'!$G$2:$G$631,$G271,'الجهاز العسكري'!$I$2:$I$631,$I271,'الجهاز العسكري'!$M$2:$M$631,"&lt;&gt;")</f>
        <v>1</v>
      </c>
      <c r="N271" s="19">
        <f>IF($L271=0,0,ROUND((SUMIFS('المرتبطة بسمو الوزير'!$M$2:$M$151,'المرتبطة بسمو الوزير'!$B$2:$B$151,$B271,'المرتبطة بسمو الوزير'!$G$2:$G$151,$G271,'المرتبطة بسمو الوزير'!$I$2:$I$151,$I271)+SUMIFS('الشؤون التنفيذية'!$N$2:$N$421,'الشؤون التنفيذية'!$B$2:$B$421,$B271,'الشؤون التنفيذية'!$G$2:$G$421,$G271,'الشؤون التنفيذية'!$I$2:$I$421,$I271)+SUMIFS('الجهاز العسكري'!$M$2:$M$631,'الجهاز العسكري'!$B$2:$B$631,$B271,'الجهاز العسكري'!$G$2:$G$631,$G271,'الجهاز العسكري'!$I$2:$I$631,$I271))/$L271,0))</f>
        <v>48</v>
      </c>
      <c r="O271" s="18"/>
      <c r="P271" s="15">
        <f>SUMIFS(المرجع!$G$2:$G$19,المرجع!$B$2:$B$19,$G271,المرجع!$E$2:$E$19,$I271)</f>
        <v>30</v>
      </c>
      <c r="Q271" s="20">
        <f t="shared" si="5"/>
        <v>14.4</v>
      </c>
      <c r="R271" s="21" t="str">
        <f>IF($N271&gt;المرجع!$K$3,"متقدم",IF($N271&lt;=المرجع!$K$2,"أولي","جزئي"))</f>
        <v>جزئي</v>
      </c>
    </row>
    <row r="272" spans="1:18">
      <c r="A272" s="16" t="s">
        <v>1712</v>
      </c>
      <c r="B272" s="16" t="s">
        <v>179</v>
      </c>
      <c r="C272" s="15" t="str">
        <f>IFERROR(INDEX('قائمة الوحدات'!$B$2:$B$41,MATCH($B272,'قائمة الوحدات'!$A$2:$A$41,0)),"")</f>
        <v>EXE</v>
      </c>
      <c r="D272" s="14" t="str">
        <f>IFERROR(INDEX('قائمة الوحدات'!$C$2:$C$41,MATCH($B272,'قائمة الوحدات'!$A$2:$A$41,0)),"")</f>
        <v>الشؤون التنفيذية</v>
      </c>
      <c r="E272" s="14" t="str">
        <f>IFERROR(INDEX('قائمة الوحدات'!$D$2:$D$41,MATCH($B272,'قائمة الوحدات'!$A$2:$A$41,0)),"")</f>
        <v>وكالة الشؤون الاستراتيجية</v>
      </c>
      <c r="F272" s="14" t="str">
        <f>IFERROR(INDEX('قائمة الوحدات'!$F$2:$F$41,MATCH($B272,'قائمة الوحدات'!$A$2:$A$41,0)),"")</f>
        <v>وكالة الشؤون الاستراتيجية</v>
      </c>
      <c r="G272" s="16" t="s">
        <v>43</v>
      </c>
      <c r="H272" s="14" t="str">
        <f>IFERROR(INDEX(المرجع!$A$2:$A$19,MATCH($G272,المرجع!$B$2:$B$19,0)),"")</f>
        <v>التصميم</v>
      </c>
      <c r="I272" s="16" t="s">
        <v>45</v>
      </c>
      <c r="J272" s="14" t="str">
        <f>IFERROR(INDEX(المرجع!$D$2:$D$19,MATCH($I272,المرجع!$E$2:$E$19,0)),"")</f>
        <v>الدور</v>
      </c>
      <c r="K272" s="15">
        <f>IFERROR(INDEX(المرجع!$F$2:$F$19,MATCH($I272,المرجع!$E$2:$E$19,0)),"")</f>
        <v>1</v>
      </c>
      <c r="L272" s="15">
        <f>SUMIFS(المرجع!$H$2:$H$19,المرجع!$B$2:$B$19,$G272,المرجع!$E$2:$E$19,$I272)</f>
        <v>1</v>
      </c>
      <c r="M272" s="15">
        <f>COUNTIFS('المرتبطة بسمو الوزير'!$B$2:$B$151,$B272,'المرتبطة بسمو الوزير'!$G$2:$G$151,$G272,'المرتبطة بسمو الوزير'!$I$2:$I$151,$I272,'المرتبطة بسمو الوزير'!$M$2:$M$151,"&lt;&gt;")+COUNTIFS('الشؤون التنفيذية'!$B$2:$B$421,$B272,'الشؤون التنفيذية'!$G$2:$G$421,$G272,'الشؤون التنفيذية'!$I$2:$I$421,$I272,'الشؤون التنفيذية'!$N$2:$N$421,"&lt;&gt;")+COUNTIFS('الجهاز العسكري'!$B$2:$B$631,$B272,'الجهاز العسكري'!$G$2:$G$631,$G272,'الجهاز العسكري'!$I$2:$I$631,$I272,'الجهاز العسكري'!$M$2:$M$631,"&lt;&gt;")</f>
        <v>1</v>
      </c>
      <c r="N272" s="19">
        <f>IF($L272=0,0,ROUND((SUMIFS('المرتبطة بسمو الوزير'!$M$2:$M$151,'المرتبطة بسمو الوزير'!$B$2:$B$151,$B272,'المرتبطة بسمو الوزير'!$G$2:$G$151,$G272,'المرتبطة بسمو الوزير'!$I$2:$I$151,$I272)+SUMIFS('الشؤون التنفيذية'!$N$2:$N$421,'الشؤون التنفيذية'!$B$2:$B$421,$B272,'الشؤون التنفيذية'!$G$2:$G$421,$G272,'الشؤون التنفيذية'!$I$2:$I$421,$I272)+SUMIFS('الجهاز العسكري'!$M$2:$M$631,'الجهاز العسكري'!$B$2:$B$631,$B272,'الجهاز العسكري'!$G$2:$G$631,$G272,'الجهاز العسكري'!$I$2:$I$631,$I272))/$L272,0))</f>
        <v>82</v>
      </c>
      <c r="O272" s="18"/>
      <c r="P272" s="15">
        <f>SUMIFS(المرجع!$G$2:$G$19,المرجع!$B$2:$B$19,$G272,المرجع!$E$2:$E$19,$I272)</f>
        <v>25</v>
      </c>
      <c r="Q272" s="20">
        <f t="shared" si="5"/>
        <v>20.5</v>
      </c>
      <c r="R272" s="21" t="str">
        <f>IF($N272&gt;المرجع!$K$3,"متقدم",IF($N272&lt;=المرجع!$K$2,"أولي","جزئي"))</f>
        <v>متقدم</v>
      </c>
    </row>
    <row r="273" spans="1:18">
      <c r="A273" s="16" t="s">
        <v>1713</v>
      </c>
      <c r="B273" s="16" t="s">
        <v>179</v>
      </c>
      <c r="C273" s="15" t="str">
        <f>IFERROR(INDEX('قائمة الوحدات'!$B$2:$B$41,MATCH($B273,'قائمة الوحدات'!$A$2:$A$41,0)),"")</f>
        <v>EXE</v>
      </c>
      <c r="D273" s="14" t="str">
        <f>IFERROR(INDEX('قائمة الوحدات'!$C$2:$C$41,MATCH($B273,'قائمة الوحدات'!$A$2:$A$41,0)),"")</f>
        <v>الشؤون التنفيذية</v>
      </c>
      <c r="E273" s="14" t="str">
        <f>IFERROR(INDEX('قائمة الوحدات'!$D$2:$D$41,MATCH($B273,'قائمة الوحدات'!$A$2:$A$41,0)),"")</f>
        <v>وكالة الشؤون الاستراتيجية</v>
      </c>
      <c r="F273" s="14" t="str">
        <f>IFERROR(INDEX('قائمة الوحدات'!$F$2:$F$41,MATCH($B273,'قائمة الوحدات'!$A$2:$A$41,0)),"")</f>
        <v>وكالة الشؤون الاستراتيجية</v>
      </c>
      <c r="G273" s="16" t="s">
        <v>43</v>
      </c>
      <c r="H273" s="14" t="str">
        <f>IFERROR(INDEX(المرجع!$A$2:$A$19,MATCH($G273,المرجع!$B$2:$B$19,0)),"")</f>
        <v>التصميم</v>
      </c>
      <c r="I273" s="16" t="s">
        <v>48</v>
      </c>
      <c r="J273" s="14" t="str">
        <f>IFERROR(INDEX(المرجع!$D$2:$D$19,MATCH($I273,المرجع!$E$2:$E$19,0)),"")</f>
        <v>الأهداف ومؤشرات الأداء</v>
      </c>
      <c r="K273" s="15">
        <f>IFERROR(INDEX(المرجع!$F$2:$F$19,MATCH($I273,المرجع!$E$2:$E$19,0)),"")</f>
        <v>2</v>
      </c>
      <c r="L273" s="15">
        <f>SUMIFS(المرجع!$H$2:$H$19,المرجع!$B$2:$B$19,$G273,المرجع!$E$2:$E$19,$I273)</f>
        <v>2</v>
      </c>
      <c r="M273" s="15">
        <f>COUNTIFS('المرتبطة بسمو الوزير'!$B$2:$B$151,$B273,'المرتبطة بسمو الوزير'!$G$2:$G$151,$G273,'المرتبطة بسمو الوزير'!$I$2:$I$151,$I273,'المرتبطة بسمو الوزير'!$M$2:$M$151,"&lt;&gt;")+COUNTIFS('الشؤون التنفيذية'!$B$2:$B$421,$B273,'الشؤون التنفيذية'!$G$2:$G$421,$G273,'الشؤون التنفيذية'!$I$2:$I$421,$I273,'الشؤون التنفيذية'!$N$2:$N$421,"&lt;&gt;")+COUNTIFS('الجهاز العسكري'!$B$2:$B$631,$B273,'الجهاز العسكري'!$G$2:$G$631,$G273,'الجهاز العسكري'!$I$2:$I$631,$I273,'الجهاز العسكري'!$M$2:$M$631,"&lt;&gt;")</f>
        <v>2</v>
      </c>
      <c r="N273" s="19">
        <f>IF($L273=0,0,ROUND((SUMIFS('المرتبطة بسمو الوزير'!$M$2:$M$151,'المرتبطة بسمو الوزير'!$B$2:$B$151,$B273,'المرتبطة بسمو الوزير'!$G$2:$G$151,$G273,'المرتبطة بسمو الوزير'!$I$2:$I$151,$I273)+SUMIFS('الشؤون التنفيذية'!$N$2:$N$421,'الشؤون التنفيذية'!$B$2:$B$421,$B273,'الشؤون التنفيذية'!$G$2:$G$421,$G273,'الشؤون التنفيذية'!$I$2:$I$421,$I273)+SUMIFS('الجهاز العسكري'!$M$2:$M$631,'الجهاز العسكري'!$B$2:$B$631,$B273,'الجهاز العسكري'!$G$2:$G$631,$G273,'الجهاز العسكري'!$I$2:$I$631,$I273))/$L273,0))</f>
        <v>100</v>
      </c>
      <c r="O273" s="18"/>
      <c r="P273" s="15">
        <f>SUMIFS(المرجع!$G$2:$G$19,المرجع!$B$2:$B$19,$G273,المرجع!$E$2:$E$19,$I273)</f>
        <v>15</v>
      </c>
      <c r="Q273" s="20">
        <f t="shared" si="5"/>
        <v>15</v>
      </c>
      <c r="R273" s="21" t="str">
        <f>IF($N273&gt;المرجع!$K$3,"متقدم",IF($N273&lt;=المرجع!$K$2,"أولي","جزئي"))</f>
        <v>متقدم</v>
      </c>
    </row>
    <row r="274" spans="1:18">
      <c r="A274" s="16" t="s">
        <v>1714</v>
      </c>
      <c r="B274" s="16" t="s">
        <v>179</v>
      </c>
      <c r="C274" s="15" t="str">
        <f>IFERROR(INDEX('قائمة الوحدات'!$B$2:$B$41,MATCH($B274,'قائمة الوحدات'!$A$2:$A$41,0)),"")</f>
        <v>EXE</v>
      </c>
      <c r="D274" s="14" t="str">
        <f>IFERROR(INDEX('قائمة الوحدات'!$C$2:$C$41,MATCH($B274,'قائمة الوحدات'!$A$2:$A$41,0)),"")</f>
        <v>الشؤون التنفيذية</v>
      </c>
      <c r="E274" s="14" t="str">
        <f>IFERROR(INDEX('قائمة الوحدات'!$D$2:$D$41,MATCH($B274,'قائمة الوحدات'!$A$2:$A$41,0)),"")</f>
        <v>وكالة الشؤون الاستراتيجية</v>
      </c>
      <c r="F274" s="14" t="str">
        <f>IFERROR(INDEX('قائمة الوحدات'!$F$2:$F$41,MATCH($B274,'قائمة الوحدات'!$A$2:$A$41,0)),"")</f>
        <v>وكالة الشؤون الاستراتيجية</v>
      </c>
      <c r="G274" s="16" t="s">
        <v>43</v>
      </c>
      <c r="H274" s="14" t="str">
        <f>IFERROR(INDEX(المرجع!$A$2:$A$19,MATCH($G274,المرجع!$B$2:$B$19,0)),"")</f>
        <v>التصميم</v>
      </c>
      <c r="I274" s="16" t="s">
        <v>51</v>
      </c>
      <c r="J274" s="14" t="str">
        <f>IFERROR(INDEX(المرجع!$D$2:$D$19,MATCH($I274,المرجع!$E$2:$E$19,0)),"")</f>
        <v>الحوكمة</v>
      </c>
      <c r="K274" s="15">
        <f>IFERROR(INDEX(المرجع!$F$2:$F$19,MATCH($I274,المرجع!$E$2:$E$19,0)),"")</f>
        <v>3</v>
      </c>
      <c r="L274" s="15">
        <f>SUMIFS(المرجع!$H$2:$H$19,المرجع!$B$2:$B$19,$G274,المرجع!$E$2:$E$19,$I274)</f>
        <v>1</v>
      </c>
      <c r="M274" s="15">
        <f>COUNTIFS('المرتبطة بسمو الوزير'!$B$2:$B$151,$B274,'المرتبطة بسمو الوزير'!$G$2:$G$151,$G274,'المرتبطة بسمو الوزير'!$I$2:$I$151,$I274,'المرتبطة بسمو الوزير'!$M$2:$M$151,"&lt;&gt;")+COUNTIFS('الشؤون التنفيذية'!$B$2:$B$421,$B274,'الشؤون التنفيذية'!$G$2:$G$421,$G274,'الشؤون التنفيذية'!$I$2:$I$421,$I274,'الشؤون التنفيذية'!$N$2:$N$421,"&lt;&gt;")+COUNTIFS('الجهاز العسكري'!$B$2:$B$631,$B274,'الجهاز العسكري'!$G$2:$G$631,$G274,'الجهاز العسكري'!$I$2:$I$631,$I274,'الجهاز العسكري'!$M$2:$M$631,"&lt;&gt;")</f>
        <v>1</v>
      </c>
      <c r="N274" s="19">
        <f>IF($L274=0,0,ROUND((SUMIFS('المرتبطة بسمو الوزير'!$M$2:$M$151,'المرتبطة بسمو الوزير'!$B$2:$B$151,$B274,'المرتبطة بسمو الوزير'!$G$2:$G$151,$G274,'المرتبطة بسمو الوزير'!$I$2:$I$151,$I274)+SUMIFS('الشؤون التنفيذية'!$N$2:$N$421,'الشؤون التنفيذية'!$B$2:$B$421,$B274,'الشؤون التنفيذية'!$G$2:$G$421,$G274,'الشؤون التنفيذية'!$I$2:$I$421,$I274)+SUMIFS('الجهاز العسكري'!$M$2:$M$631,'الجهاز العسكري'!$B$2:$B$631,$B274,'الجهاز العسكري'!$G$2:$G$631,$G274,'الجهاز العسكري'!$I$2:$I$631,$I274))/$L274,0))</f>
        <v>72</v>
      </c>
      <c r="O274" s="18"/>
      <c r="P274" s="15">
        <f>SUMIFS(المرجع!$G$2:$G$19,المرجع!$B$2:$B$19,$G274,المرجع!$E$2:$E$19,$I274)</f>
        <v>15</v>
      </c>
      <c r="Q274" s="20">
        <f t="shared" si="5"/>
        <v>10.8</v>
      </c>
      <c r="R274" s="21" t="str">
        <f>IF($N274&gt;المرجع!$K$3,"متقدم",IF($N274&lt;=المرجع!$K$2,"أولي","جزئي"))</f>
        <v>متقدم</v>
      </c>
    </row>
    <row r="275" spans="1:18">
      <c r="A275" s="16" t="s">
        <v>1715</v>
      </c>
      <c r="B275" s="16" t="s">
        <v>179</v>
      </c>
      <c r="C275" s="15" t="str">
        <f>IFERROR(INDEX('قائمة الوحدات'!$B$2:$B$41,MATCH($B275,'قائمة الوحدات'!$A$2:$A$41,0)),"")</f>
        <v>EXE</v>
      </c>
      <c r="D275" s="14" t="str">
        <f>IFERROR(INDEX('قائمة الوحدات'!$C$2:$C$41,MATCH($B275,'قائمة الوحدات'!$A$2:$A$41,0)),"")</f>
        <v>الشؤون التنفيذية</v>
      </c>
      <c r="E275" s="14" t="str">
        <f>IFERROR(INDEX('قائمة الوحدات'!$D$2:$D$41,MATCH($B275,'قائمة الوحدات'!$A$2:$A$41,0)),"")</f>
        <v>وكالة الشؤون الاستراتيجية</v>
      </c>
      <c r="F275" s="14" t="str">
        <f>IFERROR(INDEX('قائمة الوحدات'!$F$2:$F$41,MATCH($B275,'قائمة الوحدات'!$A$2:$A$41,0)),"")</f>
        <v>وكالة الشؤون الاستراتيجية</v>
      </c>
      <c r="G275" s="16" t="s">
        <v>43</v>
      </c>
      <c r="H275" s="14" t="str">
        <f>IFERROR(INDEX(المرجع!$A$2:$A$19,MATCH($G275,المرجع!$B$2:$B$19,0)),"")</f>
        <v>التصميم</v>
      </c>
      <c r="I275" s="16" t="s">
        <v>54</v>
      </c>
      <c r="J275" s="14" t="str">
        <f>IFERROR(INDEX(المرجع!$D$2:$D$19,MATCH($I275,المرجع!$E$2:$E$19,0)),"")</f>
        <v>التنظيم</v>
      </c>
      <c r="K275" s="15">
        <f>IFERROR(INDEX(المرجع!$F$2:$F$19,MATCH($I275,المرجع!$E$2:$E$19,0)),"")</f>
        <v>4</v>
      </c>
      <c r="L275" s="15">
        <f>SUMIFS(المرجع!$H$2:$H$19,المرجع!$B$2:$B$19,$G275,المرجع!$E$2:$E$19,$I275)</f>
        <v>1</v>
      </c>
      <c r="M275" s="15">
        <f>COUNTIFS('المرتبطة بسمو الوزير'!$B$2:$B$151,$B275,'المرتبطة بسمو الوزير'!$G$2:$G$151,$G275,'المرتبطة بسمو الوزير'!$I$2:$I$151,$I275,'المرتبطة بسمو الوزير'!$M$2:$M$151,"&lt;&gt;")+COUNTIFS('الشؤون التنفيذية'!$B$2:$B$421,$B275,'الشؤون التنفيذية'!$G$2:$G$421,$G275,'الشؤون التنفيذية'!$I$2:$I$421,$I275,'الشؤون التنفيذية'!$N$2:$N$421,"&lt;&gt;")+COUNTIFS('الجهاز العسكري'!$B$2:$B$631,$B275,'الجهاز العسكري'!$G$2:$G$631,$G275,'الجهاز العسكري'!$I$2:$I$631,$I275,'الجهاز العسكري'!$M$2:$M$631,"&lt;&gt;")</f>
        <v>1</v>
      </c>
      <c r="N275" s="19">
        <f>IF($L275=0,0,ROUND((SUMIFS('المرتبطة بسمو الوزير'!$M$2:$M$151,'المرتبطة بسمو الوزير'!$B$2:$B$151,$B275,'المرتبطة بسمو الوزير'!$G$2:$G$151,$G275,'المرتبطة بسمو الوزير'!$I$2:$I$151,$I275)+SUMIFS('الشؤون التنفيذية'!$N$2:$N$421,'الشؤون التنفيذية'!$B$2:$B$421,$B275,'الشؤون التنفيذية'!$G$2:$G$421,$G275,'الشؤون التنفيذية'!$I$2:$I$421,$I275)+SUMIFS('الجهاز العسكري'!$M$2:$M$631,'الجهاز العسكري'!$B$2:$B$631,$B275,'الجهاز العسكري'!$G$2:$G$631,$G275,'الجهاز العسكري'!$I$2:$I$631,$I275))/$L275,0))</f>
        <v>90</v>
      </c>
      <c r="O275" s="18"/>
      <c r="P275" s="15">
        <f>SUMIFS(المرجع!$G$2:$G$19,المرجع!$B$2:$B$19,$G275,المرجع!$E$2:$E$19,$I275)</f>
        <v>20</v>
      </c>
      <c r="Q275" s="20">
        <f t="shared" si="5"/>
        <v>18</v>
      </c>
      <c r="R275" s="21" t="str">
        <f>IF($N275&gt;المرجع!$K$3,"متقدم",IF($N275&lt;=المرجع!$K$2,"أولي","جزئي"))</f>
        <v>متقدم</v>
      </c>
    </row>
    <row r="276" spans="1:18">
      <c r="A276" s="16" t="s">
        <v>1716</v>
      </c>
      <c r="B276" s="16" t="s">
        <v>179</v>
      </c>
      <c r="C276" s="15" t="str">
        <f>IFERROR(INDEX('قائمة الوحدات'!$B$2:$B$41,MATCH($B276,'قائمة الوحدات'!$A$2:$A$41,0)),"")</f>
        <v>EXE</v>
      </c>
      <c r="D276" s="14" t="str">
        <f>IFERROR(INDEX('قائمة الوحدات'!$C$2:$C$41,MATCH($B276,'قائمة الوحدات'!$A$2:$A$41,0)),"")</f>
        <v>الشؤون التنفيذية</v>
      </c>
      <c r="E276" s="14" t="str">
        <f>IFERROR(INDEX('قائمة الوحدات'!$D$2:$D$41,MATCH($B276,'قائمة الوحدات'!$A$2:$A$41,0)),"")</f>
        <v>وكالة الشؤون الاستراتيجية</v>
      </c>
      <c r="F276" s="14" t="str">
        <f>IFERROR(INDEX('قائمة الوحدات'!$F$2:$F$41,MATCH($B276,'قائمة الوحدات'!$A$2:$A$41,0)),"")</f>
        <v>وكالة الشؤون الاستراتيجية</v>
      </c>
      <c r="G276" s="16" t="s">
        <v>43</v>
      </c>
      <c r="H276" s="14" t="str">
        <f>IFERROR(INDEX(المرجع!$A$2:$A$19,MATCH($G276,المرجع!$B$2:$B$19,0)),"")</f>
        <v>التصميم</v>
      </c>
      <c r="I276" s="16" t="s">
        <v>56</v>
      </c>
      <c r="J276" s="14" t="str">
        <f>IFERROR(INDEX(المرجع!$D$2:$D$19,MATCH($I276,المرجع!$E$2:$E$19,0)),"")</f>
        <v>الموارد</v>
      </c>
      <c r="K276" s="15">
        <f>IFERROR(INDEX(المرجع!$F$2:$F$19,MATCH($I276,المرجع!$E$2:$E$19,0)),"")</f>
        <v>5</v>
      </c>
      <c r="L276" s="15">
        <f>SUMIFS(المرجع!$H$2:$H$19,المرجع!$B$2:$B$19,$G276,المرجع!$E$2:$E$19,$I276)</f>
        <v>1</v>
      </c>
      <c r="M276" s="15">
        <f>COUNTIFS('المرتبطة بسمو الوزير'!$B$2:$B$151,$B276,'المرتبطة بسمو الوزير'!$G$2:$G$151,$G276,'المرتبطة بسمو الوزير'!$I$2:$I$151,$I276,'المرتبطة بسمو الوزير'!$M$2:$M$151,"&lt;&gt;")+COUNTIFS('الشؤون التنفيذية'!$B$2:$B$421,$B276,'الشؤون التنفيذية'!$G$2:$G$421,$G276,'الشؤون التنفيذية'!$I$2:$I$421,$I276,'الشؤون التنفيذية'!$N$2:$N$421,"&lt;&gt;")+COUNTIFS('الجهاز العسكري'!$B$2:$B$631,$B276,'الجهاز العسكري'!$G$2:$G$631,$G276,'الجهاز العسكري'!$I$2:$I$631,$I276,'الجهاز العسكري'!$M$2:$M$631,"&lt;&gt;")</f>
        <v>1</v>
      </c>
      <c r="N276" s="19">
        <f>IF($L276=0,0,ROUND((SUMIFS('المرتبطة بسمو الوزير'!$M$2:$M$151,'المرتبطة بسمو الوزير'!$B$2:$B$151,$B276,'المرتبطة بسمو الوزير'!$G$2:$G$151,$G276,'المرتبطة بسمو الوزير'!$I$2:$I$151,$I276)+SUMIFS('الشؤون التنفيذية'!$N$2:$N$421,'الشؤون التنفيذية'!$B$2:$B$421,$B276,'الشؤون التنفيذية'!$G$2:$G$421,$G276,'الشؤون التنفيذية'!$I$2:$I$421,$I276)+SUMIFS('الجهاز العسكري'!$M$2:$M$631,'الجهاز العسكري'!$B$2:$B$631,$B276,'الجهاز العسكري'!$G$2:$G$631,$G276,'الجهاز العسكري'!$I$2:$I$631,$I276))/$L276,0))</f>
        <v>76</v>
      </c>
      <c r="O276" s="18"/>
      <c r="P276" s="15">
        <f>SUMIFS(المرجع!$G$2:$G$19,المرجع!$B$2:$B$19,$G276,المرجع!$E$2:$E$19,$I276)</f>
        <v>20</v>
      </c>
      <c r="Q276" s="20">
        <f t="shared" si="5"/>
        <v>15.2</v>
      </c>
      <c r="R276" s="21" t="str">
        <f>IF($N276&gt;المرجع!$K$3,"متقدم",IF($N276&lt;=المرجع!$K$2,"أولي","جزئي"))</f>
        <v>متقدم</v>
      </c>
    </row>
    <row r="277" spans="1:18">
      <c r="A277" s="16" t="s">
        <v>1717</v>
      </c>
      <c r="B277" s="16" t="s">
        <v>179</v>
      </c>
      <c r="C277" s="15" t="str">
        <f>IFERROR(INDEX('قائمة الوحدات'!$B$2:$B$41,MATCH($B277,'قائمة الوحدات'!$A$2:$A$41,0)),"")</f>
        <v>EXE</v>
      </c>
      <c r="D277" s="14" t="str">
        <f>IFERROR(INDEX('قائمة الوحدات'!$C$2:$C$41,MATCH($B277,'قائمة الوحدات'!$A$2:$A$41,0)),"")</f>
        <v>الشؤون التنفيذية</v>
      </c>
      <c r="E277" s="14" t="str">
        <f>IFERROR(INDEX('قائمة الوحدات'!$D$2:$D$41,MATCH($B277,'قائمة الوحدات'!$A$2:$A$41,0)),"")</f>
        <v>وكالة الشؤون الاستراتيجية</v>
      </c>
      <c r="F277" s="14" t="str">
        <f>IFERROR(INDEX('قائمة الوحدات'!$F$2:$F$41,MATCH($B277,'قائمة الوحدات'!$A$2:$A$41,0)),"")</f>
        <v>وكالة الشؤون الاستراتيجية</v>
      </c>
      <c r="G277" s="16" t="s">
        <v>43</v>
      </c>
      <c r="H277" s="14" t="str">
        <f>IFERROR(INDEX(المرجع!$A$2:$A$19,MATCH($G277,المرجع!$B$2:$B$19,0)),"")</f>
        <v>التصميم</v>
      </c>
      <c r="I277" s="16" t="s">
        <v>59</v>
      </c>
      <c r="J277" s="14" t="str">
        <f>IFERROR(INDEX(المرجع!$D$2:$D$19,MATCH($I277,المرجع!$E$2:$E$19,0)),"")</f>
        <v>الإجراءات</v>
      </c>
      <c r="K277" s="15">
        <f>IFERROR(INDEX(المرجع!$F$2:$F$19,MATCH($I277,المرجع!$E$2:$E$19,0)),"")</f>
        <v>6</v>
      </c>
      <c r="L277" s="15">
        <f>SUMIFS(المرجع!$H$2:$H$19,المرجع!$B$2:$B$19,$G277,المرجع!$E$2:$E$19,$I277)</f>
        <v>1</v>
      </c>
      <c r="M277" s="15">
        <f>COUNTIFS('المرتبطة بسمو الوزير'!$B$2:$B$151,$B277,'المرتبطة بسمو الوزير'!$G$2:$G$151,$G277,'المرتبطة بسمو الوزير'!$I$2:$I$151,$I277,'المرتبطة بسمو الوزير'!$M$2:$M$151,"&lt;&gt;")+COUNTIFS('الشؤون التنفيذية'!$B$2:$B$421,$B277,'الشؤون التنفيذية'!$G$2:$G$421,$G277,'الشؤون التنفيذية'!$I$2:$I$421,$I277,'الشؤون التنفيذية'!$N$2:$N$421,"&lt;&gt;")+COUNTIFS('الجهاز العسكري'!$B$2:$B$631,$B277,'الجهاز العسكري'!$G$2:$G$631,$G277,'الجهاز العسكري'!$I$2:$I$631,$I277,'الجهاز العسكري'!$M$2:$M$631,"&lt;&gt;")</f>
        <v>1</v>
      </c>
      <c r="N277" s="19">
        <f>IF($L277=0,0,ROUND((SUMIFS('المرتبطة بسمو الوزير'!$M$2:$M$151,'المرتبطة بسمو الوزير'!$B$2:$B$151,$B277,'المرتبطة بسمو الوزير'!$G$2:$G$151,$G277,'المرتبطة بسمو الوزير'!$I$2:$I$151,$I277)+SUMIFS('الشؤون التنفيذية'!$N$2:$N$421,'الشؤون التنفيذية'!$B$2:$B$421,$B277,'الشؤون التنفيذية'!$G$2:$G$421,$G277,'الشؤون التنفيذية'!$I$2:$I$421,$I277)+SUMIFS('الجهاز العسكري'!$M$2:$M$631,'الجهاز العسكري'!$B$2:$B$631,$B277,'الجهاز العسكري'!$G$2:$G$631,$G277,'الجهاز العسكري'!$I$2:$I$631,$I277))/$L277,0))</f>
        <v>97</v>
      </c>
      <c r="O277" s="18"/>
      <c r="P277" s="15">
        <f>SUMIFS(المرجع!$G$2:$G$19,المرجع!$B$2:$B$19,$G277,المرجع!$E$2:$E$19,$I277)</f>
        <v>5</v>
      </c>
      <c r="Q277" s="20">
        <f t="shared" si="5"/>
        <v>4.8499999999999996</v>
      </c>
      <c r="R277" s="21" t="str">
        <f>IF($N277&gt;المرجع!$K$3,"متقدم",IF($N277&lt;=المرجع!$K$2,"أولي","جزئي"))</f>
        <v>متقدم</v>
      </c>
    </row>
    <row r="278" spans="1:18">
      <c r="A278" s="16" t="s">
        <v>1718</v>
      </c>
      <c r="B278" s="16" t="s">
        <v>179</v>
      </c>
      <c r="C278" s="15" t="str">
        <f>IFERROR(INDEX('قائمة الوحدات'!$B$2:$B$41,MATCH($B278,'قائمة الوحدات'!$A$2:$A$41,0)),"")</f>
        <v>EXE</v>
      </c>
      <c r="D278" s="14" t="str">
        <f>IFERROR(INDEX('قائمة الوحدات'!$C$2:$C$41,MATCH($B278,'قائمة الوحدات'!$A$2:$A$41,0)),"")</f>
        <v>الشؤون التنفيذية</v>
      </c>
      <c r="E278" s="14" t="str">
        <f>IFERROR(INDEX('قائمة الوحدات'!$D$2:$D$41,MATCH($B278,'قائمة الوحدات'!$A$2:$A$41,0)),"")</f>
        <v>وكالة الشؤون الاستراتيجية</v>
      </c>
      <c r="F278" s="14" t="str">
        <f>IFERROR(INDEX('قائمة الوحدات'!$F$2:$F$41,MATCH($B278,'قائمة الوحدات'!$A$2:$A$41,0)),"")</f>
        <v>وكالة الشؤون الاستراتيجية</v>
      </c>
      <c r="G278" s="16" t="s">
        <v>61</v>
      </c>
      <c r="H278" s="14" t="str">
        <f>IFERROR(INDEX(المرجع!$A$2:$A$19,MATCH($G278,المرجع!$B$2:$B$19,0)),"")</f>
        <v>البناء المؤسسي</v>
      </c>
      <c r="I278" s="16" t="s">
        <v>45</v>
      </c>
      <c r="J278" s="14" t="str">
        <f>IFERROR(INDEX(المرجع!$D$2:$D$19,MATCH($I278,المرجع!$E$2:$E$19,0)),"")</f>
        <v>الدور</v>
      </c>
      <c r="K278" s="15">
        <f>IFERROR(INDEX(المرجع!$F$2:$F$19,MATCH($I278,المرجع!$E$2:$E$19,0)),"")</f>
        <v>1</v>
      </c>
      <c r="L278" s="15">
        <f>SUMIFS(المرجع!$H$2:$H$19,المرجع!$B$2:$B$19,$G278,المرجع!$E$2:$E$19,$I278)</f>
        <v>1</v>
      </c>
      <c r="M278" s="15">
        <f>COUNTIFS('المرتبطة بسمو الوزير'!$B$2:$B$151,$B278,'المرتبطة بسمو الوزير'!$G$2:$G$151,$G278,'المرتبطة بسمو الوزير'!$I$2:$I$151,$I278,'المرتبطة بسمو الوزير'!$M$2:$M$151,"&lt;&gt;")+COUNTIFS('الشؤون التنفيذية'!$B$2:$B$421,$B278,'الشؤون التنفيذية'!$G$2:$G$421,$G278,'الشؤون التنفيذية'!$I$2:$I$421,$I278,'الشؤون التنفيذية'!$N$2:$N$421,"&lt;&gt;")+COUNTIFS('الجهاز العسكري'!$B$2:$B$631,$B278,'الجهاز العسكري'!$G$2:$G$631,$G278,'الجهاز العسكري'!$I$2:$I$631,$I278,'الجهاز العسكري'!$M$2:$M$631,"&lt;&gt;")</f>
        <v>1</v>
      </c>
      <c r="N278" s="19">
        <f>IF($L278=0,0,ROUND((SUMIFS('المرتبطة بسمو الوزير'!$M$2:$M$151,'المرتبطة بسمو الوزير'!$B$2:$B$151,$B278,'المرتبطة بسمو الوزير'!$G$2:$G$151,$G278,'المرتبطة بسمو الوزير'!$I$2:$I$151,$I278)+SUMIFS('الشؤون التنفيذية'!$N$2:$N$421,'الشؤون التنفيذية'!$B$2:$B$421,$B278,'الشؤون التنفيذية'!$G$2:$G$421,$G278,'الشؤون التنفيذية'!$I$2:$I$421,$I278)+SUMIFS('الجهاز العسكري'!$M$2:$M$631,'الجهاز العسكري'!$B$2:$B$631,$B278,'الجهاز العسكري'!$G$2:$G$631,$G278,'الجهاز العسكري'!$I$2:$I$631,$I278))/$L278,0))</f>
        <v>77</v>
      </c>
      <c r="O278" s="18"/>
      <c r="P278" s="15">
        <f>SUMIFS(المرجع!$G$2:$G$19,المرجع!$B$2:$B$19,$G278,المرجع!$E$2:$E$19,$I278)</f>
        <v>15</v>
      </c>
      <c r="Q278" s="20">
        <f t="shared" si="5"/>
        <v>11.55</v>
      </c>
      <c r="R278" s="21" t="str">
        <f>IF($N278&gt;المرجع!$K$3,"متقدم",IF($N278&lt;=المرجع!$K$2,"أولي","جزئي"))</f>
        <v>متقدم</v>
      </c>
    </row>
    <row r="279" spans="1:18">
      <c r="A279" s="16" t="s">
        <v>1719</v>
      </c>
      <c r="B279" s="16" t="s">
        <v>179</v>
      </c>
      <c r="C279" s="15" t="str">
        <f>IFERROR(INDEX('قائمة الوحدات'!$B$2:$B$41,MATCH($B279,'قائمة الوحدات'!$A$2:$A$41,0)),"")</f>
        <v>EXE</v>
      </c>
      <c r="D279" s="14" t="str">
        <f>IFERROR(INDEX('قائمة الوحدات'!$C$2:$C$41,MATCH($B279,'قائمة الوحدات'!$A$2:$A$41,0)),"")</f>
        <v>الشؤون التنفيذية</v>
      </c>
      <c r="E279" s="14" t="str">
        <f>IFERROR(INDEX('قائمة الوحدات'!$D$2:$D$41,MATCH($B279,'قائمة الوحدات'!$A$2:$A$41,0)),"")</f>
        <v>وكالة الشؤون الاستراتيجية</v>
      </c>
      <c r="F279" s="14" t="str">
        <f>IFERROR(INDEX('قائمة الوحدات'!$F$2:$F$41,MATCH($B279,'قائمة الوحدات'!$A$2:$A$41,0)),"")</f>
        <v>وكالة الشؤون الاستراتيجية</v>
      </c>
      <c r="G279" s="16" t="s">
        <v>61</v>
      </c>
      <c r="H279" s="14" t="str">
        <f>IFERROR(INDEX(المرجع!$A$2:$A$19,MATCH($G279,المرجع!$B$2:$B$19,0)),"")</f>
        <v>البناء المؤسسي</v>
      </c>
      <c r="I279" s="16" t="s">
        <v>48</v>
      </c>
      <c r="J279" s="14" t="str">
        <f>IFERROR(INDEX(المرجع!$D$2:$D$19,MATCH($I279,المرجع!$E$2:$E$19,0)),"")</f>
        <v>الأهداف ومؤشرات الأداء</v>
      </c>
      <c r="K279" s="15">
        <f>IFERROR(INDEX(المرجع!$F$2:$F$19,MATCH($I279,المرجع!$E$2:$E$19,0)),"")</f>
        <v>2</v>
      </c>
      <c r="L279" s="15">
        <f>SUMIFS(المرجع!$H$2:$H$19,المرجع!$B$2:$B$19,$G279,المرجع!$E$2:$E$19,$I279)</f>
        <v>2</v>
      </c>
      <c r="M279" s="15">
        <f>COUNTIFS('المرتبطة بسمو الوزير'!$B$2:$B$151,$B279,'المرتبطة بسمو الوزير'!$G$2:$G$151,$G279,'المرتبطة بسمو الوزير'!$I$2:$I$151,$I279,'المرتبطة بسمو الوزير'!$M$2:$M$151,"&lt;&gt;")+COUNTIFS('الشؤون التنفيذية'!$B$2:$B$421,$B279,'الشؤون التنفيذية'!$G$2:$G$421,$G279,'الشؤون التنفيذية'!$I$2:$I$421,$I279,'الشؤون التنفيذية'!$N$2:$N$421,"&lt;&gt;")+COUNTIFS('الجهاز العسكري'!$B$2:$B$631,$B279,'الجهاز العسكري'!$G$2:$G$631,$G279,'الجهاز العسكري'!$I$2:$I$631,$I279,'الجهاز العسكري'!$M$2:$M$631,"&lt;&gt;")</f>
        <v>2</v>
      </c>
      <c r="N279" s="19">
        <f>IF($L279=0,0,ROUND((SUMIFS('المرتبطة بسمو الوزير'!$M$2:$M$151,'المرتبطة بسمو الوزير'!$B$2:$B$151,$B279,'المرتبطة بسمو الوزير'!$G$2:$G$151,$G279,'المرتبطة بسمو الوزير'!$I$2:$I$151,$I279)+SUMIFS('الشؤون التنفيذية'!$N$2:$N$421,'الشؤون التنفيذية'!$B$2:$B$421,$B279,'الشؤون التنفيذية'!$G$2:$G$421,$G279,'الشؤون التنفيذية'!$I$2:$I$421,$I279)+SUMIFS('الجهاز العسكري'!$M$2:$M$631,'الجهاز العسكري'!$B$2:$B$631,$B279,'الجهاز العسكري'!$G$2:$G$631,$G279,'الجهاز العسكري'!$I$2:$I$631,$I279))/$L279,0))</f>
        <v>48</v>
      </c>
      <c r="O279" s="18"/>
      <c r="P279" s="15">
        <f>SUMIFS(المرجع!$G$2:$G$19,المرجع!$B$2:$B$19,$G279,المرجع!$E$2:$E$19,$I279)</f>
        <v>15</v>
      </c>
      <c r="Q279" s="20">
        <f t="shared" si="5"/>
        <v>7.2</v>
      </c>
      <c r="R279" s="21" t="str">
        <f>IF($N279&gt;المرجع!$K$3,"متقدم",IF($N279&lt;=المرجع!$K$2,"أولي","جزئي"))</f>
        <v>جزئي</v>
      </c>
    </row>
    <row r="280" spans="1:18">
      <c r="A280" s="16" t="s">
        <v>1720</v>
      </c>
      <c r="B280" s="16" t="s">
        <v>179</v>
      </c>
      <c r="C280" s="15" t="str">
        <f>IFERROR(INDEX('قائمة الوحدات'!$B$2:$B$41,MATCH($B280,'قائمة الوحدات'!$A$2:$A$41,0)),"")</f>
        <v>EXE</v>
      </c>
      <c r="D280" s="14" t="str">
        <f>IFERROR(INDEX('قائمة الوحدات'!$C$2:$C$41,MATCH($B280,'قائمة الوحدات'!$A$2:$A$41,0)),"")</f>
        <v>الشؤون التنفيذية</v>
      </c>
      <c r="E280" s="14" t="str">
        <f>IFERROR(INDEX('قائمة الوحدات'!$D$2:$D$41,MATCH($B280,'قائمة الوحدات'!$A$2:$A$41,0)),"")</f>
        <v>وكالة الشؤون الاستراتيجية</v>
      </c>
      <c r="F280" s="14" t="str">
        <f>IFERROR(INDEX('قائمة الوحدات'!$F$2:$F$41,MATCH($B280,'قائمة الوحدات'!$A$2:$A$41,0)),"")</f>
        <v>وكالة الشؤون الاستراتيجية</v>
      </c>
      <c r="G280" s="16" t="s">
        <v>61</v>
      </c>
      <c r="H280" s="14" t="str">
        <f>IFERROR(INDEX(المرجع!$A$2:$A$19,MATCH($G280,المرجع!$B$2:$B$19,0)),"")</f>
        <v>البناء المؤسسي</v>
      </c>
      <c r="I280" s="16" t="s">
        <v>51</v>
      </c>
      <c r="J280" s="14" t="str">
        <f>IFERROR(INDEX(المرجع!$D$2:$D$19,MATCH($I280,المرجع!$E$2:$E$19,0)),"")</f>
        <v>الحوكمة</v>
      </c>
      <c r="K280" s="15">
        <f>IFERROR(INDEX(المرجع!$F$2:$F$19,MATCH($I280,المرجع!$E$2:$E$19,0)),"")</f>
        <v>3</v>
      </c>
      <c r="L280" s="15">
        <f>SUMIFS(المرجع!$H$2:$H$19,المرجع!$B$2:$B$19,$G280,المرجع!$E$2:$E$19,$I280)</f>
        <v>3</v>
      </c>
      <c r="M280" s="15">
        <f>COUNTIFS('المرتبطة بسمو الوزير'!$B$2:$B$151,$B280,'المرتبطة بسمو الوزير'!$G$2:$G$151,$G280,'المرتبطة بسمو الوزير'!$I$2:$I$151,$I280,'المرتبطة بسمو الوزير'!$M$2:$M$151,"&lt;&gt;")+COUNTIFS('الشؤون التنفيذية'!$B$2:$B$421,$B280,'الشؤون التنفيذية'!$G$2:$G$421,$G280,'الشؤون التنفيذية'!$I$2:$I$421,$I280,'الشؤون التنفيذية'!$N$2:$N$421,"&lt;&gt;")+COUNTIFS('الجهاز العسكري'!$B$2:$B$631,$B280,'الجهاز العسكري'!$G$2:$G$631,$G280,'الجهاز العسكري'!$I$2:$I$631,$I280,'الجهاز العسكري'!$M$2:$M$631,"&lt;&gt;")</f>
        <v>3</v>
      </c>
      <c r="N280" s="19">
        <f>IF($L280=0,0,ROUND((SUMIFS('المرتبطة بسمو الوزير'!$M$2:$M$151,'المرتبطة بسمو الوزير'!$B$2:$B$151,$B280,'المرتبطة بسمو الوزير'!$G$2:$G$151,$G280,'المرتبطة بسمو الوزير'!$I$2:$I$151,$I280)+SUMIFS('الشؤون التنفيذية'!$N$2:$N$421,'الشؤون التنفيذية'!$B$2:$B$421,$B280,'الشؤون التنفيذية'!$G$2:$G$421,$G280,'الشؤون التنفيذية'!$I$2:$I$421,$I280)+SUMIFS('الجهاز العسكري'!$M$2:$M$631,'الجهاز العسكري'!$B$2:$B$631,$B280,'الجهاز العسكري'!$G$2:$G$631,$G280,'الجهاز العسكري'!$I$2:$I$631,$I280))/$L280,0))</f>
        <v>52</v>
      </c>
      <c r="O280" s="18"/>
      <c r="P280" s="15">
        <f>SUMIFS(المرجع!$G$2:$G$19,المرجع!$B$2:$B$19,$G280,المرجع!$E$2:$E$19,$I280)</f>
        <v>15</v>
      </c>
      <c r="Q280" s="20">
        <f t="shared" si="5"/>
        <v>7.8</v>
      </c>
      <c r="R280" s="21" t="str">
        <f>IF($N280&gt;المرجع!$K$3,"متقدم",IF($N280&lt;=المرجع!$K$2,"أولي","جزئي"))</f>
        <v>جزئي</v>
      </c>
    </row>
    <row r="281" spans="1:18">
      <c r="A281" s="16" t="s">
        <v>1721</v>
      </c>
      <c r="B281" s="16" t="s">
        <v>179</v>
      </c>
      <c r="C281" s="15" t="str">
        <f>IFERROR(INDEX('قائمة الوحدات'!$B$2:$B$41,MATCH($B281,'قائمة الوحدات'!$A$2:$A$41,0)),"")</f>
        <v>EXE</v>
      </c>
      <c r="D281" s="14" t="str">
        <f>IFERROR(INDEX('قائمة الوحدات'!$C$2:$C$41,MATCH($B281,'قائمة الوحدات'!$A$2:$A$41,0)),"")</f>
        <v>الشؤون التنفيذية</v>
      </c>
      <c r="E281" s="14" t="str">
        <f>IFERROR(INDEX('قائمة الوحدات'!$D$2:$D$41,MATCH($B281,'قائمة الوحدات'!$A$2:$A$41,0)),"")</f>
        <v>وكالة الشؤون الاستراتيجية</v>
      </c>
      <c r="F281" s="14" t="str">
        <f>IFERROR(INDEX('قائمة الوحدات'!$F$2:$F$41,MATCH($B281,'قائمة الوحدات'!$A$2:$A$41,0)),"")</f>
        <v>وكالة الشؤون الاستراتيجية</v>
      </c>
      <c r="G281" s="16" t="s">
        <v>61</v>
      </c>
      <c r="H281" s="14" t="str">
        <f>IFERROR(INDEX(المرجع!$A$2:$A$19,MATCH($G281,المرجع!$B$2:$B$19,0)),"")</f>
        <v>البناء المؤسسي</v>
      </c>
      <c r="I281" s="16" t="s">
        <v>54</v>
      </c>
      <c r="J281" s="14" t="str">
        <f>IFERROR(INDEX(المرجع!$D$2:$D$19,MATCH($I281,المرجع!$E$2:$E$19,0)),"")</f>
        <v>التنظيم</v>
      </c>
      <c r="K281" s="15">
        <f>IFERROR(INDEX(المرجع!$F$2:$F$19,MATCH($I281,المرجع!$E$2:$E$19,0)),"")</f>
        <v>4</v>
      </c>
      <c r="L281" s="15">
        <f>SUMIFS(المرجع!$H$2:$H$19,المرجع!$B$2:$B$19,$G281,المرجع!$E$2:$E$19,$I281)</f>
        <v>3</v>
      </c>
      <c r="M281" s="15">
        <f>COUNTIFS('المرتبطة بسمو الوزير'!$B$2:$B$151,$B281,'المرتبطة بسمو الوزير'!$G$2:$G$151,$G281,'المرتبطة بسمو الوزير'!$I$2:$I$151,$I281,'المرتبطة بسمو الوزير'!$M$2:$M$151,"&lt;&gt;")+COUNTIFS('الشؤون التنفيذية'!$B$2:$B$421,$B281,'الشؤون التنفيذية'!$G$2:$G$421,$G281,'الشؤون التنفيذية'!$I$2:$I$421,$I281,'الشؤون التنفيذية'!$N$2:$N$421,"&lt;&gt;")+COUNTIFS('الجهاز العسكري'!$B$2:$B$631,$B281,'الجهاز العسكري'!$G$2:$G$631,$G281,'الجهاز العسكري'!$I$2:$I$631,$I281,'الجهاز العسكري'!$M$2:$M$631,"&lt;&gt;")</f>
        <v>3</v>
      </c>
      <c r="N281" s="19">
        <f>IF($L281=0,0,ROUND((SUMIFS('المرتبطة بسمو الوزير'!$M$2:$M$151,'المرتبطة بسمو الوزير'!$B$2:$B$151,$B281,'المرتبطة بسمو الوزير'!$G$2:$G$151,$G281,'المرتبطة بسمو الوزير'!$I$2:$I$151,$I281)+SUMIFS('الشؤون التنفيذية'!$N$2:$N$421,'الشؤون التنفيذية'!$B$2:$B$421,$B281,'الشؤون التنفيذية'!$G$2:$G$421,$G281,'الشؤون التنفيذية'!$I$2:$I$421,$I281)+SUMIFS('الجهاز العسكري'!$M$2:$M$631,'الجهاز العسكري'!$B$2:$B$631,$B281,'الجهاز العسكري'!$G$2:$G$631,$G281,'الجهاز العسكري'!$I$2:$I$631,$I281))/$L281,0))</f>
        <v>53</v>
      </c>
      <c r="O281" s="18"/>
      <c r="P281" s="15">
        <f>SUMIFS(المرجع!$G$2:$G$19,المرجع!$B$2:$B$19,$G281,المرجع!$E$2:$E$19,$I281)</f>
        <v>20</v>
      </c>
      <c r="Q281" s="20">
        <f t="shared" si="5"/>
        <v>10.6</v>
      </c>
      <c r="R281" s="21" t="str">
        <f>IF($N281&gt;المرجع!$K$3,"متقدم",IF($N281&lt;=المرجع!$K$2,"أولي","جزئي"))</f>
        <v>جزئي</v>
      </c>
    </row>
    <row r="282" spans="1:18">
      <c r="A282" s="16" t="s">
        <v>1722</v>
      </c>
      <c r="B282" s="16" t="s">
        <v>179</v>
      </c>
      <c r="C282" s="15" t="str">
        <f>IFERROR(INDEX('قائمة الوحدات'!$B$2:$B$41,MATCH($B282,'قائمة الوحدات'!$A$2:$A$41,0)),"")</f>
        <v>EXE</v>
      </c>
      <c r="D282" s="14" t="str">
        <f>IFERROR(INDEX('قائمة الوحدات'!$C$2:$C$41,MATCH($B282,'قائمة الوحدات'!$A$2:$A$41,0)),"")</f>
        <v>الشؤون التنفيذية</v>
      </c>
      <c r="E282" s="14" t="str">
        <f>IFERROR(INDEX('قائمة الوحدات'!$D$2:$D$41,MATCH($B282,'قائمة الوحدات'!$A$2:$A$41,0)),"")</f>
        <v>وكالة الشؤون الاستراتيجية</v>
      </c>
      <c r="F282" s="14" t="str">
        <f>IFERROR(INDEX('قائمة الوحدات'!$F$2:$F$41,MATCH($B282,'قائمة الوحدات'!$A$2:$A$41,0)),"")</f>
        <v>وكالة الشؤون الاستراتيجية</v>
      </c>
      <c r="G282" s="16" t="s">
        <v>61</v>
      </c>
      <c r="H282" s="14" t="str">
        <f>IFERROR(INDEX(المرجع!$A$2:$A$19,MATCH($G282,المرجع!$B$2:$B$19,0)),"")</f>
        <v>البناء المؤسسي</v>
      </c>
      <c r="I282" s="16" t="s">
        <v>56</v>
      </c>
      <c r="J282" s="14" t="str">
        <f>IFERROR(INDEX(المرجع!$D$2:$D$19,MATCH($I282,المرجع!$E$2:$E$19,0)),"")</f>
        <v>الموارد</v>
      </c>
      <c r="K282" s="15">
        <f>IFERROR(INDEX(المرجع!$F$2:$F$19,MATCH($I282,المرجع!$E$2:$E$19,0)),"")</f>
        <v>5</v>
      </c>
      <c r="L282" s="15">
        <f>SUMIFS(المرجع!$H$2:$H$19,المرجع!$B$2:$B$19,$G282,المرجع!$E$2:$E$19,$I282)</f>
        <v>4</v>
      </c>
      <c r="M282" s="15">
        <f>COUNTIFS('المرتبطة بسمو الوزير'!$B$2:$B$151,$B282,'المرتبطة بسمو الوزير'!$G$2:$G$151,$G282,'المرتبطة بسمو الوزير'!$I$2:$I$151,$I282,'المرتبطة بسمو الوزير'!$M$2:$M$151,"&lt;&gt;")+COUNTIFS('الشؤون التنفيذية'!$B$2:$B$421,$B282,'الشؤون التنفيذية'!$G$2:$G$421,$G282,'الشؤون التنفيذية'!$I$2:$I$421,$I282,'الشؤون التنفيذية'!$N$2:$N$421,"&lt;&gt;")+COUNTIFS('الجهاز العسكري'!$B$2:$B$631,$B282,'الجهاز العسكري'!$G$2:$G$631,$G282,'الجهاز العسكري'!$I$2:$I$631,$I282,'الجهاز العسكري'!$M$2:$M$631,"&lt;&gt;")</f>
        <v>4</v>
      </c>
      <c r="N282" s="19">
        <f>IF($L282=0,0,ROUND((SUMIFS('المرتبطة بسمو الوزير'!$M$2:$M$151,'المرتبطة بسمو الوزير'!$B$2:$B$151,$B282,'المرتبطة بسمو الوزير'!$G$2:$G$151,$G282,'المرتبطة بسمو الوزير'!$I$2:$I$151,$I282)+SUMIFS('الشؤون التنفيذية'!$N$2:$N$421,'الشؤون التنفيذية'!$B$2:$B$421,$B282,'الشؤون التنفيذية'!$G$2:$G$421,$G282,'الشؤون التنفيذية'!$I$2:$I$421,$I282)+SUMIFS('الجهاز العسكري'!$M$2:$M$631,'الجهاز العسكري'!$B$2:$B$631,$B282,'الجهاز العسكري'!$G$2:$G$631,$G282,'الجهاز العسكري'!$I$2:$I$631,$I282))/$L282,0))</f>
        <v>76</v>
      </c>
      <c r="O282" s="18"/>
      <c r="P282" s="15">
        <f>SUMIFS(المرجع!$G$2:$G$19,المرجع!$B$2:$B$19,$G282,المرجع!$E$2:$E$19,$I282)</f>
        <v>25</v>
      </c>
      <c r="Q282" s="20">
        <f t="shared" si="5"/>
        <v>19</v>
      </c>
      <c r="R282" s="21" t="str">
        <f>IF($N282&gt;المرجع!$K$3,"متقدم",IF($N282&lt;=المرجع!$K$2,"أولي","جزئي"))</f>
        <v>متقدم</v>
      </c>
    </row>
    <row r="283" spans="1:18">
      <c r="A283" s="16" t="s">
        <v>1723</v>
      </c>
      <c r="B283" s="16" t="s">
        <v>179</v>
      </c>
      <c r="C283" s="15" t="str">
        <f>IFERROR(INDEX('قائمة الوحدات'!$B$2:$B$41,MATCH($B283,'قائمة الوحدات'!$A$2:$A$41,0)),"")</f>
        <v>EXE</v>
      </c>
      <c r="D283" s="14" t="str">
        <f>IFERROR(INDEX('قائمة الوحدات'!$C$2:$C$41,MATCH($B283,'قائمة الوحدات'!$A$2:$A$41,0)),"")</f>
        <v>الشؤون التنفيذية</v>
      </c>
      <c r="E283" s="14" t="str">
        <f>IFERROR(INDEX('قائمة الوحدات'!$D$2:$D$41,MATCH($B283,'قائمة الوحدات'!$A$2:$A$41,0)),"")</f>
        <v>وكالة الشؤون الاستراتيجية</v>
      </c>
      <c r="F283" s="14" t="str">
        <f>IFERROR(INDEX('قائمة الوحدات'!$F$2:$F$41,MATCH($B283,'قائمة الوحدات'!$A$2:$A$41,0)),"")</f>
        <v>وكالة الشؤون الاستراتيجية</v>
      </c>
      <c r="G283" s="16" t="s">
        <v>61</v>
      </c>
      <c r="H283" s="14" t="str">
        <f>IFERROR(INDEX(المرجع!$A$2:$A$19,MATCH($G283,المرجع!$B$2:$B$19,0)),"")</f>
        <v>البناء المؤسسي</v>
      </c>
      <c r="I283" s="16" t="s">
        <v>59</v>
      </c>
      <c r="J283" s="14" t="str">
        <f>IFERROR(INDEX(المرجع!$D$2:$D$19,MATCH($I283,المرجع!$E$2:$E$19,0)),"")</f>
        <v>الإجراءات</v>
      </c>
      <c r="K283" s="15">
        <f>IFERROR(INDEX(المرجع!$F$2:$F$19,MATCH($I283,المرجع!$E$2:$E$19,0)),"")</f>
        <v>6</v>
      </c>
      <c r="L283" s="15">
        <f>SUMIFS(المرجع!$H$2:$H$19,المرجع!$B$2:$B$19,$G283,المرجع!$E$2:$E$19,$I283)</f>
        <v>1</v>
      </c>
      <c r="M283" s="15">
        <f>COUNTIFS('المرتبطة بسمو الوزير'!$B$2:$B$151,$B283,'المرتبطة بسمو الوزير'!$G$2:$G$151,$G283,'المرتبطة بسمو الوزير'!$I$2:$I$151,$I283,'المرتبطة بسمو الوزير'!$M$2:$M$151,"&lt;&gt;")+COUNTIFS('الشؤون التنفيذية'!$B$2:$B$421,$B283,'الشؤون التنفيذية'!$G$2:$G$421,$G283,'الشؤون التنفيذية'!$I$2:$I$421,$I283,'الشؤون التنفيذية'!$N$2:$N$421,"&lt;&gt;")+COUNTIFS('الجهاز العسكري'!$B$2:$B$631,$B283,'الجهاز العسكري'!$G$2:$G$631,$G283,'الجهاز العسكري'!$I$2:$I$631,$I283,'الجهاز العسكري'!$M$2:$M$631,"&lt;&gt;")</f>
        <v>1</v>
      </c>
      <c r="N283" s="19">
        <f>IF($L283=0,0,ROUND((SUMIFS('المرتبطة بسمو الوزير'!$M$2:$M$151,'المرتبطة بسمو الوزير'!$B$2:$B$151,$B283,'المرتبطة بسمو الوزير'!$G$2:$G$151,$G283,'المرتبطة بسمو الوزير'!$I$2:$I$151,$I283)+SUMIFS('الشؤون التنفيذية'!$N$2:$N$421,'الشؤون التنفيذية'!$B$2:$B$421,$B283,'الشؤون التنفيذية'!$G$2:$G$421,$G283,'الشؤون التنفيذية'!$I$2:$I$421,$I283)+SUMIFS('الجهاز العسكري'!$M$2:$M$631,'الجهاز العسكري'!$B$2:$B$631,$B283,'الجهاز العسكري'!$G$2:$G$631,$G283,'الجهاز العسكري'!$I$2:$I$631,$I283))/$L283,0))</f>
        <v>78</v>
      </c>
      <c r="O283" s="18"/>
      <c r="P283" s="15">
        <f>SUMIFS(المرجع!$G$2:$G$19,المرجع!$B$2:$B$19,$G283,المرجع!$E$2:$E$19,$I283)</f>
        <v>5</v>
      </c>
      <c r="Q283" s="20">
        <f t="shared" si="5"/>
        <v>3.9</v>
      </c>
      <c r="R283" s="21" t="str">
        <f>IF($N283&gt;المرجع!$K$3,"متقدم",IF($N283&lt;=المرجع!$K$2,"أولي","جزئي"))</f>
        <v>متقدم</v>
      </c>
    </row>
    <row r="284" spans="1:18">
      <c r="A284" s="16" t="s">
        <v>1724</v>
      </c>
      <c r="B284" s="16" t="s">
        <v>179</v>
      </c>
      <c r="C284" s="15" t="str">
        <f>IFERROR(INDEX('قائمة الوحدات'!$B$2:$B$41,MATCH($B284,'قائمة الوحدات'!$A$2:$A$41,0)),"")</f>
        <v>EXE</v>
      </c>
      <c r="D284" s="14" t="str">
        <f>IFERROR(INDEX('قائمة الوحدات'!$C$2:$C$41,MATCH($B284,'قائمة الوحدات'!$A$2:$A$41,0)),"")</f>
        <v>الشؤون التنفيذية</v>
      </c>
      <c r="E284" s="14" t="str">
        <f>IFERROR(INDEX('قائمة الوحدات'!$D$2:$D$41,MATCH($B284,'قائمة الوحدات'!$A$2:$A$41,0)),"")</f>
        <v>وكالة الشؤون الاستراتيجية</v>
      </c>
      <c r="F284" s="14" t="str">
        <f>IFERROR(INDEX('قائمة الوحدات'!$F$2:$F$41,MATCH($B284,'قائمة الوحدات'!$A$2:$A$41,0)),"")</f>
        <v>وكالة الشؤون الاستراتيجية</v>
      </c>
      <c r="G284" s="16" t="s">
        <v>61</v>
      </c>
      <c r="H284" s="14" t="str">
        <f>IFERROR(INDEX(المرجع!$A$2:$A$19,MATCH($G284,المرجع!$B$2:$B$19,0)),"")</f>
        <v>البناء المؤسسي</v>
      </c>
      <c r="I284" s="16" t="s">
        <v>63</v>
      </c>
      <c r="J284" s="14" t="str">
        <f>IFERROR(INDEX(المرجع!$D$2:$D$19,MATCH($I284,المرجع!$E$2:$E$19,0)),"")</f>
        <v>إنتاج المخرج الأول</v>
      </c>
      <c r="K284" s="15">
        <f>IFERROR(INDEX(المرجع!$F$2:$F$19,MATCH($I284,المرجع!$E$2:$E$19,0)),"")</f>
        <v>7</v>
      </c>
      <c r="L284" s="15">
        <f>SUMIFS(المرجع!$H$2:$H$19,المرجع!$B$2:$B$19,$G284,المرجع!$E$2:$E$19,$I284)</f>
        <v>1</v>
      </c>
      <c r="M284" s="15">
        <f>COUNTIFS('المرتبطة بسمو الوزير'!$B$2:$B$151,$B284,'المرتبطة بسمو الوزير'!$G$2:$G$151,$G284,'المرتبطة بسمو الوزير'!$I$2:$I$151,$I284,'المرتبطة بسمو الوزير'!$M$2:$M$151,"&lt;&gt;")+COUNTIFS('الشؤون التنفيذية'!$B$2:$B$421,$B284,'الشؤون التنفيذية'!$G$2:$G$421,$G284,'الشؤون التنفيذية'!$I$2:$I$421,$I284,'الشؤون التنفيذية'!$N$2:$N$421,"&lt;&gt;")+COUNTIFS('الجهاز العسكري'!$B$2:$B$631,$B284,'الجهاز العسكري'!$G$2:$G$631,$G284,'الجهاز العسكري'!$I$2:$I$631,$I284,'الجهاز العسكري'!$M$2:$M$631,"&lt;&gt;")</f>
        <v>1</v>
      </c>
      <c r="N284" s="19">
        <f>IF($L284=0,0,ROUND((SUMIFS('المرتبطة بسمو الوزير'!$M$2:$M$151,'المرتبطة بسمو الوزير'!$B$2:$B$151,$B284,'المرتبطة بسمو الوزير'!$G$2:$G$151,$G284,'المرتبطة بسمو الوزير'!$I$2:$I$151,$I284)+SUMIFS('الشؤون التنفيذية'!$N$2:$N$421,'الشؤون التنفيذية'!$B$2:$B$421,$B284,'الشؤون التنفيذية'!$G$2:$G$421,$G284,'الشؤون التنفيذية'!$I$2:$I$421,$I284)+SUMIFS('الجهاز العسكري'!$M$2:$M$631,'الجهاز العسكري'!$B$2:$B$631,$B284,'الجهاز العسكري'!$G$2:$G$631,$G284,'الجهاز العسكري'!$I$2:$I$631,$I284))/$L284,0))</f>
        <v>48</v>
      </c>
      <c r="O284" s="18"/>
      <c r="P284" s="15">
        <f>SUMIFS(المرجع!$G$2:$G$19,المرجع!$B$2:$B$19,$G284,المرجع!$E$2:$E$19,$I284)</f>
        <v>5</v>
      </c>
      <c r="Q284" s="20">
        <f t="shared" si="5"/>
        <v>2.4</v>
      </c>
      <c r="R284" s="21" t="str">
        <f>IF($N284&gt;المرجع!$K$3,"متقدم",IF($N284&lt;=المرجع!$K$2,"أولي","جزئي"))</f>
        <v>جزئي</v>
      </c>
    </row>
    <row r="285" spans="1:18">
      <c r="A285" s="16" t="s">
        <v>1725</v>
      </c>
      <c r="B285" s="16" t="s">
        <v>179</v>
      </c>
      <c r="C285" s="15" t="str">
        <f>IFERROR(INDEX('قائمة الوحدات'!$B$2:$B$41,MATCH($B285,'قائمة الوحدات'!$A$2:$A$41,0)),"")</f>
        <v>EXE</v>
      </c>
      <c r="D285" s="14" t="str">
        <f>IFERROR(INDEX('قائمة الوحدات'!$C$2:$C$41,MATCH($B285,'قائمة الوحدات'!$A$2:$A$41,0)),"")</f>
        <v>الشؤون التنفيذية</v>
      </c>
      <c r="E285" s="14" t="str">
        <f>IFERROR(INDEX('قائمة الوحدات'!$D$2:$D$41,MATCH($B285,'قائمة الوحدات'!$A$2:$A$41,0)),"")</f>
        <v>وكالة الشؤون الاستراتيجية</v>
      </c>
      <c r="F285" s="14" t="str">
        <f>IFERROR(INDEX('قائمة الوحدات'!$F$2:$F$41,MATCH($B285,'قائمة الوحدات'!$A$2:$A$41,0)),"")</f>
        <v>وكالة الشؤون الاستراتيجية</v>
      </c>
      <c r="G285" s="16" t="s">
        <v>65</v>
      </c>
      <c r="H285" s="14" t="str">
        <f>IFERROR(INDEX(المرجع!$A$2:$A$19,MATCH($G285,المرجع!$B$2:$B$19,0)),"")</f>
        <v>التشغيل</v>
      </c>
      <c r="I285" s="16" t="s">
        <v>48</v>
      </c>
      <c r="J285" s="14" t="str">
        <f>IFERROR(INDEX(المرجع!$D$2:$D$19,MATCH($I285,المرجع!$E$2:$E$19,0)),"")</f>
        <v>الأهداف ومؤشرات الأداء</v>
      </c>
      <c r="K285" s="15">
        <f>IFERROR(INDEX(المرجع!$F$2:$F$19,MATCH($I285,المرجع!$E$2:$E$19,0)),"")</f>
        <v>2</v>
      </c>
      <c r="L285" s="15">
        <f>SUMIFS(المرجع!$H$2:$H$19,المرجع!$B$2:$B$19,$G285,المرجع!$E$2:$E$19,$I285)</f>
        <v>2</v>
      </c>
      <c r="M285" s="15">
        <f>COUNTIFS('المرتبطة بسمو الوزير'!$B$2:$B$151,$B285,'المرتبطة بسمو الوزير'!$G$2:$G$151,$G285,'المرتبطة بسمو الوزير'!$I$2:$I$151,$I285,'المرتبطة بسمو الوزير'!$M$2:$M$151,"&lt;&gt;")+COUNTIFS('الشؤون التنفيذية'!$B$2:$B$421,$B285,'الشؤون التنفيذية'!$G$2:$G$421,$G285,'الشؤون التنفيذية'!$I$2:$I$421,$I285,'الشؤون التنفيذية'!$N$2:$N$421,"&lt;&gt;")+COUNTIFS('الجهاز العسكري'!$B$2:$B$631,$B285,'الجهاز العسكري'!$G$2:$G$631,$G285,'الجهاز العسكري'!$I$2:$I$631,$I285,'الجهاز العسكري'!$M$2:$M$631,"&lt;&gt;")</f>
        <v>2</v>
      </c>
      <c r="N285" s="19">
        <f>IF($L285=0,0,ROUND((SUMIFS('المرتبطة بسمو الوزير'!$M$2:$M$151,'المرتبطة بسمو الوزير'!$B$2:$B$151,$B285,'المرتبطة بسمو الوزير'!$G$2:$G$151,$G285,'المرتبطة بسمو الوزير'!$I$2:$I$151,$I285)+SUMIFS('الشؤون التنفيذية'!$N$2:$N$421,'الشؤون التنفيذية'!$B$2:$B$421,$B285,'الشؤون التنفيذية'!$G$2:$G$421,$G285,'الشؤون التنفيذية'!$I$2:$I$421,$I285)+SUMIFS('الجهاز العسكري'!$M$2:$M$631,'الجهاز العسكري'!$B$2:$B$631,$B285,'الجهاز العسكري'!$G$2:$G$631,$G285,'الجهاز العسكري'!$I$2:$I$631,$I285))/$L285,0))</f>
        <v>35</v>
      </c>
      <c r="O285" s="18"/>
      <c r="P285" s="15">
        <f>SUMIFS(المرجع!$G$2:$G$19,المرجع!$B$2:$B$19,$G285,المرجع!$E$2:$E$19,$I285)</f>
        <v>25</v>
      </c>
      <c r="Q285" s="20">
        <f t="shared" si="5"/>
        <v>8.75</v>
      </c>
      <c r="R285" s="21" t="str">
        <f>IF($N285&gt;المرجع!$K$3,"متقدم",IF($N285&lt;=المرجع!$K$2,"أولي","جزئي"))</f>
        <v>جزئي</v>
      </c>
    </row>
    <row r="286" spans="1:18">
      <c r="A286" s="16" t="s">
        <v>1726</v>
      </c>
      <c r="B286" s="16" t="s">
        <v>179</v>
      </c>
      <c r="C286" s="15" t="str">
        <f>IFERROR(INDEX('قائمة الوحدات'!$B$2:$B$41,MATCH($B286,'قائمة الوحدات'!$A$2:$A$41,0)),"")</f>
        <v>EXE</v>
      </c>
      <c r="D286" s="14" t="str">
        <f>IFERROR(INDEX('قائمة الوحدات'!$C$2:$C$41,MATCH($B286,'قائمة الوحدات'!$A$2:$A$41,0)),"")</f>
        <v>الشؤون التنفيذية</v>
      </c>
      <c r="E286" s="14" t="str">
        <f>IFERROR(INDEX('قائمة الوحدات'!$D$2:$D$41,MATCH($B286,'قائمة الوحدات'!$A$2:$A$41,0)),"")</f>
        <v>وكالة الشؤون الاستراتيجية</v>
      </c>
      <c r="F286" s="14" t="str">
        <f>IFERROR(INDEX('قائمة الوحدات'!$F$2:$F$41,MATCH($B286,'قائمة الوحدات'!$A$2:$A$41,0)),"")</f>
        <v>وكالة الشؤون الاستراتيجية</v>
      </c>
      <c r="G286" s="16" t="s">
        <v>65</v>
      </c>
      <c r="H286" s="14" t="str">
        <f>IFERROR(INDEX(المرجع!$A$2:$A$19,MATCH($G286,المرجع!$B$2:$B$19,0)),"")</f>
        <v>التشغيل</v>
      </c>
      <c r="I286" s="16" t="s">
        <v>51</v>
      </c>
      <c r="J286" s="14" t="str">
        <f>IFERROR(INDEX(المرجع!$D$2:$D$19,MATCH($I286,المرجع!$E$2:$E$19,0)),"")</f>
        <v>الحوكمة</v>
      </c>
      <c r="K286" s="15">
        <f>IFERROR(INDEX(المرجع!$F$2:$F$19,MATCH($I286,المرجع!$E$2:$E$19,0)),"")</f>
        <v>3</v>
      </c>
      <c r="L286" s="15">
        <f>SUMIFS(المرجع!$H$2:$H$19,المرجع!$B$2:$B$19,$G286,المرجع!$E$2:$E$19,$I286)</f>
        <v>3</v>
      </c>
      <c r="M286" s="15">
        <f>COUNTIFS('المرتبطة بسمو الوزير'!$B$2:$B$151,$B286,'المرتبطة بسمو الوزير'!$G$2:$G$151,$G286,'المرتبطة بسمو الوزير'!$I$2:$I$151,$I286,'المرتبطة بسمو الوزير'!$M$2:$M$151,"&lt;&gt;")+COUNTIFS('الشؤون التنفيذية'!$B$2:$B$421,$B286,'الشؤون التنفيذية'!$G$2:$G$421,$G286,'الشؤون التنفيذية'!$I$2:$I$421,$I286,'الشؤون التنفيذية'!$N$2:$N$421,"&lt;&gt;")+COUNTIFS('الجهاز العسكري'!$B$2:$B$631,$B286,'الجهاز العسكري'!$G$2:$G$631,$G286,'الجهاز العسكري'!$I$2:$I$631,$I286,'الجهاز العسكري'!$M$2:$M$631,"&lt;&gt;")</f>
        <v>3</v>
      </c>
      <c r="N286" s="19">
        <f>IF($L286=0,0,ROUND((SUMIFS('المرتبطة بسمو الوزير'!$M$2:$M$151,'المرتبطة بسمو الوزير'!$B$2:$B$151,$B286,'المرتبطة بسمو الوزير'!$G$2:$G$151,$G286,'المرتبطة بسمو الوزير'!$I$2:$I$151,$I286)+SUMIFS('الشؤون التنفيذية'!$N$2:$N$421,'الشؤون التنفيذية'!$B$2:$B$421,$B286,'الشؤون التنفيذية'!$G$2:$G$421,$G286,'الشؤون التنفيذية'!$I$2:$I$421,$I286)+SUMIFS('الجهاز العسكري'!$M$2:$M$631,'الجهاز العسكري'!$B$2:$B$631,$B286,'الجهاز العسكري'!$G$2:$G$631,$G286,'الجهاز العسكري'!$I$2:$I$631,$I286))/$L286,0))</f>
        <v>63</v>
      </c>
      <c r="O286" s="18"/>
      <c r="P286" s="15">
        <f>SUMIFS(المرجع!$G$2:$G$19,المرجع!$B$2:$B$19,$G286,المرجع!$E$2:$E$19,$I286)</f>
        <v>15</v>
      </c>
      <c r="Q286" s="20">
        <f t="shared" si="5"/>
        <v>9.4499999999999993</v>
      </c>
      <c r="R286" s="21" t="str">
        <f>IF($N286&gt;المرجع!$K$3,"متقدم",IF($N286&lt;=المرجع!$K$2,"أولي","جزئي"))</f>
        <v>جزئي</v>
      </c>
    </row>
    <row r="287" spans="1:18">
      <c r="A287" s="16" t="s">
        <v>1727</v>
      </c>
      <c r="B287" s="16" t="s">
        <v>179</v>
      </c>
      <c r="C287" s="15" t="str">
        <f>IFERROR(INDEX('قائمة الوحدات'!$B$2:$B$41,MATCH($B287,'قائمة الوحدات'!$A$2:$A$41,0)),"")</f>
        <v>EXE</v>
      </c>
      <c r="D287" s="14" t="str">
        <f>IFERROR(INDEX('قائمة الوحدات'!$C$2:$C$41,MATCH($B287,'قائمة الوحدات'!$A$2:$A$41,0)),"")</f>
        <v>الشؤون التنفيذية</v>
      </c>
      <c r="E287" s="14" t="str">
        <f>IFERROR(INDEX('قائمة الوحدات'!$D$2:$D$41,MATCH($B287,'قائمة الوحدات'!$A$2:$A$41,0)),"")</f>
        <v>وكالة الشؤون الاستراتيجية</v>
      </c>
      <c r="F287" s="14" t="str">
        <f>IFERROR(INDEX('قائمة الوحدات'!$F$2:$F$41,MATCH($B287,'قائمة الوحدات'!$A$2:$A$41,0)),"")</f>
        <v>وكالة الشؤون الاستراتيجية</v>
      </c>
      <c r="G287" s="16" t="s">
        <v>65</v>
      </c>
      <c r="H287" s="14" t="str">
        <f>IFERROR(INDEX(المرجع!$A$2:$A$19,MATCH($G287,المرجع!$B$2:$B$19,0)),"")</f>
        <v>التشغيل</v>
      </c>
      <c r="I287" s="16" t="s">
        <v>56</v>
      </c>
      <c r="J287" s="14" t="str">
        <f>IFERROR(INDEX(المرجع!$D$2:$D$19,MATCH($I287,المرجع!$E$2:$E$19,0)),"")</f>
        <v>الموارد</v>
      </c>
      <c r="K287" s="15">
        <f>IFERROR(INDEX(المرجع!$F$2:$F$19,MATCH($I287,المرجع!$E$2:$E$19,0)),"")</f>
        <v>5</v>
      </c>
      <c r="L287" s="15">
        <f>SUMIFS(المرجع!$H$2:$H$19,المرجع!$B$2:$B$19,$G287,المرجع!$E$2:$E$19,$I287)</f>
        <v>1</v>
      </c>
      <c r="M287" s="15">
        <f>COUNTIFS('المرتبطة بسمو الوزير'!$B$2:$B$151,$B287,'المرتبطة بسمو الوزير'!$G$2:$G$151,$G287,'المرتبطة بسمو الوزير'!$I$2:$I$151,$I287,'المرتبطة بسمو الوزير'!$M$2:$M$151,"&lt;&gt;")+COUNTIFS('الشؤون التنفيذية'!$B$2:$B$421,$B287,'الشؤون التنفيذية'!$G$2:$G$421,$G287,'الشؤون التنفيذية'!$I$2:$I$421,$I287,'الشؤون التنفيذية'!$N$2:$N$421,"&lt;&gt;")+COUNTIFS('الجهاز العسكري'!$B$2:$B$631,$B287,'الجهاز العسكري'!$G$2:$G$631,$G287,'الجهاز العسكري'!$I$2:$I$631,$I287,'الجهاز العسكري'!$M$2:$M$631,"&lt;&gt;")</f>
        <v>1</v>
      </c>
      <c r="N287" s="19">
        <f>IF($L287=0,0,ROUND((SUMIFS('المرتبطة بسمو الوزير'!$M$2:$M$151,'المرتبطة بسمو الوزير'!$B$2:$B$151,$B287,'المرتبطة بسمو الوزير'!$G$2:$G$151,$G287,'المرتبطة بسمو الوزير'!$I$2:$I$151,$I287)+SUMIFS('الشؤون التنفيذية'!$N$2:$N$421,'الشؤون التنفيذية'!$B$2:$B$421,$B287,'الشؤون التنفيذية'!$G$2:$G$421,$G287,'الشؤون التنفيذية'!$I$2:$I$421,$I287)+SUMIFS('الجهاز العسكري'!$M$2:$M$631,'الجهاز العسكري'!$B$2:$B$631,$B287,'الجهاز العسكري'!$G$2:$G$631,$G287,'الجهاز العسكري'!$I$2:$I$631,$I287))/$L287,0))</f>
        <v>38</v>
      </c>
      <c r="O287" s="18"/>
      <c r="P287" s="15">
        <f>SUMIFS(المرجع!$G$2:$G$19,المرجع!$B$2:$B$19,$G287,المرجع!$E$2:$E$19,$I287)</f>
        <v>15</v>
      </c>
      <c r="Q287" s="20">
        <f t="shared" si="5"/>
        <v>5.7</v>
      </c>
      <c r="R287" s="21" t="str">
        <f>IF($N287&gt;المرجع!$K$3,"متقدم",IF($N287&lt;=المرجع!$K$2,"أولي","جزئي"))</f>
        <v>جزئي</v>
      </c>
    </row>
    <row r="288" spans="1:18">
      <c r="A288" s="16" t="s">
        <v>1728</v>
      </c>
      <c r="B288" s="16" t="s">
        <v>179</v>
      </c>
      <c r="C288" s="15" t="str">
        <f>IFERROR(INDEX('قائمة الوحدات'!$B$2:$B$41,MATCH($B288,'قائمة الوحدات'!$A$2:$A$41,0)),"")</f>
        <v>EXE</v>
      </c>
      <c r="D288" s="14" t="str">
        <f>IFERROR(INDEX('قائمة الوحدات'!$C$2:$C$41,MATCH($B288,'قائمة الوحدات'!$A$2:$A$41,0)),"")</f>
        <v>الشؤون التنفيذية</v>
      </c>
      <c r="E288" s="14" t="str">
        <f>IFERROR(INDEX('قائمة الوحدات'!$D$2:$D$41,MATCH($B288,'قائمة الوحدات'!$A$2:$A$41,0)),"")</f>
        <v>وكالة الشؤون الاستراتيجية</v>
      </c>
      <c r="F288" s="14" t="str">
        <f>IFERROR(INDEX('قائمة الوحدات'!$F$2:$F$41,MATCH($B288,'قائمة الوحدات'!$A$2:$A$41,0)),"")</f>
        <v>وكالة الشؤون الاستراتيجية</v>
      </c>
      <c r="G288" s="16" t="s">
        <v>65</v>
      </c>
      <c r="H288" s="14" t="str">
        <f>IFERROR(INDEX(المرجع!$A$2:$A$19,MATCH($G288,المرجع!$B$2:$B$19,0)),"")</f>
        <v>التشغيل</v>
      </c>
      <c r="I288" s="16" t="s">
        <v>59</v>
      </c>
      <c r="J288" s="14" t="str">
        <f>IFERROR(INDEX(المرجع!$D$2:$D$19,MATCH($I288,المرجع!$E$2:$E$19,0)),"")</f>
        <v>الإجراءات</v>
      </c>
      <c r="K288" s="15">
        <f>IFERROR(INDEX(المرجع!$F$2:$F$19,MATCH($I288,المرجع!$E$2:$E$19,0)),"")</f>
        <v>6</v>
      </c>
      <c r="L288" s="15">
        <f>SUMIFS(المرجع!$H$2:$H$19,المرجع!$B$2:$B$19,$G288,المرجع!$E$2:$E$19,$I288)</f>
        <v>1</v>
      </c>
      <c r="M288" s="15">
        <f>COUNTIFS('المرتبطة بسمو الوزير'!$B$2:$B$151,$B288,'المرتبطة بسمو الوزير'!$G$2:$G$151,$G288,'المرتبطة بسمو الوزير'!$I$2:$I$151,$I288,'المرتبطة بسمو الوزير'!$M$2:$M$151,"&lt;&gt;")+COUNTIFS('الشؤون التنفيذية'!$B$2:$B$421,$B288,'الشؤون التنفيذية'!$G$2:$G$421,$G288,'الشؤون التنفيذية'!$I$2:$I$421,$I288,'الشؤون التنفيذية'!$N$2:$N$421,"&lt;&gt;")+COUNTIFS('الجهاز العسكري'!$B$2:$B$631,$B288,'الجهاز العسكري'!$G$2:$G$631,$G288,'الجهاز العسكري'!$I$2:$I$631,$I288,'الجهاز العسكري'!$M$2:$M$631,"&lt;&gt;")</f>
        <v>1</v>
      </c>
      <c r="N288" s="19">
        <f>IF($L288=0,0,ROUND((SUMIFS('المرتبطة بسمو الوزير'!$M$2:$M$151,'المرتبطة بسمو الوزير'!$B$2:$B$151,$B288,'المرتبطة بسمو الوزير'!$G$2:$G$151,$G288,'المرتبطة بسمو الوزير'!$I$2:$I$151,$I288)+SUMIFS('الشؤون التنفيذية'!$N$2:$N$421,'الشؤون التنفيذية'!$B$2:$B$421,$B288,'الشؤون التنفيذية'!$G$2:$G$421,$G288,'الشؤون التنفيذية'!$I$2:$I$421,$I288)+SUMIFS('الجهاز العسكري'!$M$2:$M$631,'الجهاز العسكري'!$B$2:$B$631,$B288,'الجهاز العسكري'!$G$2:$G$631,$G288,'الجهاز العسكري'!$I$2:$I$631,$I288))/$L288,0))</f>
        <v>57</v>
      </c>
      <c r="O288" s="18"/>
      <c r="P288" s="15">
        <f>SUMIFS(المرجع!$G$2:$G$19,المرجع!$B$2:$B$19,$G288,المرجع!$E$2:$E$19,$I288)</f>
        <v>15</v>
      </c>
      <c r="Q288" s="20">
        <f t="shared" si="5"/>
        <v>8.5500000000000007</v>
      </c>
      <c r="R288" s="21" t="str">
        <f>IF($N288&gt;المرجع!$K$3,"متقدم",IF($N288&lt;=المرجع!$K$2,"أولي","جزئي"))</f>
        <v>جزئي</v>
      </c>
    </row>
    <row r="289" spans="1:18">
      <c r="A289" s="16" t="s">
        <v>1729</v>
      </c>
      <c r="B289" s="16" t="s">
        <v>179</v>
      </c>
      <c r="C289" s="15" t="str">
        <f>IFERROR(INDEX('قائمة الوحدات'!$B$2:$B$41,MATCH($B289,'قائمة الوحدات'!$A$2:$A$41,0)),"")</f>
        <v>EXE</v>
      </c>
      <c r="D289" s="14" t="str">
        <f>IFERROR(INDEX('قائمة الوحدات'!$C$2:$C$41,MATCH($B289,'قائمة الوحدات'!$A$2:$A$41,0)),"")</f>
        <v>الشؤون التنفيذية</v>
      </c>
      <c r="E289" s="14" t="str">
        <f>IFERROR(INDEX('قائمة الوحدات'!$D$2:$D$41,MATCH($B289,'قائمة الوحدات'!$A$2:$A$41,0)),"")</f>
        <v>وكالة الشؤون الاستراتيجية</v>
      </c>
      <c r="F289" s="14" t="str">
        <f>IFERROR(INDEX('قائمة الوحدات'!$F$2:$F$41,MATCH($B289,'قائمة الوحدات'!$A$2:$A$41,0)),"")</f>
        <v>وكالة الشؤون الاستراتيجية</v>
      </c>
      <c r="G289" s="16" t="s">
        <v>65</v>
      </c>
      <c r="H289" s="14" t="str">
        <f>IFERROR(INDEX(المرجع!$A$2:$A$19,MATCH($G289,المرجع!$B$2:$B$19,0)),"")</f>
        <v>التشغيل</v>
      </c>
      <c r="I289" s="16" t="s">
        <v>67</v>
      </c>
      <c r="J289" s="14" t="str">
        <f>IFERROR(INDEX(المرجع!$D$2:$D$19,MATCH($I289,المرجع!$E$2:$E$19,0)),"")</f>
        <v>اكتمال المخرجات المستهدفة</v>
      </c>
      <c r="K289" s="15">
        <f>IFERROR(INDEX(المرجع!$F$2:$F$19,MATCH($I289,المرجع!$E$2:$E$19,0)),"")</f>
        <v>8</v>
      </c>
      <c r="L289" s="15">
        <f>SUMIFS(المرجع!$H$2:$H$19,المرجع!$B$2:$B$19,$G289,المرجع!$E$2:$E$19,$I289)</f>
        <v>1</v>
      </c>
      <c r="M289" s="15">
        <f>COUNTIFS('المرتبطة بسمو الوزير'!$B$2:$B$151,$B289,'المرتبطة بسمو الوزير'!$G$2:$G$151,$G289,'المرتبطة بسمو الوزير'!$I$2:$I$151,$I289,'المرتبطة بسمو الوزير'!$M$2:$M$151,"&lt;&gt;")+COUNTIFS('الشؤون التنفيذية'!$B$2:$B$421,$B289,'الشؤون التنفيذية'!$G$2:$G$421,$G289,'الشؤون التنفيذية'!$I$2:$I$421,$I289,'الشؤون التنفيذية'!$N$2:$N$421,"&lt;&gt;")+COUNTIFS('الجهاز العسكري'!$B$2:$B$631,$B289,'الجهاز العسكري'!$G$2:$G$631,$G289,'الجهاز العسكري'!$I$2:$I$631,$I289,'الجهاز العسكري'!$M$2:$M$631,"&lt;&gt;")</f>
        <v>1</v>
      </c>
      <c r="N289" s="19">
        <f>IF($L289=0,0,ROUND((SUMIFS('المرتبطة بسمو الوزير'!$M$2:$M$151,'المرتبطة بسمو الوزير'!$B$2:$B$151,$B289,'المرتبطة بسمو الوزير'!$G$2:$G$151,$G289,'المرتبطة بسمو الوزير'!$I$2:$I$151,$I289)+SUMIFS('الشؤون التنفيذية'!$N$2:$N$421,'الشؤون التنفيذية'!$B$2:$B$421,$B289,'الشؤون التنفيذية'!$G$2:$G$421,$G289,'الشؤون التنفيذية'!$I$2:$I$421,$I289)+SUMIFS('الجهاز العسكري'!$M$2:$M$631,'الجهاز العسكري'!$B$2:$B$631,$B289,'الجهاز العسكري'!$G$2:$G$631,$G289,'الجهاز العسكري'!$I$2:$I$631,$I289))/$L289,0))</f>
        <v>28</v>
      </c>
      <c r="O289" s="18"/>
      <c r="P289" s="15">
        <f>SUMIFS(المرجع!$G$2:$G$19,المرجع!$B$2:$B$19,$G289,المرجع!$E$2:$E$19,$I289)</f>
        <v>30</v>
      </c>
      <c r="Q289" s="20">
        <f t="shared" si="5"/>
        <v>8.4</v>
      </c>
      <c r="R289" s="21" t="str">
        <f>IF($N289&gt;المرجع!$K$3,"متقدم",IF($N289&lt;=المرجع!$K$2,"أولي","جزئي"))</f>
        <v>أولي</v>
      </c>
    </row>
    <row r="290" spans="1:18">
      <c r="A290" s="16" t="s">
        <v>1730</v>
      </c>
      <c r="B290" s="16" t="s">
        <v>182</v>
      </c>
      <c r="C290" s="15" t="str">
        <f>IFERROR(INDEX('قائمة الوحدات'!$B$2:$B$41,MATCH($B290,'قائمة الوحدات'!$A$2:$A$41,0)),"")</f>
        <v>EXE</v>
      </c>
      <c r="D290" s="14" t="str">
        <f>IFERROR(INDEX('قائمة الوحدات'!$C$2:$C$41,MATCH($B290,'قائمة الوحدات'!$A$2:$A$41,0)),"")</f>
        <v>الشؤون التنفيذية</v>
      </c>
      <c r="E290" s="14" t="str">
        <f>IFERROR(INDEX('قائمة الوحدات'!$D$2:$D$41,MATCH($B290,'قائمة الوحدات'!$A$2:$A$41,0)),"")</f>
        <v>وكالة التحول الرقمي</v>
      </c>
      <c r="F290" s="14" t="str">
        <f>IFERROR(INDEX('قائمة الوحدات'!$F$2:$F$41,MATCH($B290,'قائمة الوحدات'!$A$2:$A$41,0)),"")</f>
        <v>وكالة التحول الرقمي</v>
      </c>
      <c r="G290" s="16" t="s">
        <v>43</v>
      </c>
      <c r="H290" s="14" t="str">
        <f>IFERROR(INDEX(المرجع!$A$2:$A$19,MATCH($G290,المرجع!$B$2:$B$19,0)),"")</f>
        <v>التصميم</v>
      </c>
      <c r="I290" s="16" t="s">
        <v>45</v>
      </c>
      <c r="J290" s="14" t="str">
        <f>IFERROR(INDEX(المرجع!$D$2:$D$19,MATCH($I290,المرجع!$E$2:$E$19,0)),"")</f>
        <v>الدور</v>
      </c>
      <c r="K290" s="15">
        <f>IFERROR(INDEX(المرجع!$F$2:$F$19,MATCH($I290,المرجع!$E$2:$E$19,0)),"")</f>
        <v>1</v>
      </c>
      <c r="L290" s="15">
        <f>SUMIFS(المرجع!$H$2:$H$19,المرجع!$B$2:$B$19,$G290,المرجع!$E$2:$E$19,$I290)</f>
        <v>1</v>
      </c>
      <c r="M290" s="15">
        <f>COUNTIFS('المرتبطة بسمو الوزير'!$B$2:$B$151,$B290,'المرتبطة بسمو الوزير'!$G$2:$G$151,$G290,'المرتبطة بسمو الوزير'!$I$2:$I$151,$I290,'المرتبطة بسمو الوزير'!$M$2:$M$151,"&lt;&gt;")+COUNTIFS('الشؤون التنفيذية'!$B$2:$B$421,$B290,'الشؤون التنفيذية'!$G$2:$G$421,$G290,'الشؤون التنفيذية'!$I$2:$I$421,$I290,'الشؤون التنفيذية'!$N$2:$N$421,"&lt;&gt;")+COUNTIFS('الجهاز العسكري'!$B$2:$B$631,$B290,'الجهاز العسكري'!$G$2:$G$631,$G290,'الجهاز العسكري'!$I$2:$I$631,$I290,'الجهاز العسكري'!$M$2:$M$631,"&lt;&gt;")</f>
        <v>1</v>
      </c>
      <c r="N290" s="19">
        <f>IF($L290=0,0,ROUND((SUMIFS('المرتبطة بسمو الوزير'!$M$2:$M$151,'المرتبطة بسمو الوزير'!$B$2:$B$151,$B290,'المرتبطة بسمو الوزير'!$G$2:$G$151,$G290,'المرتبطة بسمو الوزير'!$I$2:$I$151,$I290)+SUMIFS('الشؤون التنفيذية'!$N$2:$N$421,'الشؤون التنفيذية'!$B$2:$B$421,$B290,'الشؤون التنفيذية'!$G$2:$G$421,$G290,'الشؤون التنفيذية'!$I$2:$I$421,$I290)+SUMIFS('الجهاز العسكري'!$M$2:$M$631,'الجهاز العسكري'!$B$2:$B$631,$B290,'الجهاز العسكري'!$G$2:$G$631,$G290,'الجهاز العسكري'!$I$2:$I$631,$I290))/$L290,0))</f>
        <v>80</v>
      </c>
      <c r="O290" s="18"/>
      <c r="P290" s="15">
        <f>SUMIFS(المرجع!$G$2:$G$19,المرجع!$B$2:$B$19,$G290,المرجع!$E$2:$E$19,$I290)</f>
        <v>25</v>
      </c>
      <c r="Q290" s="20">
        <f t="shared" si="5"/>
        <v>20</v>
      </c>
      <c r="R290" s="21" t="str">
        <f>IF($N290&gt;المرجع!$K$3,"متقدم",IF($N290&lt;=المرجع!$K$2,"أولي","جزئي"))</f>
        <v>متقدم</v>
      </c>
    </row>
    <row r="291" spans="1:18">
      <c r="A291" s="16" t="s">
        <v>1731</v>
      </c>
      <c r="B291" s="16" t="s">
        <v>182</v>
      </c>
      <c r="C291" s="15" t="str">
        <f>IFERROR(INDEX('قائمة الوحدات'!$B$2:$B$41,MATCH($B291,'قائمة الوحدات'!$A$2:$A$41,0)),"")</f>
        <v>EXE</v>
      </c>
      <c r="D291" s="14" t="str">
        <f>IFERROR(INDEX('قائمة الوحدات'!$C$2:$C$41,MATCH($B291,'قائمة الوحدات'!$A$2:$A$41,0)),"")</f>
        <v>الشؤون التنفيذية</v>
      </c>
      <c r="E291" s="14" t="str">
        <f>IFERROR(INDEX('قائمة الوحدات'!$D$2:$D$41,MATCH($B291,'قائمة الوحدات'!$A$2:$A$41,0)),"")</f>
        <v>وكالة التحول الرقمي</v>
      </c>
      <c r="F291" s="14" t="str">
        <f>IFERROR(INDEX('قائمة الوحدات'!$F$2:$F$41,MATCH($B291,'قائمة الوحدات'!$A$2:$A$41,0)),"")</f>
        <v>وكالة التحول الرقمي</v>
      </c>
      <c r="G291" s="16" t="s">
        <v>43</v>
      </c>
      <c r="H291" s="14" t="str">
        <f>IFERROR(INDEX(المرجع!$A$2:$A$19,MATCH($G291,المرجع!$B$2:$B$19,0)),"")</f>
        <v>التصميم</v>
      </c>
      <c r="I291" s="16" t="s">
        <v>48</v>
      </c>
      <c r="J291" s="14" t="str">
        <f>IFERROR(INDEX(المرجع!$D$2:$D$19,MATCH($I291,المرجع!$E$2:$E$19,0)),"")</f>
        <v>الأهداف ومؤشرات الأداء</v>
      </c>
      <c r="K291" s="15">
        <f>IFERROR(INDEX(المرجع!$F$2:$F$19,MATCH($I291,المرجع!$E$2:$E$19,0)),"")</f>
        <v>2</v>
      </c>
      <c r="L291" s="15">
        <f>SUMIFS(المرجع!$H$2:$H$19,المرجع!$B$2:$B$19,$G291,المرجع!$E$2:$E$19,$I291)</f>
        <v>2</v>
      </c>
      <c r="M291" s="15">
        <f>COUNTIFS('المرتبطة بسمو الوزير'!$B$2:$B$151,$B291,'المرتبطة بسمو الوزير'!$G$2:$G$151,$G291,'المرتبطة بسمو الوزير'!$I$2:$I$151,$I291,'المرتبطة بسمو الوزير'!$M$2:$M$151,"&lt;&gt;")+COUNTIFS('الشؤون التنفيذية'!$B$2:$B$421,$B291,'الشؤون التنفيذية'!$G$2:$G$421,$G291,'الشؤون التنفيذية'!$I$2:$I$421,$I291,'الشؤون التنفيذية'!$N$2:$N$421,"&lt;&gt;")+COUNTIFS('الجهاز العسكري'!$B$2:$B$631,$B291,'الجهاز العسكري'!$G$2:$G$631,$G291,'الجهاز العسكري'!$I$2:$I$631,$I291,'الجهاز العسكري'!$M$2:$M$631,"&lt;&gt;")</f>
        <v>2</v>
      </c>
      <c r="N291" s="19">
        <f>IF($L291=0,0,ROUND((SUMIFS('المرتبطة بسمو الوزير'!$M$2:$M$151,'المرتبطة بسمو الوزير'!$B$2:$B$151,$B291,'المرتبطة بسمو الوزير'!$G$2:$G$151,$G291,'المرتبطة بسمو الوزير'!$I$2:$I$151,$I291)+SUMIFS('الشؤون التنفيذية'!$N$2:$N$421,'الشؤون التنفيذية'!$B$2:$B$421,$B291,'الشؤون التنفيذية'!$G$2:$G$421,$G291,'الشؤون التنفيذية'!$I$2:$I$421,$I291)+SUMIFS('الجهاز العسكري'!$M$2:$M$631,'الجهاز العسكري'!$B$2:$B$631,$B291,'الجهاز العسكري'!$G$2:$G$631,$G291,'الجهاز العسكري'!$I$2:$I$631,$I291))/$L291,0))</f>
        <v>83</v>
      </c>
      <c r="O291" s="18"/>
      <c r="P291" s="15">
        <f>SUMIFS(المرجع!$G$2:$G$19,المرجع!$B$2:$B$19,$G291,المرجع!$E$2:$E$19,$I291)</f>
        <v>15</v>
      </c>
      <c r="Q291" s="20">
        <f t="shared" si="5"/>
        <v>12.45</v>
      </c>
      <c r="R291" s="21" t="str">
        <f>IF($N291&gt;المرجع!$K$3,"متقدم",IF($N291&lt;=المرجع!$K$2,"أولي","جزئي"))</f>
        <v>متقدم</v>
      </c>
    </row>
    <row r="292" spans="1:18">
      <c r="A292" s="16" t="s">
        <v>1732</v>
      </c>
      <c r="B292" s="16" t="s">
        <v>182</v>
      </c>
      <c r="C292" s="15" t="str">
        <f>IFERROR(INDEX('قائمة الوحدات'!$B$2:$B$41,MATCH($B292,'قائمة الوحدات'!$A$2:$A$41,0)),"")</f>
        <v>EXE</v>
      </c>
      <c r="D292" s="14" t="str">
        <f>IFERROR(INDEX('قائمة الوحدات'!$C$2:$C$41,MATCH($B292,'قائمة الوحدات'!$A$2:$A$41,0)),"")</f>
        <v>الشؤون التنفيذية</v>
      </c>
      <c r="E292" s="14" t="str">
        <f>IFERROR(INDEX('قائمة الوحدات'!$D$2:$D$41,MATCH($B292,'قائمة الوحدات'!$A$2:$A$41,0)),"")</f>
        <v>وكالة التحول الرقمي</v>
      </c>
      <c r="F292" s="14" t="str">
        <f>IFERROR(INDEX('قائمة الوحدات'!$F$2:$F$41,MATCH($B292,'قائمة الوحدات'!$A$2:$A$41,0)),"")</f>
        <v>وكالة التحول الرقمي</v>
      </c>
      <c r="G292" s="16" t="s">
        <v>43</v>
      </c>
      <c r="H292" s="14" t="str">
        <f>IFERROR(INDEX(المرجع!$A$2:$A$19,MATCH($G292,المرجع!$B$2:$B$19,0)),"")</f>
        <v>التصميم</v>
      </c>
      <c r="I292" s="16" t="s">
        <v>51</v>
      </c>
      <c r="J292" s="14" t="str">
        <f>IFERROR(INDEX(المرجع!$D$2:$D$19,MATCH($I292,المرجع!$E$2:$E$19,0)),"")</f>
        <v>الحوكمة</v>
      </c>
      <c r="K292" s="15">
        <f>IFERROR(INDEX(المرجع!$F$2:$F$19,MATCH($I292,المرجع!$E$2:$E$19,0)),"")</f>
        <v>3</v>
      </c>
      <c r="L292" s="15">
        <f>SUMIFS(المرجع!$H$2:$H$19,المرجع!$B$2:$B$19,$G292,المرجع!$E$2:$E$19,$I292)</f>
        <v>1</v>
      </c>
      <c r="M292" s="15">
        <f>COUNTIFS('المرتبطة بسمو الوزير'!$B$2:$B$151,$B292,'المرتبطة بسمو الوزير'!$G$2:$G$151,$G292,'المرتبطة بسمو الوزير'!$I$2:$I$151,$I292,'المرتبطة بسمو الوزير'!$M$2:$M$151,"&lt;&gt;")+COUNTIFS('الشؤون التنفيذية'!$B$2:$B$421,$B292,'الشؤون التنفيذية'!$G$2:$G$421,$G292,'الشؤون التنفيذية'!$I$2:$I$421,$I292,'الشؤون التنفيذية'!$N$2:$N$421,"&lt;&gt;")+COUNTIFS('الجهاز العسكري'!$B$2:$B$631,$B292,'الجهاز العسكري'!$G$2:$G$631,$G292,'الجهاز العسكري'!$I$2:$I$631,$I292,'الجهاز العسكري'!$M$2:$M$631,"&lt;&gt;")</f>
        <v>1</v>
      </c>
      <c r="N292" s="19">
        <f>IF($L292=0,0,ROUND((SUMIFS('المرتبطة بسمو الوزير'!$M$2:$M$151,'المرتبطة بسمو الوزير'!$B$2:$B$151,$B292,'المرتبطة بسمو الوزير'!$G$2:$G$151,$G292,'المرتبطة بسمو الوزير'!$I$2:$I$151,$I292)+SUMIFS('الشؤون التنفيذية'!$N$2:$N$421,'الشؤون التنفيذية'!$B$2:$B$421,$B292,'الشؤون التنفيذية'!$G$2:$G$421,$G292,'الشؤون التنفيذية'!$I$2:$I$421,$I292)+SUMIFS('الجهاز العسكري'!$M$2:$M$631,'الجهاز العسكري'!$B$2:$B$631,$B292,'الجهاز العسكري'!$G$2:$G$631,$G292,'الجهاز العسكري'!$I$2:$I$631,$I292))/$L292,0))</f>
        <v>69</v>
      </c>
      <c r="O292" s="18"/>
      <c r="P292" s="15">
        <f>SUMIFS(المرجع!$G$2:$G$19,المرجع!$B$2:$B$19,$G292,المرجع!$E$2:$E$19,$I292)</f>
        <v>15</v>
      </c>
      <c r="Q292" s="20">
        <f t="shared" si="5"/>
        <v>10.35</v>
      </c>
      <c r="R292" s="21" t="str">
        <f>IF($N292&gt;المرجع!$K$3,"متقدم",IF($N292&lt;=المرجع!$K$2,"أولي","جزئي"))</f>
        <v>جزئي</v>
      </c>
    </row>
    <row r="293" spans="1:18">
      <c r="A293" s="16" t="s">
        <v>1733</v>
      </c>
      <c r="B293" s="16" t="s">
        <v>182</v>
      </c>
      <c r="C293" s="15" t="str">
        <f>IFERROR(INDEX('قائمة الوحدات'!$B$2:$B$41,MATCH($B293,'قائمة الوحدات'!$A$2:$A$41,0)),"")</f>
        <v>EXE</v>
      </c>
      <c r="D293" s="14" t="str">
        <f>IFERROR(INDEX('قائمة الوحدات'!$C$2:$C$41,MATCH($B293,'قائمة الوحدات'!$A$2:$A$41,0)),"")</f>
        <v>الشؤون التنفيذية</v>
      </c>
      <c r="E293" s="14" t="str">
        <f>IFERROR(INDEX('قائمة الوحدات'!$D$2:$D$41,MATCH($B293,'قائمة الوحدات'!$A$2:$A$41,0)),"")</f>
        <v>وكالة التحول الرقمي</v>
      </c>
      <c r="F293" s="14" t="str">
        <f>IFERROR(INDEX('قائمة الوحدات'!$F$2:$F$41,MATCH($B293,'قائمة الوحدات'!$A$2:$A$41,0)),"")</f>
        <v>وكالة التحول الرقمي</v>
      </c>
      <c r="G293" s="16" t="s">
        <v>43</v>
      </c>
      <c r="H293" s="14" t="str">
        <f>IFERROR(INDEX(المرجع!$A$2:$A$19,MATCH($G293,المرجع!$B$2:$B$19,0)),"")</f>
        <v>التصميم</v>
      </c>
      <c r="I293" s="16" t="s">
        <v>54</v>
      </c>
      <c r="J293" s="14" t="str">
        <f>IFERROR(INDEX(المرجع!$D$2:$D$19,MATCH($I293,المرجع!$E$2:$E$19,0)),"")</f>
        <v>التنظيم</v>
      </c>
      <c r="K293" s="15">
        <f>IFERROR(INDEX(المرجع!$F$2:$F$19,MATCH($I293,المرجع!$E$2:$E$19,0)),"")</f>
        <v>4</v>
      </c>
      <c r="L293" s="15">
        <f>SUMIFS(المرجع!$H$2:$H$19,المرجع!$B$2:$B$19,$G293,المرجع!$E$2:$E$19,$I293)</f>
        <v>1</v>
      </c>
      <c r="M293" s="15">
        <f>COUNTIFS('المرتبطة بسمو الوزير'!$B$2:$B$151,$B293,'المرتبطة بسمو الوزير'!$G$2:$G$151,$G293,'المرتبطة بسمو الوزير'!$I$2:$I$151,$I293,'المرتبطة بسمو الوزير'!$M$2:$M$151,"&lt;&gt;")+COUNTIFS('الشؤون التنفيذية'!$B$2:$B$421,$B293,'الشؤون التنفيذية'!$G$2:$G$421,$G293,'الشؤون التنفيذية'!$I$2:$I$421,$I293,'الشؤون التنفيذية'!$N$2:$N$421,"&lt;&gt;")+COUNTIFS('الجهاز العسكري'!$B$2:$B$631,$B293,'الجهاز العسكري'!$G$2:$G$631,$G293,'الجهاز العسكري'!$I$2:$I$631,$I293,'الجهاز العسكري'!$M$2:$M$631,"&lt;&gt;")</f>
        <v>1</v>
      </c>
      <c r="N293" s="19">
        <f>IF($L293=0,0,ROUND((SUMIFS('المرتبطة بسمو الوزير'!$M$2:$M$151,'المرتبطة بسمو الوزير'!$B$2:$B$151,$B293,'المرتبطة بسمو الوزير'!$G$2:$G$151,$G293,'المرتبطة بسمو الوزير'!$I$2:$I$151,$I293)+SUMIFS('الشؤون التنفيذية'!$N$2:$N$421,'الشؤون التنفيذية'!$B$2:$B$421,$B293,'الشؤون التنفيذية'!$G$2:$G$421,$G293,'الشؤون التنفيذية'!$I$2:$I$421,$I293)+SUMIFS('الجهاز العسكري'!$M$2:$M$631,'الجهاز العسكري'!$B$2:$B$631,$B293,'الجهاز العسكري'!$G$2:$G$631,$G293,'الجهاز العسكري'!$I$2:$I$631,$I293))/$L293,0))</f>
        <v>77</v>
      </c>
      <c r="O293" s="18"/>
      <c r="P293" s="15">
        <f>SUMIFS(المرجع!$G$2:$G$19,المرجع!$B$2:$B$19,$G293,المرجع!$E$2:$E$19,$I293)</f>
        <v>20</v>
      </c>
      <c r="Q293" s="20">
        <f t="shared" si="5"/>
        <v>15.4</v>
      </c>
      <c r="R293" s="21" t="str">
        <f>IF($N293&gt;المرجع!$K$3,"متقدم",IF($N293&lt;=المرجع!$K$2,"أولي","جزئي"))</f>
        <v>متقدم</v>
      </c>
    </row>
    <row r="294" spans="1:18">
      <c r="A294" s="16" t="s">
        <v>1734</v>
      </c>
      <c r="B294" s="16" t="s">
        <v>182</v>
      </c>
      <c r="C294" s="15" t="str">
        <f>IFERROR(INDEX('قائمة الوحدات'!$B$2:$B$41,MATCH($B294,'قائمة الوحدات'!$A$2:$A$41,0)),"")</f>
        <v>EXE</v>
      </c>
      <c r="D294" s="14" t="str">
        <f>IFERROR(INDEX('قائمة الوحدات'!$C$2:$C$41,MATCH($B294,'قائمة الوحدات'!$A$2:$A$41,0)),"")</f>
        <v>الشؤون التنفيذية</v>
      </c>
      <c r="E294" s="14" t="str">
        <f>IFERROR(INDEX('قائمة الوحدات'!$D$2:$D$41,MATCH($B294,'قائمة الوحدات'!$A$2:$A$41,0)),"")</f>
        <v>وكالة التحول الرقمي</v>
      </c>
      <c r="F294" s="14" t="str">
        <f>IFERROR(INDEX('قائمة الوحدات'!$F$2:$F$41,MATCH($B294,'قائمة الوحدات'!$A$2:$A$41,0)),"")</f>
        <v>وكالة التحول الرقمي</v>
      </c>
      <c r="G294" s="16" t="s">
        <v>43</v>
      </c>
      <c r="H294" s="14" t="str">
        <f>IFERROR(INDEX(المرجع!$A$2:$A$19,MATCH($G294,المرجع!$B$2:$B$19,0)),"")</f>
        <v>التصميم</v>
      </c>
      <c r="I294" s="16" t="s">
        <v>56</v>
      </c>
      <c r="J294" s="14" t="str">
        <f>IFERROR(INDEX(المرجع!$D$2:$D$19,MATCH($I294,المرجع!$E$2:$E$19,0)),"")</f>
        <v>الموارد</v>
      </c>
      <c r="K294" s="15">
        <f>IFERROR(INDEX(المرجع!$F$2:$F$19,MATCH($I294,المرجع!$E$2:$E$19,0)),"")</f>
        <v>5</v>
      </c>
      <c r="L294" s="15">
        <f>SUMIFS(المرجع!$H$2:$H$19,المرجع!$B$2:$B$19,$G294,المرجع!$E$2:$E$19,$I294)</f>
        <v>1</v>
      </c>
      <c r="M294" s="15">
        <f>COUNTIFS('المرتبطة بسمو الوزير'!$B$2:$B$151,$B294,'المرتبطة بسمو الوزير'!$G$2:$G$151,$G294,'المرتبطة بسمو الوزير'!$I$2:$I$151,$I294,'المرتبطة بسمو الوزير'!$M$2:$M$151,"&lt;&gt;")+COUNTIFS('الشؤون التنفيذية'!$B$2:$B$421,$B294,'الشؤون التنفيذية'!$G$2:$G$421,$G294,'الشؤون التنفيذية'!$I$2:$I$421,$I294,'الشؤون التنفيذية'!$N$2:$N$421,"&lt;&gt;")+COUNTIFS('الجهاز العسكري'!$B$2:$B$631,$B294,'الجهاز العسكري'!$G$2:$G$631,$G294,'الجهاز العسكري'!$I$2:$I$631,$I294,'الجهاز العسكري'!$M$2:$M$631,"&lt;&gt;")</f>
        <v>1</v>
      </c>
      <c r="N294" s="19">
        <f>IF($L294=0,0,ROUND((SUMIFS('المرتبطة بسمو الوزير'!$M$2:$M$151,'المرتبطة بسمو الوزير'!$B$2:$B$151,$B294,'المرتبطة بسمو الوزير'!$G$2:$G$151,$G294,'المرتبطة بسمو الوزير'!$I$2:$I$151,$I294)+SUMIFS('الشؤون التنفيذية'!$N$2:$N$421,'الشؤون التنفيذية'!$B$2:$B$421,$B294,'الشؤون التنفيذية'!$G$2:$G$421,$G294,'الشؤون التنفيذية'!$I$2:$I$421,$I294)+SUMIFS('الجهاز العسكري'!$M$2:$M$631,'الجهاز العسكري'!$B$2:$B$631,$B294,'الجهاز العسكري'!$G$2:$G$631,$G294,'الجهاز العسكري'!$I$2:$I$631,$I294))/$L294,0))</f>
        <v>93</v>
      </c>
      <c r="O294" s="18"/>
      <c r="P294" s="15">
        <f>SUMIFS(المرجع!$G$2:$G$19,المرجع!$B$2:$B$19,$G294,المرجع!$E$2:$E$19,$I294)</f>
        <v>20</v>
      </c>
      <c r="Q294" s="20">
        <f t="shared" si="5"/>
        <v>18.600000000000001</v>
      </c>
      <c r="R294" s="21" t="str">
        <f>IF($N294&gt;المرجع!$K$3,"متقدم",IF($N294&lt;=المرجع!$K$2,"أولي","جزئي"))</f>
        <v>متقدم</v>
      </c>
    </row>
    <row r="295" spans="1:18">
      <c r="A295" s="16" t="s">
        <v>1735</v>
      </c>
      <c r="B295" s="16" t="s">
        <v>182</v>
      </c>
      <c r="C295" s="15" t="str">
        <f>IFERROR(INDEX('قائمة الوحدات'!$B$2:$B$41,MATCH($B295,'قائمة الوحدات'!$A$2:$A$41,0)),"")</f>
        <v>EXE</v>
      </c>
      <c r="D295" s="14" t="str">
        <f>IFERROR(INDEX('قائمة الوحدات'!$C$2:$C$41,MATCH($B295,'قائمة الوحدات'!$A$2:$A$41,0)),"")</f>
        <v>الشؤون التنفيذية</v>
      </c>
      <c r="E295" s="14" t="str">
        <f>IFERROR(INDEX('قائمة الوحدات'!$D$2:$D$41,MATCH($B295,'قائمة الوحدات'!$A$2:$A$41,0)),"")</f>
        <v>وكالة التحول الرقمي</v>
      </c>
      <c r="F295" s="14" t="str">
        <f>IFERROR(INDEX('قائمة الوحدات'!$F$2:$F$41,MATCH($B295,'قائمة الوحدات'!$A$2:$A$41,0)),"")</f>
        <v>وكالة التحول الرقمي</v>
      </c>
      <c r="G295" s="16" t="s">
        <v>43</v>
      </c>
      <c r="H295" s="14" t="str">
        <f>IFERROR(INDEX(المرجع!$A$2:$A$19,MATCH($G295,المرجع!$B$2:$B$19,0)),"")</f>
        <v>التصميم</v>
      </c>
      <c r="I295" s="16" t="s">
        <v>59</v>
      </c>
      <c r="J295" s="14" t="str">
        <f>IFERROR(INDEX(المرجع!$D$2:$D$19,MATCH($I295,المرجع!$E$2:$E$19,0)),"")</f>
        <v>الإجراءات</v>
      </c>
      <c r="K295" s="15">
        <f>IFERROR(INDEX(المرجع!$F$2:$F$19,MATCH($I295,المرجع!$E$2:$E$19,0)),"")</f>
        <v>6</v>
      </c>
      <c r="L295" s="15">
        <f>SUMIFS(المرجع!$H$2:$H$19,المرجع!$B$2:$B$19,$G295,المرجع!$E$2:$E$19,$I295)</f>
        <v>1</v>
      </c>
      <c r="M295" s="15">
        <f>COUNTIFS('المرتبطة بسمو الوزير'!$B$2:$B$151,$B295,'المرتبطة بسمو الوزير'!$G$2:$G$151,$G295,'المرتبطة بسمو الوزير'!$I$2:$I$151,$I295,'المرتبطة بسمو الوزير'!$M$2:$M$151,"&lt;&gt;")+COUNTIFS('الشؤون التنفيذية'!$B$2:$B$421,$B295,'الشؤون التنفيذية'!$G$2:$G$421,$G295,'الشؤون التنفيذية'!$I$2:$I$421,$I295,'الشؤون التنفيذية'!$N$2:$N$421,"&lt;&gt;")+COUNTIFS('الجهاز العسكري'!$B$2:$B$631,$B295,'الجهاز العسكري'!$G$2:$G$631,$G295,'الجهاز العسكري'!$I$2:$I$631,$I295,'الجهاز العسكري'!$M$2:$M$631,"&lt;&gt;")</f>
        <v>1</v>
      </c>
      <c r="N295" s="19">
        <f>IF($L295=0,0,ROUND((SUMIFS('المرتبطة بسمو الوزير'!$M$2:$M$151,'المرتبطة بسمو الوزير'!$B$2:$B$151,$B295,'المرتبطة بسمو الوزير'!$G$2:$G$151,$G295,'المرتبطة بسمو الوزير'!$I$2:$I$151,$I295)+SUMIFS('الشؤون التنفيذية'!$N$2:$N$421,'الشؤون التنفيذية'!$B$2:$B$421,$B295,'الشؤون التنفيذية'!$G$2:$G$421,$G295,'الشؤون التنفيذية'!$I$2:$I$421,$I295)+SUMIFS('الجهاز العسكري'!$M$2:$M$631,'الجهاز العسكري'!$B$2:$B$631,$B295,'الجهاز العسكري'!$G$2:$G$631,$G295,'الجهاز العسكري'!$I$2:$I$631,$I295))/$L295,0))</f>
        <v>71</v>
      </c>
      <c r="O295" s="18"/>
      <c r="P295" s="15">
        <f>SUMIFS(المرجع!$G$2:$G$19,المرجع!$B$2:$B$19,$G295,المرجع!$E$2:$E$19,$I295)</f>
        <v>5</v>
      </c>
      <c r="Q295" s="20">
        <f t="shared" si="5"/>
        <v>3.55</v>
      </c>
      <c r="R295" s="21" t="str">
        <f>IF($N295&gt;المرجع!$K$3,"متقدم",IF($N295&lt;=المرجع!$K$2,"أولي","جزئي"))</f>
        <v>متقدم</v>
      </c>
    </row>
    <row r="296" spans="1:18">
      <c r="A296" s="16" t="s">
        <v>1736</v>
      </c>
      <c r="B296" s="16" t="s">
        <v>182</v>
      </c>
      <c r="C296" s="15" t="str">
        <f>IFERROR(INDEX('قائمة الوحدات'!$B$2:$B$41,MATCH($B296,'قائمة الوحدات'!$A$2:$A$41,0)),"")</f>
        <v>EXE</v>
      </c>
      <c r="D296" s="14" t="str">
        <f>IFERROR(INDEX('قائمة الوحدات'!$C$2:$C$41,MATCH($B296,'قائمة الوحدات'!$A$2:$A$41,0)),"")</f>
        <v>الشؤون التنفيذية</v>
      </c>
      <c r="E296" s="14" t="str">
        <f>IFERROR(INDEX('قائمة الوحدات'!$D$2:$D$41,MATCH($B296,'قائمة الوحدات'!$A$2:$A$41,0)),"")</f>
        <v>وكالة التحول الرقمي</v>
      </c>
      <c r="F296" s="14" t="str">
        <f>IFERROR(INDEX('قائمة الوحدات'!$F$2:$F$41,MATCH($B296,'قائمة الوحدات'!$A$2:$A$41,0)),"")</f>
        <v>وكالة التحول الرقمي</v>
      </c>
      <c r="G296" s="16" t="s">
        <v>61</v>
      </c>
      <c r="H296" s="14" t="str">
        <f>IFERROR(INDEX(المرجع!$A$2:$A$19,MATCH($G296,المرجع!$B$2:$B$19,0)),"")</f>
        <v>البناء المؤسسي</v>
      </c>
      <c r="I296" s="16" t="s">
        <v>45</v>
      </c>
      <c r="J296" s="14" t="str">
        <f>IFERROR(INDEX(المرجع!$D$2:$D$19,MATCH($I296,المرجع!$E$2:$E$19,0)),"")</f>
        <v>الدور</v>
      </c>
      <c r="K296" s="15">
        <f>IFERROR(INDEX(المرجع!$F$2:$F$19,MATCH($I296,المرجع!$E$2:$E$19,0)),"")</f>
        <v>1</v>
      </c>
      <c r="L296" s="15">
        <f>SUMIFS(المرجع!$H$2:$H$19,المرجع!$B$2:$B$19,$G296,المرجع!$E$2:$E$19,$I296)</f>
        <v>1</v>
      </c>
      <c r="M296" s="15">
        <f>COUNTIFS('المرتبطة بسمو الوزير'!$B$2:$B$151,$B296,'المرتبطة بسمو الوزير'!$G$2:$G$151,$G296,'المرتبطة بسمو الوزير'!$I$2:$I$151,$I296,'المرتبطة بسمو الوزير'!$M$2:$M$151,"&lt;&gt;")+COUNTIFS('الشؤون التنفيذية'!$B$2:$B$421,$B296,'الشؤون التنفيذية'!$G$2:$G$421,$G296,'الشؤون التنفيذية'!$I$2:$I$421,$I296,'الشؤون التنفيذية'!$N$2:$N$421,"&lt;&gt;")+COUNTIFS('الجهاز العسكري'!$B$2:$B$631,$B296,'الجهاز العسكري'!$G$2:$G$631,$G296,'الجهاز العسكري'!$I$2:$I$631,$I296,'الجهاز العسكري'!$M$2:$M$631,"&lt;&gt;")</f>
        <v>1</v>
      </c>
      <c r="N296" s="19">
        <f>IF($L296=0,0,ROUND((SUMIFS('المرتبطة بسمو الوزير'!$M$2:$M$151,'المرتبطة بسمو الوزير'!$B$2:$B$151,$B296,'المرتبطة بسمو الوزير'!$G$2:$G$151,$G296,'المرتبطة بسمو الوزير'!$I$2:$I$151,$I296)+SUMIFS('الشؤون التنفيذية'!$N$2:$N$421,'الشؤون التنفيذية'!$B$2:$B$421,$B296,'الشؤون التنفيذية'!$G$2:$G$421,$G296,'الشؤون التنفيذية'!$I$2:$I$421,$I296)+SUMIFS('الجهاز العسكري'!$M$2:$M$631,'الجهاز العسكري'!$B$2:$B$631,$B296,'الجهاز العسكري'!$G$2:$G$631,$G296,'الجهاز العسكري'!$I$2:$I$631,$I296))/$L296,0))</f>
        <v>66</v>
      </c>
      <c r="O296" s="18"/>
      <c r="P296" s="15">
        <f>SUMIFS(المرجع!$G$2:$G$19,المرجع!$B$2:$B$19,$G296,المرجع!$E$2:$E$19,$I296)</f>
        <v>15</v>
      </c>
      <c r="Q296" s="20">
        <f t="shared" si="5"/>
        <v>9.9</v>
      </c>
      <c r="R296" s="21" t="str">
        <f>IF($N296&gt;المرجع!$K$3,"متقدم",IF($N296&lt;=المرجع!$K$2,"أولي","جزئي"))</f>
        <v>جزئي</v>
      </c>
    </row>
    <row r="297" spans="1:18">
      <c r="A297" s="16" t="s">
        <v>1737</v>
      </c>
      <c r="B297" s="16" t="s">
        <v>182</v>
      </c>
      <c r="C297" s="15" t="str">
        <f>IFERROR(INDEX('قائمة الوحدات'!$B$2:$B$41,MATCH($B297,'قائمة الوحدات'!$A$2:$A$41,0)),"")</f>
        <v>EXE</v>
      </c>
      <c r="D297" s="14" t="str">
        <f>IFERROR(INDEX('قائمة الوحدات'!$C$2:$C$41,MATCH($B297,'قائمة الوحدات'!$A$2:$A$41,0)),"")</f>
        <v>الشؤون التنفيذية</v>
      </c>
      <c r="E297" s="14" t="str">
        <f>IFERROR(INDEX('قائمة الوحدات'!$D$2:$D$41,MATCH($B297,'قائمة الوحدات'!$A$2:$A$41,0)),"")</f>
        <v>وكالة التحول الرقمي</v>
      </c>
      <c r="F297" s="14" t="str">
        <f>IFERROR(INDEX('قائمة الوحدات'!$F$2:$F$41,MATCH($B297,'قائمة الوحدات'!$A$2:$A$41,0)),"")</f>
        <v>وكالة التحول الرقمي</v>
      </c>
      <c r="G297" s="16" t="s">
        <v>61</v>
      </c>
      <c r="H297" s="14" t="str">
        <f>IFERROR(INDEX(المرجع!$A$2:$A$19,MATCH($G297,المرجع!$B$2:$B$19,0)),"")</f>
        <v>البناء المؤسسي</v>
      </c>
      <c r="I297" s="16" t="s">
        <v>48</v>
      </c>
      <c r="J297" s="14" t="str">
        <f>IFERROR(INDEX(المرجع!$D$2:$D$19,MATCH($I297,المرجع!$E$2:$E$19,0)),"")</f>
        <v>الأهداف ومؤشرات الأداء</v>
      </c>
      <c r="K297" s="15">
        <f>IFERROR(INDEX(المرجع!$F$2:$F$19,MATCH($I297,المرجع!$E$2:$E$19,0)),"")</f>
        <v>2</v>
      </c>
      <c r="L297" s="15">
        <f>SUMIFS(المرجع!$H$2:$H$19,المرجع!$B$2:$B$19,$G297,المرجع!$E$2:$E$19,$I297)</f>
        <v>2</v>
      </c>
      <c r="M297" s="15">
        <f>COUNTIFS('المرتبطة بسمو الوزير'!$B$2:$B$151,$B297,'المرتبطة بسمو الوزير'!$G$2:$G$151,$G297,'المرتبطة بسمو الوزير'!$I$2:$I$151,$I297,'المرتبطة بسمو الوزير'!$M$2:$M$151,"&lt;&gt;")+COUNTIFS('الشؤون التنفيذية'!$B$2:$B$421,$B297,'الشؤون التنفيذية'!$G$2:$G$421,$G297,'الشؤون التنفيذية'!$I$2:$I$421,$I297,'الشؤون التنفيذية'!$N$2:$N$421,"&lt;&gt;")+COUNTIFS('الجهاز العسكري'!$B$2:$B$631,$B297,'الجهاز العسكري'!$G$2:$G$631,$G297,'الجهاز العسكري'!$I$2:$I$631,$I297,'الجهاز العسكري'!$M$2:$M$631,"&lt;&gt;")</f>
        <v>2</v>
      </c>
      <c r="N297" s="19">
        <f>IF($L297=0,0,ROUND((SUMIFS('المرتبطة بسمو الوزير'!$M$2:$M$151,'المرتبطة بسمو الوزير'!$B$2:$B$151,$B297,'المرتبطة بسمو الوزير'!$G$2:$G$151,$G297,'المرتبطة بسمو الوزير'!$I$2:$I$151,$I297)+SUMIFS('الشؤون التنفيذية'!$N$2:$N$421,'الشؤون التنفيذية'!$B$2:$B$421,$B297,'الشؤون التنفيذية'!$G$2:$G$421,$G297,'الشؤون التنفيذية'!$I$2:$I$421,$I297)+SUMIFS('الجهاز العسكري'!$M$2:$M$631,'الجهاز العسكري'!$B$2:$B$631,$B297,'الجهاز العسكري'!$G$2:$G$631,$G297,'الجهاز العسكري'!$I$2:$I$631,$I297))/$L297,0))</f>
        <v>60</v>
      </c>
      <c r="O297" s="18"/>
      <c r="P297" s="15">
        <f>SUMIFS(المرجع!$G$2:$G$19,المرجع!$B$2:$B$19,$G297,المرجع!$E$2:$E$19,$I297)</f>
        <v>15</v>
      </c>
      <c r="Q297" s="20">
        <f t="shared" si="5"/>
        <v>9</v>
      </c>
      <c r="R297" s="21" t="str">
        <f>IF($N297&gt;المرجع!$K$3,"متقدم",IF($N297&lt;=المرجع!$K$2,"أولي","جزئي"))</f>
        <v>جزئي</v>
      </c>
    </row>
    <row r="298" spans="1:18">
      <c r="A298" s="16" t="s">
        <v>1738</v>
      </c>
      <c r="B298" s="16" t="s">
        <v>182</v>
      </c>
      <c r="C298" s="15" t="str">
        <f>IFERROR(INDEX('قائمة الوحدات'!$B$2:$B$41,MATCH($B298,'قائمة الوحدات'!$A$2:$A$41,0)),"")</f>
        <v>EXE</v>
      </c>
      <c r="D298" s="14" t="str">
        <f>IFERROR(INDEX('قائمة الوحدات'!$C$2:$C$41,MATCH($B298,'قائمة الوحدات'!$A$2:$A$41,0)),"")</f>
        <v>الشؤون التنفيذية</v>
      </c>
      <c r="E298" s="14" t="str">
        <f>IFERROR(INDEX('قائمة الوحدات'!$D$2:$D$41,MATCH($B298,'قائمة الوحدات'!$A$2:$A$41,0)),"")</f>
        <v>وكالة التحول الرقمي</v>
      </c>
      <c r="F298" s="14" t="str">
        <f>IFERROR(INDEX('قائمة الوحدات'!$F$2:$F$41,MATCH($B298,'قائمة الوحدات'!$A$2:$A$41,0)),"")</f>
        <v>وكالة التحول الرقمي</v>
      </c>
      <c r="G298" s="16" t="s">
        <v>61</v>
      </c>
      <c r="H298" s="14" t="str">
        <f>IFERROR(INDEX(المرجع!$A$2:$A$19,MATCH($G298,المرجع!$B$2:$B$19,0)),"")</f>
        <v>البناء المؤسسي</v>
      </c>
      <c r="I298" s="16" t="s">
        <v>51</v>
      </c>
      <c r="J298" s="14" t="str">
        <f>IFERROR(INDEX(المرجع!$D$2:$D$19,MATCH($I298,المرجع!$E$2:$E$19,0)),"")</f>
        <v>الحوكمة</v>
      </c>
      <c r="K298" s="15">
        <f>IFERROR(INDEX(المرجع!$F$2:$F$19,MATCH($I298,المرجع!$E$2:$E$19,0)),"")</f>
        <v>3</v>
      </c>
      <c r="L298" s="15">
        <f>SUMIFS(المرجع!$H$2:$H$19,المرجع!$B$2:$B$19,$G298,المرجع!$E$2:$E$19,$I298)</f>
        <v>3</v>
      </c>
      <c r="M298" s="15">
        <f>COUNTIFS('المرتبطة بسمو الوزير'!$B$2:$B$151,$B298,'المرتبطة بسمو الوزير'!$G$2:$G$151,$G298,'المرتبطة بسمو الوزير'!$I$2:$I$151,$I298,'المرتبطة بسمو الوزير'!$M$2:$M$151,"&lt;&gt;")+COUNTIFS('الشؤون التنفيذية'!$B$2:$B$421,$B298,'الشؤون التنفيذية'!$G$2:$G$421,$G298,'الشؤون التنفيذية'!$I$2:$I$421,$I298,'الشؤون التنفيذية'!$N$2:$N$421,"&lt;&gt;")+COUNTIFS('الجهاز العسكري'!$B$2:$B$631,$B298,'الجهاز العسكري'!$G$2:$G$631,$G298,'الجهاز العسكري'!$I$2:$I$631,$I298,'الجهاز العسكري'!$M$2:$M$631,"&lt;&gt;")</f>
        <v>3</v>
      </c>
      <c r="N298" s="19">
        <f>IF($L298=0,0,ROUND((SUMIFS('المرتبطة بسمو الوزير'!$M$2:$M$151,'المرتبطة بسمو الوزير'!$B$2:$B$151,$B298,'المرتبطة بسمو الوزير'!$G$2:$G$151,$G298,'المرتبطة بسمو الوزير'!$I$2:$I$151,$I298)+SUMIFS('الشؤون التنفيذية'!$N$2:$N$421,'الشؤون التنفيذية'!$B$2:$B$421,$B298,'الشؤون التنفيذية'!$G$2:$G$421,$G298,'الشؤون التنفيذية'!$I$2:$I$421,$I298)+SUMIFS('الجهاز العسكري'!$M$2:$M$631,'الجهاز العسكري'!$B$2:$B$631,$B298,'الجهاز العسكري'!$G$2:$G$631,$G298,'الجهاز العسكري'!$I$2:$I$631,$I298))/$L298,0))</f>
        <v>43</v>
      </c>
      <c r="O298" s="18"/>
      <c r="P298" s="15">
        <f>SUMIFS(المرجع!$G$2:$G$19,المرجع!$B$2:$B$19,$G298,المرجع!$E$2:$E$19,$I298)</f>
        <v>15</v>
      </c>
      <c r="Q298" s="20">
        <f t="shared" si="5"/>
        <v>6.45</v>
      </c>
      <c r="R298" s="21" t="str">
        <f>IF($N298&gt;المرجع!$K$3,"متقدم",IF($N298&lt;=المرجع!$K$2,"أولي","جزئي"))</f>
        <v>جزئي</v>
      </c>
    </row>
    <row r="299" spans="1:18">
      <c r="A299" s="16" t="s">
        <v>1739</v>
      </c>
      <c r="B299" s="16" t="s">
        <v>182</v>
      </c>
      <c r="C299" s="15" t="str">
        <f>IFERROR(INDEX('قائمة الوحدات'!$B$2:$B$41,MATCH($B299,'قائمة الوحدات'!$A$2:$A$41,0)),"")</f>
        <v>EXE</v>
      </c>
      <c r="D299" s="14" t="str">
        <f>IFERROR(INDEX('قائمة الوحدات'!$C$2:$C$41,MATCH($B299,'قائمة الوحدات'!$A$2:$A$41,0)),"")</f>
        <v>الشؤون التنفيذية</v>
      </c>
      <c r="E299" s="14" t="str">
        <f>IFERROR(INDEX('قائمة الوحدات'!$D$2:$D$41,MATCH($B299,'قائمة الوحدات'!$A$2:$A$41,0)),"")</f>
        <v>وكالة التحول الرقمي</v>
      </c>
      <c r="F299" s="14" t="str">
        <f>IFERROR(INDEX('قائمة الوحدات'!$F$2:$F$41,MATCH($B299,'قائمة الوحدات'!$A$2:$A$41,0)),"")</f>
        <v>وكالة التحول الرقمي</v>
      </c>
      <c r="G299" s="16" t="s">
        <v>61</v>
      </c>
      <c r="H299" s="14" t="str">
        <f>IFERROR(INDEX(المرجع!$A$2:$A$19,MATCH($G299,المرجع!$B$2:$B$19,0)),"")</f>
        <v>البناء المؤسسي</v>
      </c>
      <c r="I299" s="16" t="s">
        <v>54</v>
      </c>
      <c r="J299" s="14" t="str">
        <f>IFERROR(INDEX(المرجع!$D$2:$D$19,MATCH($I299,المرجع!$E$2:$E$19,0)),"")</f>
        <v>التنظيم</v>
      </c>
      <c r="K299" s="15">
        <f>IFERROR(INDEX(المرجع!$F$2:$F$19,MATCH($I299,المرجع!$E$2:$E$19,0)),"")</f>
        <v>4</v>
      </c>
      <c r="L299" s="15">
        <f>SUMIFS(المرجع!$H$2:$H$19,المرجع!$B$2:$B$19,$G299,المرجع!$E$2:$E$19,$I299)</f>
        <v>3</v>
      </c>
      <c r="M299" s="15">
        <f>COUNTIFS('المرتبطة بسمو الوزير'!$B$2:$B$151,$B299,'المرتبطة بسمو الوزير'!$G$2:$G$151,$G299,'المرتبطة بسمو الوزير'!$I$2:$I$151,$I299,'المرتبطة بسمو الوزير'!$M$2:$M$151,"&lt;&gt;")+COUNTIFS('الشؤون التنفيذية'!$B$2:$B$421,$B299,'الشؤون التنفيذية'!$G$2:$G$421,$G299,'الشؤون التنفيذية'!$I$2:$I$421,$I299,'الشؤون التنفيذية'!$N$2:$N$421,"&lt;&gt;")+COUNTIFS('الجهاز العسكري'!$B$2:$B$631,$B299,'الجهاز العسكري'!$G$2:$G$631,$G299,'الجهاز العسكري'!$I$2:$I$631,$I299,'الجهاز العسكري'!$M$2:$M$631,"&lt;&gt;")</f>
        <v>3</v>
      </c>
      <c r="N299" s="19">
        <f>IF($L299=0,0,ROUND((SUMIFS('المرتبطة بسمو الوزير'!$M$2:$M$151,'المرتبطة بسمو الوزير'!$B$2:$B$151,$B299,'المرتبطة بسمو الوزير'!$G$2:$G$151,$G299,'المرتبطة بسمو الوزير'!$I$2:$I$151,$I299)+SUMIFS('الشؤون التنفيذية'!$N$2:$N$421,'الشؤون التنفيذية'!$B$2:$B$421,$B299,'الشؤون التنفيذية'!$G$2:$G$421,$G299,'الشؤون التنفيذية'!$I$2:$I$421,$I299)+SUMIFS('الجهاز العسكري'!$M$2:$M$631,'الجهاز العسكري'!$B$2:$B$631,$B299,'الجهاز العسكري'!$G$2:$G$631,$G299,'الجهاز العسكري'!$I$2:$I$631,$I299))/$L299,0))</f>
        <v>62</v>
      </c>
      <c r="O299" s="18"/>
      <c r="P299" s="15">
        <f>SUMIFS(المرجع!$G$2:$G$19,المرجع!$B$2:$B$19,$G299,المرجع!$E$2:$E$19,$I299)</f>
        <v>20</v>
      </c>
      <c r="Q299" s="20">
        <f t="shared" si="5"/>
        <v>12.4</v>
      </c>
      <c r="R299" s="21" t="str">
        <f>IF($N299&gt;المرجع!$K$3,"متقدم",IF($N299&lt;=المرجع!$K$2,"أولي","جزئي"))</f>
        <v>جزئي</v>
      </c>
    </row>
    <row r="300" spans="1:18">
      <c r="A300" s="16" t="s">
        <v>1740</v>
      </c>
      <c r="B300" s="16" t="s">
        <v>182</v>
      </c>
      <c r="C300" s="15" t="str">
        <f>IFERROR(INDEX('قائمة الوحدات'!$B$2:$B$41,MATCH($B300,'قائمة الوحدات'!$A$2:$A$41,0)),"")</f>
        <v>EXE</v>
      </c>
      <c r="D300" s="14" t="str">
        <f>IFERROR(INDEX('قائمة الوحدات'!$C$2:$C$41,MATCH($B300,'قائمة الوحدات'!$A$2:$A$41,0)),"")</f>
        <v>الشؤون التنفيذية</v>
      </c>
      <c r="E300" s="14" t="str">
        <f>IFERROR(INDEX('قائمة الوحدات'!$D$2:$D$41,MATCH($B300,'قائمة الوحدات'!$A$2:$A$41,0)),"")</f>
        <v>وكالة التحول الرقمي</v>
      </c>
      <c r="F300" s="14" t="str">
        <f>IFERROR(INDEX('قائمة الوحدات'!$F$2:$F$41,MATCH($B300,'قائمة الوحدات'!$A$2:$A$41,0)),"")</f>
        <v>وكالة التحول الرقمي</v>
      </c>
      <c r="G300" s="16" t="s">
        <v>61</v>
      </c>
      <c r="H300" s="14" t="str">
        <f>IFERROR(INDEX(المرجع!$A$2:$A$19,MATCH($G300,المرجع!$B$2:$B$19,0)),"")</f>
        <v>البناء المؤسسي</v>
      </c>
      <c r="I300" s="16" t="s">
        <v>56</v>
      </c>
      <c r="J300" s="14" t="str">
        <f>IFERROR(INDEX(المرجع!$D$2:$D$19,MATCH($I300,المرجع!$E$2:$E$19,0)),"")</f>
        <v>الموارد</v>
      </c>
      <c r="K300" s="15">
        <f>IFERROR(INDEX(المرجع!$F$2:$F$19,MATCH($I300,المرجع!$E$2:$E$19,0)),"")</f>
        <v>5</v>
      </c>
      <c r="L300" s="15">
        <f>SUMIFS(المرجع!$H$2:$H$19,المرجع!$B$2:$B$19,$G300,المرجع!$E$2:$E$19,$I300)</f>
        <v>4</v>
      </c>
      <c r="M300" s="15">
        <f>COUNTIFS('المرتبطة بسمو الوزير'!$B$2:$B$151,$B300,'المرتبطة بسمو الوزير'!$G$2:$G$151,$G300,'المرتبطة بسمو الوزير'!$I$2:$I$151,$I300,'المرتبطة بسمو الوزير'!$M$2:$M$151,"&lt;&gt;")+COUNTIFS('الشؤون التنفيذية'!$B$2:$B$421,$B300,'الشؤون التنفيذية'!$G$2:$G$421,$G300,'الشؤون التنفيذية'!$I$2:$I$421,$I300,'الشؤون التنفيذية'!$N$2:$N$421,"&lt;&gt;")+COUNTIFS('الجهاز العسكري'!$B$2:$B$631,$B300,'الجهاز العسكري'!$G$2:$G$631,$G300,'الجهاز العسكري'!$I$2:$I$631,$I300,'الجهاز العسكري'!$M$2:$M$631,"&lt;&gt;")</f>
        <v>4</v>
      </c>
      <c r="N300" s="19">
        <f>IF($L300=0,0,ROUND((SUMIFS('المرتبطة بسمو الوزير'!$M$2:$M$151,'المرتبطة بسمو الوزير'!$B$2:$B$151,$B300,'المرتبطة بسمو الوزير'!$G$2:$G$151,$G300,'المرتبطة بسمو الوزير'!$I$2:$I$151,$I300)+SUMIFS('الشؤون التنفيذية'!$N$2:$N$421,'الشؤون التنفيذية'!$B$2:$B$421,$B300,'الشؤون التنفيذية'!$G$2:$G$421,$G300,'الشؤون التنفيذية'!$I$2:$I$421,$I300)+SUMIFS('الجهاز العسكري'!$M$2:$M$631,'الجهاز العسكري'!$B$2:$B$631,$B300,'الجهاز العسكري'!$G$2:$G$631,$G300,'الجهاز العسكري'!$I$2:$I$631,$I300))/$L300,0))</f>
        <v>54</v>
      </c>
      <c r="O300" s="18"/>
      <c r="P300" s="15">
        <f>SUMIFS(المرجع!$G$2:$G$19,المرجع!$B$2:$B$19,$G300,المرجع!$E$2:$E$19,$I300)</f>
        <v>25</v>
      </c>
      <c r="Q300" s="20">
        <f t="shared" si="5"/>
        <v>13.5</v>
      </c>
      <c r="R300" s="21" t="str">
        <f>IF($N300&gt;المرجع!$K$3,"متقدم",IF($N300&lt;=المرجع!$K$2,"أولي","جزئي"))</f>
        <v>جزئي</v>
      </c>
    </row>
    <row r="301" spans="1:18">
      <c r="A301" s="16" t="s">
        <v>1741</v>
      </c>
      <c r="B301" s="16" t="s">
        <v>182</v>
      </c>
      <c r="C301" s="15" t="str">
        <f>IFERROR(INDEX('قائمة الوحدات'!$B$2:$B$41,MATCH($B301,'قائمة الوحدات'!$A$2:$A$41,0)),"")</f>
        <v>EXE</v>
      </c>
      <c r="D301" s="14" t="str">
        <f>IFERROR(INDEX('قائمة الوحدات'!$C$2:$C$41,MATCH($B301,'قائمة الوحدات'!$A$2:$A$41,0)),"")</f>
        <v>الشؤون التنفيذية</v>
      </c>
      <c r="E301" s="14" t="str">
        <f>IFERROR(INDEX('قائمة الوحدات'!$D$2:$D$41,MATCH($B301,'قائمة الوحدات'!$A$2:$A$41,0)),"")</f>
        <v>وكالة التحول الرقمي</v>
      </c>
      <c r="F301" s="14" t="str">
        <f>IFERROR(INDEX('قائمة الوحدات'!$F$2:$F$41,MATCH($B301,'قائمة الوحدات'!$A$2:$A$41,0)),"")</f>
        <v>وكالة التحول الرقمي</v>
      </c>
      <c r="G301" s="16" t="s">
        <v>61</v>
      </c>
      <c r="H301" s="14" t="str">
        <f>IFERROR(INDEX(المرجع!$A$2:$A$19,MATCH($G301,المرجع!$B$2:$B$19,0)),"")</f>
        <v>البناء المؤسسي</v>
      </c>
      <c r="I301" s="16" t="s">
        <v>59</v>
      </c>
      <c r="J301" s="14" t="str">
        <f>IFERROR(INDEX(المرجع!$D$2:$D$19,MATCH($I301,المرجع!$E$2:$E$19,0)),"")</f>
        <v>الإجراءات</v>
      </c>
      <c r="K301" s="15">
        <f>IFERROR(INDEX(المرجع!$F$2:$F$19,MATCH($I301,المرجع!$E$2:$E$19,0)),"")</f>
        <v>6</v>
      </c>
      <c r="L301" s="15">
        <f>SUMIFS(المرجع!$H$2:$H$19,المرجع!$B$2:$B$19,$G301,المرجع!$E$2:$E$19,$I301)</f>
        <v>1</v>
      </c>
      <c r="M301" s="15">
        <f>COUNTIFS('المرتبطة بسمو الوزير'!$B$2:$B$151,$B301,'المرتبطة بسمو الوزير'!$G$2:$G$151,$G301,'المرتبطة بسمو الوزير'!$I$2:$I$151,$I301,'المرتبطة بسمو الوزير'!$M$2:$M$151,"&lt;&gt;")+COUNTIFS('الشؤون التنفيذية'!$B$2:$B$421,$B301,'الشؤون التنفيذية'!$G$2:$G$421,$G301,'الشؤون التنفيذية'!$I$2:$I$421,$I301,'الشؤون التنفيذية'!$N$2:$N$421,"&lt;&gt;")+COUNTIFS('الجهاز العسكري'!$B$2:$B$631,$B301,'الجهاز العسكري'!$G$2:$G$631,$G301,'الجهاز العسكري'!$I$2:$I$631,$I301,'الجهاز العسكري'!$M$2:$M$631,"&lt;&gt;")</f>
        <v>1</v>
      </c>
      <c r="N301" s="19">
        <f>IF($L301=0,0,ROUND((SUMIFS('المرتبطة بسمو الوزير'!$M$2:$M$151,'المرتبطة بسمو الوزير'!$B$2:$B$151,$B301,'المرتبطة بسمو الوزير'!$G$2:$G$151,$G301,'المرتبطة بسمو الوزير'!$I$2:$I$151,$I301)+SUMIFS('الشؤون التنفيذية'!$N$2:$N$421,'الشؤون التنفيذية'!$B$2:$B$421,$B301,'الشؤون التنفيذية'!$G$2:$G$421,$G301,'الشؤون التنفيذية'!$I$2:$I$421,$I301)+SUMIFS('الجهاز العسكري'!$M$2:$M$631,'الجهاز العسكري'!$B$2:$B$631,$B301,'الجهاز العسكري'!$G$2:$G$631,$G301,'الجهاز العسكري'!$I$2:$I$631,$I301))/$L301,0))</f>
        <v>72</v>
      </c>
      <c r="O301" s="18"/>
      <c r="P301" s="15">
        <f>SUMIFS(المرجع!$G$2:$G$19,المرجع!$B$2:$B$19,$G301,المرجع!$E$2:$E$19,$I301)</f>
        <v>5</v>
      </c>
      <c r="Q301" s="20">
        <f t="shared" si="5"/>
        <v>3.6</v>
      </c>
      <c r="R301" s="21" t="str">
        <f>IF($N301&gt;المرجع!$K$3,"متقدم",IF($N301&lt;=المرجع!$K$2,"أولي","جزئي"))</f>
        <v>متقدم</v>
      </c>
    </row>
    <row r="302" spans="1:18">
      <c r="A302" s="16" t="s">
        <v>1742</v>
      </c>
      <c r="B302" s="16" t="s">
        <v>182</v>
      </c>
      <c r="C302" s="15" t="str">
        <f>IFERROR(INDEX('قائمة الوحدات'!$B$2:$B$41,MATCH($B302,'قائمة الوحدات'!$A$2:$A$41,0)),"")</f>
        <v>EXE</v>
      </c>
      <c r="D302" s="14" t="str">
        <f>IFERROR(INDEX('قائمة الوحدات'!$C$2:$C$41,MATCH($B302,'قائمة الوحدات'!$A$2:$A$41,0)),"")</f>
        <v>الشؤون التنفيذية</v>
      </c>
      <c r="E302" s="14" t="str">
        <f>IFERROR(INDEX('قائمة الوحدات'!$D$2:$D$41,MATCH($B302,'قائمة الوحدات'!$A$2:$A$41,0)),"")</f>
        <v>وكالة التحول الرقمي</v>
      </c>
      <c r="F302" s="14" t="str">
        <f>IFERROR(INDEX('قائمة الوحدات'!$F$2:$F$41,MATCH($B302,'قائمة الوحدات'!$A$2:$A$41,0)),"")</f>
        <v>وكالة التحول الرقمي</v>
      </c>
      <c r="G302" s="16" t="s">
        <v>61</v>
      </c>
      <c r="H302" s="14" t="str">
        <f>IFERROR(INDEX(المرجع!$A$2:$A$19,MATCH($G302,المرجع!$B$2:$B$19,0)),"")</f>
        <v>البناء المؤسسي</v>
      </c>
      <c r="I302" s="16" t="s">
        <v>63</v>
      </c>
      <c r="J302" s="14" t="str">
        <f>IFERROR(INDEX(المرجع!$D$2:$D$19,MATCH($I302,المرجع!$E$2:$E$19,0)),"")</f>
        <v>إنتاج المخرج الأول</v>
      </c>
      <c r="K302" s="15">
        <f>IFERROR(INDEX(المرجع!$F$2:$F$19,MATCH($I302,المرجع!$E$2:$E$19,0)),"")</f>
        <v>7</v>
      </c>
      <c r="L302" s="15">
        <f>SUMIFS(المرجع!$H$2:$H$19,المرجع!$B$2:$B$19,$G302,المرجع!$E$2:$E$19,$I302)</f>
        <v>1</v>
      </c>
      <c r="M302" s="15">
        <f>COUNTIFS('المرتبطة بسمو الوزير'!$B$2:$B$151,$B302,'المرتبطة بسمو الوزير'!$G$2:$G$151,$G302,'المرتبطة بسمو الوزير'!$I$2:$I$151,$I302,'المرتبطة بسمو الوزير'!$M$2:$M$151,"&lt;&gt;")+COUNTIFS('الشؤون التنفيذية'!$B$2:$B$421,$B302,'الشؤون التنفيذية'!$G$2:$G$421,$G302,'الشؤون التنفيذية'!$I$2:$I$421,$I302,'الشؤون التنفيذية'!$N$2:$N$421,"&lt;&gt;")+COUNTIFS('الجهاز العسكري'!$B$2:$B$631,$B302,'الجهاز العسكري'!$G$2:$G$631,$G302,'الجهاز العسكري'!$I$2:$I$631,$I302,'الجهاز العسكري'!$M$2:$M$631,"&lt;&gt;")</f>
        <v>1</v>
      </c>
      <c r="N302" s="19">
        <f>IF($L302=0,0,ROUND((SUMIFS('المرتبطة بسمو الوزير'!$M$2:$M$151,'المرتبطة بسمو الوزير'!$B$2:$B$151,$B302,'المرتبطة بسمو الوزير'!$G$2:$G$151,$G302,'المرتبطة بسمو الوزير'!$I$2:$I$151,$I302)+SUMIFS('الشؤون التنفيذية'!$N$2:$N$421,'الشؤون التنفيذية'!$B$2:$B$421,$B302,'الشؤون التنفيذية'!$G$2:$G$421,$G302,'الشؤون التنفيذية'!$I$2:$I$421,$I302)+SUMIFS('الجهاز العسكري'!$M$2:$M$631,'الجهاز العسكري'!$B$2:$B$631,$B302,'الجهاز العسكري'!$G$2:$G$631,$G302,'الجهاز العسكري'!$I$2:$I$631,$I302))/$L302,0))</f>
        <v>49</v>
      </c>
      <c r="O302" s="18"/>
      <c r="P302" s="15">
        <f>SUMIFS(المرجع!$G$2:$G$19,المرجع!$B$2:$B$19,$G302,المرجع!$E$2:$E$19,$I302)</f>
        <v>5</v>
      </c>
      <c r="Q302" s="20">
        <f t="shared" si="5"/>
        <v>2.4500000000000002</v>
      </c>
      <c r="R302" s="21" t="str">
        <f>IF($N302&gt;المرجع!$K$3,"متقدم",IF($N302&lt;=المرجع!$K$2,"أولي","جزئي"))</f>
        <v>جزئي</v>
      </c>
    </row>
    <row r="303" spans="1:18">
      <c r="A303" s="16" t="s">
        <v>1743</v>
      </c>
      <c r="B303" s="16" t="s">
        <v>182</v>
      </c>
      <c r="C303" s="15" t="str">
        <f>IFERROR(INDEX('قائمة الوحدات'!$B$2:$B$41,MATCH($B303,'قائمة الوحدات'!$A$2:$A$41,0)),"")</f>
        <v>EXE</v>
      </c>
      <c r="D303" s="14" t="str">
        <f>IFERROR(INDEX('قائمة الوحدات'!$C$2:$C$41,MATCH($B303,'قائمة الوحدات'!$A$2:$A$41,0)),"")</f>
        <v>الشؤون التنفيذية</v>
      </c>
      <c r="E303" s="14" t="str">
        <f>IFERROR(INDEX('قائمة الوحدات'!$D$2:$D$41,MATCH($B303,'قائمة الوحدات'!$A$2:$A$41,0)),"")</f>
        <v>وكالة التحول الرقمي</v>
      </c>
      <c r="F303" s="14" t="str">
        <f>IFERROR(INDEX('قائمة الوحدات'!$F$2:$F$41,MATCH($B303,'قائمة الوحدات'!$A$2:$A$41,0)),"")</f>
        <v>وكالة التحول الرقمي</v>
      </c>
      <c r="G303" s="16" t="s">
        <v>65</v>
      </c>
      <c r="H303" s="14" t="str">
        <f>IFERROR(INDEX(المرجع!$A$2:$A$19,MATCH($G303,المرجع!$B$2:$B$19,0)),"")</f>
        <v>التشغيل</v>
      </c>
      <c r="I303" s="16" t="s">
        <v>48</v>
      </c>
      <c r="J303" s="14" t="str">
        <f>IFERROR(INDEX(المرجع!$D$2:$D$19,MATCH($I303,المرجع!$E$2:$E$19,0)),"")</f>
        <v>الأهداف ومؤشرات الأداء</v>
      </c>
      <c r="K303" s="15">
        <f>IFERROR(INDEX(المرجع!$F$2:$F$19,MATCH($I303,المرجع!$E$2:$E$19,0)),"")</f>
        <v>2</v>
      </c>
      <c r="L303" s="15">
        <f>SUMIFS(المرجع!$H$2:$H$19,المرجع!$B$2:$B$19,$G303,المرجع!$E$2:$E$19,$I303)</f>
        <v>2</v>
      </c>
      <c r="M303" s="15">
        <f>COUNTIFS('المرتبطة بسمو الوزير'!$B$2:$B$151,$B303,'المرتبطة بسمو الوزير'!$G$2:$G$151,$G303,'المرتبطة بسمو الوزير'!$I$2:$I$151,$I303,'المرتبطة بسمو الوزير'!$M$2:$M$151,"&lt;&gt;")+COUNTIFS('الشؤون التنفيذية'!$B$2:$B$421,$B303,'الشؤون التنفيذية'!$G$2:$G$421,$G303,'الشؤون التنفيذية'!$I$2:$I$421,$I303,'الشؤون التنفيذية'!$N$2:$N$421,"&lt;&gt;")+COUNTIFS('الجهاز العسكري'!$B$2:$B$631,$B303,'الجهاز العسكري'!$G$2:$G$631,$G303,'الجهاز العسكري'!$I$2:$I$631,$I303,'الجهاز العسكري'!$M$2:$M$631,"&lt;&gt;")</f>
        <v>2</v>
      </c>
      <c r="N303" s="19">
        <f>IF($L303=0,0,ROUND((SUMIFS('المرتبطة بسمو الوزير'!$M$2:$M$151,'المرتبطة بسمو الوزير'!$B$2:$B$151,$B303,'المرتبطة بسمو الوزير'!$G$2:$G$151,$G303,'المرتبطة بسمو الوزير'!$I$2:$I$151,$I303)+SUMIFS('الشؤون التنفيذية'!$N$2:$N$421,'الشؤون التنفيذية'!$B$2:$B$421,$B303,'الشؤون التنفيذية'!$G$2:$G$421,$G303,'الشؤون التنفيذية'!$I$2:$I$421,$I303)+SUMIFS('الجهاز العسكري'!$M$2:$M$631,'الجهاز العسكري'!$B$2:$B$631,$B303,'الجهاز العسكري'!$G$2:$G$631,$G303,'الجهاز العسكري'!$I$2:$I$631,$I303))/$L303,0))</f>
        <v>10</v>
      </c>
      <c r="O303" s="18"/>
      <c r="P303" s="15">
        <f>SUMIFS(المرجع!$G$2:$G$19,المرجع!$B$2:$B$19,$G303,المرجع!$E$2:$E$19,$I303)</f>
        <v>25</v>
      </c>
      <c r="Q303" s="20">
        <f t="shared" si="5"/>
        <v>2.5</v>
      </c>
      <c r="R303" s="21" t="str">
        <f>IF($N303&gt;المرجع!$K$3,"متقدم",IF($N303&lt;=المرجع!$K$2,"أولي","جزئي"))</f>
        <v>أولي</v>
      </c>
    </row>
    <row r="304" spans="1:18">
      <c r="A304" s="16" t="s">
        <v>1744</v>
      </c>
      <c r="B304" s="16" t="s">
        <v>182</v>
      </c>
      <c r="C304" s="15" t="str">
        <f>IFERROR(INDEX('قائمة الوحدات'!$B$2:$B$41,MATCH($B304,'قائمة الوحدات'!$A$2:$A$41,0)),"")</f>
        <v>EXE</v>
      </c>
      <c r="D304" s="14" t="str">
        <f>IFERROR(INDEX('قائمة الوحدات'!$C$2:$C$41,MATCH($B304,'قائمة الوحدات'!$A$2:$A$41,0)),"")</f>
        <v>الشؤون التنفيذية</v>
      </c>
      <c r="E304" s="14" t="str">
        <f>IFERROR(INDEX('قائمة الوحدات'!$D$2:$D$41,MATCH($B304,'قائمة الوحدات'!$A$2:$A$41,0)),"")</f>
        <v>وكالة التحول الرقمي</v>
      </c>
      <c r="F304" s="14" t="str">
        <f>IFERROR(INDEX('قائمة الوحدات'!$F$2:$F$41,MATCH($B304,'قائمة الوحدات'!$A$2:$A$41,0)),"")</f>
        <v>وكالة التحول الرقمي</v>
      </c>
      <c r="G304" s="16" t="s">
        <v>65</v>
      </c>
      <c r="H304" s="14" t="str">
        <f>IFERROR(INDEX(المرجع!$A$2:$A$19,MATCH($G304,المرجع!$B$2:$B$19,0)),"")</f>
        <v>التشغيل</v>
      </c>
      <c r="I304" s="16" t="s">
        <v>51</v>
      </c>
      <c r="J304" s="14" t="str">
        <f>IFERROR(INDEX(المرجع!$D$2:$D$19,MATCH($I304,المرجع!$E$2:$E$19,0)),"")</f>
        <v>الحوكمة</v>
      </c>
      <c r="K304" s="15">
        <f>IFERROR(INDEX(المرجع!$F$2:$F$19,MATCH($I304,المرجع!$E$2:$E$19,0)),"")</f>
        <v>3</v>
      </c>
      <c r="L304" s="15">
        <f>SUMIFS(المرجع!$H$2:$H$19,المرجع!$B$2:$B$19,$G304,المرجع!$E$2:$E$19,$I304)</f>
        <v>3</v>
      </c>
      <c r="M304" s="15">
        <f>COUNTIFS('المرتبطة بسمو الوزير'!$B$2:$B$151,$B304,'المرتبطة بسمو الوزير'!$G$2:$G$151,$G304,'المرتبطة بسمو الوزير'!$I$2:$I$151,$I304,'المرتبطة بسمو الوزير'!$M$2:$M$151,"&lt;&gt;")+COUNTIFS('الشؤون التنفيذية'!$B$2:$B$421,$B304,'الشؤون التنفيذية'!$G$2:$G$421,$G304,'الشؤون التنفيذية'!$I$2:$I$421,$I304,'الشؤون التنفيذية'!$N$2:$N$421,"&lt;&gt;")+COUNTIFS('الجهاز العسكري'!$B$2:$B$631,$B304,'الجهاز العسكري'!$G$2:$G$631,$G304,'الجهاز العسكري'!$I$2:$I$631,$I304,'الجهاز العسكري'!$M$2:$M$631,"&lt;&gt;")</f>
        <v>3</v>
      </c>
      <c r="N304" s="19">
        <f>IF($L304=0,0,ROUND((SUMIFS('المرتبطة بسمو الوزير'!$M$2:$M$151,'المرتبطة بسمو الوزير'!$B$2:$B$151,$B304,'المرتبطة بسمو الوزير'!$G$2:$G$151,$G304,'المرتبطة بسمو الوزير'!$I$2:$I$151,$I304)+SUMIFS('الشؤون التنفيذية'!$N$2:$N$421,'الشؤون التنفيذية'!$B$2:$B$421,$B304,'الشؤون التنفيذية'!$G$2:$G$421,$G304,'الشؤون التنفيذية'!$I$2:$I$421,$I304)+SUMIFS('الجهاز العسكري'!$M$2:$M$631,'الجهاز العسكري'!$B$2:$B$631,$B304,'الجهاز العسكري'!$G$2:$G$631,$G304,'الجهاز العسكري'!$I$2:$I$631,$I304))/$L304,0))</f>
        <v>35</v>
      </c>
      <c r="O304" s="18"/>
      <c r="P304" s="15">
        <f>SUMIFS(المرجع!$G$2:$G$19,المرجع!$B$2:$B$19,$G304,المرجع!$E$2:$E$19,$I304)</f>
        <v>15</v>
      </c>
      <c r="Q304" s="20">
        <f t="shared" si="5"/>
        <v>5.25</v>
      </c>
      <c r="R304" s="21" t="str">
        <f>IF($N304&gt;المرجع!$K$3,"متقدم",IF($N304&lt;=المرجع!$K$2,"أولي","جزئي"))</f>
        <v>جزئي</v>
      </c>
    </row>
    <row r="305" spans="1:18">
      <c r="A305" s="16" t="s">
        <v>1745</v>
      </c>
      <c r="B305" s="16" t="s">
        <v>182</v>
      </c>
      <c r="C305" s="15" t="str">
        <f>IFERROR(INDEX('قائمة الوحدات'!$B$2:$B$41,MATCH($B305,'قائمة الوحدات'!$A$2:$A$41,0)),"")</f>
        <v>EXE</v>
      </c>
      <c r="D305" s="14" t="str">
        <f>IFERROR(INDEX('قائمة الوحدات'!$C$2:$C$41,MATCH($B305,'قائمة الوحدات'!$A$2:$A$41,0)),"")</f>
        <v>الشؤون التنفيذية</v>
      </c>
      <c r="E305" s="14" t="str">
        <f>IFERROR(INDEX('قائمة الوحدات'!$D$2:$D$41,MATCH($B305,'قائمة الوحدات'!$A$2:$A$41,0)),"")</f>
        <v>وكالة التحول الرقمي</v>
      </c>
      <c r="F305" s="14" t="str">
        <f>IFERROR(INDEX('قائمة الوحدات'!$F$2:$F$41,MATCH($B305,'قائمة الوحدات'!$A$2:$A$41,0)),"")</f>
        <v>وكالة التحول الرقمي</v>
      </c>
      <c r="G305" s="16" t="s">
        <v>65</v>
      </c>
      <c r="H305" s="14" t="str">
        <f>IFERROR(INDEX(المرجع!$A$2:$A$19,MATCH($G305,المرجع!$B$2:$B$19,0)),"")</f>
        <v>التشغيل</v>
      </c>
      <c r="I305" s="16" t="s">
        <v>56</v>
      </c>
      <c r="J305" s="14" t="str">
        <f>IFERROR(INDEX(المرجع!$D$2:$D$19,MATCH($I305,المرجع!$E$2:$E$19,0)),"")</f>
        <v>الموارد</v>
      </c>
      <c r="K305" s="15">
        <f>IFERROR(INDEX(المرجع!$F$2:$F$19,MATCH($I305,المرجع!$E$2:$E$19,0)),"")</f>
        <v>5</v>
      </c>
      <c r="L305" s="15">
        <f>SUMIFS(المرجع!$H$2:$H$19,المرجع!$B$2:$B$19,$G305,المرجع!$E$2:$E$19,$I305)</f>
        <v>1</v>
      </c>
      <c r="M305" s="15">
        <f>COUNTIFS('المرتبطة بسمو الوزير'!$B$2:$B$151,$B305,'المرتبطة بسمو الوزير'!$G$2:$G$151,$G305,'المرتبطة بسمو الوزير'!$I$2:$I$151,$I305,'المرتبطة بسمو الوزير'!$M$2:$M$151,"&lt;&gt;")+COUNTIFS('الشؤون التنفيذية'!$B$2:$B$421,$B305,'الشؤون التنفيذية'!$G$2:$G$421,$G305,'الشؤون التنفيذية'!$I$2:$I$421,$I305,'الشؤون التنفيذية'!$N$2:$N$421,"&lt;&gt;")+COUNTIFS('الجهاز العسكري'!$B$2:$B$631,$B305,'الجهاز العسكري'!$G$2:$G$631,$G305,'الجهاز العسكري'!$I$2:$I$631,$I305,'الجهاز العسكري'!$M$2:$M$631,"&lt;&gt;")</f>
        <v>1</v>
      </c>
      <c r="N305" s="19">
        <f>IF($L305=0,0,ROUND((SUMIFS('المرتبطة بسمو الوزير'!$M$2:$M$151,'المرتبطة بسمو الوزير'!$B$2:$B$151,$B305,'المرتبطة بسمو الوزير'!$G$2:$G$151,$G305,'المرتبطة بسمو الوزير'!$I$2:$I$151,$I305)+SUMIFS('الشؤون التنفيذية'!$N$2:$N$421,'الشؤون التنفيذية'!$B$2:$B$421,$B305,'الشؤون التنفيذية'!$G$2:$G$421,$G305,'الشؤون التنفيذية'!$I$2:$I$421,$I305)+SUMIFS('الجهاز العسكري'!$M$2:$M$631,'الجهاز العسكري'!$B$2:$B$631,$B305,'الجهاز العسكري'!$G$2:$G$631,$G305,'الجهاز العسكري'!$I$2:$I$631,$I305))/$L305,0))</f>
        <v>35</v>
      </c>
      <c r="O305" s="18"/>
      <c r="P305" s="15">
        <f>SUMIFS(المرجع!$G$2:$G$19,المرجع!$B$2:$B$19,$G305,المرجع!$E$2:$E$19,$I305)</f>
        <v>15</v>
      </c>
      <c r="Q305" s="20">
        <f t="shared" si="5"/>
        <v>5.25</v>
      </c>
      <c r="R305" s="21" t="str">
        <f>IF($N305&gt;المرجع!$K$3,"متقدم",IF($N305&lt;=المرجع!$K$2,"أولي","جزئي"))</f>
        <v>جزئي</v>
      </c>
    </row>
    <row r="306" spans="1:18">
      <c r="A306" s="16" t="s">
        <v>1746</v>
      </c>
      <c r="B306" s="16" t="s">
        <v>182</v>
      </c>
      <c r="C306" s="15" t="str">
        <f>IFERROR(INDEX('قائمة الوحدات'!$B$2:$B$41,MATCH($B306,'قائمة الوحدات'!$A$2:$A$41,0)),"")</f>
        <v>EXE</v>
      </c>
      <c r="D306" s="14" t="str">
        <f>IFERROR(INDEX('قائمة الوحدات'!$C$2:$C$41,MATCH($B306,'قائمة الوحدات'!$A$2:$A$41,0)),"")</f>
        <v>الشؤون التنفيذية</v>
      </c>
      <c r="E306" s="14" t="str">
        <f>IFERROR(INDEX('قائمة الوحدات'!$D$2:$D$41,MATCH($B306,'قائمة الوحدات'!$A$2:$A$41,0)),"")</f>
        <v>وكالة التحول الرقمي</v>
      </c>
      <c r="F306" s="14" t="str">
        <f>IFERROR(INDEX('قائمة الوحدات'!$F$2:$F$41,MATCH($B306,'قائمة الوحدات'!$A$2:$A$41,0)),"")</f>
        <v>وكالة التحول الرقمي</v>
      </c>
      <c r="G306" s="16" t="s">
        <v>65</v>
      </c>
      <c r="H306" s="14" t="str">
        <f>IFERROR(INDEX(المرجع!$A$2:$A$19,MATCH($G306,المرجع!$B$2:$B$19,0)),"")</f>
        <v>التشغيل</v>
      </c>
      <c r="I306" s="16" t="s">
        <v>59</v>
      </c>
      <c r="J306" s="14" t="str">
        <f>IFERROR(INDEX(المرجع!$D$2:$D$19,MATCH($I306,المرجع!$E$2:$E$19,0)),"")</f>
        <v>الإجراءات</v>
      </c>
      <c r="K306" s="15">
        <f>IFERROR(INDEX(المرجع!$F$2:$F$19,MATCH($I306,المرجع!$E$2:$E$19,0)),"")</f>
        <v>6</v>
      </c>
      <c r="L306" s="15">
        <f>SUMIFS(المرجع!$H$2:$H$19,المرجع!$B$2:$B$19,$G306,المرجع!$E$2:$E$19,$I306)</f>
        <v>1</v>
      </c>
      <c r="M306" s="15">
        <f>COUNTIFS('المرتبطة بسمو الوزير'!$B$2:$B$151,$B306,'المرتبطة بسمو الوزير'!$G$2:$G$151,$G306,'المرتبطة بسمو الوزير'!$I$2:$I$151,$I306,'المرتبطة بسمو الوزير'!$M$2:$M$151,"&lt;&gt;")+COUNTIFS('الشؤون التنفيذية'!$B$2:$B$421,$B306,'الشؤون التنفيذية'!$G$2:$G$421,$G306,'الشؤون التنفيذية'!$I$2:$I$421,$I306,'الشؤون التنفيذية'!$N$2:$N$421,"&lt;&gt;")+COUNTIFS('الجهاز العسكري'!$B$2:$B$631,$B306,'الجهاز العسكري'!$G$2:$G$631,$G306,'الجهاز العسكري'!$I$2:$I$631,$I306,'الجهاز العسكري'!$M$2:$M$631,"&lt;&gt;")</f>
        <v>1</v>
      </c>
      <c r="N306" s="19">
        <f>IF($L306=0,0,ROUND((SUMIFS('المرتبطة بسمو الوزير'!$M$2:$M$151,'المرتبطة بسمو الوزير'!$B$2:$B$151,$B306,'المرتبطة بسمو الوزير'!$G$2:$G$151,$G306,'المرتبطة بسمو الوزير'!$I$2:$I$151,$I306)+SUMIFS('الشؤون التنفيذية'!$N$2:$N$421,'الشؤون التنفيذية'!$B$2:$B$421,$B306,'الشؤون التنفيذية'!$G$2:$G$421,$G306,'الشؤون التنفيذية'!$I$2:$I$421,$I306)+SUMIFS('الجهاز العسكري'!$M$2:$M$631,'الجهاز العسكري'!$B$2:$B$631,$B306,'الجهاز العسكري'!$G$2:$G$631,$G306,'الجهاز العسكري'!$I$2:$I$631,$I306))/$L306,0))</f>
        <v>25</v>
      </c>
      <c r="O306" s="18"/>
      <c r="P306" s="15">
        <f>SUMIFS(المرجع!$G$2:$G$19,المرجع!$B$2:$B$19,$G306,المرجع!$E$2:$E$19,$I306)</f>
        <v>15</v>
      </c>
      <c r="Q306" s="20">
        <f t="shared" si="5"/>
        <v>3.75</v>
      </c>
      <c r="R306" s="21" t="str">
        <f>IF($N306&gt;المرجع!$K$3,"متقدم",IF($N306&lt;=المرجع!$K$2,"أولي","جزئي"))</f>
        <v>أولي</v>
      </c>
    </row>
    <row r="307" spans="1:18">
      <c r="A307" s="16" t="s">
        <v>1747</v>
      </c>
      <c r="B307" s="16" t="s">
        <v>182</v>
      </c>
      <c r="C307" s="15" t="str">
        <f>IFERROR(INDEX('قائمة الوحدات'!$B$2:$B$41,MATCH($B307,'قائمة الوحدات'!$A$2:$A$41,0)),"")</f>
        <v>EXE</v>
      </c>
      <c r="D307" s="14" t="str">
        <f>IFERROR(INDEX('قائمة الوحدات'!$C$2:$C$41,MATCH($B307,'قائمة الوحدات'!$A$2:$A$41,0)),"")</f>
        <v>الشؤون التنفيذية</v>
      </c>
      <c r="E307" s="14" t="str">
        <f>IFERROR(INDEX('قائمة الوحدات'!$D$2:$D$41,MATCH($B307,'قائمة الوحدات'!$A$2:$A$41,0)),"")</f>
        <v>وكالة التحول الرقمي</v>
      </c>
      <c r="F307" s="14" t="str">
        <f>IFERROR(INDEX('قائمة الوحدات'!$F$2:$F$41,MATCH($B307,'قائمة الوحدات'!$A$2:$A$41,0)),"")</f>
        <v>وكالة التحول الرقمي</v>
      </c>
      <c r="G307" s="16" t="s">
        <v>65</v>
      </c>
      <c r="H307" s="14" t="str">
        <f>IFERROR(INDEX(المرجع!$A$2:$A$19,MATCH($G307,المرجع!$B$2:$B$19,0)),"")</f>
        <v>التشغيل</v>
      </c>
      <c r="I307" s="16" t="s">
        <v>67</v>
      </c>
      <c r="J307" s="14" t="str">
        <f>IFERROR(INDEX(المرجع!$D$2:$D$19,MATCH($I307,المرجع!$E$2:$E$19,0)),"")</f>
        <v>اكتمال المخرجات المستهدفة</v>
      </c>
      <c r="K307" s="15">
        <f>IFERROR(INDEX(المرجع!$F$2:$F$19,MATCH($I307,المرجع!$E$2:$E$19,0)),"")</f>
        <v>8</v>
      </c>
      <c r="L307" s="15">
        <f>SUMIFS(المرجع!$H$2:$H$19,المرجع!$B$2:$B$19,$G307,المرجع!$E$2:$E$19,$I307)</f>
        <v>1</v>
      </c>
      <c r="M307" s="15">
        <f>COUNTIFS('المرتبطة بسمو الوزير'!$B$2:$B$151,$B307,'المرتبطة بسمو الوزير'!$G$2:$G$151,$G307,'المرتبطة بسمو الوزير'!$I$2:$I$151,$I307,'المرتبطة بسمو الوزير'!$M$2:$M$151,"&lt;&gt;")+COUNTIFS('الشؤون التنفيذية'!$B$2:$B$421,$B307,'الشؤون التنفيذية'!$G$2:$G$421,$G307,'الشؤون التنفيذية'!$I$2:$I$421,$I307,'الشؤون التنفيذية'!$N$2:$N$421,"&lt;&gt;")+COUNTIFS('الجهاز العسكري'!$B$2:$B$631,$B307,'الجهاز العسكري'!$G$2:$G$631,$G307,'الجهاز العسكري'!$I$2:$I$631,$I307,'الجهاز العسكري'!$M$2:$M$631,"&lt;&gt;")</f>
        <v>1</v>
      </c>
      <c r="N307" s="19">
        <f>IF($L307=0,0,ROUND((SUMIFS('المرتبطة بسمو الوزير'!$M$2:$M$151,'المرتبطة بسمو الوزير'!$B$2:$B$151,$B307,'المرتبطة بسمو الوزير'!$G$2:$G$151,$G307,'المرتبطة بسمو الوزير'!$I$2:$I$151,$I307)+SUMIFS('الشؤون التنفيذية'!$N$2:$N$421,'الشؤون التنفيذية'!$B$2:$B$421,$B307,'الشؤون التنفيذية'!$G$2:$G$421,$G307,'الشؤون التنفيذية'!$I$2:$I$421,$I307)+SUMIFS('الجهاز العسكري'!$M$2:$M$631,'الجهاز العسكري'!$B$2:$B$631,$B307,'الجهاز العسكري'!$G$2:$G$631,$G307,'الجهاز العسكري'!$I$2:$I$631,$I307))/$L307,0))</f>
        <v>43</v>
      </c>
      <c r="O307" s="18"/>
      <c r="P307" s="15">
        <f>SUMIFS(المرجع!$G$2:$G$19,المرجع!$B$2:$B$19,$G307,المرجع!$E$2:$E$19,$I307)</f>
        <v>30</v>
      </c>
      <c r="Q307" s="20">
        <f t="shared" si="5"/>
        <v>12.9</v>
      </c>
      <c r="R307" s="21" t="str">
        <f>IF($N307&gt;المرجع!$K$3,"متقدم",IF($N307&lt;=المرجع!$K$2,"أولي","جزئي"))</f>
        <v>جزئي</v>
      </c>
    </row>
    <row r="308" spans="1:18">
      <c r="A308" s="16" t="s">
        <v>1748</v>
      </c>
      <c r="B308" s="16" t="s">
        <v>184</v>
      </c>
      <c r="C308" s="15" t="str">
        <f>IFERROR(INDEX('قائمة الوحدات'!$B$2:$B$41,MATCH($B308,'قائمة الوحدات'!$A$2:$A$41,0)),"")</f>
        <v>EXE</v>
      </c>
      <c r="D308" s="14" t="str">
        <f>IFERROR(INDEX('قائمة الوحدات'!$C$2:$C$41,MATCH($B308,'قائمة الوحدات'!$A$2:$A$41,0)),"")</f>
        <v>الشؤون التنفيذية</v>
      </c>
      <c r="E308" s="14" t="str">
        <f>IFERROR(INDEX('قائمة الوحدات'!$D$2:$D$41,MATCH($B308,'قائمة الوحدات'!$A$2:$A$41,0)),"")</f>
        <v>وكالة الاتصال المؤسسي</v>
      </c>
      <c r="F308" s="14" t="str">
        <f>IFERROR(INDEX('قائمة الوحدات'!$F$2:$F$41,MATCH($B308,'قائمة الوحدات'!$A$2:$A$41,0)),"")</f>
        <v>وكالة الاتصال المؤسسي</v>
      </c>
      <c r="G308" s="16" t="s">
        <v>43</v>
      </c>
      <c r="H308" s="14" t="str">
        <f>IFERROR(INDEX(المرجع!$A$2:$A$19,MATCH($G308,المرجع!$B$2:$B$19,0)),"")</f>
        <v>التصميم</v>
      </c>
      <c r="I308" s="16" t="s">
        <v>45</v>
      </c>
      <c r="J308" s="14" t="str">
        <f>IFERROR(INDEX(المرجع!$D$2:$D$19,MATCH($I308,المرجع!$E$2:$E$19,0)),"")</f>
        <v>الدور</v>
      </c>
      <c r="K308" s="15">
        <f>IFERROR(INDEX(المرجع!$F$2:$F$19,MATCH($I308,المرجع!$E$2:$E$19,0)),"")</f>
        <v>1</v>
      </c>
      <c r="L308" s="15">
        <f>SUMIFS(المرجع!$H$2:$H$19,المرجع!$B$2:$B$19,$G308,المرجع!$E$2:$E$19,$I308)</f>
        <v>1</v>
      </c>
      <c r="M308" s="15">
        <f>COUNTIFS('المرتبطة بسمو الوزير'!$B$2:$B$151,$B308,'المرتبطة بسمو الوزير'!$G$2:$G$151,$G308,'المرتبطة بسمو الوزير'!$I$2:$I$151,$I308,'المرتبطة بسمو الوزير'!$M$2:$M$151,"&lt;&gt;")+COUNTIFS('الشؤون التنفيذية'!$B$2:$B$421,$B308,'الشؤون التنفيذية'!$G$2:$G$421,$G308,'الشؤون التنفيذية'!$I$2:$I$421,$I308,'الشؤون التنفيذية'!$N$2:$N$421,"&lt;&gt;")+COUNTIFS('الجهاز العسكري'!$B$2:$B$631,$B308,'الجهاز العسكري'!$G$2:$G$631,$G308,'الجهاز العسكري'!$I$2:$I$631,$I308,'الجهاز العسكري'!$M$2:$M$631,"&lt;&gt;")</f>
        <v>1</v>
      </c>
      <c r="N308" s="19">
        <f>IF($L308=0,0,ROUND((SUMIFS('المرتبطة بسمو الوزير'!$M$2:$M$151,'المرتبطة بسمو الوزير'!$B$2:$B$151,$B308,'المرتبطة بسمو الوزير'!$G$2:$G$151,$G308,'المرتبطة بسمو الوزير'!$I$2:$I$151,$I308)+SUMIFS('الشؤون التنفيذية'!$N$2:$N$421,'الشؤون التنفيذية'!$B$2:$B$421,$B308,'الشؤون التنفيذية'!$G$2:$G$421,$G308,'الشؤون التنفيذية'!$I$2:$I$421,$I308)+SUMIFS('الجهاز العسكري'!$M$2:$M$631,'الجهاز العسكري'!$B$2:$B$631,$B308,'الجهاز العسكري'!$G$2:$G$631,$G308,'الجهاز العسكري'!$I$2:$I$631,$I308))/$L308,0))</f>
        <v>77</v>
      </c>
      <c r="O308" s="18"/>
      <c r="P308" s="15">
        <f>SUMIFS(المرجع!$G$2:$G$19,المرجع!$B$2:$B$19,$G308,المرجع!$E$2:$E$19,$I308)</f>
        <v>25</v>
      </c>
      <c r="Q308" s="20">
        <f t="shared" si="5"/>
        <v>19.25</v>
      </c>
      <c r="R308" s="21" t="str">
        <f>IF($N308&gt;المرجع!$K$3,"متقدم",IF($N308&lt;=المرجع!$K$2,"أولي","جزئي"))</f>
        <v>متقدم</v>
      </c>
    </row>
    <row r="309" spans="1:18">
      <c r="A309" s="16" t="s">
        <v>1749</v>
      </c>
      <c r="B309" s="16" t="s">
        <v>184</v>
      </c>
      <c r="C309" s="15" t="str">
        <f>IFERROR(INDEX('قائمة الوحدات'!$B$2:$B$41,MATCH($B309,'قائمة الوحدات'!$A$2:$A$41,0)),"")</f>
        <v>EXE</v>
      </c>
      <c r="D309" s="14" t="str">
        <f>IFERROR(INDEX('قائمة الوحدات'!$C$2:$C$41,MATCH($B309,'قائمة الوحدات'!$A$2:$A$41,0)),"")</f>
        <v>الشؤون التنفيذية</v>
      </c>
      <c r="E309" s="14" t="str">
        <f>IFERROR(INDEX('قائمة الوحدات'!$D$2:$D$41,MATCH($B309,'قائمة الوحدات'!$A$2:$A$41,0)),"")</f>
        <v>وكالة الاتصال المؤسسي</v>
      </c>
      <c r="F309" s="14" t="str">
        <f>IFERROR(INDEX('قائمة الوحدات'!$F$2:$F$41,MATCH($B309,'قائمة الوحدات'!$A$2:$A$41,0)),"")</f>
        <v>وكالة الاتصال المؤسسي</v>
      </c>
      <c r="G309" s="16" t="s">
        <v>43</v>
      </c>
      <c r="H309" s="14" t="str">
        <f>IFERROR(INDEX(المرجع!$A$2:$A$19,MATCH($G309,المرجع!$B$2:$B$19,0)),"")</f>
        <v>التصميم</v>
      </c>
      <c r="I309" s="16" t="s">
        <v>48</v>
      </c>
      <c r="J309" s="14" t="str">
        <f>IFERROR(INDEX(المرجع!$D$2:$D$19,MATCH($I309,المرجع!$E$2:$E$19,0)),"")</f>
        <v>الأهداف ومؤشرات الأداء</v>
      </c>
      <c r="K309" s="15">
        <f>IFERROR(INDEX(المرجع!$F$2:$F$19,MATCH($I309,المرجع!$E$2:$E$19,0)),"")</f>
        <v>2</v>
      </c>
      <c r="L309" s="15">
        <f>SUMIFS(المرجع!$H$2:$H$19,المرجع!$B$2:$B$19,$G309,المرجع!$E$2:$E$19,$I309)</f>
        <v>2</v>
      </c>
      <c r="M309" s="15">
        <f>COUNTIFS('المرتبطة بسمو الوزير'!$B$2:$B$151,$B309,'المرتبطة بسمو الوزير'!$G$2:$G$151,$G309,'المرتبطة بسمو الوزير'!$I$2:$I$151,$I309,'المرتبطة بسمو الوزير'!$M$2:$M$151,"&lt;&gt;")+COUNTIFS('الشؤون التنفيذية'!$B$2:$B$421,$B309,'الشؤون التنفيذية'!$G$2:$G$421,$G309,'الشؤون التنفيذية'!$I$2:$I$421,$I309,'الشؤون التنفيذية'!$N$2:$N$421,"&lt;&gt;")+COUNTIFS('الجهاز العسكري'!$B$2:$B$631,$B309,'الجهاز العسكري'!$G$2:$G$631,$G309,'الجهاز العسكري'!$I$2:$I$631,$I309,'الجهاز العسكري'!$M$2:$M$631,"&lt;&gt;")</f>
        <v>2</v>
      </c>
      <c r="N309" s="19">
        <f>IF($L309=0,0,ROUND((SUMIFS('المرتبطة بسمو الوزير'!$M$2:$M$151,'المرتبطة بسمو الوزير'!$B$2:$B$151,$B309,'المرتبطة بسمو الوزير'!$G$2:$G$151,$G309,'المرتبطة بسمو الوزير'!$I$2:$I$151,$I309)+SUMIFS('الشؤون التنفيذية'!$N$2:$N$421,'الشؤون التنفيذية'!$B$2:$B$421,$B309,'الشؤون التنفيذية'!$G$2:$G$421,$G309,'الشؤون التنفيذية'!$I$2:$I$421,$I309)+SUMIFS('الجهاز العسكري'!$M$2:$M$631,'الجهاز العسكري'!$B$2:$B$631,$B309,'الجهاز العسكري'!$G$2:$G$631,$G309,'الجهاز العسكري'!$I$2:$I$631,$I309))/$L309,0))</f>
        <v>100</v>
      </c>
      <c r="O309" s="18"/>
      <c r="P309" s="15">
        <f>SUMIFS(المرجع!$G$2:$G$19,المرجع!$B$2:$B$19,$G309,المرجع!$E$2:$E$19,$I309)</f>
        <v>15</v>
      </c>
      <c r="Q309" s="20">
        <f t="shared" si="5"/>
        <v>15</v>
      </c>
      <c r="R309" s="21" t="str">
        <f>IF($N309&gt;المرجع!$K$3,"متقدم",IF($N309&lt;=المرجع!$K$2,"أولي","جزئي"))</f>
        <v>متقدم</v>
      </c>
    </row>
    <row r="310" spans="1:18">
      <c r="A310" s="16" t="s">
        <v>1750</v>
      </c>
      <c r="B310" s="16" t="s">
        <v>184</v>
      </c>
      <c r="C310" s="15" t="str">
        <f>IFERROR(INDEX('قائمة الوحدات'!$B$2:$B$41,MATCH($B310,'قائمة الوحدات'!$A$2:$A$41,0)),"")</f>
        <v>EXE</v>
      </c>
      <c r="D310" s="14" t="str">
        <f>IFERROR(INDEX('قائمة الوحدات'!$C$2:$C$41,MATCH($B310,'قائمة الوحدات'!$A$2:$A$41,0)),"")</f>
        <v>الشؤون التنفيذية</v>
      </c>
      <c r="E310" s="14" t="str">
        <f>IFERROR(INDEX('قائمة الوحدات'!$D$2:$D$41,MATCH($B310,'قائمة الوحدات'!$A$2:$A$41,0)),"")</f>
        <v>وكالة الاتصال المؤسسي</v>
      </c>
      <c r="F310" s="14" t="str">
        <f>IFERROR(INDEX('قائمة الوحدات'!$F$2:$F$41,MATCH($B310,'قائمة الوحدات'!$A$2:$A$41,0)),"")</f>
        <v>وكالة الاتصال المؤسسي</v>
      </c>
      <c r="G310" s="16" t="s">
        <v>43</v>
      </c>
      <c r="H310" s="14" t="str">
        <f>IFERROR(INDEX(المرجع!$A$2:$A$19,MATCH($G310,المرجع!$B$2:$B$19,0)),"")</f>
        <v>التصميم</v>
      </c>
      <c r="I310" s="16" t="s">
        <v>51</v>
      </c>
      <c r="J310" s="14" t="str">
        <f>IFERROR(INDEX(المرجع!$D$2:$D$19,MATCH($I310,المرجع!$E$2:$E$19,0)),"")</f>
        <v>الحوكمة</v>
      </c>
      <c r="K310" s="15">
        <f>IFERROR(INDEX(المرجع!$F$2:$F$19,MATCH($I310,المرجع!$E$2:$E$19,0)),"")</f>
        <v>3</v>
      </c>
      <c r="L310" s="15">
        <f>SUMIFS(المرجع!$H$2:$H$19,المرجع!$B$2:$B$19,$G310,المرجع!$E$2:$E$19,$I310)</f>
        <v>1</v>
      </c>
      <c r="M310" s="15">
        <f>COUNTIFS('المرتبطة بسمو الوزير'!$B$2:$B$151,$B310,'المرتبطة بسمو الوزير'!$G$2:$G$151,$G310,'المرتبطة بسمو الوزير'!$I$2:$I$151,$I310,'المرتبطة بسمو الوزير'!$M$2:$M$151,"&lt;&gt;")+COUNTIFS('الشؤون التنفيذية'!$B$2:$B$421,$B310,'الشؤون التنفيذية'!$G$2:$G$421,$G310,'الشؤون التنفيذية'!$I$2:$I$421,$I310,'الشؤون التنفيذية'!$N$2:$N$421,"&lt;&gt;")+COUNTIFS('الجهاز العسكري'!$B$2:$B$631,$B310,'الجهاز العسكري'!$G$2:$G$631,$G310,'الجهاز العسكري'!$I$2:$I$631,$I310,'الجهاز العسكري'!$M$2:$M$631,"&lt;&gt;")</f>
        <v>1</v>
      </c>
      <c r="N310" s="19">
        <f>IF($L310=0,0,ROUND((SUMIFS('المرتبطة بسمو الوزير'!$M$2:$M$151,'المرتبطة بسمو الوزير'!$B$2:$B$151,$B310,'المرتبطة بسمو الوزير'!$G$2:$G$151,$G310,'المرتبطة بسمو الوزير'!$I$2:$I$151,$I310)+SUMIFS('الشؤون التنفيذية'!$N$2:$N$421,'الشؤون التنفيذية'!$B$2:$B$421,$B310,'الشؤون التنفيذية'!$G$2:$G$421,$G310,'الشؤون التنفيذية'!$I$2:$I$421,$I310)+SUMIFS('الجهاز العسكري'!$M$2:$M$631,'الجهاز العسكري'!$B$2:$B$631,$B310,'الجهاز العسكري'!$G$2:$G$631,$G310,'الجهاز العسكري'!$I$2:$I$631,$I310))/$L310,0))</f>
        <v>68</v>
      </c>
      <c r="O310" s="18"/>
      <c r="P310" s="15">
        <f>SUMIFS(المرجع!$G$2:$G$19,المرجع!$B$2:$B$19,$G310,المرجع!$E$2:$E$19,$I310)</f>
        <v>15</v>
      </c>
      <c r="Q310" s="20">
        <f t="shared" si="5"/>
        <v>10.199999999999999</v>
      </c>
      <c r="R310" s="21" t="str">
        <f>IF($N310&gt;المرجع!$K$3,"متقدم",IF($N310&lt;=المرجع!$K$2,"أولي","جزئي"))</f>
        <v>جزئي</v>
      </c>
    </row>
    <row r="311" spans="1:18">
      <c r="A311" s="16" t="s">
        <v>1751</v>
      </c>
      <c r="B311" s="16" t="s">
        <v>184</v>
      </c>
      <c r="C311" s="15" t="str">
        <f>IFERROR(INDEX('قائمة الوحدات'!$B$2:$B$41,MATCH($B311,'قائمة الوحدات'!$A$2:$A$41,0)),"")</f>
        <v>EXE</v>
      </c>
      <c r="D311" s="14" t="str">
        <f>IFERROR(INDEX('قائمة الوحدات'!$C$2:$C$41,MATCH($B311,'قائمة الوحدات'!$A$2:$A$41,0)),"")</f>
        <v>الشؤون التنفيذية</v>
      </c>
      <c r="E311" s="14" t="str">
        <f>IFERROR(INDEX('قائمة الوحدات'!$D$2:$D$41,MATCH($B311,'قائمة الوحدات'!$A$2:$A$41,0)),"")</f>
        <v>وكالة الاتصال المؤسسي</v>
      </c>
      <c r="F311" s="14" t="str">
        <f>IFERROR(INDEX('قائمة الوحدات'!$F$2:$F$41,MATCH($B311,'قائمة الوحدات'!$A$2:$A$41,0)),"")</f>
        <v>وكالة الاتصال المؤسسي</v>
      </c>
      <c r="G311" s="16" t="s">
        <v>43</v>
      </c>
      <c r="H311" s="14" t="str">
        <f>IFERROR(INDEX(المرجع!$A$2:$A$19,MATCH($G311,المرجع!$B$2:$B$19,0)),"")</f>
        <v>التصميم</v>
      </c>
      <c r="I311" s="16" t="s">
        <v>54</v>
      </c>
      <c r="J311" s="14" t="str">
        <f>IFERROR(INDEX(المرجع!$D$2:$D$19,MATCH($I311,المرجع!$E$2:$E$19,0)),"")</f>
        <v>التنظيم</v>
      </c>
      <c r="K311" s="15">
        <f>IFERROR(INDEX(المرجع!$F$2:$F$19,MATCH($I311,المرجع!$E$2:$E$19,0)),"")</f>
        <v>4</v>
      </c>
      <c r="L311" s="15">
        <f>SUMIFS(المرجع!$H$2:$H$19,المرجع!$B$2:$B$19,$G311,المرجع!$E$2:$E$19,$I311)</f>
        <v>1</v>
      </c>
      <c r="M311" s="15">
        <f>COUNTIFS('المرتبطة بسمو الوزير'!$B$2:$B$151,$B311,'المرتبطة بسمو الوزير'!$G$2:$G$151,$G311,'المرتبطة بسمو الوزير'!$I$2:$I$151,$I311,'المرتبطة بسمو الوزير'!$M$2:$M$151,"&lt;&gt;")+COUNTIFS('الشؤون التنفيذية'!$B$2:$B$421,$B311,'الشؤون التنفيذية'!$G$2:$G$421,$G311,'الشؤون التنفيذية'!$I$2:$I$421,$I311,'الشؤون التنفيذية'!$N$2:$N$421,"&lt;&gt;")+COUNTIFS('الجهاز العسكري'!$B$2:$B$631,$B311,'الجهاز العسكري'!$G$2:$G$631,$G311,'الجهاز العسكري'!$I$2:$I$631,$I311,'الجهاز العسكري'!$M$2:$M$631,"&lt;&gt;")</f>
        <v>1</v>
      </c>
      <c r="N311" s="19">
        <f>IF($L311=0,0,ROUND((SUMIFS('المرتبطة بسمو الوزير'!$M$2:$M$151,'المرتبطة بسمو الوزير'!$B$2:$B$151,$B311,'المرتبطة بسمو الوزير'!$G$2:$G$151,$G311,'المرتبطة بسمو الوزير'!$I$2:$I$151,$I311)+SUMIFS('الشؤون التنفيذية'!$N$2:$N$421,'الشؤون التنفيذية'!$B$2:$B$421,$B311,'الشؤون التنفيذية'!$G$2:$G$421,$G311,'الشؤون التنفيذية'!$I$2:$I$421,$I311)+SUMIFS('الجهاز العسكري'!$M$2:$M$631,'الجهاز العسكري'!$B$2:$B$631,$B311,'الجهاز العسكري'!$G$2:$G$631,$G311,'الجهاز العسكري'!$I$2:$I$631,$I311))/$L311,0))</f>
        <v>82</v>
      </c>
      <c r="O311" s="18"/>
      <c r="P311" s="15">
        <f>SUMIFS(المرجع!$G$2:$G$19,المرجع!$B$2:$B$19,$G311,المرجع!$E$2:$E$19,$I311)</f>
        <v>20</v>
      </c>
      <c r="Q311" s="20">
        <f t="shared" si="5"/>
        <v>16.399999999999999</v>
      </c>
      <c r="R311" s="21" t="str">
        <f>IF($N311&gt;المرجع!$K$3,"متقدم",IF($N311&lt;=المرجع!$K$2,"أولي","جزئي"))</f>
        <v>متقدم</v>
      </c>
    </row>
    <row r="312" spans="1:18">
      <c r="A312" s="16" t="s">
        <v>1752</v>
      </c>
      <c r="B312" s="16" t="s">
        <v>184</v>
      </c>
      <c r="C312" s="15" t="str">
        <f>IFERROR(INDEX('قائمة الوحدات'!$B$2:$B$41,MATCH($B312,'قائمة الوحدات'!$A$2:$A$41,0)),"")</f>
        <v>EXE</v>
      </c>
      <c r="D312" s="14" t="str">
        <f>IFERROR(INDEX('قائمة الوحدات'!$C$2:$C$41,MATCH($B312,'قائمة الوحدات'!$A$2:$A$41,0)),"")</f>
        <v>الشؤون التنفيذية</v>
      </c>
      <c r="E312" s="14" t="str">
        <f>IFERROR(INDEX('قائمة الوحدات'!$D$2:$D$41,MATCH($B312,'قائمة الوحدات'!$A$2:$A$41,0)),"")</f>
        <v>وكالة الاتصال المؤسسي</v>
      </c>
      <c r="F312" s="14" t="str">
        <f>IFERROR(INDEX('قائمة الوحدات'!$F$2:$F$41,MATCH($B312,'قائمة الوحدات'!$A$2:$A$41,0)),"")</f>
        <v>وكالة الاتصال المؤسسي</v>
      </c>
      <c r="G312" s="16" t="s">
        <v>43</v>
      </c>
      <c r="H312" s="14" t="str">
        <f>IFERROR(INDEX(المرجع!$A$2:$A$19,MATCH($G312,المرجع!$B$2:$B$19,0)),"")</f>
        <v>التصميم</v>
      </c>
      <c r="I312" s="16" t="s">
        <v>56</v>
      </c>
      <c r="J312" s="14" t="str">
        <f>IFERROR(INDEX(المرجع!$D$2:$D$19,MATCH($I312,المرجع!$E$2:$E$19,0)),"")</f>
        <v>الموارد</v>
      </c>
      <c r="K312" s="15">
        <f>IFERROR(INDEX(المرجع!$F$2:$F$19,MATCH($I312,المرجع!$E$2:$E$19,0)),"")</f>
        <v>5</v>
      </c>
      <c r="L312" s="15">
        <f>SUMIFS(المرجع!$H$2:$H$19,المرجع!$B$2:$B$19,$G312,المرجع!$E$2:$E$19,$I312)</f>
        <v>1</v>
      </c>
      <c r="M312" s="15">
        <f>COUNTIFS('المرتبطة بسمو الوزير'!$B$2:$B$151,$B312,'المرتبطة بسمو الوزير'!$G$2:$G$151,$G312,'المرتبطة بسمو الوزير'!$I$2:$I$151,$I312,'المرتبطة بسمو الوزير'!$M$2:$M$151,"&lt;&gt;")+COUNTIFS('الشؤون التنفيذية'!$B$2:$B$421,$B312,'الشؤون التنفيذية'!$G$2:$G$421,$G312,'الشؤون التنفيذية'!$I$2:$I$421,$I312,'الشؤون التنفيذية'!$N$2:$N$421,"&lt;&gt;")+COUNTIFS('الجهاز العسكري'!$B$2:$B$631,$B312,'الجهاز العسكري'!$G$2:$G$631,$G312,'الجهاز العسكري'!$I$2:$I$631,$I312,'الجهاز العسكري'!$M$2:$M$631,"&lt;&gt;")</f>
        <v>1</v>
      </c>
      <c r="N312" s="19">
        <f>IF($L312=0,0,ROUND((SUMIFS('المرتبطة بسمو الوزير'!$M$2:$M$151,'المرتبطة بسمو الوزير'!$B$2:$B$151,$B312,'المرتبطة بسمو الوزير'!$G$2:$G$151,$G312,'المرتبطة بسمو الوزير'!$I$2:$I$151,$I312)+SUMIFS('الشؤون التنفيذية'!$N$2:$N$421,'الشؤون التنفيذية'!$B$2:$B$421,$B312,'الشؤون التنفيذية'!$G$2:$G$421,$G312,'الشؤون التنفيذية'!$I$2:$I$421,$I312)+SUMIFS('الجهاز العسكري'!$M$2:$M$631,'الجهاز العسكري'!$B$2:$B$631,$B312,'الجهاز العسكري'!$G$2:$G$631,$G312,'الجهاز العسكري'!$I$2:$I$631,$I312))/$L312,0))</f>
        <v>91</v>
      </c>
      <c r="O312" s="18"/>
      <c r="P312" s="15">
        <f>SUMIFS(المرجع!$G$2:$G$19,المرجع!$B$2:$B$19,$G312,المرجع!$E$2:$E$19,$I312)</f>
        <v>20</v>
      </c>
      <c r="Q312" s="20">
        <f t="shared" si="5"/>
        <v>18.2</v>
      </c>
      <c r="R312" s="21" t="str">
        <f>IF($N312&gt;المرجع!$K$3,"متقدم",IF($N312&lt;=المرجع!$K$2,"أولي","جزئي"))</f>
        <v>متقدم</v>
      </c>
    </row>
    <row r="313" spans="1:18">
      <c r="A313" s="16" t="s">
        <v>1753</v>
      </c>
      <c r="B313" s="16" t="s">
        <v>184</v>
      </c>
      <c r="C313" s="15" t="str">
        <f>IFERROR(INDEX('قائمة الوحدات'!$B$2:$B$41,MATCH($B313,'قائمة الوحدات'!$A$2:$A$41,0)),"")</f>
        <v>EXE</v>
      </c>
      <c r="D313" s="14" t="str">
        <f>IFERROR(INDEX('قائمة الوحدات'!$C$2:$C$41,MATCH($B313,'قائمة الوحدات'!$A$2:$A$41,0)),"")</f>
        <v>الشؤون التنفيذية</v>
      </c>
      <c r="E313" s="14" t="str">
        <f>IFERROR(INDEX('قائمة الوحدات'!$D$2:$D$41,MATCH($B313,'قائمة الوحدات'!$A$2:$A$41,0)),"")</f>
        <v>وكالة الاتصال المؤسسي</v>
      </c>
      <c r="F313" s="14" t="str">
        <f>IFERROR(INDEX('قائمة الوحدات'!$F$2:$F$41,MATCH($B313,'قائمة الوحدات'!$A$2:$A$41,0)),"")</f>
        <v>وكالة الاتصال المؤسسي</v>
      </c>
      <c r="G313" s="16" t="s">
        <v>43</v>
      </c>
      <c r="H313" s="14" t="str">
        <f>IFERROR(INDEX(المرجع!$A$2:$A$19,MATCH($G313,المرجع!$B$2:$B$19,0)),"")</f>
        <v>التصميم</v>
      </c>
      <c r="I313" s="16" t="s">
        <v>59</v>
      </c>
      <c r="J313" s="14" t="str">
        <f>IFERROR(INDEX(المرجع!$D$2:$D$19,MATCH($I313,المرجع!$E$2:$E$19,0)),"")</f>
        <v>الإجراءات</v>
      </c>
      <c r="K313" s="15">
        <f>IFERROR(INDEX(المرجع!$F$2:$F$19,MATCH($I313,المرجع!$E$2:$E$19,0)),"")</f>
        <v>6</v>
      </c>
      <c r="L313" s="15">
        <f>SUMIFS(المرجع!$H$2:$H$19,المرجع!$B$2:$B$19,$G313,المرجع!$E$2:$E$19,$I313)</f>
        <v>1</v>
      </c>
      <c r="M313" s="15">
        <f>COUNTIFS('المرتبطة بسمو الوزير'!$B$2:$B$151,$B313,'المرتبطة بسمو الوزير'!$G$2:$G$151,$G313,'المرتبطة بسمو الوزير'!$I$2:$I$151,$I313,'المرتبطة بسمو الوزير'!$M$2:$M$151,"&lt;&gt;")+COUNTIFS('الشؤون التنفيذية'!$B$2:$B$421,$B313,'الشؤون التنفيذية'!$G$2:$G$421,$G313,'الشؤون التنفيذية'!$I$2:$I$421,$I313,'الشؤون التنفيذية'!$N$2:$N$421,"&lt;&gt;")+COUNTIFS('الجهاز العسكري'!$B$2:$B$631,$B313,'الجهاز العسكري'!$G$2:$G$631,$G313,'الجهاز العسكري'!$I$2:$I$631,$I313,'الجهاز العسكري'!$M$2:$M$631,"&lt;&gt;")</f>
        <v>1</v>
      </c>
      <c r="N313" s="19">
        <f>IF($L313=0,0,ROUND((SUMIFS('المرتبطة بسمو الوزير'!$M$2:$M$151,'المرتبطة بسمو الوزير'!$B$2:$B$151,$B313,'المرتبطة بسمو الوزير'!$G$2:$G$151,$G313,'المرتبطة بسمو الوزير'!$I$2:$I$151,$I313)+SUMIFS('الشؤون التنفيذية'!$N$2:$N$421,'الشؤون التنفيذية'!$B$2:$B$421,$B313,'الشؤون التنفيذية'!$G$2:$G$421,$G313,'الشؤون التنفيذية'!$I$2:$I$421,$I313)+SUMIFS('الجهاز العسكري'!$M$2:$M$631,'الجهاز العسكري'!$B$2:$B$631,$B313,'الجهاز العسكري'!$G$2:$G$631,$G313,'الجهاز العسكري'!$I$2:$I$631,$I313))/$L313,0))</f>
        <v>79</v>
      </c>
      <c r="O313" s="18"/>
      <c r="P313" s="15">
        <f>SUMIFS(المرجع!$G$2:$G$19,المرجع!$B$2:$B$19,$G313,المرجع!$E$2:$E$19,$I313)</f>
        <v>5</v>
      </c>
      <c r="Q313" s="20">
        <f t="shared" si="5"/>
        <v>3.95</v>
      </c>
      <c r="R313" s="21" t="str">
        <f>IF($N313&gt;المرجع!$K$3,"متقدم",IF($N313&lt;=المرجع!$K$2,"أولي","جزئي"))</f>
        <v>متقدم</v>
      </c>
    </row>
    <row r="314" spans="1:18">
      <c r="A314" s="16" t="s">
        <v>1754</v>
      </c>
      <c r="B314" s="16" t="s">
        <v>184</v>
      </c>
      <c r="C314" s="15" t="str">
        <f>IFERROR(INDEX('قائمة الوحدات'!$B$2:$B$41,MATCH($B314,'قائمة الوحدات'!$A$2:$A$41,0)),"")</f>
        <v>EXE</v>
      </c>
      <c r="D314" s="14" t="str">
        <f>IFERROR(INDEX('قائمة الوحدات'!$C$2:$C$41,MATCH($B314,'قائمة الوحدات'!$A$2:$A$41,0)),"")</f>
        <v>الشؤون التنفيذية</v>
      </c>
      <c r="E314" s="14" t="str">
        <f>IFERROR(INDEX('قائمة الوحدات'!$D$2:$D$41,MATCH($B314,'قائمة الوحدات'!$A$2:$A$41,0)),"")</f>
        <v>وكالة الاتصال المؤسسي</v>
      </c>
      <c r="F314" s="14" t="str">
        <f>IFERROR(INDEX('قائمة الوحدات'!$F$2:$F$41,MATCH($B314,'قائمة الوحدات'!$A$2:$A$41,0)),"")</f>
        <v>وكالة الاتصال المؤسسي</v>
      </c>
      <c r="G314" s="16" t="s">
        <v>61</v>
      </c>
      <c r="H314" s="14" t="str">
        <f>IFERROR(INDEX(المرجع!$A$2:$A$19,MATCH($G314,المرجع!$B$2:$B$19,0)),"")</f>
        <v>البناء المؤسسي</v>
      </c>
      <c r="I314" s="16" t="s">
        <v>45</v>
      </c>
      <c r="J314" s="14" t="str">
        <f>IFERROR(INDEX(المرجع!$D$2:$D$19,MATCH($I314,المرجع!$E$2:$E$19,0)),"")</f>
        <v>الدور</v>
      </c>
      <c r="K314" s="15">
        <f>IFERROR(INDEX(المرجع!$F$2:$F$19,MATCH($I314,المرجع!$E$2:$E$19,0)),"")</f>
        <v>1</v>
      </c>
      <c r="L314" s="15">
        <f>SUMIFS(المرجع!$H$2:$H$19,المرجع!$B$2:$B$19,$G314,المرجع!$E$2:$E$19,$I314)</f>
        <v>1</v>
      </c>
      <c r="M314" s="15">
        <f>COUNTIFS('المرتبطة بسمو الوزير'!$B$2:$B$151,$B314,'المرتبطة بسمو الوزير'!$G$2:$G$151,$G314,'المرتبطة بسمو الوزير'!$I$2:$I$151,$I314,'المرتبطة بسمو الوزير'!$M$2:$M$151,"&lt;&gt;")+COUNTIFS('الشؤون التنفيذية'!$B$2:$B$421,$B314,'الشؤون التنفيذية'!$G$2:$G$421,$G314,'الشؤون التنفيذية'!$I$2:$I$421,$I314,'الشؤون التنفيذية'!$N$2:$N$421,"&lt;&gt;")+COUNTIFS('الجهاز العسكري'!$B$2:$B$631,$B314,'الجهاز العسكري'!$G$2:$G$631,$G314,'الجهاز العسكري'!$I$2:$I$631,$I314,'الجهاز العسكري'!$M$2:$M$631,"&lt;&gt;")</f>
        <v>1</v>
      </c>
      <c r="N314" s="19">
        <f>IF($L314=0,0,ROUND((SUMIFS('المرتبطة بسمو الوزير'!$M$2:$M$151,'المرتبطة بسمو الوزير'!$B$2:$B$151,$B314,'المرتبطة بسمو الوزير'!$G$2:$G$151,$G314,'المرتبطة بسمو الوزير'!$I$2:$I$151,$I314)+SUMIFS('الشؤون التنفيذية'!$N$2:$N$421,'الشؤون التنفيذية'!$B$2:$B$421,$B314,'الشؤون التنفيذية'!$G$2:$G$421,$G314,'الشؤون التنفيذية'!$I$2:$I$421,$I314)+SUMIFS('الجهاز العسكري'!$M$2:$M$631,'الجهاز العسكري'!$B$2:$B$631,$B314,'الجهاز العسكري'!$G$2:$G$631,$G314,'الجهاز العسكري'!$I$2:$I$631,$I314))/$L314,0))</f>
        <v>48</v>
      </c>
      <c r="O314" s="18"/>
      <c r="P314" s="15">
        <f>SUMIFS(المرجع!$G$2:$G$19,المرجع!$B$2:$B$19,$G314,المرجع!$E$2:$E$19,$I314)</f>
        <v>15</v>
      </c>
      <c r="Q314" s="20">
        <f t="shared" si="5"/>
        <v>7.2</v>
      </c>
      <c r="R314" s="21" t="str">
        <f>IF($N314&gt;المرجع!$K$3,"متقدم",IF($N314&lt;=المرجع!$K$2,"أولي","جزئي"))</f>
        <v>جزئي</v>
      </c>
    </row>
    <row r="315" spans="1:18">
      <c r="A315" s="16" t="s">
        <v>1755</v>
      </c>
      <c r="B315" s="16" t="s">
        <v>184</v>
      </c>
      <c r="C315" s="15" t="str">
        <f>IFERROR(INDEX('قائمة الوحدات'!$B$2:$B$41,MATCH($B315,'قائمة الوحدات'!$A$2:$A$41,0)),"")</f>
        <v>EXE</v>
      </c>
      <c r="D315" s="14" t="str">
        <f>IFERROR(INDEX('قائمة الوحدات'!$C$2:$C$41,MATCH($B315,'قائمة الوحدات'!$A$2:$A$41,0)),"")</f>
        <v>الشؤون التنفيذية</v>
      </c>
      <c r="E315" s="14" t="str">
        <f>IFERROR(INDEX('قائمة الوحدات'!$D$2:$D$41,MATCH($B315,'قائمة الوحدات'!$A$2:$A$41,0)),"")</f>
        <v>وكالة الاتصال المؤسسي</v>
      </c>
      <c r="F315" s="14" t="str">
        <f>IFERROR(INDEX('قائمة الوحدات'!$F$2:$F$41,MATCH($B315,'قائمة الوحدات'!$A$2:$A$41,0)),"")</f>
        <v>وكالة الاتصال المؤسسي</v>
      </c>
      <c r="G315" s="16" t="s">
        <v>61</v>
      </c>
      <c r="H315" s="14" t="str">
        <f>IFERROR(INDEX(المرجع!$A$2:$A$19,MATCH($G315,المرجع!$B$2:$B$19,0)),"")</f>
        <v>البناء المؤسسي</v>
      </c>
      <c r="I315" s="16" t="s">
        <v>48</v>
      </c>
      <c r="J315" s="14" t="str">
        <f>IFERROR(INDEX(المرجع!$D$2:$D$19,MATCH($I315,المرجع!$E$2:$E$19,0)),"")</f>
        <v>الأهداف ومؤشرات الأداء</v>
      </c>
      <c r="K315" s="15">
        <f>IFERROR(INDEX(المرجع!$F$2:$F$19,MATCH($I315,المرجع!$E$2:$E$19,0)),"")</f>
        <v>2</v>
      </c>
      <c r="L315" s="15">
        <f>SUMIFS(المرجع!$H$2:$H$19,المرجع!$B$2:$B$19,$G315,المرجع!$E$2:$E$19,$I315)</f>
        <v>2</v>
      </c>
      <c r="M315" s="15">
        <f>COUNTIFS('المرتبطة بسمو الوزير'!$B$2:$B$151,$B315,'المرتبطة بسمو الوزير'!$G$2:$G$151,$G315,'المرتبطة بسمو الوزير'!$I$2:$I$151,$I315,'المرتبطة بسمو الوزير'!$M$2:$M$151,"&lt;&gt;")+COUNTIFS('الشؤون التنفيذية'!$B$2:$B$421,$B315,'الشؤون التنفيذية'!$G$2:$G$421,$G315,'الشؤون التنفيذية'!$I$2:$I$421,$I315,'الشؤون التنفيذية'!$N$2:$N$421,"&lt;&gt;")+COUNTIFS('الجهاز العسكري'!$B$2:$B$631,$B315,'الجهاز العسكري'!$G$2:$G$631,$G315,'الجهاز العسكري'!$I$2:$I$631,$I315,'الجهاز العسكري'!$M$2:$M$631,"&lt;&gt;")</f>
        <v>2</v>
      </c>
      <c r="N315" s="19">
        <f>IF($L315=0,0,ROUND((SUMIFS('المرتبطة بسمو الوزير'!$M$2:$M$151,'المرتبطة بسمو الوزير'!$B$2:$B$151,$B315,'المرتبطة بسمو الوزير'!$G$2:$G$151,$G315,'المرتبطة بسمو الوزير'!$I$2:$I$151,$I315)+SUMIFS('الشؤون التنفيذية'!$N$2:$N$421,'الشؤون التنفيذية'!$B$2:$B$421,$B315,'الشؤون التنفيذية'!$G$2:$G$421,$G315,'الشؤون التنفيذية'!$I$2:$I$421,$I315)+SUMIFS('الجهاز العسكري'!$M$2:$M$631,'الجهاز العسكري'!$B$2:$B$631,$B315,'الجهاز العسكري'!$G$2:$G$631,$G315,'الجهاز العسكري'!$I$2:$I$631,$I315))/$L315,0))</f>
        <v>68</v>
      </c>
      <c r="O315" s="18"/>
      <c r="P315" s="15">
        <f>SUMIFS(المرجع!$G$2:$G$19,المرجع!$B$2:$B$19,$G315,المرجع!$E$2:$E$19,$I315)</f>
        <v>15</v>
      </c>
      <c r="Q315" s="20">
        <f t="shared" si="5"/>
        <v>10.199999999999999</v>
      </c>
      <c r="R315" s="21" t="str">
        <f>IF($N315&gt;المرجع!$K$3,"متقدم",IF($N315&lt;=المرجع!$K$2,"أولي","جزئي"))</f>
        <v>جزئي</v>
      </c>
    </row>
    <row r="316" spans="1:18">
      <c r="A316" s="16" t="s">
        <v>1756</v>
      </c>
      <c r="B316" s="16" t="s">
        <v>184</v>
      </c>
      <c r="C316" s="15" t="str">
        <f>IFERROR(INDEX('قائمة الوحدات'!$B$2:$B$41,MATCH($B316,'قائمة الوحدات'!$A$2:$A$41,0)),"")</f>
        <v>EXE</v>
      </c>
      <c r="D316" s="14" t="str">
        <f>IFERROR(INDEX('قائمة الوحدات'!$C$2:$C$41,MATCH($B316,'قائمة الوحدات'!$A$2:$A$41,0)),"")</f>
        <v>الشؤون التنفيذية</v>
      </c>
      <c r="E316" s="14" t="str">
        <f>IFERROR(INDEX('قائمة الوحدات'!$D$2:$D$41,MATCH($B316,'قائمة الوحدات'!$A$2:$A$41,0)),"")</f>
        <v>وكالة الاتصال المؤسسي</v>
      </c>
      <c r="F316" s="14" t="str">
        <f>IFERROR(INDEX('قائمة الوحدات'!$F$2:$F$41,MATCH($B316,'قائمة الوحدات'!$A$2:$A$41,0)),"")</f>
        <v>وكالة الاتصال المؤسسي</v>
      </c>
      <c r="G316" s="16" t="s">
        <v>61</v>
      </c>
      <c r="H316" s="14" t="str">
        <f>IFERROR(INDEX(المرجع!$A$2:$A$19,MATCH($G316,المرجع!$B$2:$B$19,0)),"")</f>
        <v>البناء المؤسسي</v>
      </c>
      <c r="I316" s="16" t="s">
        <v>51</v>
      </c>
      <c r="J316" s="14" t="str">
        <f>IFERROR(INDEX(المرجع!$D$2:$D$19,MATCH($I316,المرجع!$E$2:$E$19,0)),"")</f>
        <v>الحوكمة</v>
      </c>
      <c r="K316" s="15">
        <f>IFERROR(INDEX(المرجع!$F$2:$F$19,MATCH($I316,المرجع!$E$2:$E$19,0)),"")</f>
        <v>3</v>
      </c>
      <c r="L316" s="15">
        <f>SUMIFS(المرجع!$H$2:$H$19,المرجع!$B$2:$B$19,$G316,المرجع!$E$2:$E$19,$I316)</f>
        <v>3</v>
      </c>
      <c r="M316" s="15">
        <f>COUNTIFS('المرتبطة بسمو الوزير'!$B$2:$B$151,$B316,'المرتبطة بسمو الوزير'!$G$2:$G$151,$G316,'المرتبطة بسمو الوزير'!$I$2:$I$151,$I316,'المرتبطة بسمو الوزير'!$M$2:$M$151,"&lt;&gt;")+COUNTIFS('الشؤون التنفيذية'!$B$2:$B$421,$B316,'الشؤون التنفيذية'!$G$2:$G$421,$G316,'الشؤون التنفيذية'!$I$2:$I$421,$I316,'الشؤون التنفيذية'!$N$2:$N$421,"&lt;&gt;")+COUNTIFS('الجهاز العسكري'!$B$2:$B$631,$B316,'الجهاز العسكري'!$G$2:$G$631,$G316,'الجهاز العسكري'!$I$2:$I$631,$I316,'الجهاز العسكري'!$M$2:$M$631,"&lt;&gt;")</f>
        <v>3</v>
      </c>
      <c r="N316" s="19">
        <f>IF($L316=0,0,ROUND((SUMIFS('المرتبطة بسمو الوزير'!$M$2:$M$151,'المرتبطة بسمو الوزير'!$B$2:$B$151,$B316,'المرتبطة بسمو الوزير'!$G$2:$G$151,$G316,'المرتبطة بسمو الوزير'!$I$2:$I$151,$I316)+SUMIFS('الشؤون التنفيذية'!$N$2:$N$421,'الشؤون التنفيذية'!$B$2:$B$421,$B316,'الشؤون التنفيذية'!$G$2:$G$421,$G316,'الشؤون التنفيذية'!$I$2:$I$421,$I316)+SUMIFS('الجهاز العسكري'!$M$2:$M$631,'الجهاز العسكري'!$B$2:$B$631,$B316,'الجهاز العسكري'!$G$2:$G$631,$G316,'الجهاز العسكري'!$I$2:$I$631,$I316))/$L316,0))</f>
        <v>82</v>
      </c>
      <c r="O316" s="18"/>
      <c r="P316" s="15">
        <f>SUMIFS(المرجع!$G$2:$G$19,المرجع!$B$2:$B$19,$G316,المرجع!$E$2:$E$19,$I316)</f>
        <v>15</v>
      </c>
      <c r="Q316" s="20">
        <f t="shared" si="5"/>
        <v>12.3</v>
      </c>
      <c r="R316" s="21" t="str">
        <f>IF($N316&gt;المرجع!$K$3,"متقدم",IF($N316&lt;=المرجع!$K$2,"أولي","جزئي"))</f>
        <v>متقدم</v>
      </c>
    </row>
    <row r="317" spans="1:18">
      <c r="A317" s="16" t="s">
        <v>1757</v>
      </c>
      <c r="B317" s="16" t="s">
        <v>184</v>
      </c>
      <c r="C317" s="15" t="str">
        <f>IFERROR(INDEX('قائمة الوحدات'!$B$2:$B$41,MATCH($B317,'قائمة الوحدات'!$A$2:$A$41,0)),"")</f>
        <v>EXE</v>
      </c>
      <c r="D317" s="14" t="str">
        <f>IFERROR(INDEX('قائمة الوحدات'!$C$2:$C$41,MATCH($B317,'قائمة الوحدات'!$A$2:$A$41,0)),"")</f>
        <v>الشؤون التنفيذية</v>
      </c>
      <c r="E317" s="14" t="str">
        <f>IFERROR(INDEX('قائمة الوحدات'!$D$2:$D$41,MATCH($B317,'قائمة الوحدات'!$A$2:$A$41,0)),"")</f>
        <v>وكالة الاتصال المؤسسي</v>
      </c>
      <c r="F317" s="14" t="str">
        <f>IFERROR(INDEX('قائمة الوحدات'!$F$2:$F$41,MATCH($B317,'قائمة الوحدات'!$A$2:$A$41,0)),"")</f>
        <v>وكالة الاتصال المؤسسي</v>
      </c>
      <c r="G317" s="16" t="s">
        <v>61</v>
      </c>
      <c r="H317" s="14" t="str">
        <f>IFERROR(INDEX(المرجع!$A$2:$A$19,MATCH($G317,المرجع!$B$2:$B$19,0)),"")</f>
        <v>البناء المؤسسي</v>
      </c>
      <c r="I317" s="16" t="s">
        <v>54</v>
      </c>
      <c r="J317" s="14" t="str">
        <f>IFERROR(INDEX(المرجع!$D$2:$D$19,MATCH($I317,المرجع!$E$2:$E$19,0)),"")</f>
        <v>التنظيم</v>
      </c>
      <c r="K317" s="15">
        <f>IFERROR(INDEX(المرجع!$F$2:$F$19,MATCH($I317,المرجع!$E$2:$E$19,0)),"")</f>
        <v>4</v>
      </c>
      <c r="L317" s="15">
        <f>SUMIFS(المرجع!$H$2:$H$19,المرجع!$B$2:$B$19,$G317,المرجع!$E$2:$E$19,$I317)</f>
        <v>3</v>
      </c>
      <c r="M317" s="15">
        <f>COUNTIFS('المرتبطة بسمو الوزير'!$B$2:$B$151,$B317,'المرتبطة بسمو الوزير'!$G$2:$G$151,$G317,'المرتبطة بسمو الوزير'!$I$2:$I$151,$I317,'المرتبطة بسمو الوزير'!$M$2:$M$151,"&lt;&gt;")+COUNTIFS('الشؤون التنفيذية'!$B$2:$B$421,$B317,'الشؤون التنفيذية'!$G$2:$G$421,$G317,'الشؤون التنفيذية'!$I$2:$I$421,$I317,'الشؤون التنفيذية'!$N$2:$N$421,"&lt;&gt;")+COUNTIFS('الجهاز العسكري'!$B$2:$B$631,$B317,'الجهاز العسكري'!$G$2:$G$631,$G317,'الجهاز العسكري'!$I$2:$I$631,$I317,'الجهاز العسكري'!$M$2:$M$631,"&lt;&gt;")</f>
        <v>3</v>
      </c>
      <c r="N317" s="19">
        <f>IF($L317=0,0,ROUND((SUMIFS('المرتبطة بسمو الوزير'!$M$2:$M$151,'المرتبطة بسمو الوزير'!$B$2:$B$151,$B317,'المرتبطة بسمو الوزير'!$G$2:$G$151,$G317,'المرتبطة بسمو الوزير'!$I$2:$I$151,$I317)+SUMIFS('الشؤون التنفيذية'!$N$2:$N$421,'الشؤون التنفيذية'!$B$2:$B$421,$B317,'الشؤون التنفيذية'!$G$2:$G$421,$G317,'الشؤون التنفيذية'!$I$2:$I$421,$I317)+SUMIFS('الجهاز العسكري'!$M$2:$M$631,'الجهاز العسكري'!$B$2:$B$631,$B317,'الجهاز العسكري'!$G$2:$G$631,$G317,'الجهاز العسكري'!$I$2:$I$631,$I317))/$L317,0))</f>
        <v>50</v>
      </c>
      <c r="O317" s="18"/>
      <c r="P317" s="15">
        <f>SUMIFS(المرجع!$G$2:$G$19,المرجع!$B$2:$B$19,$G317,المرجع!$E$2:$E$19,$I317)</f>
        <v>20</v>
      </c>
      <c r="Q317" s="20">
        <f t="shared" si="5"/>
        <v>10</v>
      </c>
      <c r="R317" s="21" t="str">
        <f>IF($N317&gt;المرجع!$K$3,"متقدم",IF($N317&lt;=المرجع!$K$2,"أولي","جزئي"))</f>
        <v>جزئي</v>
      </c>
    </row>
    <row r="318" spans="1:18">
      <c r="A318" s="16" t="s">
        <v>1758</v>
      </c>
      <c r="B318" s="16" t="s">
        <v>184</v>
      </c>
      <c r="C318" s="15" t="str">
        <f>IFERROR(INDEX('قائمة الوحدات'!$B$2:$B$41,MATCH($B318,'قائمة الوحدات'!$A$2:$A$41,0)),"")</f>
        <v>EXE</v>
      </c>
      <c r="D318" s="14" t="str">
        <f>IFERROR(INDEX('قائمة الوحدات'!$C$2:$C$41,MATCH($B318,'قائمة الوحدات'!$A$2:$A$41,0)),"")</f>
        <v>الشؤون التنفيذية</v>
      </c>
      <c r="E318" s="14" t="str">
        <f>IFERROR(INDEX('قائمة الوحدات'!$D$2:$D$41,MATCH($B318,'قائمة الوحدات'!$A$2:$A$41,0)),"")</f>
        <v>وكالة الاتصال المؤسسي</v>
      </c>
      <c r="F318" s="14" t="str">
        <f>IFERROR(INDEX('قائمة الوحدات'!$F$2:$F$41,MATCH($B318,'قائمة الوحدات'!$A$2:$A$41,0)),"")</f>
        <v>وكالة الاتصال المؤسسي</v>
      </c>
      <c r="G318" s="16" t="s">
        <v>61</v>
      </c>
      <c r="H318" s="14" t="str">
        <f>IFERROR(INDEX(المرجع!$A$2:$A$19,MATCH($G318,المرجع!$B$2:$B$19,0)),"")</f>
        <v>البناء المؤسسي</v>
      </c>
      <c r="I318" s="16" t="s">
        <v>56</v>
      </c>
      <c r="J318" s="14" t="str">
        <f>IFERROR(INDEX(المرجع!$D$2:$D$19,MATCH($I318,المرجع!$E$2:$E$19,0)),"")</f>
        <v>الموارد</v>
      </c>
      <c r="K318" s="15">
        <f>IFERROR(INDEX(المرجع!$F$2:$F$19,MATCH($I318,المرجع!$E$2:$E$19,0)),"")</f>
        <v>5</v>
      </c>
      <c r="L318" s="15">
        <f>SUMIFS(المرجع!$H$2:$H$19,المرجع!$B$2:$B$19,$G318,المرجع!$E$2:$E$19,$I318)</f>
        <v>4</v>
      </c>
      <c r="M318" s="15">
        <f>COUNTIFS('المرتبطة بسمو الوزير'!$B$2:$B$151,$B318,'المرتبطة بسمو الوزير'!$G$2:$G$151,$G318,'المرتبطة بسمو الوزير'!$I$2:$I$151,$I318,'المرتبطة بسمو الوزير'!$M$2:$M$151,"&lt;&gt;")+COUNTIFS('الشؤون التنفيذية'!$B$2:$B$421,$B318,'الشؤون التنفيذية'!$G$2:$G$421,$G318,'الشؤون التنفيذية'!$I$2:$I$421,$I318,'الشؤون التنفيذية'!$N$2:$N$421,"&lt;&gt;")+COUNTIFS('الجهاز العسكري'!$B$2:$B$631,$B318,'الجهاز العسكري'!$G$2:$G$631,$G318,'الجهاز العسكري'!$I$2:$I$631,$I318,'الجهاز العسكري'!$M$2:$M$631,"&lt;&gt;")</f>
        <v>4</v>
      </c>
      <c r="N318" s="19">
        <f>IF($L318=0,0,ROUND((SUMIFS('المرتبطة بسمو الوزير'!$M$2:$M$151,'المرتبطة بسمو الوزير'!$B$2:$B$151,$B318,'المرتبطة بسمو الوزير'!$G$2:$G$151,$G318,'المرتبطة بسمو الوزير'!$I$2:$I$151,$I318)+SUMIFS('الشؤون التنفيذية'!$N$2:$N$421,'الشؤون التنفيذية'!$B$2:$B$421,$B318,'الشؤون التنفيذية'!$G$2:$G$421,$G318,'الشؤون التنفيذية'!$I$2:$I$421,$I318)+SUMIFS('الجهاز العسكري'!$M$2:$M$631,'الجهاز العسكري'!$B$2:$B$631,$B318,'الجهاز العسكري'!$G$2:$G$631,$G318,'الجهاز العسكري'!$I$2:$I$631,$I318))/$L318,0))</f>
        <v>54</v>
      </c>
      <c r="O318" s="18"/>
      <c r="P318" s="15">
        <f>SUMIFS(المرجع!$G$2:$G$19,المرجع!$B$2:$B$19,$G318,المرجع!$E$2:$E$19,$I318)</f>
        <v>25</v>
      </c>
      <c r="Q318" s="20">
        <f t="shared" si="5"/>
        <v>13.5</v>
      </c>
      <c r="R318" s="21" t="str">
        <f>IF($N318&gt;المرجع!$K$3,"متقدم",IF($N318&lt;=المرجع!$K$2,"أولي","جزئي"))</f>
        <v>جزئي</v>
      </c>
    </row>
    <row r="319" spans="1:18">
      <c r="A319" s="16" t="s">
        <v>1759</v>
      </c>
      <c r="B319" s="16" t="s">
        <v>184</v>
      </c>
      <c r="C319" s="15" t="str">
        <f>IFERROR(INDEX('قائمة الوحدات'!$B$2:$B$41,MATCH($B319,'قائمة الوحدات'!$A$2:$A$41,0)),"")</f>
        <v>EXE</v>
      </c>
      <c r="D319" s="14" t="str">
        <f>IFERROR(INDEX('قائمة الوحدات'!$C$2:$C$41,MATCH($B319,'قائمة الوحدات'!$A$2:$A$41,0)),"")</f>
        <v>الشؤون التنفيذية</v>
      </c>
      <c r="E319" s="14" t="str">
        <f>IFERROR(INDEX('قائمة الوحدات'!$D$2:$D$41,MATCH($B319,'قائمة الوحدات'!$A$2:$A$41,0)),"")</f>
        <v>وكالة الاتصال المؤسسي</v>
      </c>
      <c r="F319" s="14" t="str">
        <f>IFERROR(INDEX('قائمة الوحدات'!$F$2:$F$41,MATCH($B319,'قائمة الوحدات'!$A$2:$A$41,0)),"")</f>
        <v>وكالة الاتصال المؤسسي</v>
      </c>
      <c r="G319" s="16" t="s">
        <v>61</v>
      </c>
      <c r="H319" s="14" t="str">
        <f>IFERROR(INDEX(المرجع!$A$2:$A$19,MATCH($G319,المرجع!$B$2:$B$19,0)),"")</f>
        <v>البناء المؤسسي</v>
      </c>
      <c r="I319" s="16" t="s">
        <v>59</v>
      </c>
      <c r="J319" s="14" t="str">
        <f>IFERROR(INDEX(المرجع!$D$2:$D$19,MATCH($I319,المرجع!$E$2:$E$19,0)),"")</f>
        <v>الإجراءات</v>
      </c>
      <c r="K319" s="15">
        <f>IFERROR(INDEX(المرجع!$F$2:$F$19,MATCH($I319,المرجع!$E$2:$E$19,0)),"")</f>
        <v>6</v>
      </c>
      <c r="L319" s="15">
        <f>SUMIFS(المرجع!$H$2:$H$19,المرجع!$B$2:$B$19,$G319,المرجع!$E$2:$E$19,$I319)</f>
        <v>1</v>
      </c>
      <c r="M319" s="15">
        <f>COUNTIFS('المرتبطة بسمو الوزير'!$B$2:$B$151,$B319,'المرتبطة بسمو الوزير'!$G$2:$G$151,$G319,'المرتبطة بسمو الوزير'!$I$2:$I$151,$I319,'المرتبطة بسمو الوزير'!$M$2:$M$151,"&lt;&gt;")+COUNTIFS('الشؤون التنفيذية'!$B$2:$B$421,$B319,'الشؤون التنفيذية'!$G$2:$G$421,$G319,'الشؤون التنفيذية'!$I$2:$I$421,$I319,'الشؤون التنفيذية'!$N$2:$N$421,"&lt;&gt;")+COUNTIFS('الجهاز العسكري'!$B$2:$B$631,$B319,'الجهاز العسكري'!$G$2:$G$631,$G319,'الجهاز العسكري'!$I$2:$I$631,$I319,'الجهاز العسكري'!$M$2:$M$631,"&lt;&gt;")</f>
        <v>1</v>
      </c>
      <c r="N319" s="19">
        <f>IF($L319=0,0,ROUND((SUMIFS('المرتبطة بسمو الوزير'!$M$2:$M$151,'المرتبطة بسمو الوزير'!$B$2:$B$151,$B319,'المرتبطة بسمو الوزير'!$G$2:$G$151,$G319,'المرتبطة بسمو الوزير'!$I$2:$I$151,$I319)+SUMIFS('الشؤون التنفيذية'!$N$2:$N$421,'الشؤون التنفيذية'!$B$2:$B$421,$B319,'الشؤون التنفيذية'!$G$2:$G$421,$G319,'الشؤون التنفيذية'!$I$2:$I$421,$I319)+SUMIFS('الجهاز العسكري'!$M$2:$M$631,'الجهاز العسكري'!$B$2:$B$631,$B319,'الجهاز العسكري'!$G$2:$G$631,$G319,'الجهاز العسكري'!$I$2:$I$631,$I319))/$L319,0))</f>
        <v>58</v>
      </c>
      <c r="O319" s="18"/>
      <c r="P319" s="15">
        <f>SUMIFS(المرجع!$G$2:$G$19,المرجع!$B$2:$B$19,$G319,المرجع!$E$2:$E$19,$I319)</f>
        <v>5</v>
      </c>
      <c r="Q319" s="20">
        <f t="shared" si="5"/>
        <v>2.9</v>
      </c>
      <c r="R319" s="21" t="str">
        <f>IF($N319&gt;المرجع!$K$3,"متقدم",IF($N319&lt;=المرجع!$K$2,"أولي","جزئي"))</f>
        <v>جزئي</v>
      </c>
    </row>
    <row r="320" spans="1:18">
      <c r="A320" s="16" t="s">
        <v>1760</v>
      </c>
      <c r="B320" s="16" t="s">
        <v>184</v>
      </c>
      <c r="C320" s="15" t="str">
        <f>IFERROR(INDEX('قائمة الوحدات'!$B$2:$B$41,MATCH($B320,'قائمة الوحدات'!$A$2:$A$41,0)),"")</f>
        <v>EXE</v>
      </c>
      <c r="D320" s="14" t="str">
        <f>IFERROR(INDEX('قائمة الوحدات'!$C$2:$C$41,MATCH($B320,'قائمة الوحدات'!$A$2:$A$41,0)),"")</f>
        <v>الشؤون التنفيذية</v>
      </c>
      <c r="E320" s="14" t="str">
        <f>IFERROR(INDEX('قائمة الوحدات'!$D$2:$D$41,MATCH($B320,'قائمة الوحدات'!$A$2:$A$41,0)),"")</f>
        <v>وكالة الاتصال المؤسسي</v>
      </c>
      <c r="F320" s="14" t="str">
        <f>IFERROR(INDEX('قائمة الوحدات'!$F$2:$F$41,MATCH($B320,'قائمة الوحدات'!$A$2:$A$41,0)),"")</f>
        <v>وكالة الاتصال المؤسسي</v>
      </c>
      <c r="G320" s="16" t="s">
        <v>61</v>
      </c>
      <c r="H320" s="14" t="str">
        <f>IFERROR(INDEX(المرجع!$A$2:$A$19,MATCH($G320,المرجع!$B$2:$B$19,0)),"")</f>
        <v>البناء المؤسسي</v>
      </c>
      <c r="I320" s="16" t="s">
        <v>63</v>
      </c>
      <c r="J320" s="14" t="str">
        <f>IFERROR(INDEX(المرجع!$D$2:$D$19,MATCH($I320,المرجع!$E$2:$E$19,0)),"")</f>
        <v>إنتاج المخرج الأول</v>
      </c>
      <c r="K320" s="15">
        <f>IFERROR(INDEX(المرجع!$F$2:$F$19,MATCH($I320,المرجع!$E$2:$E$19,0)),"")</f>
        <v>7</v>
      </c>
      <c r="L320" s="15">
        <f>SUMIFS(المرجع!$H$2:$H$19,المرجع!$B$2:$B$19,$G320,المرجع!$E$2:$E$19,$I320)</f>
        <v>1</v>
      </c>
      <c r="M320" s="15">
        <f>COUNTIFS('المرتبطة بسمو الوزير'!$B$2:$B$151,$B320,'المرتبطة بسمو الوزير'!$G$2:$G$151,$G320,'المرتبطة بسمو الوزير'!$I$2:$I$151,$I320,'المرتبطة بسمو الوزير'!$M$2:$M$151,"&lt;&gt;")+COUNTIFS('الشؤون التنفيذية'!$B$2:$B$421,$B320,'الشؤون التنفيذية'!$G$2:$G$421,$G320,'الشؤون التنفيذية'!$I$2:$I$421,$I320,'الشؤون التنفيذية'!$N$2:$N$421,"&lt;&gt;")+COUNTIFS('الجهاز العسكري'!$B$2:$B$631,$B320,'الجهاز العسكري'!$G$2:$G$631,$G320,'الجهاز العسكري'!$I$2:$I$631,$I320,'الجهاز العسكري'!$M$2:$M$631,"&lt;&gt;")</f>
        <v>1</v>
      </c>
      <c r="N320" s="19">
        <f>IF($L320=0,0,ROUND((SUMIFS('المرتبطة بسمو الوزير'!$M$2:$M$151,'المرتبطة بسمو الوزير'!$B$2:$B$151,$B320,'المرتبطة بسمو الوزير'!$G$2:$G$151,$G320,'المرتبطة بسمو الوزير'!$I$2:$I$151,$I320)+SUMIFS('الشؤون التنفيذية'!$N$2:$N$421,'الشؤون التنفيذية'!$B$2:$B$421,$B320,'الشؤون التنفيذية'!$G$2:$G$421,$G320,'الشؤون التنفيذية'!$I$2:$I$421,$I320)+SUMIFS('الجهاز العسكري'!$M$2:$M$631,'الجهاز العسكري'!$B$2:$B$631,$B320,'الجهاز العسكري'!$G$2:$G$631,$G320,'الجهاز العسكري'!$I$2:$I$631,$I320))/$L320,0))</f>
        <v>87</v>
      </c>
      <c r="O320" s="18"/>
      <c r="P320" s="15">
        <f>SUMIFS(المرجع!$G$2:$G$19,المرجع!$B$2:$B$19,$G320,المرجع!$E$2:$E$19,$I320)</f>
        <v>5</v>
      </c>
      <c r="Q320" s="20">
        <f t="shared" si="5"/>
        <v>4.3499999999999996</v>
      </c>
      <c r="R320" s="21" t="str">
        <f>IF($N320&gt;المرجع!$K$3,"متقدم",IF($N320&lt;=المرجع!$K$2,"أولي","جزئي"))</f>
        <v>متقدم</v>
      </c>
    </row>
    <row r="321" spans="1:18">
      <c r="A321" s="16" t="s">
        <v>1761</v>
      </c>
      <c r="B321" s="16" t="s">
        <v>184</v>
      </c>
      <c r="C321" s="15" t="str">
        <f>IFERROR(INDEX('قائمة الوحدات'!$B$2:$B$41,MATCH($B321,'قائمة الوحدات'!$A$2:$A$41,0)),"")</f>
        <v>EXE</v>
      </c>
      <c r="D321" s="14" t="str">
        <f>IFERROR(INDEX('قائمة الوحدات'!$C$2:$C$41,MATCH($B321,'قائمة الوحدات'!$A$2:$A$41,0)),"")</f>
        <v>الشؤون التنفيذية</v>
      </c>
      <c r="E321" s="14" t="str">
        <f>IFERROR(INDEX('قائمة الوحدات'!$D$2:$D$41,MATCH($B321,'قائمة الوحدات'!$A$2:$A$41,0)),"")</f>
        <v>وكالة الاتصال المؤسسي</v>
      </c>
      <c r="F321" s="14" t="str">
        <f>IFERROR(INDEX('قائمة الوحدات'!$F$2:$F$41,MATCH($B321,'قائمة الوحدات'!$A$2:$A$41,0)),"")</f>
        <v>وكالة الاتصال المؤسسي</v>
      </c>
      <c r="G321" s="16" t="s">
        <v>65</v>
      </c>
      <c r="H321" s="14" t="str">
        <f>IFERROR(INDEX(المرجع!$A$2:$A$19,MATCH($G321,المرجع!$B$2:$B$19,0)),"")</f>
        <v>التشغيل</v>
      </c>
      <c r="I321" s="16" t="s">
        <v>48</v>
      </c>
      <c r="J321" s="14" t="str">
        <f>IFERROR(INDEX(المرجع!$D$2:$D$19,MATCH($I321,المرجع!$E$2:$E$19,0)),"")</f>
        <v>الأهداف ومؤشرات الأداء</v>
      </c>
      <c r="K321" s="15">
        <f>IFERROR(INDEX(المرجع!$F$2:$F$19,MATCH($I321,المرجع!$E$2:$E$19,0)),"")</f>
        <v>2</v>
      </c>
      <c r="L321" s="15">
        <f>SUMIFS(المرجع!$H$2:$H$19,المرجع!$B$2:$B$19,$G321,المرجع!$E$2:$E$19,$I321)</f>
        <v>2</v>
      </c>
      <c r="M321" s="15">
        <f>COUNTIFS('المرتبطة بسمو الوزير'!$B$2:$B$151,$B321,'المرتبطة بسمو الوزير'!$G$2:$G$151,$G321,'المرتبطة بسمو الوزير'!$I$2:$I$151,$I321,'المرتبطة بسمو الوزير'!$M$2:$M$151,"&lt;&gt;")+COUNTIFS('الشؤون التنفيذية'!$B$2:$B$421,$B321,'الشؤون التنفيذية'!$G$2:$G$421,$G321,'الشؤون التنفيذية'!$I$2:$I$421,$I321,'الشؤون التنفيذية'!$N$2:$N$421,"&lt;&gt;")+COUNTIFS('الجهاز العسكري'!$B$2:$B$631,$B321,'الجهاز العسكري'!$G$2:$G$631,$G321,'الجهاز العسكري'!$I$2:$I$631,$I321,'الجهاز العسكري'!$M$2:$M$631,"&lt;&gt;")</f>
        <v>2</v>
      </c>
      <c r="N321" s="19">
        <f>IF($L321=0,0,ROUND((SUMIFS('المرتبطة بسمو الوزير'!$M$2:$M$151,'المرتبطة بسمو الوزير'!$B$2:$B$151,$B321,'المرتبطة بسمو الوزير'!$G$2:$G$151,$G321,'المرتبطة بسمو الوزير'!$I$2:$I$151,$I321)+SUMIFS('الشؤون التنفيذية'!$N$2:$N$421,'الشؤون التنفيذية'!$B$2:$B$421,$B321,'الشؤون التنفيذية'!$G$2:$G$421,$G321,'الشؤون التنفيذية'!$I$2:$I$421,$I321)+SUMIFS('الجهاز العسكري'!$M$2:$M$631,'الجهاز العسكري'!$B$2:$B$631,$B321,'الجهاز العسكري'!$G$2:$G$631,$G321,'الجهاز العسكري'!$I$2:$I$631,$I321))/$L321,0))</f>
        <v>48</v>
      </c>
      <c r="O321" s="18"/>
      <c r="P321" s="15">
        <f>SUMIFS(المرجع!$G$2:$G$19,المرجع!$B$2:$B$19,$G321,المرجع!$E$2:$E$19,$I321)</f>
        <v>25</v>
      </c>
      <c r="Q321" s="20">
        <f t="shared" si="5"/>
        <v>12</v>
      </c>
      <c r="R321" s="21" t="str">
        <f>IF($N321&gt;المرجع!$K$3,"متقدم",IF($N321&lt;=المرجع!$K$2,"أولي","جزئي"))</f>
        <v>جزئي</v>
      </c>
    </row>
    <row r="322" spans="1:18">
      <c r="A322" s="16" t="s">
        <v>1762</v>
      </c>
      <c r="B322" s="16" t="s">
        <v>184</v>
      </c>
      <c r="C322" s="15" t="str">
        <f>IFERROR(INDEX('قائمة الوحدات'!$B$2:$B$41,MATCH($B322,'قائمة الوحدات'!$A$2:$A$41,0)),"")</f>
        <v>EXE</v>
      </c>
      <c r="D322" s="14" t="str">
        <f>IFERROR(INDEX('قائمة الوحدات'!$C$2:$C$41,MATCH($B322,'قائمة الوحدات'!$A$2:$A$41,0)),"")</f>
        <v>الشؤون التنفيذية</v>
      </c>
      <c r="E322" s="14" t="str">
        <f>IFERROR(INDEX('قائمة الوحدات'!$D$2:$D$41,MATCH($B322,'قائمة الوحدات'!$A$2:$A$41,0)),"")</f>
        <v>وكالة الاتصال المؤسسي</v>
      </c>
      <c r="F322" s="14" t="str">
        <f>IFERROR(INDEX('قائمة الوحدات'!$F$2:$F$41,MATCH($B322,'قائمة الوحدات'!$A$2:$A$41,0)),"")</f>
        <v>وكالة الاتصال المؤسسي</v>
      </c>
      <c r="G322" s="16" t="s">
        <v>65</v>
      </c>
      <c r="H322" s="14" t="str">
        <f>IFERROR(INDEX(المرجع!$A$2:$A$19,MATCH($G322,المرجع!$B$2:$B$19,0)),"")</f>
        <v>التشغيل</v>
      </c>
      <c r="I322" s="16" t="s">
        <v>51</v>
      </c>
      <c r="J322" s="14" t="str">
        <f>IFERROR(INDEX(المرجع!$D$2:$D$19,MATCH($I322,المرجع!$E$2:$E$19,0)),"")</f>
        <v>الحوكمة</v>
      </c>
      <c r="K322" s="15">
        <f>IFERROR(INDEX(المرجع!$F$2:$F$19,MATCH($I322,المرجع!$E$2:$E$19,0)),"")</f>
        <v>3</v>
      </c>
      <c r="L322" s="15">
        <f>SUMIFS(المرجع!$H$2:$H$19,المرجع!$B$2:$B$19,$G322,المرجع!$E$2:$E$19,$I322)</f>
        <v>3</v>
      </c>
      <c r="M322" s="15">
        <f>COUNTIFS('المرتبطة بسمو الوزير'!$B$2:$B$151,$B322,'المرتبطة بسمو الوزير'!$G$2:$G$151,$G322,'المرتبطة بسمو الوزير'!$I$2:$I$151,$I322,'المرتبطة بسمو الوزير'!$M$2:$M$151,"&lt;&gt;")+COUNTIFS('الشؤون التنفيذية'!$B$2:$B$421,$B322,'الشؤون التنفيذية'!$G$2:$G$421,$G322,'الشؤون التنفيذية'!$I$2:$I$421,$I322,'الشؤون التنفيذية'!$N$2:$N$421,"&lt;&gt;")+COUNTIFS('الجهاز العسكري'!$B$2:$B$631,$B322,'الجهاز العسكري'!$G$2:$G$631,$G322,'الجهاز العسكري'!$I$2:$I$631,$I322,'الجهاز العسكري'!$M$2:$M$631,"&lt;&gt;")</f>
        <v>3</v>
      </c>
      <c r="N322" s="19">
        <f>IF($L322=0,0,ROUND((SUMIFS('المرتبطة بسمو الوزير'!$M$2:$M$151,'المرتبطة بسمو الوزير'!$B$2:$B$151,$B322,'المرتبطة بسمو الوزير'!$G$2:$G$151,$G322,'المرتبطة بسمو الوزير'!$I$2:$I$151,$I322)+SUMIFS('الشؤون التنفيذية'!$N$2:$N$421,'الشؤون التنفيذية'!$B$2:$B$421,$B322,'الشؤون التنفيذية'!$G$2:$G$421,$G322,'الشؤون التنفيذية'!$I$2:$I$421,$I322)+SUMIFS('الجهاز العسكري'!$M$2:$M$631,'الجهاز العسكري'!$B$2:$B$631,$B322,'الجهاز العسكري'!$G$2:$G$631,$G322,'الجهاز العسكري'!$I$2:$I$631,$I322))/$L322,0))</f>
        <v>23</v>
      </c>
      <c r="O322" s="18"/>
      <c r="P322" s="15">
        <f>SUMIFS(المرجع!$G$2:$G$19,المرجع!$B$2:$B$19,$G322,المرجع!$E$2:$E$19,$I322)</f>
        <v>15</v>
      </c>
      <c r="Q322" s="20">
        <f t="shared" ref="Q322:Q385" si="6">ROUND($P322*$N322/100,2)</f>
        <v>3.45</v>
      </c>
      <c r="R322" s="21" t="str">
        <f>IF($N322&gt;المرجع!$K$3,"متقدم",IF($N322&lt;=المرجع!$K$2,"أولي","جزئي"))</f>
        <v>أولي</v>
      </c>
    </row>
    <row r="323" spans="1:18">
      <c r="A323" s="16" t="s">
        <v>1763</v>
      </c>
      <c r="B323" s="16" t="s">
        <v>184</v>
      </c>
      <c r="C323" s="15" t="str">
        <f>IFERROR(INDEX('قائمة الوحدات'!$B$2:$B$41,MATCH($B323,'قائمة الوحدات'!$A$2:$A$41,0)),"")</f>
        <v>EXE</v>
      </c>
      <c r="D323" s="14" t="str">
        <f>IFERROR(INDEX('قائمة الوحدات'!$C$2:$C$41,MATCH($B323,'قائمة الوحدات'!$A$2:$A$41,0)),"")</f>
        <v>الشؤون التنفيذية</v>
      </c>
      <c r="E323" s="14" t="str">
        <f>IFERROR(INDEX('قائمة الوحدات'!$D$2:$D$41,MATCH($B323,'قائمة الوحدات'!$A$2:$A$41,0)),"")</f>
        <v>وكالة الاتصال المؤسسي</v>
      </c>
      <c r="F323" s="14" t="str">
        <f>IFERROR(INDEX('قائمة الوحدات'!$F$2:$F$41,MATCH($B323,'قائمة الوحدات'!$A$2:$A$41,0)),"")</f>
        <v>وكالة الاتصال المؤسسي</v>
      </c>
      <c r="G323" s="16" t="s">
        <v>65</v>
      </c>
      <c r="H323" s="14" t="str">
        <f>IFERROR(INDEX(المرجع!$A$2:$A$19,MATCH($G323,المرجع!$B$2:$B$19,0)),"")</f>
        <v>التشغيل</v>
      </c>
      <c r="I323" s="16" t="s">
        <v>56</v>
      </c>
      <c r="J323" s="14" t="str">
        <f>IFERROR(INDEX(المرجع!$D$2:$D$19,MATCH($I323,المرجع!$E$2:$E$19,0)),"")</f>
        <v>الموارد</v>
      </c>
      <c r="K323" s="15">
        <f>IFERROR(INDEX(المرجع!$F$2:$F$19,MATCH($I323,المرجع!$E$2:$E$19,0)),"")</f>
        <v>5</v>
      </c>
      <c r="L323" s="15">
        <f>SUMIFS(المرجع!$H$2:$H$19,المرجع!$B$2:$B$19,$G323,المرجع!$E$2:$E$19,$I323)</f>
        <v>1</v>
      </c>
      <c r="M323" s="15">
        <f>COUNTIFS('المرتبطة بسمو الوزير'!$B$2:$B$151,$B323,'المرتبطة بسمو الوزير'!$G$2:$G$151,$G323,'المرتبطة بسمو الوزير'!$I$2:$I$151,$I323,'المرتبطة بسمو الوزير'!$M$2:$M$151,"&lt;&gt;")+COUNTIFS('الشؤون التنفيذية'!$B$2:$B$421,$B323,'الشؤون التنفيذية'!$G$2:$G$421,$G323,'الشؤون التنفيذية'!$I$2:$I$421,$I323,'الشؤون التنفيذية'!$N$2:$N$421,"&lt;&gt;")+COUNTIFS('الجهاز العسكري'!$B$2:$B$631,$B323,'الجهاز العسكري'!$G$2:$G$631,$G323,'الجهاز العسكري'!$I$2:$I$631,$I323,'الجهاز العسكري'!$M$2:$M$631,"&lt;&gt;")</f>
        <v>1</v>
      </c>
      <c r="N323" s="19">
        <f>IF($L323=0,0,ROUND((SUMIFS('المرتبطة بسمو الوزير'!$M$2:$M$151,'المرتبطة بسمو الوزير'!$B$2:$B$151,$B323,'المرتبطة بسمو الوزير'!$G$2:$G$151,$G323,'المرتبطة بسمو الوزير'!$I$2:$I$151,$I323)+SUMIFS('الشؤون التنفيذية'!$N$2:$N$421,'الشؤون التنفيذية'!$B$2:$B$421,$B323,'الشؤون التنفيذية'!$G$2:$G$421,$G323,'الشؤون التنفيذية'!$I$2:$I$421,$I323)+SUMIFS('الجهاز العسكري'!$M$2:$M$631,'الجهاز العسكري'!$B$2:$B$631,$B323,'الجهاز العسكري'!$G$2:$G$631,$G323,'الجهاز العسكري'!$I$2:$I$631,$I323))/$L323,0))</f>
        <v>59</v>
      </c>
      <c r="O323" s="18"/>
      <c r="P323" s="15">
        <f>SUMIFS(المرجع!$G$2:$G$19,المرجع!$B$2:$B$19,$G323,المرجع!$E$2:$E$19,$I323)</f>
        <v>15</v>
      </c>
      <c r="Q323" s="20">
        <f t="shared" si="6"/>
        <v>8.85</v>
      </c>
      <c r="R323" s="21" t="str">
        <f>IF($N323&gt;المرجع!$K$3,"متقدم",IF($N323&lt;=المرجع!$K$2,"أولي","جزئي"))</f>
        <v>جزئي</v>
      </c>
    </row>
    <row r="324" spans="1:18">
      <c r="A324" s="16" t="s">
        <v>1764</v>
      </c>
      <c r="B324" s="16" t="s">
        <v>184</v>
      </c>
      <c r="C324" s="15" t="str">
        <f>IFERROR(INDEX('قائمة الوحدات'!$B$2:$B$41,MATCH($B324,'قائمة الوحدات'!$A$2:$A$41,0)),"")</f>
        <v>EXE</v>
      </c>
      <c r="D324" s="14" t="str">
        <f>IFERROR(INDEX('قائمة الوحدات'!$C$2:$C$41,MATCH($B324,'قائمة الوحدات'!$A$2:$A$41,0)),"")</f>
        <v>الشؤون التنفيذية</v>
      </c>
      <c r="E324" s="14" t="str">
        <f>IFERROR(INDEX('قائمة الوحدات'!$D$2:$D$41,MATCH($B324,'قائمة الوحدات'!$A$2:$A$41,0)),"")</f>
        <v>وكالة الاتصال المؤسسي</v>
      </c>
      <c r="F324" s="14" t="str">
        <f>IFERROR(INDEX('قائمة الوحدات'!$F$2:$F$41,MATCH($B324,'قائمة الوحدات'!$A$2:$A$41,0)),"")</f>
        <v>وكالة الاتصال المؤسسي</v>
      </c>
      <c r="G324" s="16" t="s">
        <v>65</v>
      </c>
      <c r="H324" s="14" t="str">
        <f>IFERROR(INDEX(المرجع!$A$2:$A$19,MATCH($G324,المرجع!$B$2:$B$19,0)),"")</f>
        <v>التشغيل</v>
      </c>
      <c r="I324" s="16" t="s">
        <v>59</v>
      </c>
      <c r="J324" s="14" t="str">
        <f>IFERROR(INDEX(المرجع!$D$2:$D$19,MATCH($I324,المرجع!$E$2:$E$19,0)),"")</f>
        <v>الإجراءات</v>
      </c>
      <c r="K324" s="15">
        <f>IFERROR(INDEX(المرجع!$F$2:$F$19,MATCH($I324,المرجع!$E$2:$E$19,0)),"")</f>
        <v>6</v>
      </c>
      <c r="L324" s="15">
        <f>SUMIFS(المرجع!$H$2:$H$19,المرجع!$B$2:$B$19,$G324,المرجع!$E$2:$E$19,$I324)</f>
        <v>1</v>
      </c>
      <c r="M324" s="15">
        <f>COUNTIFS('المرتبطة بسمو الوزير'!$B$2:$B$151,$B324,'المرتبطة بسمو الوزير'!$G$2:$G$151,$G324,'المرتبطة بسمو الوزير'!$I$2:$I$151,$I324,'المرتبطة بسمو الوزير'!$M$2:$M$151,"&lt;&gt;")+COUNTIFS('الشؤون التنفيذية'!$B$2:$B$421,$B324,'الشؤون التنفيذية'!$G$2:$G$421,$G324,'الشؤون التنفيذية'!$I$2:$I$421,$I324,'الشؤون التنفيذية'!$N$2:$N$421,"&lt;&gt;")+COUNTIFS('الجهاز العسكري'!$B$2:$B$631,$B324,'الجهاز العسكري'!$G$2:$G$631,$G324,'الجهاز العسكري'!$I$2:$I$631,$I324,'الجهاز العسكري'!$M$2:$M$631,"&lt;&gt;")</f>
        <v>1</v>
      </c>
      <c r="N324" s="19">
        <f>IF($L324=0,0,ROUND((SUMIFS('المرتبطة بسمو الوزير'!$M$2:$M$151,'المرتبطة بسمو الوزير'!$B$2:$B$151,$B324,'المرتبطة بسمو الوزير'!$G$2:$G$151,$G324,'المرتبطة بسمو الوزير'!$I$2:$I$151,$I324)+SUMIFS('الشؤون التنفيذية'!$N$2:$N$421,'الشؤون التنفيذية'!$B$2:$B$421,$B324,'الشؤون التنفيذية'!$G$2:$G$421,$G324,'الشؤون التنفيذية'!$I$2:$I$421,$I324)+SUMIFS('الجهاز العسكري'!$M$2:$M$631,'الجهاز العسكري'!$B$2:$B$631,$B324,'الجهاز العسكري'!$G$2:$G$631,$G324,'الجهاز العسكري'!$I$2:$I$631,$I324))/$L324,0))</f>
        <v>62</v>
      </c>
      <c r="O324" s="18"/>
      <c r="P324" s="15">
        <f>SUMIFS(المرجع!$G$2:$G$19,المرجع!$B$2:$B$19,$G324,المرجع!$E$2:$E$19,$I324)</f>
        <v>15</v>
      </c>
      <c r="Q324" s="20">
        <f t="shared" si="6"/>
        <v>9.3000000000000007</v>
      </c>
      <c r="R324" s="21" t="str">
        <f>IF($N324&gt;المرجع!$K$3,"متقدم",IF($N324&lt;=المرجع!$K$2,"أولي","جزئي"))</f>
        <v>جزئي</v>
      </c>
    </row>
    <row r="325" spans="1:18">
      <c r="A325" s="16" t="s">
        <v>1765</v>
      </c>
      <c r="B325" s="16" t="s">
        <v>184</v>
      </c>
      <c r="C325" s="15" t="str">
        <f>IFERROR(INDEX('قائمة الوحدات'!$B$2:$B$41,MATCH($B325,'قائمة الوحدات'!$A$2:$A$41,0)),"")</f>
        <v>EXE</v>
      </c>
      <c r="D325" s="14" t="str">
        <f>IFERROR(INDEX('قائمة الوحدات'!$C$2:$C$41,MATCH($B325,'قائمة الوحدات'!$A$2:$A$41,0)),"")</f>
        <v>الشؤون التنفيذية</v>
      </c>
      <c r="E325" s="14" t="str">
        <f>IFERROR(INDEX('قائمة الوحدات'!$D$2:$D$41,MATCH($B325,'قائمة الوحدات'!$A$2:$A$41,0)),"")</f>
        <v>وكالة الاتصال المؤسسي</v>
      </c>
      <c r="F325" s="14" t="str">
        <f>IFERROR(INDEX('قائمة الوحدات'!$F$2:$F$41,MATCH($B325,'قائمة الوحدات'!$A$2:$A$41,0)),"")</f>
        <v>وكالة الاتصال المؤسسي</v>
      </c>
      <c r="G325" s="16" t="s">
        <v>65</v>
      </c>
      <c r="H325" s="14" t="str">
        <f>IFERROR(INDEX(المرجع!$A$2:$A$19,MATCH($G325,المرجع!$B$2:$B$19,0)),"")</f>
        <v>التشغيل</v>
      </c>
      <c r="I325" s="16" t="s">
        <v>67</v>
      </c>
      <c r="J325" s="14" t="str">
        <f>IFERROR(INDEX(المرجع!$D$2:$D$19,MATCH($I325,المرجع!$E$2:$E$19,0)),"")</f>
        <v>اكتمال المخرجات المستهدفة</v>
      </c>
      <c r="K325" s="15">
        <f>IFERROR(INDEX(المرجع!$F$2:$F$19,MATCH($I325,المرجع!$E$2:$E$19,0)),"")</f>
        <v>8</v>
      </c>
      <c r="L325" s="15">
        <f>SUMIFS(المرجع!$H$2:$H$19,المرجع!$B$2:$B$19,$G325,المرجع!$E$2:$E$19,$I325)</f>
        <v>1</v>
      </c>
      <c r="M325" s="15">
        <f>COUNTIFS('المرتبطة بسمو الوزير'!$B$2:$B$151,$B325,'المرتبطة بسمو الوزير'!$G$2:$G$151,$G325,'المرتبطة بسمو الوزير'!$I$2:$I$151,$I325,'المرتبطة بسمو الوزير'!$M$2:$M$151,"&lt;&gt;")+COUNTIFS('الشؤون التنفيذية'!$B$2:$B$421,$B325,'الشؤون التنفيذية'!$G$2:$G$421,$G325,'الشؤون التنفيذية'!$I$2:$I$421,$I325,'الشؤون التنفيذية'!$N$2:$N$421,"&lt;&gt;")+COUNTIFS('الجهاز العسكري'!$B$2:$B$631,$B325,'الجهاز العسكري'!$G$2:$G$631,$G325,'الجهاز العسكري'!$I$2:$I$631,$I325,'الجهاز العسكري'!$M$2:$M$631,"&lt;&gt;")</f>
        <v>1</v>
      </c>
      <c r="N325" s="19">
        <f>IF($L325=0,0,ROUND((SUMIFS('المرتبطة بسمو الوزير'!$M$2:$M$151,'المرتبطة بسمو الوزير'!$B$2:$B$151,$B325,'المرتبطة بسمو الوزير'!$G$2:$G$151,$G325,'المرتبطة بسمو الوزير'!$I$2:$I$151,$I325)+SUMIFS('الشؤون التنفيذية'!$N$2:$N$421,'الشؤون التنفيذية'!$B$2:$B$421,$B325,'الشؤون التنفيذية'!$G$2:$G$421,$G325,'الشؤون التنفيذية'!$I$2:$I$421,$I325)+SUMIFS('الجهاز العسكري'!$M$2:$M$631,'الجهاز العسكري'!$B$2:$B$631,$B325,'الجهاز العسكري'!$G$2:$G$631,$G325,'الجهاز العسكري'!$I$2:$I$631,$I325))/$L325,0))</f>
        <v>43</v>
      </c>
      <c r="O325" s="18"/>
      <c r="P325" s="15">
        <f>SUMIFS(المرجع!$G$2:$G$19,المرجع!$B$2:$B$19,$G325,المرجع!$E$2:$E$19,$I325)</f>
        <v>30</v>
      </c>
      <c r="Q325" s="20">
        <f t="shared" si="6"/>
        <v>12.9</v>
      </c>
      <c r="R325" s="21" t="str">
        <f>IF($N325&gt;المرجع!$K$3,"متقدم",IF($N325&lt;=المرجع!$K$2,"أولي","جزئي"))</f>
        <v>جزئي</v>
      </c>
    </row>
    <row r="326" spans="1:18">
      <c r="A326" s="16" t="s">
        <v>1766</v>
      </c>
      <c r="B326" s="16" t="s">
        <v>186</v>
      </c>
      <c r="C326" s="15" t="str">
        <f>IFERROR(INDEX('قائمة الوحدات'!$B$2:$B$41,MATCH($B326,'قائمة الوحدات'!$A$2:$A$41,0)),"")</f>
        <v>EXE</v>
      </c>
      <c r="D326" s="14" t="str">
        <f>IFERROR(INDEX('قائمة الوحدات'!$C$2:$C$41,MATCH($B326,'قائمة الوحدات'!$A$2:$A$41,0)),"")</f>
        <v>الشؤون التنفيذية</v>
      </c>
      <c r="E326" s="14" t="str">
        <f>IFERROR(INDEX('قائمة الوحدات'!$D$2:$D$41,MATCH($B326,'قائمة الوحدات'!$A$2:$A$41,0)),"")</f>
        <v>وكالة الرقابة والالتزام</v>
      </c>
      <c r="F326" s="14" t="str">
        <f>IFERROR(INDEX('قائمة الوحدات'!$F$2:$F$41,MATCH($B326,'قائمة الوحدات'!$A$2:$A$41,0)),"")</f>
        <v>وكالة الرقابة والالتزام</v>
      </c>
      <c r="G326" s="16" t="s">
        <v>43</v>
      </c>
      <c r="H326" s="14" t="str">
        <f>IFERROR(INDEX(المرجع!$A$2:$A$19,MATCH($G326,المرجع!$B$2:$B$19,0)),"")</f>
        <v>التصميم</v>
      </c>
      <c r="I326" s="16" t="s">
        <v>45</v>
      </c>
      <c r="J326" s="14" t="str">
        <f>IFERROR(INDEX(المرجع!$D$2:$D$19,MATCH($I326,المرجع!$E$2:$E$19,0)),"")</f>
        <v>الدور</v>
      </c>
      <c r="K326" s="15">
        <f>IFERROR(INDEX(المرجع!$F$2:$F$19,MATCH($I326,المرجع!$E$2:$E$19,0)),"")</f>
        <v>1</v>
      </c>
      <c r="L326" s="15">
        <f>SUMIFS(المرجع!$H$2:$H$19,المرجع!$B$2:$B$19,$G326,المرجع!$E$2:$E$19,$I326)</f>
        <v>1</v>
      </c>
      <c r="M326" s="15">
        <f>COUNTIFS('المرتبطة بسمو الوزير'!$B$2:$B$151,$B326,'المرتبطة بسمو الوزير'!$G$2:$G$151,$G326,'المرتبطة بسمو الوزير'!$I$2:$I$151,$I326,'المرتبطة بسمو الوزير'!$M$2:$M$151,"&lt;&gt;")+COUNTIFS('الشؤون التنفيذية'!$B$2:$B$421,$B326,'الشؤون التنفيذية'!$G$2:$G$421,$G326,'الشؤون التنفيذية'!$I$2:$I$421,$I326,'الشؤون التنفيذية'!$N$2:$N$421,"&lt;&gt;")+COUNTIFS('الجهاز العسكري'!$B$2:$B$631,$B326,'الجهاز العسكري'!$G$2:$G$631,$G326,'الجهاز العسكري'!$I$2:$I$631,$I326,'الجهاز العسكري'!$M$2:$M$631,"&lt;&gt;")</f>
        <v>1</v>
      </c>
      <c r="N326" s="19">
        <f>IF($L326=0,0,ROUND((SUMIFS('المرتبطة بسمو الوزير'!$M$2:$M$151,'المرتبطة بسمو الوزير'!$B$2:$B$151,$B326,'المرتبطة بسمو الوزير'!$G$2:$G$151,$G326,'المرتبطة بسمو الوزير'!$I$2:$I$151,$I326)+SUMIFS('الشؤون التنفيذية'!$N$2:$N$421,'الشؤون التنفيذية'!$B$2:$B$421,$B326,'الشؤون التنفيذية'!$G$2:$G$421,$G326,'الشؤون التنفيذية'!$I$2:$I$421,$I326)+SUMIFS('الجهاز العسكري'!$M$2:$M$631,'الجهاز العسكري'!$B$2:$B$631,$B326,'الجهاز العسكري'!$G$2:$G$631,$G326,'الجهاز العسكري'!$I$2:$I$631,$I326))/$L326,0))</f>
        <v>73</v>
      </c>
      <c r="O326" s="18"/>
      <c r="P326" s="15">
        <f>SUMIFS(المرجع!$G$2:$G$19,المرجع!$B$2:$B$19,$G326,المرجع!$E$2:$E$19,$I326)</f>
        <v>25</v>
      </c>
      <c r="Q326" s="20">
        <f t="shared" si="6"/>
        <v>18.25</v>
      </c>
      <c r="R326" s="21" t="str">
        <f>IF($N326&gt;المرجع!$K$3,"متقدم",IF($N326&lt;=المرجع!$K$2,"أولي","جزئي"))</f>
        <v>متقدم</v>
      </c>
    </row>
    <row r="327" spans="1:18">
      <c r="A327" s="16" t="s">
        <v>1767</v>
      </c>
      <c r="B327" s="16" t="s">
        <v>186</v>
      </c>
      <c r="C327" s="15" t="str">
        <f>IFERROR(INDEX('قائمة الوحدات'!$B$2:$B$41,MATCH($B327,'قائمة الوحدات'!$A$2:$A$41,0)),"")</f>
        <v>EXE</v>
      </c>
      <c r="D327" s="14" t="str">
        <f>IFERROR(INDEX('قائمة الوحدات'!$C$2:$C$41,MATCH($B327,'قائمة الوحدات'!$A$2:$A$41,0)),"")</f>
        <v>الشؤون التنفيذية</v>
      </c>
      <c r="E327" s="14" t="str">
        <f>IFERROR(INDEX('قائمة الوحدات'!$D$2:$D$41,MATCH($B327,'قائمة الوحدات'!$A$2:$A$41,0)),"")</f>
        <v>وكالة الرقابة والالتزام</v>
      </c>
      <c r="F327" s="14" t="str">
        <f>IFERROR(INDEX('قائمة الوحدات'!$F$2:$F$41,MATCH($B327,'قائمة الوحدات'!$A$2:$A$41,0)),"")</f>
        <v>وكالة الرقابة والالتزام</v>
      </c>
      <c r="G327" s="16" t="s">
        <v>43</v>
      </c>
      <c r="H327" s="14" t="str">
        <f>IFERROR(INDEX(المرجع!$A$2:$A$19,MATCH($G327,المرجع!$B$2:$B$19,0)),"")</f>
        <v>التصميم</v>
      </c>
      <c r="I327" s="16" t="s">
        <v>48</v>
      </c>
      <c r="J327" s="14" t="str">
        <f>IFERROR(INDEX(المرجع!$D$2:$D$19,MATCH($I327,المرجع!$E$2:$E$19,0)),"")</f>
        <v>الأهداف ومؤشرات الأداء</v>
      </c>
      <c r="K327" s="15">
        <f>IFERROR(INDEX(المرجع!$F$2:$F$19,MATCH($I327,المرجع!$E$2:$E$19,0)),"")</f>
        <v>2</v>
      </c>
      <c r="L327" s="15">
        <f>SUMIFS(المرجع!$H$2:$H$19,المرجع!$B$2:$B$19,$G327,المرجع!$E$2:$E$19,$I327)</f>
        <v>2</v>
      </c>
      <c r="M327" s="15">
        <f>COUNTIFS('المرتبطة بسمو الوزير'!$B$2:$B$151,$B327,'المرتبطة بسمو الوزير'!$G$2:$G$151,$G327,'المرتبطة بسمو الوزير'!$I$2:$I$151,$I327,'المرتبطة بسمو الوزير'!$M$2:$M$151,"&lt;&gt;")+COUNTIFS('الشؤون التنفيذية'!$B$2:$B$421,$B327,'الشؤون التنفيذية'!$G$2:$G$421,$G327,'الشؤون التنفيذية'!$I$2:$I$421,$I327,'الشؤون التنفيذية'!$N$2:$N$421,"&lt;&gt;")+COUNTIFS('الجهاز العسكري'!$B$2:$B$631,$B327,'الجهاز العسكري'!$G$2:$G$631,$G327,'الجهاز العسكري'!$I$2:$I$631,$I327,'الجهاز العسكري'!$M$2:$M$631,"&lt;&gt;")</f>
        <v>2</v>
      </c>
      <c r="N327" s="19">
        <f>IF($L327=0,0,ROUND((SUMIFS('المرتبطة بسمو الوزير'!$M$2:$M$151,'المرتبطة بسمو الوزير'!$B$2:$B$151,$B327,'المرتبطة بسمو الوزير'!$G$2:$G$151,$G327,'المرتبطة بسمو الوزير'!$I$2:$I$151,$I327)+SUMIFS('الشؤون التنفيذية'!$N$2:$N$421,'الشؤون التنفيذية'!$B$2:$B$421,$B327,'الشؤون التنفيذية'!$G$2:$G$421,$G327,'الشؤون التنفيذية'!$I$2:$I$421,$I327)+SUMIFS('الجهاز العسكري'!$M$2:$M$631,'الجهاز العسكري'!$B$2:$B$631,$B327,'الجهاز العسكري'!$G$2:$G$631,$G327,'الجهاز العسكري'!$I$2:$I$631,$I327))/$L327,0))</f>
        <v>95</v>
      </c>
      <c r="O327" s="18"/>
      <c r="P327" s="15">
        <f>SUMIFS(المرجع!$G$2:$G$19,المرجع!$B$2:$B$19,$G327,المرجع!$E$2:$E$19,$I327)</f>
        <v>15</v>
      </c>
      <c r="Q327" s="20">
        <f t="shared" si="6"/>
        <v>14.25</v>
      </c>
      <c r="R327" s="21" t="str">
        <f>IF($N327&gt;المرجع!$K$3,"متقدم",IF($N327&lt;=المرجع!$K$2,"أولي","جزئي"))</f>
        <v>متقدم</v>
      </c>
    </row>
    <row r="328" spans="1:18">
      <c r="A328" s="16" t="s">
        <v>1768</v>
      </c>
      <c r="B328" s="16" t="s">
        <v>186</v>
      </c>
      <c r="C328" s="15" t="str">
        <f>IFERROR(INDEX('قائمة الوحدات'!$B$2:$B$41,MATCH($B328,'قائمة الوحدات'!$A$2:$A$41,0)),"")</f>
        <v>EXE</v>
      </c>
      <c r="D328" s="14" t="str">
        <f>IFERROR(INDEX('قائمة الوحدات'!$C$2:$C$41,MATCH($B328,'قائمة الوحدات'!$A$2:$A$41,0)),"")</f>
        <v>الشؤون التنفيذية</v>
      </c>
      <c r="E328" s="14" t="str">
        <f>IFERROR(INDEX('قائمة الوحدات'!$D$2:$D$41,MATCH($B328,'قائمة الوحدات'!$A$2:$A$41,0)),"")</f>
        <v>وكالة الرقابة والالتزام</v>
      </c>
      <c r="F328" s="14" t="str">
        <f>IFERROR(INDEX('قائمة الوحدات'!$F$2:$F$41,MATCH($B328,'قائمة الوحدات'!$A$2:$A$41,0)),"")</f>
        <v>وكالة الرقابة والالتزام</v>
      </c>
      <c r="G328" s="16" t="s">
        <v>43</v>
      </c>
      <c r="H328" s="14" t="str">
        <f>IFERROR(INDEX(المرجع!$A$2:$A$19,MATCH($G328,المرجع!$B$2:$B$19,0)),"")</f>
        <v>التصميم</v>
      </c>
      <c r="I328" s="16" t="s">
        <v>51</v>
      </c>
      <c r="J328" s="14" t="str">
        <f>IFERROR(INDEX(المرجع!$D$2:$D$19,MATCH($I328,المرجع!$E$2:$E$19,0)),"")</f>
        <v>الحوكمة</v>
      </c>
      <c r="K328" s="15">
        <f>IFERROR(INDEX(المرجع!$F$2:$F$19,MATCH($I328,المرجع!$E$2:$E$19,0)),"")</f>
        <v>3</v>
      </c>
      <c r="L328" s="15">
        <f>SUMIFS(المرجع!$H$2:$H$19,المرجع!$B$2:$B$19,$G328,المرجع!$E$2:$E$19,$I328)</f>
        <v>1</v>
      </c>
      <c r="M328" s="15">
        <f>COUNTIFS('المرتبطة بسمو الوزير'!$B$2:$B$151,$B328,'المرتبطة بسمو الوزير'!$G$2:$G$151,$G328,'المرتبطة بسمو الوزير'!$I$2:$I$151,$I328,'المرتبطة بسمو الوزير'!$M$2:$M$151,"&lt;&gt;")+COUNTIFS('الشؤون التنفيذية'!$B$2:$B$421,$B328,'الشؤون التنفيذية'!$G$2:$G$421,$G328,'الشؤون التنفيذية'!$I$2:$I$421,$I328,'الشؤون التنفيذية'!$N$2:$N$421,"&lt;&gt;")+COUNTIFS('الجهاز العسكري'!$B$2:$B$631,$B328,'الجهاز العسكري'!$G$2:$G$631,$G328,'الجهاز العسكري'!$I$2:$I$631,$I328,'الجهاز العسكري'!$M$2:$M$631,"&lt;&gt;")</f>
        <v>1</v>
      </c>
      <c r="N328" s="19">
        <f>IF($L328=0,0,ROUND((SUMIFS('المرتبطة بسمو الوزير'!$M$2:$M$151,'المرتبطة بسمو الوزير'!$B$2:$B$151,$B328,'المرتبطة بسمو الوزير'!$G$2:$G$151,$G328,'المرتبطة بسمو الوزير'!$I$2:$I$151,$I328)+SUMIFS('الشؤون التنفيذية'!$N$2:$N$421,'الشؤون التنفيذية'!$B$2:$B$421,$B328,'الشؤون التنفيذية'!$G$2:$G$421,$G328,'الشؤون التنفيذية'!$I$2:$I$421,$I328)+SUMIFS('الجهاز العسكري'!$M$2:$M$631,'الجهاز العسكري'!$B$2:$B$631,$B328,'الجهاز العسكري'!$G$2:$G$631,$G328,'الجهاز العسكري'!$I$2:$I$631,$I328))/$L328,0))</f>
        <v>80</v>
      </c>
      <c r="O328" s="18"/>
      <c r="P328" s="15">
        <f>SUMIFS(المرجع!$G$2:$G$19,المرجع!$B$2:$B$19,$G328,المرجع!$E$2:$E$19,$I328)</f>
        <v>15</v>
      </c>
      <c r="Q328" s="20">
        <f t="shared" si="6"/>
        <v>12</v>
      </c>
      <c r="R328" s="21" t="str">
        <f>IF($N328&gt;المرجع!$K$3,"متقدم",IF($N328&lt;=المرجع!$K$2,"أولي","جزئي"))</f>
        <v>متقدم</v>
      </c>
    </row>
    <row r="329" spans="1:18">
      <c r="A329" s="16" t="s">
        <v>1769</v>
      </c>
      <c r="B329" s="16" t="s">
        <v>186</v>
      </c>
      <c r="C329" s="15" t="str">
        <f>IFERROR(INDEX('قائمة الوحدات'!$B$2:$B$41,MATCH($B329,'قائمة الوحدات'!$A$2:$A$41,0)),"")</f>
        <v>EXE</v>
      </c>
      <c r="D329" s="14" t="str">
        <f>IFERROR(INDEX('قائمة الوحدات'!$C$2:$C$41,MATCH($B329,'قائمة الوحدات'!$A$2:$A$41,0)),"")</f>
        <v>الشؤون التنفيذية</v>
      </c>
      <c r="E329" s="14" t="str">
        <f>IFERROR(INDEX('قائمة الوحدات'!$D$2:$D$41,MATCH($B329,'قائمة الوحدات'!$A$2:$A$41,0)),"")</f>
        <v>وكالة الرقابة والالتزام</v>
      </c>
      <c r="F329" s="14" t="str">
        <f>IFERROR(INDEX('قائمة الوحدات'!$F$2:$F$41,MATCH($B329,'قائمة الوحدات'!$A$2:$A$41,0)),"")</f>
        <v>وكالة الرقابة والالتزام</v>
      </c>
      <c r="G329" s="16" t="s">
        <v>43</v>
      </c>
      <c r="H329" s="14" t="str">
        <f>IFERROR(INDEX(المرجع!$A$2:$A$19,MATCH($G329,المرجع!$B$2:$B$19,0)),"")</f>
        <v>التصميم</v>
      </c>
      <c r="I329" s="16" t="s">
        <v>54</v>
      </c>
      <c r="J329" s="14" t="str">
        <f>IFERROR(INDEX(المرجع!$D$2:$D$19,MATCH($I329,المرجع!$E$2:$E$19,0)),"")</f>
        <v>التنظيم</v>
      </c>
      <c r="K329" s="15">
        <f>IFERROR(INDEX(المرجع!$F$2:$F$19,MATCH($I329,المرجع!$E$2:$E$19,0)),"")</f>
        <v>4</v>
      </c>
      <c r="L329" s="15">
        <f>SUMIFS(المرجع!$H$2:$H$19,المرجع!$B$2:$B$19,$G329,المرجع!$E$2:$E$19,$I329)</f>
        <v>1</v>
      </c>
      <c r="M329" s="15">
        <f>COUNTIFS('المرتبطة بسمو الوزير'!$B$2:$B$151,$B329,'المرتبطة بسمو الوزير'!$G$2:$G$151,$G329,'المرتبطة بسمو الوزير'!$I$2:$I$151,$I329,'المرتبطة بسمو الوزير'!$M$2:$M$151,"&lt;&gt;")+COUNTIFS('الشؤون التنفيذية'!$B$2:$B$421,$B329,'الشؤون التنفيذية'!$G$2:$G$421,$G329,'الشؤون التنفيذية'!$I$2:$I$421,$I329,'الشؤون التنفيذية'!$N$2:$N$421,"&lt;&gt;")+COUNTIFS('الجهاز العسكري'!$B$2:$B$631,$B329,'الجهاز العسكري'!$G$2:$G$631,$G329,'الجهاز العسكري'!$I$2:$I$631,$I329,'الجهاز العسكري'!$M$2:$M$631,"&lt;&gt;")</f>
        <v>1</v>
      </c>
      <c r="N329" s="19">
        <f>IF($L329=0,0,ROUND((SUMIFS('المرتبطة بسمو الوزير'!$M$2:$M$151,'المرتبطة بسمو الوزير'!$B$2:$B$151,$B329,'المرتبطة بسمو الوزير'!$G$2:$G$151,$G329,'المرتبطة بسمو الوزير'!$I$2:$I$151,$I329)+SUMIFS('الشؤون التنفيذية'!$N$2:$N$421,'الشؤون التنفيذية'!$B$2:$B$421,$B329,'الشؤون التنفيذية'!$G$2:$G$421,$G329,'الشؤون التنفيذية'!$I$2:$I$421,$I329)+SUMIFS('الجهاز العسكري'!$M$2:$M$631,'الجهاز العسكري'!$B$2:$B$631,$B329,'الجهاز العسكري'!$G$2:$G$631,$G329,'الجهاز العسكري'!$I$2:$I$631,$I329))/$L329,0))</f>
        <v>73</v>
      </c>
      <c r="O329" s="18"/>
      <c r="P329" s="15">
        <f>SUMIFS(المرجع!$G$2:$G$19,المرجع!$B$2:$B$19,$G329,المرجع!$E$2:$E$19,$I329)</f>
        <v>20</v>
      </c>
      <c r="Q329" s="20">
        <f t="shared" si="6"/>
        <v>14.6</v>
      </c>
      <c r="R329" s="21" t="str">
        <f>IF($N329&gt;المرجع!$K$3,"متقدم",IF($N329&lt;=المرجع!$K$2,"أولي","جزئي"))</f>
        <v>متقدم</v>
      </c>
    </row>
    <row r="330" spans="1:18">
      <c r="A330" s="16" t="s">
        <v>1770</v>
      </c>
      <c r="B330" s="16" t="s">
        <v>186</v>
      </c>
      <c r="C330" s="15" t="str">
        <f>IFERROR(INDEX('قائمة الوحدات'!$B$2:$B$41,MATCH($B330,'قائمة الوحدات'!$A$2:$A$41,0)),"")</f>
        <v>EXE</v>
      </c>
      <c r="D330" s="14" t="str">
        <f>IFERROR(INDEX('قائمة الوحدات'!$C$2:$C$41,MATCH($B330,'قائمة الوحدات'!$A$2:$A$41,0)),"")</f>
        <v>الشؤون التنفيذية</v>
      </c>
      <c r="E330" s="14" t="str">
        <f>IFERROR(INDEX('قائمة الوحدات'!$D$2:$D$41,MATCH($B330,'قائمة الوحدات'!$A$2:$A$41,0)),"")</f>
        <v>وكالة الرقابة والالتزام</v>
      </c>
      <c r="F330" s="14" t="str">
        <f>IFERROR(INDEX('قائمة الوحدات'!$F$2:$F$41,MATCH($B330,'قائمة الوحدات'!$A$2:$A$41,0)),"")</f>
        <v>وكالة الرقابة والالتزام</v>
      </c>
      <c r="G330" s="16" t="s">
        <v>43</v>
      </c>
      <c r="H330" s="14" t="str">
        <f>IFERROR(INDEX(المرجع!$A$2:$A$19,MATCH($G330,المرجع!$B$2:$B$19,0)),"")</f>
        <v>التصميم</v>
      </c>
      <c r="I330" s="16" t="s">
        <v>56</v>
      </c>
      <c r="J330" s="14" t="str">
        <f>IFERROR(INDEX(المرجع!$D$2:$D$19,MATCH($I330,المرجع!$E$2:$E$19,0)),"")</f>
        <v>الموارد</v>
      </c>
      <c r="K330" s="15">
        <f>IFERROR(INDEX(المرجع!$F$2:$F$19,MATCH($I330,المرجع!$E$2:$E$19,0)),"")</f>
        <v>5</v>
      </c>
      <c r="L330" s="15">
        <f>SUMIFS(المرجع!$H$2:$H$19,المرجع!$B$2:$B$19,$G330,المرجع!$E$2:$E$19,$I330)</f>
        <v>1</v>
      </c>
      <c r="M330" s="15">
        <f>COUNTIFS('المرتبطة بسمو الوزير'!$B$2:$B$151,$B330,'المرتبطة بسمو الوزير'!$G$2:$G$151,$G330,'المرتبطة بسمو الوزير'!$I$2:$I$151,$I330,'المرتبطة بسمو الوزير'!$M$2:$M$151,"&lt;&gt;")+COUNTIFS('الشؤون التنفيذية'!$B$2:$B$421,$B330,'الشؤون التنفيذية'!$G$2:$G$421,$G330,'الشؤون التنفيذية'!$I$2:$I$421,$I330,'الشؤون التنفيذية'!$N$2:$N$421,"&lt;&gt;")+COUNTIFS('الجهاز العسكري'!$B$2:$B$631,$B330,'الجهاز العسكري'!$G$2:$G$631,$G330,'الجهاز العسكري'!$I$2:$I$631,$I330,'الجهاز العسكري'!$M$2:$M$631,"&lt;&gt;")</f>
        <v>1</v>
      </c>
      <c r="N330" s="19">
        <f>IF($L330=0,0,ROUND((SUMIFS('المرتبطة بسمو الوزير'!$M$2:$M$151,'المرتبطة بسمو الوزير'!$B$2:$B$151,$B330,'المرتبطة بسمو الوزير'!$G$2:$G$151,$G330,'المرتبطة بسمو الوزير'!$I$2:$I$151,$I330)+SUMIFS('الشؤون التنفيذية'!$N$2:$N$421,'الشؤون التنفيذية'!$B$2:$B$421,$B330,'الشؤون التنفيذية'!$G$2:$G$421,$G330,'الشؤون التنفيذية'!$I$2:$I$421,$I330)+SUMIFS('الجهاز العسكري'!$M$2:$M$631,'الجهاز العسكري'!$B$2:$B$631,$B330,'الجهاز العسكري'!$G$2:$G$631,$G330,'الجهاز العسكري'!$I$2:$I$631,$I330))/$L330,0))</f>
        <v>79</v>
      </c>
      <c r="O330" s="18"/>
      <c r="P330" s="15">
        <f>SUMIFS(المرجع!$G$2:$G$19,المرجع!$B$2:$B$19,$G330,المرجع!$E$2:$E$19,$I330)</f>
        <v>20</v>
      </c>
      <c r="Q330" s="20">
        <f t="shared" si="6"/>
        <v>15.8</v>
      </c>
      <c r="R330" s="21" t="str">
        <f>IF($N330&gt;المرجع!$K$3,"متقدم",IF($N330&lt;=المرجع!$K$2,"أولي","جزئي"))</f>
        <v>متقدم</v>
      </c>
    </row>
    <row r="331" spans="1:18">
      <c r="A331" s="16" t="s">
        <v>1771</v>
      </c>
      <c r="B331" s="16" t="s">
        <v>186</v>
      </c>
      <c r="C331" s="15" t="str">
        <f>IFERROR(INDEX('قائمة الوحدات'!$B$2:$B$41,MATCH($B331,'قائمة الوحدات'!$A$2:$A$41,0)),"")</f>
        <v>EXE</v>
      </c>
      <c r="D331" s="14" t="str">
        <f>IFERROR(INDEX('قائمة الوحدات'!$C$2:$C$41,MATCH($B331,'قائمة الوحدات'!$A$2:$A$41,0)),"")</f>
        <v>الشؤون التنفيذية</v>
      </c>
      <c r="E331" s="14" t="str">
        <f>IFERROR(INDEX('قائمة الوحدات'!$D$2:$D$41,MATCH($B331,'قائمة الوحدات'!$A$2:$A$41,0)),"")</f>
        <v>وكالة الرقابة والالتزام</v>
      </c>
      <c r="F331" s="14" t="str">
        <f>IFERROR(INDEX('قائمة الوحدات'!$F$2:$F$41,MATCH($B331,'قائمة الوحدات'!$A$2:$A$41,0)),"")</f>
        <v>وكالة الرقابة والالتزام</v>
      </c>
      <c r="G331" s="16" t="s">
        <v>43</v>
      </c>
      <c r="H331" s="14" t="str">
        <f>IFERROR(INDEX(المرجع!$A$2:$A$19,MATCH($G331,المرجع!$B$2:$B$19,0)),"")</f>
        <v>التصميم</v>
      </c>
      <c r="I331" s="16" t="s">
        <v>59</v>
      </c>
      <c r="J331" s="14" t="str">
        <f>IFERROR(INDEX(المرجع!$D$2:$D$19,MATCH($I331,المرجع!$E$2:$E$19,0)),"")</f>
        <v>الإجراءات</v>
      </c>
      <c r="K331" s="15">
        <f>IFERROR(INDEX(المرجع!$F$2:$F$19,MATCH($I331,المرجع!$E$2:$E$19,0)),"")</f>
        <v>6</v>
      </c>
      <c r="L331" s="15">
        <f>SUMIFS(المرجع!$H$2:$H$19,المرجع!$B$2:$B$19,$G331,المرجع!$E$2:$E$19,$I331)</f>
        <v>1</v>
      </c>
      <c r="M331" s="15">
        <f>COUNTIFS('المرتبطة بسمو الوزير'!$B$2:$B$151,$B331,'المرتبطة بسمو الوزير'!$G$2:$G$151,$G331,'المرتبطة بسمو الوزير'!$I$2:$I$151,$I331,'المرتبطة بسمو الوزير'!$M$2:$M$151,"&lt;&gt;")+COUNTIFS('الشؤون التنفيذية'!$B$2:$B$421,$B331,'الشؤون التنفيذية'!$G$2:$G$421,$G331,'الشؤون التنفيذية'!$I$2:$I$421,$I331,'الشؤون التنفيذية'!$N$2:$N$421,"&lt;&gt;")+COUNTIFS('الجهاز العسكري'!$B$2:$B$631,$B331,'الجهاز العسكري'!$G$2:$G$631,$G331,'الجهاز العسكري'!$I$2:$I$631,$I331,'الجهاز العسكري'!$M$2:$M$631,"&lt;&gt;")</f>
        <v>1</v>
      </c>
      <c r="N331" s="19">
        <f>IF($L331=0,0,ROUND((SUMIFS('المرتبطة بسمو الوزير'!$M$2:$M$151,'المرتبطة بسمو الوزير'!$B$2:$B$151,$B331,'المرتبطة بسمو الوزير'!$G$2:$G$151,$G331,'المرتبطة بسمو الوزير'!$I$2:$I$151,$I331)+SUMIFS('الشؤون التنفيذية'!$N$2:$N$421,'الشؤون التنفيذية'!$B$2:$B$421,$B331,'الشؤون التنفيذية'!$G$2:$G$421,$G331,'الشؤون التنفيذية'!$I$2:$I$421,$I331)+SUMIFS('الجهاز العسكري'!$M$2:$M$631,'الجهاز العسكري'!$B$2:$B$631,$B331,'الجهاز العسكري'!$G$2:$G$631,$G331,'الجهاز العسكري'!$I$2:$I$631,$I331))/$L331,0))</f>
        <v>87</v>
      </c>
      <c r="O331" s="18"/>
      <c r="P331" s="15">
        <f>SUMIFS(المرجع!$G$2:$G$19,المرجع!$B$2:$B$19,$G331,المرجع!$E$2:$E$19,$I331)</f>
        <v>5</v>
      </c>
      <c r="Q331" s="20">
        <f t="shared" si="6"/>
        <v>4.3499999999999996</v>
      </c>
      <c r="R331" s="21" t="str">
        <f>IF($N331&gt;المرجع!$K$3,"متقدم",IF($N331&lt;=المرجع!$K$2,"أولي","جزئي"))</f>
        <v>متقدم</v>
      </c>
    </row>
    <row r="332" spans="1:18">
      <c r="A332" s="16" t="s">
        <v>1772</v>
      </c>
      <c r="B332" s="16" t="s">
        <v>186</v>
      </c>
      <c r="C332" s="15" t="str">
        <f>IFERROR(INDEX('قائمة الوحدات'!$B$2:$B$41,MATCH($B332,'قائمة الوحدات'!$A$2:$A$41,0)),"")</f>
        <v>EXE</v>
      </c>
      <c r="D332" s="14" t="str">
        <f>IFERROR(INDEX('قائمة الوحدات'!$C$2:$C$41,MATCH($B332,'قائمة الوحدات'!$A$2:$A$41,0)),"")</f>
        <v>الشؤون التنفيذية</v>
      </c>
      <c r="E332" s="14" t="str">
        <f>IFERROR(INDEX('قائمة الوحدات'!$D$2:$D$41,MATCH($B332,'قائمة الوحدات'!$A$2:$A$41,0)),"")</f>
        <v>وكالة الرقابة والالتزام</v>
      </c>
      <c r="F332" s="14" t="str">
        <f>IFERROR(INDEX('قائمة الوحدات'!$F$2:$F$41,MATCH($B332,'قائمة الوحدات'!$A$2:$A$41,0)),"")</f>
        <v>وكالة الرقابة والالتزام</v>
      </c>
      <c r="G332" s="16" t="s">
        <v>61</v>
      </c>
      <c r="H332" s="14" t="str">
        <f>IFERROR(INDEX(المرجع!$A$2:$A$19,MATCH($G332,المرجع!$B$2:$B$19,0)),"")</f>
        <v>البناء المؤسسي</v>
      </c>
      <c r="I332" s="16" t="s">
        <v>45</v>
      </c>
      <c r="J332" s="14" t="str">
        <f>IFERROR(INDEX(المرجع!$D$2:$D$19,MATCH($I332,المرجع!$E$2:$E$19,0)),"")</f>
        <v>الدور</v>
      </c>
      <c r="K332" s="15">
        <f>IFERROR(INDEX(المرجع!$F$2:$F$19,MATCH($I332,المرجع!$E$2:$E$19,0)),"")</f>
        <v>1</v>
      </c>
      <c r="L332" s="15">
        <f>SUMIFS(المرجع!$H$2:$H$19,المرجع!$B$2:$B$19,$G332,المرجع!$E$2:$E$19,$I332)</f>
        <v>1</v>
      </c>
      <c r="M332" s="15">
        <f>COUNTIFS('المرتبطة بسمو الوزير'!$B$2:$B$151,$B332,'المرتبطة بسمو الوزير'!$G$2:$G$151,$G332,'المرتبطة بسمو الوزير'!$I$2:$I$151,$I332,'المرتبطة بسمو الوزير'!$M$2:$M$151,"&lt;&gt;")+COUNTIFS('الشؤون التنفيذية'!$B$2:$B$421,$B332,'الشؤون التنفيذية'!$G$2:$G$421,$G332,'الشؤون التنفيذية'!$I$2:$I$421,$I332,'الشؤون التنفيذية'!$N$2:$N$421,"&lt;&gt;")+COUNTIFS('الجهاز العسكري'!$B$2:$B$631,$B332,'الجهاز العسكري'!$G$2:$G$631,$G332,'الجهاز العسكري'!$I$2:$I$631,$I332,'الجهاز العسكري'!$M$2:$M$631,"&lt;&gt;")</f>
        <v>1</v>
      </c>
      <c r="N332" s="19">
        <f>IF($L332=0,0,ROUND((SUMIFS('المرتبطة بسمو الوزير'!$M$2:$M$151,'المرتبطة بسمو الوزير'!$B$2:$B$151,$B332,'المرتبطة بسمو الوزير'!$G$2:$G$151,$G332,'المرتبطة بسمو الوزير'!$I$2:$I$151,$I332)+SUMIFS('الشؤون التنفيذية'!$N$2:$N$421,'الشؤون التنفيذية'!$B$2:$B$421,$B332,'الشؤون التنفيذية'!$G$2:$G$421,$G332,'الشؤون التنفيذية'!$I$2:$I$421,$I332)+SUMIFS('الجهاز العسكري'!$M$2:$M$631,'الجهاز العسكري'!$B$2:$B$631,$B332,'الجهاز العسكري'!$G$2:$G$631,$G332,'الجهاز العسكري'!$I$2:$I$631,$I332))/$L332,0))</f>
        <v>72</v>
      </c>
      <c r="O332" s="18"/>
      <c r="P332" s="15">
        <f>SUMIFS(المرجع!$G$2:$G$19,المرجع!$B$2:$B$19,$G332,المرجع!$E$2:$E$19,$I332)</f>
        <v>15</v>
      </c>
      <c r="Q332" s="20">
        <f t="shared" si="6"/>
        <v>10.8</v>
      </c>
      <c r="R332" s="21" t="str">
        <f>IF($N332&gt;المرجع!$K$3,"متقدم",IF($N332&lt;=المرجع!$K$2,"أولي","جزئي"))</f>
        <v>متقدم</v>
      </c>
    </row>
    <row r="333" spans="1:18">
      <c r="A333" s="16" t="s">
        <v>1773</v>
      </c>
      <c r="B333" s="16" t="s">
        <v>186</v>
      </c>
      <c r="C333" s="15" t="str">
        <f>IFERROR(INDEX('قائمة الوحدات'!$B$2:$B$41,MATCH($B333,'قائمة الوحدات'!$A$2:$A$41,0)),"")</f>
        <v>EXE</v>
      </c>
      <c r="D333" s="14" t="str">
        <f>IFERROR(INDEX('قائمة الوحدات'!$C$2:$C$41,MATCH($B333,'قائمة الوحدات'!$A$2:$A$41,0)),"")</f>
        <v>الشؤون التنفيذية</v>
      </c>
      <c r="E333" s="14" t="str">
        <f>IFERROR(INDEX('قائمة الوحدات'!$D$2:$D$41,MATCH($B333,'قائمة الوحدات'!$A$2:$A$41,0)),"")</f>
        <v>وكالة الرقابة والالتزام</v>
      </c>
      <c r="F333" s="14" t="str">
        <f>IFERROR(INDEX('قائمة الوحدات'!$F$2:$F$41,MATCH($B333,'قائمة الوحدات'!$A$2:$A$41,0)),"")</f>
        <v>وكالة الرقابة والالتزام</v>
      </c>
      <c r="G333" s="16" t="s">
        <v>61</v>
      </c>
      <c r="H333" s="14" t="str">
        <f>IFERROR(INDEX(المرجع!$A$2:$A$19,MATCH($G333,المرجع!$B$2:$B$19,0)),"")</f>
        <v>البناء المؤسسي</v>
      </c>
      <c r="I333" s="16" t="s">
        <v>48</v>
      </c>
      <c r="J333" s="14" t="str">
        <f>IFERROR(INDEX(المرجع!$D$2:$D$19,MATCH($I333,المرجع!$E$2:$E$19,0)),"")</f>
        <v>الأهداف ومؤشرات الأداء</v>
      </c>
      <c r="K333" s="15">
        <f>IFERROR(INDEX(المرجع!$F$2:$F$19,MATCH($I333,المرجع!$E$2:$E$19,0)),"")</f>
        <v>2</v>
      </c>
      <c r="L333" s="15">
        <f>SUMIFS(المرجع!$H$2:$H$19,المرجع!$B$2:$B$19,$G333,المرجع!$E$2:$E$19,$I333)</f>
        <v>2</v>
      </c>
      <c r="M333" s="15">
        <f>COUNTIFS('المرتبطة بسمو الوزير'!$B$2:$B$151,$B333,'المرتبطة بسمو الوزير'!$G$2:$G$151,$G333,'المرتبطة بسمو الوزير'!$I$2:$I$151,$I333,'المرتبطة بسمو الوزير'!$M$2:$M$151,"&lt;&gt;")+COUNTIFS('الشؤون التنفيذية'!$B$2:$B$421,$B333,'الشؤون التنفيذية'!$G$2:$G$421,$G333,'الشؤون التنفيذية'!$I$2:$I$421,$I333,'الشؤون التنفيذية'!$N$2:$N$421,"&lt;&gt;")+COUNTIFS('الجهاز العسكري'!$B$2:$B$631,$B333,'الجهاز العسكري'!$G$2:$G$631,$G333,'الجهاز العسكري'!$I$2:$I$631,$I333,'الجهاز العسكري'!$M$2:$M$631,"&lt;&gt;")</f>
        <v>2</v>
      </c>
      <c r="N333" s="19">
        <f>IF($L333=0,0,ROUND((SUMIFS('المرتبطة بسمو الوزير'!$M$2:$M$151,'المرتبطة بسمو الوزير'!$B$2:$B$151,$B333,'المرتبطة بسمو الوزير'!$G$2:$G$151,$G333,'المرتبطة بسمو الوزير'!$I$2:$I$151,$I333)+SUMIFS('الشؤون التنفيذية'!$N$2:$N$421,'الشؤون التنفيذية'!$B$2:$B$421,$B333,'الشؤون التنفيذية'!$G$2:$G$421,$G333,'الشؤون التنفيذية'!$I$2:$I$421,$I333)+SUMIFS('الجهاز العسكري'!$M$2:$M$631,'الجهاز العسكري'!$B$2:$B$631,$B333,'الجهاز العسكري'!$G$2:$G$631,$G333,'الجهاز العسكري'!$I$2:$I$631,$I333))/$L333,0))</f>
        <v>70</v>
      </c>
      <c r="O333" s="18"/>
      <c r="P333" s="15">
        <f>SUMIFS(المرجع!$G$2:$G$19,المرجع!$B$2:$B$19,$G333,المرجع!$E$2:$E$19,$I333)</f>
        <v>15</v>
      </c>
      <c r="Q333" s="20">
        <f t="shared" si="6"/>
        <v>10.5</v>
      </c>
      <c r="R333" s="21" t="str">
        <f>IF($N333&gt;المرجع!$K$3,"متقدم",IF($N333&lt;=المرجع!$K$2,"أولي","جزئي"))</f>
        <v>جزئي</v>
      </c>
    </row>
    <row r="334" spans="1:18">
      <c r="A334" s="16" t="s">
        <v>1774</v>
      </c>
      <c r="B334" s="16" t="s">
        <v>186</v>
      </c>
      <c r="C334" s="15" t="str">
        <f>IFERROR(INDEX('قائمة الوحدات'!$B$2:$B$41,MATCH($B334,'قائمة الوحدات'!$A$2:$A$41,0)),"")</f>
        <v>EXE</v>
      </c>
      <c r="D334" s="14" t="str">
        <f>IFERROR(INDEX('قائمة الوحدات'!$C$2:$C$41,MATCH($B334,'قائمة الوحدات'!$A$2:$A$41,0)),"")</f>
        <v>الشؤون التنفيذية</v>
      </c>
      <c r="E334" s="14" t="str">
        <f>IFERROR(INDEX('قائمة الوحدات'!$D$2:$D$41,MATCH($B334,'قائمة الوحدات'!$A$2:$A$41,0)),"")</f>
        <v>وكالة الرقابة والالتزام</v>
      </c>
      <c r="F334" s="14" t="str">
        <f>IFERROR(INDEX('قائمة الوحدات'!$F$2:$F$41,MATCH($B334,'قائمة الوحدات'!$A$2:$A$41,0)),"")</f>
        <v>وكالة الرقابة والالتزام</v>
      </c>
      <c r="G334" s="16" t="s">
        <v>61</v>
      </c>
      <c r="H334" s="14" t="str">
        <f>IFERROR(INDEX(المرجع!$A$2:$A$19,MATCH($G334,المرجع!$B$2:$B$19,0)),"")</f>
        <v>البناء المؤسسي</v>
      </c>
      <c r="I334" s="16" t="s">
        <v>51</v>
      </c>
      <c r="J334" s="14" t="str">
        <f>IFERROR(INDEX(المرجع!$D$2:$D$19,MATCH($I334,المرجع!$E$2:$E$19,0)),"")</f>
        <v>الحوكمة</v>
      </c>
      <c r="K334" s="15">
        <f>IFERROR(INDEX(المرجع!$F$2:$F$19,MATCH($I334,المرجع!$E$2:$E$19,0)),"")</f>
        <v>3</v>
      </c>
      <c r="L334" s="15">
        <f>SUMIFS(المرجع!$H$2:$H$19,المرجع!$B$2:$B$19,$G334,المرجع!$E$2:$E$19,$I334)</f>
        <v>3</v>
      </c>
      <c r="M334" s="15">
        <f>COUNTIFS('المرتبطة بسمو الوزير'!$B$2:$B$151,$B334,'المرتبطة بسمو الوزير'!$G$2:$G$151,$G334,'المرتبطة بسمو الوزير'!$I$2:$I$151,$I334,'المرتبطة بسمو الوزير'!$M$2:$M$151,"&lt;&gt;")+COUNTIFS('الشؤون التنفيذية'!$B$2:$B$421,$B334,'الشؤون التنفيذية'!$G$2:$G$421,$G334,'الشؤون التنفيذية'!$I$2:$I$421,$I334,'الشؤون التنفيذية'!$N$2:$N$421,"&lt;&gt;")+COUNTIFS('الجهاز العسكري'!$B$2:$B$631,$B334,'الجهاز العسكري'!$G$2:$G$631,$G334,'الجهاز العسكري'!$I$2:$I$631,$I334,'الجهاز العسكري'!$M$2:$M$631,"&lt;&gt;")</f>
        <v>3</v>
      </c>
      <c r="N334" s="19">
        <f>IF($L334=0,0,ROUND((SUMIFS('المرتبطة بسمو الوزير'!$M$2:$M$151,'المرتبطة بسمو الوزير'!$B$2:$B$151,$B334,'المرتبطة بسمو الوزير'!$G$2:$G$151,$G334,'المرتبطة بسمو الوزير'!$I$2:$I$151,$I334)+SUMIFS('الشؤون التنفيذية'!$N$2:$N$421,'الشؤون التنفيذية'!$B$2:$B$421,$B334,'الشؤون التنفيذية'!$G$2:$G$421,$G334,'الشؤون التنفيذية'!$I$2:$I$421,$I334)+SUMIFS('الجهاز العسكري'!$M$2:$M$631,'الجهاز العسكري'!$B$2:$B$631,$B334,'الجهاز العسكري'!$G$2:$G$631,$G334,'الجهاز العسكري'!$I$2:$I$631,$I334))/$L334,0))</f>
        <v>70</v>
      </c>
      <c r="O334" s="18"/>
      <c r="P334" s="15">
        <f>SUMIFS(المرجع!$G$2:$G$19,المرجع!$B$2:$B$19,$G334,المرجع!$E$2:$E$19,$I334)</f>
        <v>15</v>
      </c>
      <c r="Q334" s="20">
        <f t="shared" si="6"/>
        <v>10.5</v>
      </c>
      <c r="R334" s="21" t="str">
        <f>IF($N334&gt;المرجع!$K$3,"متقدم",IF($N334&lt;=المرجع!$K$2,"أولي","جزئي"))</f>
        <v>جزئي</v>
      </c>
    </row>
    <row r="335" spans="1:18">
      <c r="A335" s="16" t="s">
        <v>1775</v>
      </c>
      <c r="B335" s="16" t="s">
        <v>186</v>
      </c>
      <c r="C335" s="15" t="str">
        <f>IFERROR(INDEX('قائمة الوحدات'!$B$2:$B$41,MATCH($B335,'قائمة الوحدات'!$A$2:$A$41,0)),"")</f>
        <v>EXE</v>
      </c>
      <c r="D335" s="14" t="str">
        <f>IFERROR(INDEX('قائمة الوحدات'!$C$2:$C$41,MATCH($B335,'قائمة الوحدات'!$A$2:$A$41,0)),"")</f>
        <v>الشؤون التنفيذية</v>
      </c>
      <c r="E335" s="14" t="str">
        <f>IFERROR(INDEX('قائمة الوحدات'!$D$2:$D$41,MATCH($B335,'قائمة الوحدات'!$A$2:$A$41,0)),"")</f>
        <v>وكالة الرقابة والالتزام</v>
      </c>
      <c r="F335" s="14" t="str">
        <f>IFERROR(INDEX('قائمة الوحدات'!$F$2:$F$41,MATCH($B335,'قائمة الوحدات'!$A$2:$A$41,0)),"")</f>
        <v>وكالة الرقابة والالتزام</v>
      </c>
      <c r="G335" s="16" t="s">
        <v>61</v>
      </c>
      <c r="H335" s="14" t="str">
        <f>IFERROR(INDEX(المرجع!$A$2:$A$19,MATCH($G335,المرجع!$B$2:$B$19,0)),"")</f>
        <v>البناء المؤسسي</v>
      </c>
      <c r="I335" s="16" t="s">
        <v>54</v>
      </c>
      <c r="J335" s="14" t="str">
        <f>IFERROR(INDEX(المرجع!$D$2:$D$19,MATCH($I335,المرجع!$E$2:$E$19,0)),"")</f>
        <v>التنظيم</v>
      </c>
      <c r="K335" s="15">
        <f>IFERROR(INDEX(المرجع!$F$2:$F$19,MATCH($I335,المرجع!$E$2:$E$19,0)),"")</f>
        <v>4</v>
      </c>
      <c r="L335" s="15">
        <f>SUMIFS(المرجع!$H$2:$H$19,المرجع!$B$2:$B$19,$G335,المرجع!$E$2:$E$19,$I335)</f>
        <v>3</v>
      </c>
      <c r="M335" s="15">
        <f>COUNTIFS('المرتبطة بسمو الوزير'!$B$2:$B$151,$B335,'المرتبطة بسمو الوزير'!$G$2:$G$151,$G335,'المرتبطة بسمو الوزير'!$I$2:$I$151,$I335,'المرتبطة بسمو الوزير'!$M$2:$M$151,"&lt;&gt;")+COUNTIFS('الشؤون التنفيذية'!$B$2:$B$421,$B335,'الشؤون التنفيذية'!$G$2:$G$421,$G335,'الشؤون التنفيذية'!$I$2:$I$421,$I335,'الشؤون التنفيذية'!$N$2:$N$421,"&lt;&gt;")+COUNTIFS('الجهاز العسكري'!$B$2:$B$631,$B335,'الجهاز العسكري'!$G$2:$G$631,$G335,'الجهاز العسكري'!$I$2:$I$631,$I335,'الجهاز العسكري'!$M$2:$M$631,"&lt;&gt;")</f>
        <v>3</v>
      </c>
      <c r="N335" s="19">
        <f>IF($L335=0,0,ROUND((SUMIFS('المرتبطة بسمو الوزير'!$M$2:$M$151,'المرتبطة بسمو الوزير'!$B$2:$B$151,$B335,'المرتبطة بسمو الوزير'!$G$2:$G$151,$G335,'المرتبطة بسمو الوزير'!$I$2:$I$151,$I335)+SUMIFS('الشؤون التنفيذية'!$N$2:$N$421,'الشؤون التنفيذية'!$B$2:$B$421,$B335,'الشؤون التنفيذية'!$G$2:$G$421,$G335,'الشؤون التنفيذية'!$I$2:$I$421,$I335)+SUMIFS('الجهاز العسكري'!$M$2:$M$631,'الجهاز العسكري'!$B$2:$B$631,$B335,'الجهاز العسكري'!$G$2:$G$631,$G335,'الجهاز العسكري'!$I$2:$I$631,$I335))/$L335,0))</f>
        <v>78</v>
      </c>
      <c r="O335" s="18"/>
      <c r="P335" s="15">
        <f>SUMIFS(المرجع!$G$2:$G$19,المرجع!$B$2:$B$19,$G335,المرجع!$E$2:$E$19,$I335)</f>
        <v>20</v>
      </c>
      <c r="Q335" s="20">
        <f t="shared" si="6"/>
        <v>15.6</v>
      </c>
      <c r="R335" s="21" t="str">
        <f>IF($N335&gt;المرجع!$K$3,"متقدم",IF($N335&lt;=المرجع!$K$2,"أولي","جزئي"))</f>
        <v>متقدم</v>
      </c>
    </row>
    <row r="336" spans="1:18">
      <c r="A336" s="16" t="s">
        <v>1776</v>
      </c>
      <c r="B336" s="16" t="s">
        <v>186</v>
      </c>
      <c r="C336" s="15" t="str">
        <f>IFERROR(INDEX('قائمة الوحدات'!$B$2:$B$41,MATCH($B336,'قائمة الوحدات'!$A$2:$A$41,0)),"")</f>
        <v>EXE</v>
      </c>
      <c r="D336" s="14" t="str">
        <f>IFERROR(INDEX('قائمة الوحدات'!$C$2:$C$41,MATCH($B336,'قائمة الوحدات'!$A$2:$A$41,0)),"")</f>
        <v>الشؤون التنفيذية</v>
      </c>
      <c r="E336" s="14" t="str">
        <f>IFERROR(INDEX('قائمة الوحدات'!$D$2:$D$41,MATCH($B336,'قائمة الوحدات'!$A$2:$A$41,0)),"")</f>
        <v>وكالة الرقابة والالتزام</v>
      </c>
      <c r="F336" s="14" t="str">
        <f>IFERROR(INDEX('قائمة الوحدات'!$F$2:$F$41,MATCH($B336,'قائمة الوحدات'!$A$2:$A$41,0)),"")</f>
        <v>وكالة الرقابة والالتزام</v>
      </c>
      <c r="G336" s="16" t="s">
        <v>61</v>
      </c>
      <c r="H336" s="14" t="str">
        <f>IFERROR(INDEX(المرجع!$A$2:$A$19,MATCH($G336,المرجع!$B$2:$B$19,0)),"")</f>
        <v>البناء المؤسسي</v>
      </c>
      <c r="I336" s="16" t="s">
        <v>56</v>
      </c>
      <c r="J336" s="14" t="str">
        <f>IFERROR(INDEX(المرجع!$D$2:$D$19,MATCH($I336,المرجع!$E$2:$E$19,0)),"")</f>
        <v>الموارد</v>
      </c>
      <c r="K336" s="15">
        <f>IFERROR(INDEX(المرجع!$F$2:$F$19,MATCH($I336,المرجع!$E$2:$E$19,0)),"")</f>
        <v>5</v>
      </c>
      <c r="L336" s="15">
        <f>SUMIFS(المرجع!$H$2:$H$19,المرجع!$B$2:$B$19,$G336,المرجع!$E$2:$E$19,$I336)</f>
        <v>4</v>
      </c>
      <c r="M336" s="15">
        <f>COUNTIFS('المرتبطة بسمو الوزير'!$B$2:$B$151,$B336,'المرتبطة بسمو الوزير'!$G$2:$G$151,$G336,'المرتبطة بسمو الوزير'!$I$2:$I$151,$I336,'المرتبطة بسمو الوزير'!$M$2:$M$151,"&lt;&gt;")+COUNTIFS('الشؤون التنفيذية'!$B$2:$B$421,$B336,'الشؤون التنفيذية'!$G$2:$G$421,$G336,'الشؤون التنفيذية'!$I$2:$I$421,$I336,'الشؤون التنفيذية'!$N$2:$N$421,"&lt;&gt;")+COUNTIFS('الجهاز العسكري'!$B$2:$B$631,$B336,'الجهاز العسكري'!$G$2:$G$631,$G336,'الجهاز العسكري'!$I$2:$I$631,$I336,'الجهاز العسكري'!$M$2:$M$631,"&lt;&gt;")</f>
        <v>4</v>
      </c>
      <c r="N336" s="19">
        <f>IF($L336=0,0,ROUND((SUMIFS('المرتبطة بسمو الوزير'!$M$2:$M$151,'المرتبطة بسمو الوزير'!$B$2:$B$151,$B336,'المرتبطة بسمو الوزير'!$G$2:$G$151,$G336,'المرتبطة بسمو الوزير'!$I$2:$I$151,$I336)+SUMIFS('الشؤون التنفيذية'!$N$2:$N$421,'الشؤون التنفيذية'!$B$2:$B$421,$B336,'الشؤون التنفيذية'!$G$2:$G$421,$G336,'الشؤون التنفيذية'!$I$2:$I$421,$I336)+SUMIFS('الجهاز العسكري'!$M$2:$M$631,'الجهاز العسكري'!$B$2:$B$631,$B336,'الجهاز العسكري'!$G$2:$G$631,$G336,'الجهاز العسكري'!$I$2:$I$631,$I336))/$L336,0))</f>
        <v>88</v>
      </c>
      <c r="O336" s="18"/>
      <c r="P336" s="15">
        <f>SUMIFS(المرجع!$G$2:$G$19,المرجع!$B$2:$B$19,$G336,المرجع!$E$2:$E$19,$I336)</f>
        <v>25</v>
      </c>
      <c r="Q336" s="20">
        <f t="shared" si="6"/>
        <v>22</v>
      </c>
      <c r="R336" s="21" t="str">
        <f>IF($N336&gt;المرجع!$K$3,"متقدم",IF($N336&lt;=المرجع!$K$2,"أولي","جزئي"))</f>
        <v>متقدم</v>
      </c>
    </row>
    <row r="337" spans="1:18">
      <c r="A337" s="16" t="s">
        <v>1777</v>
      </c>
      <c r="B337" s="16" t="s">
        <v>186</v>
      </c>
      <c r="C337" s="15" t="str">
        <f>IFERROR(INDEX('قائمة الوحدات'!$B$2:$B$41,MATCH($B337,'قائمة الوحدات'!$A$2:$A$41,0)),"")</f>
        <v>EXE</v>
      </c>
      <c r="D337" s="14" t="str">
        <f>IFERROR(INDEX('قائمة الوحدات'!$C$2:$C$41,MATCH($B337,'قائمة الوحدات'!$A$2:$A$41,0)),"")</f>
        <v>الشؤون التنفيذية</v>
      </c>
      <c r="E337" s="14" t="str">
        <f>IFERROR(INDEX('قائمة الوحدات'!$D$2:$D$41,MATCH($B337,'قائمة الوحدات'!$A$2:$A$41,0)),"")</f>
        <v>وكالة الرقابة والالتزام</v>
      </c>
      <c r="F337" s="14" t="str">
        <f>IFERROR(INDEX('قائمة الوحدات'!$F$2:$F$41,MATCH($B337,'قائمة الوحدات'!$A$2:$A$41,0)),"")</f>
        <v>وكالة الرقابة والالتزام</v>
      </c>
      <c r="G337" s="16" t="s">
        <v>61</v>
      </c>
      <c r="H337" s="14" t="str">
        <f>IFERROR(INDEX(المرجع!$A$2:$A$19,MATCH($G337,المرجع!$B$2:$B$19,0)),"")</f>
        <v>البناء المؤسسي</v>
      </c>
      <c r="I337" s="16" t="s">
        <v>59</v>
      </c>
      <c r="J337" s="14" t="str">
        <f>IFERROR(INDEX(المرجع!$D$2:$D$19,MATCH($I337,المرجع!$E$2:$E$19,0)),"")</f>
        <v>الإجراءات</v>
      </c>
      <c r="K337" s="15">
        <f>IFERROR(INDEX(المرجع!$F$2:$F$19,MATCH($I337,المرجع!$E$2:$E$19,0)),"")</f>
        <v>6</v>
      </c>
      <c r="L337" s="15">
        <f>SUMIFS(المرجع!$H$2:$H$19,المرجع!$B$2:$B$19,$G337,المرجع!$E$2:$E$19,$I337)</f>
        <v>1</v>
      </c>
      <c r="M337" s="15">
        <f>COUNTIFS('المرتبطة بسمو الوزير'!$B$2:$B$151,$B337,'المرتبطة بسمو الوزير'!$G$2:$G$151,$G337,'المرتبطة بسمو الوزير'!$I$2:$I$151,$I337,'المرتبطة بسمو الوزير'!$M$2:$M$151,"&lt;&gt;")+COUNTIFS('الشؤون التنفيذية'!$B$2:$B$421,$B337,'الشؤون التنفيذية'!$G$2:$G$421,$G337,'الشؤون التنفيذية'!$I$2:$I$421,$I337,'الشؤون التنفيذية'!$N$2:$N$421,"&lt;&gt;")+COUNTIFS('الجهاز العسكري'!$B$2:$B$631,$B337,'الجهاز العسكري'!$G$2:$G$631,$G337,'الجهاز العسكري'!$I$2:$I$631,$I337,'الجهاز العسكري'!$M$2:$M$631,"&lt;&gt;")</f>
        <v>1</v>
      </c>
      <c r="N337" s="19">
        <f>IF($L337=0,0,ROUND((SUMIFS('المرتبطة بسمو الوزير'!$M$2:$M$151,'المرتبطة بسمو الوزير'!$B$2:$B$151,$B337,'المرتبطة بسمو الوزير'!$G$2:$G$151,$G337,'المرتبطة بسمو الوزير'!$I$2:$I$151,$I337)+SUMIFS('الشؤون التنفيذية'!$N$2:$N$421,'الشؤون التنفيذية'!$B$2:$B$421,$B337,'الشؤون التنفيذية'!$G$2:$G$421,$G337,'الشؤون التنفيذية'!$I$2:$I$421,$I337)+SUMIFS('الجهاز العسكري'!$M$2:$M$631,'الجهاز العسكري'!$B$2:$B$631,$B337,'الجهاز العسكري'!$G$2:$G$631,$G337,'الجهاز العسكري'!$I$2:$I$631,$I337))/$L337,0))</f>
        <v>58</v>
      </c>
      <c r="O337" s="18"/>
      <c r="P337" s="15">
        <f>SUMIFS(المرجع!$G$2:$G$19,المرجع!$B$2:$B$19,$G337,المرجع!$E$2:$E$19,$I337)</f>
        <v>5</v>
      </c>
      <c r="Q337" s="20">
        <f t="shared" si="6"/>
        <v>2.9</v>
      </c>
      <c r="R337" s="21" t="str">
        <f>IF($N337&gt;المرجع!$K$3,"متقدم",IF($N337&lt;=المرجع!$K$2,"أولي","جزئي"))</f>
        <v>جزئي</v>
      </c>
    </row>
    <row r="338" spans="1:18">
      <c r="A338" s="16" t="s">
        <v>1778</v>
      </c>
      <c r="B338" s="16" t="s">
        <v>186</v>
      </c>
      <c r="C338" s="15" t="str">
        <f>IFERROR(INDEX('قائمة الوحدات'!$B$2:$B$41,MATCH($B338,'قائمة الوحدات'!$A$2:$A$41,0)),"")</f>
        <v>EXE</v>
      </c>
      <c r="D338" s="14" t="str">
        <f>IFERROR(INDEX('قائمة الوحدات'!$C$2:$C$41,MATCH($B338,'قائمة الوحدات'!$A$2:$A$41,0)),"")</f>
        <v>الشؤون التنفيذية</v>
      </c>
      <c r="E338" s="14" t="str">
        <f>IFERROR(INDEX('قائمة الوحدات'!$D$2:$D$41,MATCH($B338,'قائمة الوحدات'!$A$2:$A$41,0)),"")</f>
        <v>وكالة الرقابة والالتزام</v>
      </c>
      <c r="F338" s="14" t="str">
        <f>IFERROR(INDEX('قائمة الوحدات'!$F$2:$F$41,MATCH($B338,'قائمة الوحدات'!$A$2:$A$41,0)),"")</f>
        <v>وكالة الرقابة والالتزام</v>
      </c>
      <c r="G338" s="16" t="s">
        <v>61</v>
      </c>
      <c r="H338" s="14" t="str">
        <f>IFERROR(INDEX(المرجع!$A$2:$A$19,MATCH($G338,المرجع!$B$2:$B$19,0)),"")</f>
        <v>البناء المؤسسي</v>
      </c>
      <c r="I338" s="16" t="s">
        <v>63</v>
      </c>
      <c r="J338" s="14" t="str">
        <f>IFERROR(INDEX(المرجع!$D$2:$D$19,MATCH($I338,المرجع!$E$2:$E$19,0)),"")</f>
        <v>إنتاج المخرج الأول</v>
      </c>
      <c r="K338" s="15">
        <f>IFERROR(INDEX(المرجع!$F$2:$F$19,MATCH($I338,المرجع!$E$2:$E$19,0)),"")</f>
        <v>7</v>
      </c>
      <c r="L338" s="15">
        <f>SUMIFS(المرجع!$H$2:$H$19,المرجع!$B$2:$B$19,$G338,المرجع!$E$2:$E$19,$I338)</f>
        <v>1</v>
      </c>
      <c r="M338" s="15">
        <f>COUNTIFS('المرتبطة بسمو الوزير'!$B$2:$B$151,$B338,'المرتبطة بسمو الوزير'!$G$2:$G$151,$G338,'المرتبطة بسمو الوزير'!$I$2:$I$151,$I338,'المرتبطة بسمو الوزير'!$M$2:$M$151,"&lt;&gt;")+COUNTIFS('الشؤون التنفيذية'!$B$2:$B$421,$B338,'الشؤون التنفيذية'!$G$2:$G$421,$G338,'الشؤون التنفيذية'!$I$2:$I$421,$I338,'الشؤون التنفيذية'!$N$2:$N$421,"&lt;&gt;")+COUNTIFS('الجهاز العسكري'!$B$2:$B$631,$B338,'الجهاز العسكري'!$G$2:$G$631,$G338,'الجهاز العسكري'!$I$2:$I$631,$I338,'الجهاز العسكري'!$M$2:$M$631,"&lt;&gt;")</f>
        <v>1</v>
      </c>
      <c r="N338" s="19">
        <f>IF($L338=0,0,ROUND((SUMIFS('المرتبطة بسمو الوزير'!$M$2:$M$151,'المرتبطة بسمو الوزير'!$B$2:$B$151,$B338,'المرتبطة بسمو الوزير'!$G$2:$G$151,$G338,'المرتبطة بسمو الوزير'!$I$2:$I$151,$I338)+SUMIFS('الشؤون التنفيذية'!$N$2:$N$421,'الشؤون التنفيذية'!$B$2:$B$421,$B338,'الشؤون التنفيذية'!$G$2:$G$421,$G338,'الشؤون التنفيذية'!$I$2:$I$421,$I338)+SUMIFS('الجهاز العسكري'!$M$2:$M$631,'الجهاز العسكري'!$B$2:$B$631,$B338,'الجهاز العسكري'!$G$2:$G$631,$G338,'الجهاز العسكري'!$I$2:$I$631,$I338))/$L338,0))</f>
        <v>77</v>
      </c>
      <c r="O338" s="18"/>
      <c r="P338" s="15">
        <f>SUMIFS(المرجع!$G$2:$G$19,المرجع!$B$2:$B$19,$G338,المرجع!$E$2:$E$19,$I338)</f>
        <v>5</v>
      </c>
      <c r="Q338" s="20">
        <f t="shared" si="6"/>
        <v>3.85</v>
      </c>
      <c r="R338" s="21" t="str">
        <f>IF($N338&gt;المرجع!$K$3,"متقدم",IF($N338&lt;=المرجع!$K$2,"أولي","جزئي"))</f>
        <v>متقدم</v>
      </c>
    </row>
    <row r="339" spans="1:18">
      <c r="A339" s="16" t="s">
        <v>1779</v>
      </c>
      <c r="B339" s="16" t="s">
        <v>186</v>
      </c>
      <c r="C339" s="15" t="str">
        <f>IFERROR(INDEX('قائمة الوحدات'!$B$2:$B$41,MATCH($B339,'قائمة الوحدات'!$A$2:$A$41,0)),"")</f>
        <v>EXE</v>
      </c>
      <c r="D339" s="14" t="str">
        <f>IFERROR(INDEX('قائمة الوحدات'!$C$2:$C$41,MATCH($B339,'قائمة الوحدات'!$A$2:$A$41,0)),"")</f>
        <v>الشؤون التنفيذية</v>
      </c>
      <c r="E339" s="14" t="str">
        <f>IFERROR(INDEX('قائمة الوحدات'!$D$2:$D$41,MATCH($B339,'قائمة الوحدات'!$A$2:$A$41,0)),"")</f>
        <v>وكالة الرقابة والالتزام</v>
      </c>
      <c r="F339" s="14" t="str">
        <f>IFERROR(INDEX('قائمة الوحدات'!$F$2:$F$41,MATCH($B339,'قائمة الوحدات'!$A$2:$A$41,0)),"")</f>
        <v>وكالة الرقابة والالتزام</v>
      </c>
      <c r="G339" s="16" t="s">
        <v>65</v>
      </c>
      <c r="H339" s="14" t="str">
        <f>IFERROR(INDEX(المرجع!$A$2:$A$19,MATCH($G339,المرجع!$B$2:$B$19,0)),"")</f>
        <v>التشغيل</v>
      </c>
      <c r="I339" s="16" t="s">
        <v>48</v>
      </c>
      <c r="J339" s="14" t="str">
        <f>IFERROR(INDEX(المرجع!$D$2:$D$19,MATCH($I339,المرجع!$E$2:$E$19,0)),"")</f>
        <v>الأهداف ومؤشرات الأداء</v>
      </c>
      <c r="K339" s="15">
        <f>IFERROR(INDEX(المرجع!$F$2:$F$19,MATCH($I339,المرجع!$E$2:$E$19,0)),"")</f>
        <v>2</v>
      </c>
      <c r="L339" s="15">
        <f>SUMIFS(المرجع!$H$2:$H$19,المرجع!$B$2:$B$19,$G339,المرجع!$E$2:$E$19,$I339)</f>
        <v>2</v>
      </c>
      <c r="M339" s="15">
        <f>COUNTIFS('المرتبطة بسمو الوزير'!$B$2:$B$151,$B339,'المرتبطة بسمو الوزير'!$G$2:$G$151,$G339,'المرتبطة بسمو الوزير'!$I$2:$I$151,$I339,'المرتبطة بسمو الوزير'!$M$2:$M$151,"&lt;&gt;")+COUNTIFS('الشؤون التنفيذية'!$B$2:$B$421,$B339,'الشؤون التنفيذية'!$G$2:$G$421,$G339,'الشؤون التنفيذية'!$I$2:$I$421,$I339,'الشؤون التنفيذية'!$N$2:$N$421,"&lt;&gt;")+COUNTIFS('الجهاز العسكري'!$B$2:$B$631,$B339,'الجهاز العسكري'!$G$2:$G$631,$G339,'الجهاز العسكري'!$I$2:$I$631,$I339,'الجهاز العسكري'!$M$2:$M$631,"&lt;&gt;")</f>
        <v>2</v>
      </c>
      <c r="N339" s="19">
        <f>IF($L339=0,0,ROUND((SUMIFS('المرتبطة بسمو الوزير'!$M$2:$M$151,'المرتبطة بسمو الوزير'!$B$2:$B$151,$B339,'المرتبطة بسمو الوزير'!$G$2:$G$151,$G339,'المرتبطة بسمو الوزير'!$I$2:$I$151,$I339)+SUMIFS('الشؤون التنفيذية'!$N$2:$N$421,'الشؤون التنفيذية'!$B$2:$B$421,$B339,'الشؤون التنفيذية'!$G$2:$G$421,$G339,'الشؤون التنفيذية'!$I$2:$I$421,$I339)+SUMIFS('الجهاز العسكري'!$M$2:$M$631,'الجهاز العسكري'!$B$2:$B$631,$B339,'الجهاز العسكري'!$G$2:$G$631,$G339,'الجهاز العسكري'!$I$2:$I$631,$I339))/$L339,0))</f>
        <v>55</v>
      </c>
      <c r="O339" s="18"/>
      <c r="P339" s="15">
        <f>SUMIFS(المرجع!$G$2:$G$19,المرجع!$B$2:$B$19,$G339,المرجع!$E$2:$E$19,$I339)</f>
        <v>25</v>
      </c>
      <c r="Q339" s="20">
        <f t="shared" si="6"/>
        <v>13.75</v>
      </c>
      <c r="R339" s="21" t="str">
        <f>IF($N339&gt;المرجع!$K$3,"متقدم",IF($N339&lt;=المرجع!$K$2,"أولي","جزئي"))</f>
        <v>جزئي</v>
      </c>
    </row>
    <row r="340" spans="1:18">
      <c r="A340" s="16" t="s">
        <v>1780</v>
      </c>
      <c r="B340" s="16" t="s">
        <v>186</v>
      </c>
      <c r="C340" s="15" t="str">
        <f>IFERROR(INDEX('قائمة الوحدات'!$B$2:$B$41,MATCH($B340,'قائمة الوحدات'!$A$2:$A$41,0)),"")</f>
        <v>EXE</v>
      </c>
      <c r="D340" s="14" t="str">
        <f>IFERROR(INDEX('قائمة الوحدات'!$C$2:$C$41,MATCH($B340,'قائمة الوحدات'!$A$2:$A$41,0)),"")</f>
        <v>الشؤون التنفيذية</v>
      </c>
      <c r="E340" s="14" t="str">
        <f>IFERROR(INDEX('قائمة الوحدات'!$D$2:$D$41,MATCH($B340,'قائمة الوحدات'!$A$2:$A$41,0)),"")</f>
        <v>وكالة الرقابة والالتزام</v>
      </c>
      <c r="F340" s="14" t="str">
        <f>IFERROR(INDEX('قائمة الوحدات'!$F$2:$F$41,MATCH($B340,'قائمة الوحدات'!$A$2:$A$41,0)),"")</f>
        <v>وكالة الرقابة والالتزام</v>
      </c>
      <c r="G340" s="16" t="s">
        <v>65</v>
      </c>
      <c r="H340" s="14" t="str">
        <f>IFERROR(INDEX(المرجع!$A$2:$A$19,MATCH($G340,المرجع!$B$2:$B$19,0)),"")</f>
        <v>التشغيل</v>
      </c>
      <c r="I340" s="16" t="s">
        <v>51</v>
      </c>
      <c r="J340" s="14" t="str">
        <f>IFERROR(INDEX(المرجع!$D$2:$D$19,MATCH($I340,المرجع!$E$2:$E$19,0)),"")</f>
        <v>الحوكمة</v>
      </c>
      <c r="K340" s="15">
        <f>IFERROR(INDEX(المرجع!$F$2:$F$19,MATCH($I340,المرجع!$E$2:$E$19,0)),"")</f>
        <v>3</v>
      </c>
      <c r="L340" s="15">
        <f>SUMIFS(المرجع!$H$2:$H$19,المرجع!$B$2:$B$19,$G340,المرجع!$E$2:$E$19,$I340)</f>
        <v>3</v>
      </c>
      <c r="M340" s="15">
        <f>COUNTIFS('المرتبطة بسمو الوزير'!$B$2:$B$151,$B340,'المرتبطة بسمو الوزير'!$G$2:$G$151,$G340,'المرتبطة بسمو الوزير'!$I$2:$I$151,$I340,'المرتبطة بسمو الوزير'!$M$2:$M$151,"&lt;&gt;")+COUNTIFS('الشؤون التنفيذية'!$B$2:$B$421,$B340,'الشؤون التنفيذية'!$G$2:$G$421,$G340,'الشؤون التنفيذية'!$I$2:$I$421,$I340,'الشؤون التنفيذية'!$N$2:$N$421,"&lt;&gt;")+COUNTIFS('الجهاز العسكري'!$B$2:$B$631,$B340,'الجهاز العسكري'!$G$2:$G$631,$G340,'الجهاز العسكري'!$I$2:$I$631,$I340,'الجهاز العسكري'!$M$2:$M$631,"&lt;&gt;")</f>
        <v>3</v>
      </c>
      <c r="N340" s="19">
        <f>IF($L340=0,0,ROUND((SUMIFS('المرتبطة بسمو الوزير'!$M$2:$M$151,'المرتبطة بسمو الوزير'!$B$2:$B$151,$B340,'المرتبطة بسمو الوزير'!$G$2:$G$151,$G340,'المرتبطة بسمو الوزير'!$I$2:$I$151,$I340)+SUMIFS('الشؤون التنفيذية'!$N$2:$N$421,'الشؤون التنفيذية'!$B$2:$B$421,$B340,'الشؤون التنفيذية'!$G$2:$G$421,$G340,'الشؤون التنفيذية'!$I$2:$I$421,$I340)+SUMIFS('الجهاز العسكري'!$M$2:$M$631,'الجهاز العسكري'!$B$2:$B$631,$B340,'الجهاز العسكري'!$G$2:$G$631,$G340,'الجهاز العسكري'!$I$2:$I$631,$I340))/$L340,0))</f>
        <v>17</v>
      </c>
      <c r="O340" s="18"/>
      <c r="P340" s="15">
        <f>SUMIFS(المرجع!$G$2:$G$19,المرجع!$B$2:$B$19,$G340,المرجع!$E$2:$E$19,$I340)</f>
        <v>15</v>
      </c>
      <c r="Q340" s="20">
        <f t="shared" si="6"/>
        <v>2.5499999999999998</v>
      </c>
      <c r="R340" s="21" t="str">
        <f>IF($N340&gt;المرجع!$K$3,"متقدم",IF($N340&lt;=المرجع!$K$2,"أولي","جزئي"))</f>
        <v>أولي</v>
      </c>
    </row>
    <row r="341" spans="1:18">
      <c r="A341" s="16" t="s">
        <v>1781</v>
      </c>
      <c r="B341" s="16" t="s">
        <v>186</v>
      </c>
      <c r="C341" s="15" t="str">
        <f>IFERROR(INDEX('قائمة الوحدات'!$B$2:$B$41,MATCH($B341,'قائمة الوحدات'!$A$2:$A$41,0)),"")</f>
        <v>EXE</v>
      </c>
      <c r="D341" s="14" t="str">
        <f>IFERROR(INDEX('قائمة الوحدات'!$C$2:$C$41,MATCH($B341,'قائمة الوحدات'!$A$2:$A$41,0)),"")</f>
        <v>الشؤون التنفيذية</v>
      </c>
      <c r="E341" s="14" t="str">
        <f>IFERROR(INDEX('قائمة الوحدات'!$D$2:$D$41,MATCH($B341,'قائمة الوحدات'!$A$2:$A$41,0)),"")</f>
        <v>وكالة الرقابة والالتزام</v>
      </c>
      <c r="F341" s="14" t="str">
        <f>IFERROR(INDEX('قائمة الوحدات'!$F$2:$F$41,MATCH($B341,'قائمة الوحدات'!$A$2:$A$41,0)),"")</f>
        <v>وكالة الرقابة والالتزام</v>
      </c>
      <c r="G341" s="16" t="s">
        <v>65</v>
      </c>
      <c r="H341" s="14" t="str">
        <f>IFERROR(INDEX(المرجع!$A$2:$A$19,MATCH($G341,المرجع!$B$2:$B$19,0)),"")</f>
        <v>التشغيل</v>
      </c>
      <c r="I341" s="16" t="s">
        <v>56</v>
      </c>
      <c r="J341" s="14" t="str">
        <f>IFERROR(INDEX(المرجع!$D$2:$D$19,MATCH($I341,المرجع!$E$2:$E$19,0)),"")</f>
        <v>الموارد</v>
      </c>
      <c r="K341" s="15">
        <f>IFERROR(INDEX(المرجع!$F$2:$F$19,MATCH($I341,المرجع!$E$2:$E$19,0)),"")</f>
        <v>5</v>
      </c>
      <c r="L341" s="15">
        <f>SUMIFS(المرجع!$H$2:$H$19,المرجع!$B$2:$B$19,$G341,المرجع!$E$2:$E$19,$I341)</f>
        <v>1</v>
      </c>
      <c r="M341" s="15">
        <f>COUNTIFS('المرتبطة بسمو الوزير'!$B$2:$B$151,$B341,'المرتبطة بسمو الوزير'!$G$2:$G$151,$G341,'المرتبطة بسمو الوزير'!$I$2:$I$151,$I341,'المرتبطة بسمو الوزير'!$M$2:$M$151,"&lt;&gt;")+COUNTIFS('الشؤون التنفيذية'!$B$2:$B$421,$B341,'الشؤون التنفيذية'!$G$2:$G$421,$G341,'الشؤون التنفيذية'!$I$2:$I$421,$I341,'الشؤون التنفيذية'!$N$2:$N$421,"&lt;&gt;")+COUNTIFS('الجهاز العسكري'!$B$2:$B$631,$B341,'الجهاز العسكري'!$G$2:$G$631,$G341,'الجهاز العسكري'!$I$2:$I$631,$I341,'الجهاز العسكري'!$M$2:$M$631,"&lt;&gt;")</f>
        <v>1</v>
      </c>
      <c r="N341" s="19">
        <f>IF($L341=0,0,ROUND((SUMIFS('المرتبطة بسمو الوزير'!$M$2:$M$151,'المرتبطة بسمو الوزير'!$B$2:$B$151,$B341,'المرتبطة بسمو الوزير'!$G$2:$G$151,$G341,'المرتبطة بسمو الوزير'!$I$2:$I$151,$I341)+SUMIFS('الشؤون التنفيذية'!$N$2:$N$421,'الشؤون التنفيذية'!$B$2:$B$421,$B341,'الشؤون التنفيذية'!$G$2:$G$421,$G341,'الشؤون التنفيذية'!$I$2:$I$421,$I341)+SUMIFS('الجهاز العسكري'!$M$2:$M$631,'الجهاز العسكري'!$B$2:$B$631,$B341,'الجهاز العسكري'!$G$2:$G$631,$G341,'الجهاز العسكري'!$I$2:$I$631,$I341))/$L341,0))</f>
        <v>62</v>
      </c>
      <c r="O341" s="18"/>
      <c r="P341" s="15">
        <f>SUMIFS(المرجع!$G$2:$G$19,المرجع!$B$2:$B$19,$G341,المرجع!$E$2:$E$19,$I341)</f>
        <v>15</v>
      </c>
      <c r="Q341" s="20">
        <f t="shared" si="6"/>
        <v>9.3000000000000007</v>
      </c>
      <c r="R341" s="21" t="str">
        <f>IF($N341&gt;المرجع!$K$3,"متقدم",IF($N341&lt;=المرجع!$K$2,"أولي","جزئي"))</f>
        <v>جزئي</v>
      </c>
    </row>
    <row r="342" spans="1:18">
      <c r="A342" s="16" t="s">
        <v>1782</v>
      </c>
      <c r="B342" s="16" t="s">
        <v>186</v>
      </c>
      <c r="C342" s="15" t="str">
        <f>IFERROR(INDEX('قائمة الوحدات'!$B$2:$B$41,MATCH($B342,'قائمة الوحدات'!$A$2:$A$41,0)),"")</f>
        <v>EXE</v>
      </c>
      <c r="D342" s="14" t="str">
        <f>IFERROR(INDEX('قائمة الوحدات'!$C$2:$C$41,MATCH($B342,'قائمة الوحدات'!$A$2:$A$41,0)),"")</f>
        <v>الشؤون التنفيذية</v>
      </c>
      <c r="E342" s="14" t="str">
        <f>IFERROR(INDEX('قائمة الوحدات'!$D$2:$D$41,MATCH($B342,'قائمة الوحدات'!$A$2:$A$41,0)),"")</f>
        <v>وكالة الرقابة والالتزام</v>
      </c>
      <c r="F342" s="14" t="str">
        <f>IFERROR(INDEX('قائمة الوحدات'!$F$2:$F$41,MATCH($B342,'قائمة الوحدات'!$A$2:$A$41,0)),"")</f>
        <v>وكالة الرقابة والالتزام</v>
      </c>
      <c r="G342" s="16" t="s">
        <v>65</v>
      </c>
      <c r="H342" s="14" t="str">
        <f>IFERROR(INDEX(المرجع!$A$2:$A$19,MATCH($G342,المرجع!$B$2:$B$19,0)),"")</f>
        <v>التشغيل</v>
      </c>
      <c r="I342" s="16" t="s">
        <v>59</v>
      </c>
      <c r="J342" s="14" t="str">
        <f>IFERROR(INDEX(المرجع!$D$2:$D$19,MATCH($I342,المرجع!$E$2:$E$19,0)),"")</f>
        <v>الإجراءات</v>
      </c>
      <c r="K342" s="15">
        <f>IFERROR(INDEX(المرجع!$F$2:$F$19,MATCH($I342,المرجع!$E$2:$E$19,0)),"")</f>
        <v>6</v>
      </c>
      <c r="L342" s="15">
        <f>SUMIFS(المرجع!$H$2:$H$19,المرجع!$B$2:$B$19,$G342,المرجع!$E$2:$E$19,$I342)</f>
        <v>1</v>
      </c>
      <c r="M342" s="15">
        <f>COUNTIFS('المرتبطة بسمو الوزير'!$B$2:$B$151,$B342,'المرتبطة بسمو الوزير'!$G$2:$G$151,$G342,'المرتبطة بسمو الوزير'!$I$2:$I$151,$I342,'المرتبطة بسمو الوزير'!$M$2:$M$151,"&lt;&gt;")+COUNTIFS('الشؤون التنفيذية'!$B$2:$B$421,$B342,'الشؤون التنفيذية'!$G$2:$G$421,$G342,'الشؤون التنفيذية'!$I$2:$I$421,$I342,'الشؤون التنفيذية'!$N$2:$N$421,"&lt;&gt;")+COUNTIFS('الجهاز العسكري'!$B$2:$B$631,$B342,'الجهاز العسكري'!$G$2:$G$631,$G342,'الجهاز العسكري'!$I$2:$I$631,$I342,'الجهاز العسكري'!$M$2:$M$631,"&lt;&gt;")</f>
        <v>1</v>
      </c>
      <c r="N342" s="19">
        <f>IF($L342=0,0,ROUND((SUMIFS('المرتبطة بسمو الوزير'!$M$2:$M$151,'المرتبطة بسمو الوزير'!$B$2:$B$151,$B342,'المرتبطة بسمو الوزير'!$G$2:$G$151,$G342,'المرتبطة بسمو الوزير'!$I$2:$I$151,$I342)+SUMIFS('الشؤون التنفيذية'!$N$2:$N$421,'الشؤون التنفيذية'!$B$2:$B$421,$B342,'الشؤون التنفيذية'!$G$2:$G$421,$G342,'الشؤون التنفيذية'!$I$2:$I$421,$I342)+SUMIFS('الجهاز العسكري'!$M$2:$M$631,'الجهاز العسكري'!$B$2:$B$631,$B342,'الجهاز العسكري'!$G$2:$G$631,$G342,'الجهاز العسكري'!$I$2:$I$631,$I342))/$L342,0))</f>
        <v>33</v>
      </c>
      <c r="O342" s="18"/>
      <c r="P342" s="15">
        <f>SUMIFS(المرجع!$G$2:$G$19,المرجع!$B$2:$B$19,$G342,المرجع!$E$2:$E$19,$I342)</f>
        <v>15</v>
      </c>
      <c r="Q342" s="20">
        <f t="shared" si="6"/>
        <v>4.95</v>
      </c>
      <c r="R342" s="21" t="str">
        <f>IF($N342&gt;المرجع!$K$3,"متقدم",IF($N342&lt;=المرجع!$K$2,"أولي","جزئي"))</f>
        <v>جزئي</v>
      </c>
    </row>
    <row r="343" spans="1:18">
      <c r="A343" s="16" t="s">
        <v>1783</v>
      </c>
      <c r="B343" s="16" t="s">
        <v>186</v>
      </c>
      <c r="C343" s="15" t="str">
        <f>IFERROR(INDEX('قائمة الوحدات'!$B$2:$B$41,MATCH($B343,'قائمة الوحدات'!$A$2:$A$41,0)),"")</f>
        <v>EXE</v>
      </c>
      <c r="D343" s="14" t="str">
        <f>IFERROR(INDEX('قائمة الوحدات'!$C$2:$C$41,MATCH($B343,'قائمة الوحدات'!$A$2:$A$41,0)),"")</f>
        <v>الشؤون التنفيذية</v>
      </c>
      <c r="E343" s="14" t="str">
        <f>IFERROR(INDEX('قائمة الوحدات'!$D$2:$D$41,MATCH($B343,'قائمة الوحدات'!$A$2:$A$41,0)),"")</f>
        <v>وكالة الرقابة والالتزام</v>
      </c>
      <c r="F343" s="14" t="str">
        <f>IFERROR(INDEX('قائمة الوحدات'!$F$2:$F$41,MATCH($B343,'قائمة الوحدات'!$A$2:$A$41,0)),"")</f>
        <v>وكالة الرقابة والالتزام</v>
      </c>
      <c r="G343" s="16" t="s">
        <v>65</v>
      </c>
      <c r="H343" s="14" t="str">
        <f>IFERROR(INDEX(المرجع!$A$2:$A$19,MATCH($G343,المرجع!$B$2:$B$19,0)),"")</f>
        <v>التشغيل</v>
      </c>
      <c r="I343" s="16" t="s">
        <v>67</v>
      </c>
      <c r="J343" s="14" t="str">
        <f>IFERROR(INDEX(المرجع!$D$2:$D$19,MATCH($I343,المرجع!$E$2:$E$19,0)),"")</f>
        <v>اكتمال المخرجات المستهدفة</v>
      </c>
      <c r="K343" s="15">
        <f>IFERROR(INDEX(المرجع!$F$2:$F$19,MATCH($I343,المرجع!$E$2:$E$19,0)),"")</f>
        <v>8</v>
      </c>
      <c r="L343" s="15">
        <f>SUMIFS(المرجع!$H$2:$H$19,المرجع!$B$2:$B$19,$G343,المرجع!$E$2:$E$19,$I343)</f>
        <v>1</v>
      </c>
      <c r="M343" s="15">
        <f>COUNTIFS('المرتبطة بسمو الوزير'!$B$2:$B$151,$B343,'المرتبطة بسمو الوزير'!$G$2:$G$151,$G343,'المرتبطة بسمو الوزير'!$I$2:$I$151,$I343,'المرتبطة بسمو الوزير'!$M$2:$M$151,"&lt;&gt;")+COUNTIFS('الشؤون التنفيذية'!$B$2:$B$421,$B343,'الشؤون التنفيذية'!$G$2:$G$421,$G343,'الشؤون التنفيذية'!$I$2:$I$421,$I343,'الشؤون التنفيذية'!$N$2:$N$421,"&lt;&gt;")+COUNTIFS('الجهاز العسكري'!$B$2:$B$631,$B343,'الجهاز العسكري'!$G$2:$G$631,$G343,'الجهاز العسكري'!$I$2:$I$631,$I343,'الجهاز العسكري'!$M$2:$M$631,"&lt;&gt;")</f>
        <v>1</v>
      </c>
      <c r="N343" s="19">
        <f>IF($L343=0,0,ROUND((SUMIFS('المرتبطة بسمو الوزير'!$M$2:$M$151,'المرتبطة بسمو الوزير'!$B$2:$B$151,$B343,'المرتبطة بسمو الوزير'!$G$2:$G$151,$G343,'المرتبطة بسمو الوزير'!$I$2:$I$151,$I343)+SUMIFS('الشؤون التنفيذية'!$N$2:$N$421,'الشؤون التنفيذية'!$B$2:$B$421,$B343,'الشؤون التنفيذية'!$G$2:$G$421,$G343,'الشؤون التنفيذية'!$I$2:$I$421,$I343)+SUMIFS('الجهاز العسكري'!$M$2:$M$631,'الجهاز العسكري'!$B$2:$B$631,$B343,'الجهاز العسكري'!$G$2:$G$631,$G343,'الجهاز العسكري'!$I$2:$I$631,$I343))/$L343,0))</f>
        <v>56</v>
      </c>
      <c r="O343" s="18"/>
      <c r="P343" s="15">
        <f>SUMIFS(المرجع!$G$2:$G$19,المرجع!$B$2:$B$19,$G343,المرجع!$E$2:$E$19,$I343)</f>
        <v>30</v>
      </c>
      <c r="Q343" s="20">
        <f t="shared" si="6"/>
        <v>16.8</v>
      </c>
      <c r="R343" s="21" t="str">
        <f>IF($N343&gt;المرجع!$K$3,"متقدم",IF($N343&lt;=المرجع!$K$2,"أولي","جزئي"))</f>
        <v>جزئي</v>
      </c>
    </row>
    <row r="344" spans="1:18">
      <c r="A344" s="16" t="s">
        <v>1784</v>
      </c>
      <c r="B344" s="16" t="s">
        <v>188</v>
      </c>
      <c r="C344" s="15" t="str">
        <f>IFERROR(INDEX('قائمة الوحدات'!$B$2:$B$41,MATCH($B344,'قائمة الوحدات'!$A$2:$A$41,0)),"")</f>
        <v>MIL</v>
      </c>
      <c r="D344" s="14" t="str">
        <f>IFERROR(INDEX('قائمة الوحدات'!$C$2:$C$41,MATCH($B344,'قائمة الوحدات'!$A$2:$A$41,0)),"")</f>
        <v>الجهاز العسكري</v>
      </c>
      <c r="E344" s="14" t="str">
        <f>IFERROR(INDEX('قائمة الوحدات'!$D$2:$D$41,MATCH($B344,'قائمة الوحدات'!$A$2:$A$41,0)),"")</f>
        <v>هيئة الأركان</v>
      </c>
      <c r="F344" s="14" t="str">
        <f>IFERROR(INDEX('قائمة الوحدات'!$F$2:$F$41,MATCH($B344,'قائمة الوحدات'!$A$2:$A$41,0)),"")</f>
        <v>هيئة الأركان</v>
      </c>
      <c r="G344" s="16" t="s">
        <v>43</v>
      </c>
      <c r="H344" s="14" t="str">
        <f>IFERROR(INDEX(المرجع!$A$2:$A$19,MATCH($G344,المرجع!$B$2:$B$19,0)),"")</f>
        <v>التصميم</v>
      </c>
      <c r="I344" s="16" t="s">
        <v>45</v>
      </c>
      <c r="J344" s="14" t="str">
        <f>IFERROR(INDEX(المرجع!$D$2:$D$19,MATCH($I344,المرجع!$E$2:$E$19,0)),"")</f>
        <v>الدور</v>
      </c>
      <c r="K344" s="15">
        <f>IFERROR(INDEX(المرجع!$F$2:$F$19,MATCH($I344,المرجع!$E$2:$E$19,0)),"")</f>
        <v>1</v>
      </c>
      <c r="L344" s="15">
        <f>SUMIFS(المرجع!$H$2:$H$19,المرجع!$B$2:$B$19,$G344,المرجع!$E$2:$E$19,$I344)</f>
        <v>1</v>
      </c>
      <c r="M344" s="15">
        <f>COUNTIFS('المرتبطة بسمو الوزير'!$B$2:$B$151,$B344,'المرتبطة بسمو الوزير'!$G$2:$G$151,$G344,'المرتبطة بسمو الوزير'!$I$2:$I$151,$I344,'المرتبطة بسمو الوزير'!$M$2:$M$151,"&lt;&gt;")+COUNTIFS('الشؤون التنفيذية'!$B$2:$B$421,$B344,'الشؤون التنفيذية'!$G$2:$G$421,$G344,'الشؤون التنفيذية'!$I$2:$I$421,$I344,'الشؤون التنفيذية'!$N$2:$N$421,"&lt;&gt;")+COUNTIFS('الجهاز العسكري'!$B$2:$B$631,$B344,'الجهاز العسكري'!$G$2:$G$631,$G344,'الجهاز العسكري'!$I$2:$I$631,$I344,'الجهاز العسكري'!$M$2:$M$631,"&lt;&gt;")</f>
        <v>1</v>
      </c>
      <c r="N344" s="19">
        <f>IF($L344=0,0,ROUND((SUMIFS('المرتبطة بسمو الوزير'!$M$2:$M$151,'المرتبطة بسمو الوزير'!$B$2:$B$151,$B344,'المرتبطة بسمو الوزير'!$G$2:$G$151,$G344,'المرتبطة بسمو الوزير'!$I$2:$I$151,$I344)+SUMIFS('الشؤون التنفيذية'!$N$2:$N$421,'الشؤون التنفيذية'!$B$2:$B$421,$B344,'الشؤون التنفيذية'!$G$2:$G$421,$G344,'الشؤون التنفيذية'!$I$2:$I$421,$I344)+SUMIFS('الجهاز العسكري'!$M$2:$M$631,'الجهاز العسكري'!$B$2:$B$631,$B344,'الجهاز العسكري'!$G$2:$G$631,$G344,'الجهاز العسكري'!$I$2:$I$631,$I344))/$L344,0))</f>
        <v>72</v>
      </c>
      <c r="O344" s="18"/>
      <c r="P344" s="15">
        <f>SUMIFS(المرجع!$G$2:$G$19,المرجع!$B$2:$B$19,$G344,المرجع!$E$2:$E$19,$I344)</f>
        <v>25</v>
      </c>
      <c r="Q344" s="20">
        <f t="shared" si="6"/>
        <v>18</v>
      </c>
      <c r="R344" s="21" t="str">
        <f>IF($N344&gt;المرجع!$K$3,"متقدم",IF($N344&lt;=المرجع!$K$2,"أولي","جزئي"))</f>
        <v>متقدم</v>
      </c>
    </row>
    <row r="345" spans="1:18">
      <c r="A345" s="16" t="s">
        <v>1785</v>
      </c>
      <c r="B345" s="16" t="s">
        <v>188</v>
      </c>
      <c r="C345" s="15" t="str">
        <f>IFERROR(INDEX('قائمة الوحدات'!$B$2:$B$41,MATCH($B345,'قائمة الوحدات'!$A$2:$A$41,0)),"")</f>
        <v>MIL</v>
      </c>
      <c r="D345" s="14" t="str">
        <f>IFERROR(INDEX('قائمة الوحدات'!$C$2:$C$41,MATCH($B345,'قائمة الوحدات'!$A$2:$A$41,0)),"")</f>
        <v>الجهاز العسكري</v>
      </c>
      <c r="E345" s="14" t="str">
        <f>IFERROR(INDEX('قائمة الوحدات'!$D$2:$D$41,MATCH($B345,'قائمة الوحدات'!$A$2:$A$41,0)),"")</f>
        <v>هيئة الأركان</v>
      </c>
      <c r="F345" s="14" t="str">
        <f>IFERROR(INDEX('قائمة الوحدات'!$F$2:$F$41,MATCH($B345,'قائمة الوحدات'!$A$2:$A$41,0)),"")</f>
        <v>هيئة الأركان</v>
      </c>
      <c r="G345" s="16" t="s">
        <v>43</v>
      </c>
      <c r="H345" s="14" t="str">
        <f>IFERROR(INDEX(المرجع!$A$2:$A$19,MATCH($G345,المرجع!$B$2:$B$19,0)),"")</f>
        <v>التصميم</v>
      </c>
      <c r="I345" s="16" t="s">
        <v>48</v>
      </c>
      <c r="J345" s="14" t="str">
        <f>IFERROR(INDEX(المرجع!$D$2:$D$19,MATCH($I345,المرجع!$E$2:$E$19,0)),"")</f>
        <v>الأهداف ومؤشرات الأداء</v>
      </c>
      <c r="K345" s="15">
        <f>IFERROR(INDEX(المرجع!$F$2:$F$19,MATCH($I345,المرجع!$E$2:$E$19,0)),"")</f>
        <v>2</v>
      </c>
      <c r="L345" s="15">
        <f>SUMIFS(المرجع!$H$2:$H$19,المرجع!$B$2:$B$19,$G345,المرجع!$E$2:$E$19,$I345)</f>
        <v>2</v>
      </c>
      <c r="M345" s="15">
        <f>COUNTIFS('المرتبطة بسمو الوزير'!$B$2:$B$151,$B345,'المرتبطة بسمو الوزير'!$G$2:$G$151,$G345,'المرتبطة بسمو الوزير'!$I$2:$I$151,$I345,'المرتبطة بسمو الوزير'!$M$2:$M$151,"&lt;&gt;")+COUNTIFS('الشؤون التنفيذية'!$B$2:$B$421,$B345,'الشؤون التنفيذية'!$G$2:$G$421,$G345,'الشؤون التنفيذية'!$I$2:$I$421,$I345,'الشؤون التنفيذية'!$N$2:$N$421,"&lt;&gt;")+COUNTIFS('الجهاز العسكري'!$B$2:$B$631,$B345,'الجهاز العسكري'!$G$2:$G$631,$G345,'الجهاز العسكري'!$I$2:$I$631,$I345,'الجهاز العسكري'!$M$2:$M$631,"&lt;&gt;")</f>
        <v>2</v>
      </c>
      <c r="N345" s="19">
        <f>IF($L345=0,0,ROUND((SUMIFS('المرتبطة بسمو الوزير'!$M$2:$M$151,'المرتبطة بسمو الوزير'!$B$2:$B$151,$B345,'المرتبطة بسمو الوزير'!$G$2:$G$151,$G345,'المرتبطة بسمو الوزير'!$I$2:$I$151,$I345)+SUMIFS('الشؤون التنفيذية'!$N$2:$N$421,'الشؤون التنفيذية'!$B$2:$B$421,$B345,'الشؤون التنفيذية'!$G$2:$G$421,$G345,'الشؤون التنفيذية'!$I$2:$I$421,$I345)+SUMIFS('الجهاز العسكري'!$M$2:$M$631,'الجهاز العسكري'!$B$2:$B$631,$B345,'الجهاز العسكري'!$G$2:$G$631,$G345,'الجهاز العسكري'!$I$2:$I$631,$I345))/$L345,0))</f>
        <v>68</v>
      </c>
      <c r="O345" s="18"/>
      <c r="P345" s="15">
        <f>SUMIFS(المرجع!$G$2:$G$19,المرجع!$B$2:$B$19,$G345,المرجع!$E$2:$E$19,$I345)</f>
        <v>15</v>
      </c>
      <c r="Q345" s="20">
        <f t="shared" si="6"/>
        <v>10.199999999999999</v>
      </c>
      <c r="R345" s="21" t="str">
        <f>IF($N345&gt;المرجع!$K$3,"متقدم",IF($N345&lt;=المرجع!$K$2,"أولي","جزئي"))</f>
        <v>جزئي</v>
      </c>
    </row>
    <row r="346" spans="1:18">
      <c r="A346" s="16" t="s">
        <v>1786</v>
      </c>
      <c r="B346" s="16" t="s">
        <v>188</v>
      </c>
      <c r="C346" s="15" t="str">
        <f>IFERROR(INDEX('قائمة الوحدات'!$B$2:$B$41,MATCH($B346,'قائمة الوحدات'!$A$2:$A$41,0)),"")</f>
        <v>MIL</v>
      </c>
      <c r="D346" s="14" t="str">
        <f>IFERROR(INDEX('قائمة الوحدات'!$C$2:$C$41,MATCH($B346,'قائمة الوحدات'!$A$2:$A$41,0)),"")</f>
        <v>الجهاز العسكري</v>
      </c>
      <c r="E346" s="14" t="str">
        <f>IFERROR(INDEX('قائمة الوحدات'!$D$2:$D$41,MATCH($B346,'قائمة الوحدات'!$A$2:$A$41,0)),"")</f>
        <v>هيئة الأركان</v>
      </c>
      <c r="F346" s="14" t="str">
        <f>IFERROR(INDEX('قائمة الوحدات'!$F$2:$F$41,MATCH($B346,'قائمة الوحدات'!$A$2:$A$41,0)),"")</f>
        <v>هيئة الأركان</v>
      </c>
      <c r="G346" s="16" t="s">
        <v>43</v>
      </c>
      <c r="H346" s="14" t="str">
        <f>IFERROR(INDEX(المرجع!$A$2:$A$19,MATCH($G346,المرجع!$B$2:$B$19,0)),"")</f>
        <v>التصميم</v>
      </c>
      <c r="I346" s="16" t="s">
        <v>51</v>
      </c>
      <c r="J346" s="14" t="str">
        <f>IFERROR(INDEX(المرجع!$D$2:$D$19,MATCH($I346,المرجع!$E$2:$E$19,0)),"")</f>
        <v>الحوكمة</v>
      </c>
      <c r="K346" s="15">
        <f>IFERROR(INDEX(المرجع!$F$2:$F$19,MATCH($I346,المرجع!$E$2:$E$19,0)),"")</f>
        <v>3</v>
      </c>
      <c r="L346" s="15">
        <f>SUMIFS(المرجع!$H$2:$H$19,المرجع!$B$2:$B$19,$G346,المرجع!$E$2:$E$19,$I346)</f>
        <v>1</v>
      </c>
      <c r="M346" s="15">
        <f>COUNTIFS('المرتبطة بسمو الوزير'!$B$2:$B$151,$B346,'المرتبطة بسمو الوزير'!$G$2:$G$151,$G346,'المرتبطة بسمو الوزير'!$I$2:$I$151,$I346,'المرتبطة بسمو الوزير'!$M$2:$M$151,"&lt;&gt;")+COUNTIFS('الشؤون التنفيذية'!$B$2:$B$421,$B346,'الشؤون التنفيذية'!$G$2:$G$421,$G346,'الشؤون التنفيذية'!$I$2:$I$421,$I346,'الشؤون التنفيذية'!$N$2:$N$421,"&lt;&gt;")+COUNTIFS('الجهاز العسكري'!$B$2:$B$631,$B346,'الجهاز العسكري'!$G$2:$G$631,$G346,'الجهاز العسكري'!$I$2:$I$631,$I346,'الجهاز العسكري'!$M$2:$M$631,"&lt;&gt;")</f>
        <v>1</v>
      </c>
      <c r="N346" s="19">
        <f>IF($L346=0,0,ROUND((SUMIFS('المرتبطة بسمو الوزير'!$M$2:$M$151,'المرتبطة بسمو الوزير'!$B$2:$B$151,$B346,'المرتبطة بسمو الوزير'!$G$2:$G$151,$G346,'المرتبطة بسمو الوزير'!$I$2:$I$151,$I346)+SUMIFS('الشؤون التنفيذية'!$N$2:$N$421,'الشؤون التنفيذية'!$B$2:$B$421,$B346,'الشؤون التنفيذية'!$G$2:$G$421,$G346,'الشؤون التنفيذية'!$I$2:$I$421,$I346)+SUMIFS('الجهاز العسكري'!$M$2:$M$631,'الجهاز العسكري'!$B$2:$B$631,$B346,'الجهاز العسكري'!$G$2:$G$631,$G346,'الجهاز العسكري'!$I$2:$I$631,$I346))/$L346,0))</f>
        <v>73</v>
      </c>
      <c r="O346" s="18"/>
      <c r="P346" s="15">
        <f>SUMIFS(المرجع!$G$2:$G$19,المرجع!$B$2:$B$19,$G346,المرجع!$E$2:$E$19,$I346)</f>
        <v>15</v>
      </c>
      <c r="Q346" s="20">
        <f t="shared" si="6"/>
        <v>10.95</v>
      </c>
      <c r="R346" s="21" t="str">
        <f>IF($N346&gt;المرجع!$K$3,"متقدم",IF($N346&lt;=المرجع!$K$2,"أولي","جزئي"))</f>
        <v>متقدم</v>
      </c>
    </row>
    <row r="347" spans="1:18">
      <c r="A347" s="16" t="s">
        <v>1787</v>
      </c>
      <c r="B347" s="16" t="s">
        <v>188</v>
      </c>
      <c r="C347" s="15" t="str">
        <f>IFERROR(INDEX('قائمة الوحدات'!$B$2:$B$41,MATCH($B347,'قائمة الوحدات'!$A$2:$A$41,0)),"")</f>
        <v>MIL</v>
      </c>
      <c r="D347" s="14" t="str">
        <f>IFERROR(INDEX('قائمة الوحدات'!$C$2:$C$41,MATCH($B347,'قائمة الوحدات'!$A$2:$A$41,0)),"")</f>
        <v>الجهاز العسكري</v>
      </c>
      <c r="E347" s="14" t="str">
        <f>IFERROR(INDEX('قائمة الوحدات'!$D$2:$D$41,MATCH($B347,'قائمة الوحدات'!$A$2:$A$41,0)),"")</f>
        <v>هيئة الأركان</v>
      </c>
      <c r="F347" s="14" t="str">
        <f>IFERROR(INDEX('قائمة الوحدات'!$F$2:$F$41,MATCH($B347,'قائمة الوحدات'!$A$2:$A$41,0)),"")</f>
        <v>هيئة الأركان</v>
      </c>
      <c r="G347" s="16" t="s">
        <v>43</v>
      </c>
      <c r="H347" s="14" t="str">
        <f>IFERROR(INDEX(المرجع!$A$2:$A$19,MATCH($G347,المرجع!$B$2:$B$19,0)),"")</f>
        <v>التصميم</v>
      </c>
      <c r="I347" s="16" t="s">
        <v>54</v>
      </c>
      <c r="J347" s="14" t="str">
        <f>IFERROR(INDEX(المرجع!$D$2:$D$19,MATCH($I347,المرجع!$E$2:$E$19,0)),"")</f>
        <v>التنظيم</v>
      </c>
      <c r="K347" s="15">
        <f>IFERROR(INDEX(المرجع!$F$2:$F$19,MATCH($I347,المرجع!$E$2:$E$19,0)),"")</f>
        <v>4</v>
      </c>
      <c r="L347" s="15">
        <f>SUMIFS(المرجع!$H$2:$H$19,المرجع!$B$2:$B$19,$G347,المرجع!$E$2:$E$19,$I347)</f>
        <v>1</v>
      </c>
      <c r="M347" s="15">
        <f>COUNTIFS('المرتبطة بسمو الوزير'!$B$2:$B$151,$B347,'المرتبطة بسمو الوزير'!$G$2:$G$151,$G347,'المرتبطة بسمو الوزير'!$I$2:$I$151,$I347,'المرتبطة بسمو الوزير'!$M$2:$M$151,"&lt;&gt;")+COUNTIFS('الشؤون التنفيذية'!$B$2:$B$421,$B347,'الشؤون التنفيذية'!$G$2:$G$421,$G347,'الشؤون التنفيذية'!$I$2:$I$421,$I347,'الشؤون التنفيذية'!$N$2:$N$421,"&lt;&gt;")+COUNTIFS('الجهاز العسكري'!$B$2:$B$631,$B347,'الجهاز العسكري'!$G$2:$G$631,$G347,'الجهاز العسكري'!$I$2:$I$631,$I347,'الجهاز العسكري'!$M$2:$M$631,"&lt;&gt;")</f>
        <v>1</v>
      </c>
      <c r="N347" s="19">
        <f>IF($L347=0,0,ROUND((SUMIFS('المرتبطة بسمو الوزير'!$M$2:$M$151,'المرتبطة بسمو الوزير'!$B$2:$B$151,$B347,'المرتبطة بسمو الوزير'!$G$2:$G$151,$G347,'المرتبطة بسمو الوزير'!$I$2:$I$151,$I347)+SUMIFS('الشؤون التنفيذية'!$N$2:$N$421,'الشؤون التنفيذية'!$B$2:$B$421,$B347,'الشؤون التنفيذية'!$G$2:$G$421,$G347,'الشؤون التنفيذية'!$I$2:$I$421,$I347)+SUMIFS('الجهاز العسكري'!$M$2:$M$631,'الجهاز العسكري'!$B$2:$B$631,$B347,'الجهاز العسكري'!$G$2:$G$631,$G347,'الجهاز العسكري'!$I$2:$I$631,$I347))/$L347,0))</f>
        <v>75</v>
      </c>
      <c r="O347" s="18"/>
      <c r="P347" s="15">
        <f>SUMIFS(المرجع!$G$2:$G$19,المرجع!$B$2:$B$19,$G347,المرجع!$E$2:$E$19,$I347)</f>
        <v>20</v>
      </c>
      <c r="Q347" s="20">
        <f t="shared" si="6"/>
        <v>15</v>
      </c>
      <c r="R347" s="21" t="str">
        <f>IF($N347&gt;المرجع!$K$3,"متقدم",IF($N347&lt;=المرجع!$K$2,"أولي","جزئي"))</f>
        <v>متقدم</v>
      </c>
    </row>
    <row r="348" spans="1:18">
      <c r="A348" s="16" t="s">
        <v>1788</v>
      </c>
      <c r="B348" s="16" t="s">
        <v>188</v>
      </c>
      <c r="C348" s="15" t="str">
        <f>IFERROR(INDEX('قائمة الوحدات'!$B$2:$B$41,MATCH($B348,'قائمة الوحدات'!$A$2:$A$41,0)),"")</f>
        <v>MIL</v>
      </c>
      <c r="D348" s="14" t="str">
        <f>IFERROR(INDEX('قائمة الوحدات'!$C$2:$C$41,MATCH($B348,'قائمة الوحدات'!$A$2:$A$41,0)),"")</f>
        <v>الجهاز العسكري</v>
      </c>
      <c r="E348" s="14" t="str">
        <f>IFERROR(INDEX('قائمة الوحدات'!$D$2:$D$41,MATCH($B348,'قائمة الوحدات'!$A$2:$A$41,0)),"")</f>
        <v>هيئة الأركان</v>
      </c>
      <c r="F348" s="14" t="str">
        <f>IFERROR(INDEX('قائمة الوحدات'!$F$2:$F$41,MATCH($B348,'قائمة الوحدات'!$A$2:$A$41,0)),"")</f>
        <v>هيئة الأركان</v>
      </c>
      <c r="G348" s="16" t="s">
        <v>43</v>
      </c>
      <c r="H348" s="14" t="str">
        <f>IFERROR(INDEX(المرجع!$A$2:$A$19,MATCH($G348,المرجع!$B$2:$B$19,0)),"")</f>
        <v>التصميم</v>
      </c>
      <c r="I348" s="16" t="s">
        <v>56</v>
      </c>
      <c r="J348" s="14" t="str">
        <f>IFERROR(INDEX(المرجع!$D$2:$D$19,MATCH($I348,المرجع!$E$2:$E$19,0)),"")</f>
        <v>الموارد</v>
      </c>
      <c r="K348" s="15">
        <f>IFERROR(INDEX(المرجع!$F$2:$F$19,MATCH($I348,المرجع!$E$2:$E$19,0)),"")</f>
        <v>5</v>
      </c>
      <c r="L348" s="15">
        <f>SUMIFS(المرجع!$H$2:$H$19,المرجع!$B$2:$B$19,$G348,المرجع!$E$2:$E$19,$I348)</f>
        <v>1</v>
      </c>
      <c r="M348" s="15">
        <f>COUNTIFS('المرتبطة بسمو الوزير'!$B$2:$B$151,$B348,'المرتبطة بسمو الوزير'!$G$2:$G$151,$G348,'المرتبطة بسمو الوزير'!$I$2:$I$151,$I348,'المرتبطة بسمو الوزير'!$M$2:$M$151,"&lt;&gt;")+COUNTIFS('الشؤون التنفيذية'!$B$2:$B$421,$B348,'الشؤون التنفيذية'!$G$2:$G$421,$G348,'الشؤون التنفيذية'!$I$2:$I$421,$I348,'الشؤون التنفيذية'!$N$2:$N$421,"&lt;&gt;")+COUNTIFS('الجهاز العسكري'!$B$2:$B$631,$B348,'الجهاز العسكري'!$G$2:$G$631,$G348,'الجهاز العسكري'!$I$2:$I$631,$I348,'الجهاز العسكري'!$M$2:$M$631,"&lt;&gt;")</f>
        <v>1</v>
      </c>
      <c r="N348" s="19">
        <f>IF($L348=0,0,ROUND((SUMIFS('المرتبطة بسمو الوزير'!$M$2:$M$151,'المرتبطة بسمو الوزير'!$B$2:$B$151,$B348,'المرتبطة بسمو الوزير'!$G$2:$G$151,$G348,'المرتبطة بسمو الوزير'!$I$2:$I$151,$I348)+SUMIFS('الشؤون التنفيذية'!$N$2:$N$421,'الشؤون التنفيذية'!$B$2:$B$421,$B348,'الشؤون التنفيذية'!$G$2:$G$421,$G348,'الشؤون التنفيذية'!$I$2:$I$421,$I348)+SUMIFS('الجهاز العسكري'!$M$2:$M$631,'الجهاز العسكري'!$B$2:$B$631,$B348,'الجهاز العسكري'!$G$2:$G$631,$G348,'الجهاز العسكري'!$I$2:$I$631,$I348))/$L348,0))</f>
        <v>70</v>
      </c>
      <c r="O348" s="18"/>
      <c r="P348" s="15">
        <f>SUMIFS(المرجع!$G$2:$G$19,المرجع!$B$2:$B$19,$G348,المرجع!$E$2:$E$19,$I348)</f>
        <v>20</v>
      </c>
      <c r="Q348" s="20">
        <f t="shared" si="6"/>
        <v>14</v>
      </c>
      <c r="R348" s="21" t="str">
        <f>IF($N348&gt;المرجع!$K$3,"متقدم",IF($N348&lt;=المرجع!$K$2,"أولي","جزئي"))</f>
        <v>جزئي</v>
      </c>
    </row>
    <row r="349" spans="1:18">
      <c r="A349" s="16" t="s">
        <v>1789</v>
      </c>
      <c r="B349" s="16" t="s">
        <v>188</v>
      </c>
      <c r="C349" s="15" t="str">
        <f>IFERROR(INDEX('قائمة الوحدات'!$B$2:$B$41,MATCH($B349,'قائمة الوحدات'!$A$2:$A$41,0)),"")</f>
        <v>MIL</v>
      </c>
      <c r="D349" s="14" t="str">
        <f>IFERROR(INDEX('قائمة الوحدات'!$C$2:$C$41,MATCH($B349,'قائمة الوحدات'!$A$2:$A$41,0)),"")</f>
        <v>الجهاز العسكري</v>
      </c>
      <c r="E349" s="14" t="str">
        <f>IFERROR(INDEX('قائمة الوحدات'!$D$2:$D$41,MATCH($B349,'قائمة الوحدات'!$A$2:$A$41,0)),"")</f>
        <v>هيئة الأركان</v>
      </c>
      <c r="F349" s="14" t="str">
        <f>IFERROR(INDEX('قائمة الوحدات'!$F$2:$F$41,MATCH($B349,'قائمة الوحدات'!$A$2:$A$41,0)),"")</f>
        <v>هيئة الأركان</v>
      </c>
      <c r="G349" s="16" t="s">
        <v>43</v>
      </c>
      <c r="H349" s="14" t="str">
        <f>IFERROR(INDEX(المرجع!$A$2:$A$19,MATCH($G349,المرجع!$B$2:$B$19,0)),"")</f>
        <v>التصميم</v>
      </c>
      <c r="I349" s="16" t="s">
        <v>59</v>
      </c>
      <c r="J349" s="14" t="str">
        <f>IFERROR(INDEX(المرجع!$D$2:$D$19,MATCH($I349,المرجع!$E$2:$E$19,0)),"")</f>
        <v>الإجراءات</v>
      </c>
      <c r="K349" s="15">
        <f>IFERROR(INDEX(المرجع!$F$2:$F$19,MATCH($I349,المرجع!$E$2:$E$19,0)),"")</f>
        <v>6</v>
      </c>
      <c r="L349" s="15">
        <f>SUMIFS(المرجع!$H$2:$H$19,المرجع!$B$2:$B$19,$G349,المرجع!$E$2:$E$19,$I349)</f>
        <v>1</v>
      </c>
      <c r="M349" s="15">
        <f>COUNTIFS('المرتبطة بسمو الوزير'!$B$2:$B$151,$B349,'المرتبطة بسمو الوزير'!$G$2:$G$151,$G349,'المرتبطة بسمو الوزير'!$I$2:$I$151,$I349,'المرتبطة بسمو الوزير'!$M$2:$M$151,"&lt;&gt;")+COUNTIFS('الشؤون التنفيذية'!$B$2:$B$421,$B349,'الشؤون التنفيذية'!$G$2:$G$421,$G349,'الشؤون التنفيذية'!$I$2:$I$421,$I349,'الشؤون التنفيذية'!$N$2:$N$421,"&lt;&gt;")+COUNTIFS('الجهاز العسكري'!$B$2:$B$631,$B349,'الجهاز العسكري'!$G$2:$G$631,$G349,'الجهاز العسكري'!$I$2:$I$631,$I349,'الجهاز العسكري'!$M$2:$M$631,"&lt;&gt;")</f>
        <v>1</v>
      </c>
      <c r="N349" s="19">
        <f>IF($L349=0,0,ROUND((SUMIFS('المرتبطة بسمو الوزير'!$M$2:$M$151,'المرتبطة بسمو الوزير'!$B$2:$B$151,$B349,'المرتبطة بسمو الوزير'!$G$2:$G$151,$G349,'المرتبطة بسمو الوزير'!$I$2:$I$151,$I349)+SUMIFS('الشؤون التنفيذية'!$N$2:$N$421,'الشؤون التنفيذية'!$B$2:$B$421,$B349,'الشؤون التنفيذية'!$G$2:$G$421,$G349,'الشؤون التنفيذية'!$I$2:$I$421,$I349)+SUMIFS('الجهاز العسكري'!$M$2:$M$631,'الجهاز العسكري'!$B$2:$B$631,$B349,'الجهاز العسكري'!$G$2:$G$631,$G349,'الجهاز العسكري'!$I$2:$I$631,$I349))/$L349,0))</f>
        <v>82</v>
      </c>
      <c r="O349" s="18"/>
      <c r="P349" s="15">
        <f>SUMIFS(المرجع!$G$2:$G$19,المرجع!$B$2:$B$19,$G349,المرجع!$E$2:$E$19,$I349)</f>
        <v>5</v>
      </c>
      <c r="Q349" s="20">
        <f t="shared" si="6"/>
        <v>4.0999999999999996</v>
      </c>
      <c r="R349" s="21" t="str">
        <f>IF($N349&gt;المرجع!$K$3,"متقدم",IF($N349&lt;=المرجع!$K$2,"أولي","جزئي"))</f>
        <v>متقدم</v>
      </c>
    </row>
    <row r="350" spans="1:18">
      <c r="A350" s="16" t="s">
        <v>1790</v>
      </c>
      <c r="B350" s="16" t="s">
        <v>188</v>
      </c>
      <c r="C350" s="15" t="str">
        <f>IFERROR(INDEX('قائمة الوحدات'!$B$2:$B$41,MATCH($B350,'قائمة الوحدات'!$A$2:$A$41,0)),"")</f>
        <v>MIL</v>
      </c>
      <c r="D350" s="14" t="str">
        <f>IFERROR(INDEX('قائمة الوحدات'!$C$2:$C$41,MATCH($B350,'قائمة الوحدات'!$A$2:$A$41,0)),"")</f>
        <v>الجهاز العسكري</v>
      </c>
      <c r="E350" s="14" t="str">
        <f>IFERROR(INDEX('قائمة الوحدات'!$D$2:$D$41,MATCH($B350,'قائمة الوحدات'!$A$2:$A$41,0)),"")</f>
        <v>هيئة الأركان</v>
      </c>
      <c r="F350" s="14" t="str">
        <f>IFERROR(INDEX('قائمة الوحدات'!$F$2:$F$41,MATCH($B350,'قائمة الوحدات'!$A$2:$A$41,0)),"")</f>
        <v>هيئة الأركان</v>
      </c>
      <c r="G350" s="16" t="s">
        <v>61</v>
      </c>
      <c r="H350" s="14" t="str">
        <f>IFERROR(INDEX(المرجع!$A$2:$A$19,MATCH($G350,المرجع!$B$2:$B$19,0)),"")</f>
        <v>البناء المؤسسي</v>
      </c>
      <c r="I350" s="16" t="s">
        <v>45</v>
      </c>
      <c r="J350" s="14" t="str">
        <f>IFERROR(INDEX(المرجع!$D$2:$D$19,MATCH($I350,المرجع!$E$2:$E$19,0)),"")</f>
        <v>الدور</v>
      </c>
      <c r="K350" s="15">
        <f>IFERROR(INDEX(المرجع!$F$2:$F$19,MATCH($I350,المرجع!$E$2:$E$19,0)),"")</f>
        <v>1</v>
      </c>
      <c r="L350" s="15">
        <f>SUMIFS(المرجع!$H$2:$H$19,المرجع!$B$2:$B$19,$G350,المرجع!$E$2:$E$19,$I350)</f>
        <v>1</v>
      </c>
      <c r="M350" s="15">
        <f>COUNTIFS('المرتبطة بسمو الوزير'!$B$2:$B$151,$B350,'المرتبطة بسمو الوزير'!$G$2:$G$151,$G350,'المرتبطة بسمو الوزير'!$I$2:$I$151,$I350,'المرتبطة بسمو الوزير'!$M$2:$M$151,"&lt;&gt;")+COUNTIFS('الشؤون التنفيذية'!$B$2:$B$421,$B350,'الشؤون التنفيذية'!$G$2:$G$421,$G350,'الشؤون التنفيذية'!$I$2:$I$421,$I350,'الشؤون التنفيذية'!$N$2:$N$421,"&lt;&gt;")+COUNTIFS('الجهاز العسكري'!$B$2:$B$631,$B350,'الجهاز العسكري'!$G$2:$G$631,$G350,'الجهاز العسكري'!$I$2:$I$631,$I350,'الجهاز العسكري'!$M$2:$M$631,"&lt;&gt;")</f>
        <v>1</v>
      </c>
      <c r="N350" s="19">
        <f>IF($L350=0,0,ROUND((SUMIFS('المرتبطة بسمو الوزير'!$M$2:$M$151,'المرتبطة بسمو الوزير'!$B$2:$B$151,$B350,'المرتبطة بسمو الوزير'!$G$2:$G$151,$G350,'المرتبطة بسمو الوزير'!$I$2:$I$151,$I350)+SUMIFS('الشؤون التنفيذية'!$N$2:$N$421,'الشؤون التنفيذية'!$B$2:$B$421,$B350,'الشؤون التنفيذية'!$G$2:$G$421,$G350,'الشؤون التنفيذية'!$I$2:$I$421,$I350)+SUMIFS('الجهاز العسكري'!$M$2:$M$631,'الجهاز العسكري'!$B$2:$B$631,$B350,'الجهاز العسكري'!$G$2:$G$631,$G350,'الجهاز العسكري'!$I$2:$I$631,$I350))/$L350,0))</f>
        <v>62</v>
      </c>
      <c r="O350" s="18"/>
      <c r="P350" s="15">
        <f>SUMIFS(المرجع!$G$2:$G$19,المرجع!$B$2:$B$19,$G350,المرجع!$E$2:$E$19,$I350)</f>
        <v>15</v>
      </c>
      <c r="Q350" s="20">
        <f t="shared" si="6"/>
        <v>9.3000000000000007</v>
      </c>
      <c r="R350" s="21" t="str">
        <f>IF($N350&gt;المرجع!$K$3,"متقدم",IF($N350&lt;=المرجع!$K$2,"أولي","جزئي"))</f>
        <v>جزئي</v>
      </c>
    </row>
    <row r="351" spans="1:18">
      <c r="A351" s="16" t="s">
        <v>1791</v>
      </c>
      <c r="B351" s="16" t="s">
        <v>188</v>
      </c>
      <c r="C351" s="15" t="str">
        <f>IFERROR(INDEX('قائمة الوحدات'!$B$2:$B$41,MATCH($B351,'قائمة الوحدات'!$A$2:$A$41,0)),"")</f>
        <v>MIL</v>
      </c>
      <c r="D351" s="14" t="str">
        <f>IFERROR(INDEX('قائمة الوحدات'!$C$2:$C$41,MATCH($B351,'قائمة الوحدات'!$A$2:$A$41,0)),"")</f>
        <v>الجهاز العسكري</v>
      </c>
      <c r="E351" s="14" t="str">
        <f>IFERROR(INDEX('قائمة الوحدات'!$D$2:$D$41,MATCH($B351,'قائمة الوحدات'!$A$2:$A$41,0)),"")</f>
        <v>هيئة الأركان</v>
      </c>
      <c r="F351" s="14" t="str">
        <f>IFERROR(INDEX('قائمة الوحدات'!$F$2:$F$41,MATCH($B351,'قائمة الوحدات'!$A$2:$A$41,0)),"")</f>
        <v>هيئة الأركان</v>
      </c>
      <c r="G351" s="16" t="s">
        <v>61</v>
      </c>
      <c r="H351" s="14" t="str">
        <f>IFERROR(INDEX(المرجع!$A$2:$A$19,MATCH($G351,المرجع!$B$2:$B$19,0)),"")</f>
        <v>البناء المؤسسي</v>
      </c>
      <c r="I351" s="16" t="s">
        <v>48</v>
      </c>
      <c r="J351" s="14" t="str">
        <f>IFERROR(INDEX(المرجع!$D$2:$D$19,MATCH($I351,المرجع!$E$2:$E$19,0)),"")</f>
        <v>الأهداف ومؤشرات الأداء</v>
      </c>
      <c r="K351" s="15">
        <f>IFERROR(INDEX(المرجع!$F$2:$F$19,MATCH($I351,المرجع!$E$2:$E$19,0)),"")</f>
        <v>2</v>
      </c>
      <c r="L351" s="15">
        <f>SUMIFS(المرجع!$H$2:$H$19,المرجع!$B$2:$B$19,$G351,المرجع!$E$2:$E$19,$I351)</f>
        <v>2</v>
      </c>
      <c r="M351" s="15">
        <f>COUNTIFS('المرتبطة بسمو الوزير'!$B$2:$B$151,$B351,'المرتبطة بسمو الوزير'!$G$2:$G$151,$G351,'المرتبطة بسمو الوزير'!$I$2:$I$151,$I351,'المرتبطة بسمو الوزير'!$M$2:$M$151,"&lt;&gt;")+COUNTIFS('الشؤون التنفيذية'!$B$2:$B$421,$B351,'الشؤون التنفيذية'!$G$2:$G$421,$G351,'الشؤون التنفيذية'!$I$2:$I$421,$I351,'الشؤون التنفيذية'!$N$2:$N$421,"&lt;&gt;")+COUNTIFS('الجهاز العسكري'!$B$2:$B$631,$B351,'الجهاز العسكري'!$G$2:$G$631,$G351,'الجهاز العسكري'!$I$2:$I$631,$I351,'الجهاز العسكري'!$M$2:$M$631,"&lt;&gt;")</f>
        <v>2</v>
      </c>
      <c r="N351" s="19">
        <f>IF($L351=0,0,ROUND((SUMIFS('المرتبطة بسمو الوزير'!$M$2:$M$151,'المرتبطة بسمو الوزير'!$B$2:$B$151,$B351,'المرتبطة بسمو الوزير'!$G$2:$G$151,$G351,'المرتبطة بسمو الوزير'!$I$2:$I$151,$I351)+SUMIFS('الشؤون التنفيذية'!$N$2:$N$421,'الشؤون التنفيذية'!$B$2:$B$421,$B351,'الشؤون التنفيذية'!$G$2:$G$421,$G351,'الشؤون التنفيذية'!$I$2:$I$421,$I351)+SUMIFS('الجهاز العسكري'!$M$2:$M$631,'الجهاز العسكري'!$B$2:$B$631,$B351,'الجهاز العسكري'!$G$2:$G$631,$G351,'الجهاز العسكري'!$I$2:$I$631,$I351))/$L351,0))</f>
        <v>83</v>
      </c>
      <c r="O351" s="18"/>
      <c r="P351" s="15">
        <f>SUMIFS(المرجع!$G$2:$G$19,المرجع!$B$2:$B$19,$G351,المرجع!$E$2:$E$19,$I351)</f>
        <v>15</v>
      </c>
      <c r="Q351" s="20">
        <f t="shared" si="6"/>
        <v>12.45</v>
      </c>
      <c r="R351" s="21" t="str">
        <f>IF($N351&gt;المرجع!$K$3,"متقدم",IF($N351&lt;=المرجع!$K$2,"أولي","جزئي"))</f>
        <v>متقدم</v>
      </c>
    </row>
    <row r="352" spans="1:18">
      <c r="A352" s="16" t="s">
        <v>1792</v>
      </c>
      <c r="B352" s="16" t="s">
        <v>188</v>
      </c>
      <c r="C352" s="15" t="str">
        <f>IFERROR(INDEX('قائمة الوحدات'!$B$2:$B$41,MATCH($B352,'قائمة الوحدات'!$A$2:$A$41,0)),"")</f>
        <v>MIL</v>
      </c>
      <c r="D352" s="14" t="str">
        <f>IFERROR(INDEX('قائمة الوحدات'!$C$2:$C$41,MATCH($B352,'قائمة الوحدات'!$A$2:$A$41,0)),"")</f>
        <v>الجهاز العسكري</v>
      </c>
      <c r="E352" s="14" t="str">
        <f>IFERROR(INDEX('قائمة الوحدات'!$D$2:$D$41,MATCH($B352,'قائمة الوحدات'!$A$2:$A$41,0)),"")</f>
        <v>هيئة الأركان</v>
      </c>
      <c r="F352" s="14" t="str">
        <f>IFERROR(INDEX('قائمة الوحدات'!$F$2:$F$41,MATCH($B352,'قائمة الوحدات'!$A$2:$A$41,0)),"")</f>
        <v>هيئة الأركان</v>
      </c>
      <c r="G352" s="16" t="s">
        <v>61</v>
      </c>
      <c r="H352" s="14" t="str">
        <f>IFERROR(INDEX(المرجع!$A$2:$A$19,MATCH($G352,المرجع!$B$2:$B$19,0)),"")</f>
        <v>البناء المؤسسي</v>
      </c>
      <c r="I352" s="16" t="s">
        <v>51</v>
      </c>
      <c r="J352" s="14" t="str">
        <f>IFERROR(INDEX(المرجع!$D$2:$D$19,MATCH($I352,المرجع!$E$2:$E$19,0)),"")</f>
        <v>الحوكمة</v>
      </c>
      <c r="K352" s="15">
        <f>IFERROR(INDEX(المرجع!$F$2:$F$19,MATCH($I352,المرجع!$E$2:$E$19,0)),"")</f>
        <v>3</v>
      </c>
      <c r="L352" s="15">
        <f>SUMIFS(المرجع!$H$2:$H$19,المرجع!$B$2:$B$19,$G352,المرجع!$E$2:$E$19,$I352)</f>
        <v>3</v>
      </c>
      <c r="M352" s="15">
        <f>COUNTIFS('المرتبطة بسمو الوزير'!$B$2:$B$151,$B352,'المرتبطة بسمو الوزير'!$G$2:$G$151,$G352,'المرتبطة بسمو الوزير'!$I$2:$I$151,$I352,'المرتبطة بسمو الوزير'!$M$2:$M$151,"&lt;&gt;")+COUNTIFS('الشؤون التنفيذية'!$B$2:$B$421,$B352,'الشؤون التنفيذية'!$G$2:$G$421,$G352,'الشؤون التنفيذية'!$I$2:$I$421,$I352,'الشؤون التنفيذية'!$N$2:$N$421,"&lt;&gt;")+COUNTIFS('الجهاز العسكري'!$B$2:$B$631,$B352,'الجهاز العسكري'!$G$2:$G$631,$G352,'الجهاز العسكري'!$I$2:$I$631,$I352,'الجهاز العسكري'!$M$2:$M$631,"&lt;&gt;")</f>
        <v>3</v>
      </c>
      <c r="N352" s="19">
        <f>IF($L352=0,0,ROUND((SUMIFS('المرتبطة بسمو الوزير'!$M$2:$M$151,'المرتبطة بسمو الوزير'!$B$2:$B$151,$B352,'المرتبطة بسمو الوزير'!$G$2:$G$151,$G352,'المرتبطة بسمو الوزير'!$I$2:$I$151,$I352)+SUMIFS('الشؤون التنفيذية'!$N$2:$N$421,'الشؤون التنفيذية'!$B$2:$B$421,$B352,'الشؤون التنفيذية'!$G$2:$G$421,$G352,'الشؤون التنفيذية'!$I$2:$I$421,$I352)+SUMIFS('الجهاز العسكري'!$M$2:$M$631,'الجهاز العسكري'!$B$2:$B$631,$B352,'الجهاز العسكري'!$G$2:$G$631,$G352,'الجهاز العسكري'!$I$2:$I$631,$I352))/$L352,0))</f>
        <v>73</v>
      </c>
      <c r="O352" s="18"/>
      <c r="P352" s="15">
        <f>SUMIFS(المرجع!$G$2:$G$19,المرجع!$B$2:$B$19,$G352,المرجع!$E$2:$E$19,$I352)</f>
        <v>15</v>
      </c>
      <c r="Q352" s="20">
        <f t="shared" si="6"/>
        <v>10.95</v>
      </c>
      <c r="R352" s="21" t="str">
        <f>IF($N352&gt;المرجع!$K$3,"متقدم",IF($N352&lt;=المرجع!$K$2,"أولي","جزئي"))</f>
        <v>متقدم</v>
      </c>
    </row>
    <row r="353" spans="1:18">
      <c r="A353" s="16" t="s">
        <v>1793</v>
      </c>
      <c r="B353" s="16" t="s">
        <v>188</v>
      </c>
      <c r="C353" s="15" t="str">
        <f>IFERROR(INDEX('قائمة الوحدات'!$B$2:$B$41,MATCH($B353,'قائمة الوحدات'!$A$2:$A$41,0)),"")</f>
        <v>MIL</v>
      </c>
      <c r="D353" s="14" t="str">
        <f>IFERROR(INDEX('قائمة الوحدات'!$C$2:$C$41,MATCH($B353,'قائمة الوحدات'!$A$2:$A$41,0)),"")</f>
        <v>الجهاز العسكري</v>
      </c>
      <c r="E353" s="14" t="str">
        <f>IFERROR(INDEX('قائمة الوحدات'!$D$2:$D$41,MATCH($B353,'قائمة الوحدات'!$A$2:$A$41,0)),"")</f>
        <v>هيئة الأركان</v>
      </c>
      <c r="F353" s="14" t="str">
        <f>IFERROR(INDEX('قائمة الوحدات'!$F$2:$F$41,MATCH($B353,'قائمة الوحدات'!$A$2:$A$41,0)),"")</f>
        <v>هيئة الأركان</v>
      </c>
      <c r="G353" s="16" t="s">
        <v>61</v>
      </c>
      <c r="H353" s="14" t="str">
        <f>IFERROR(INDEX(المرجع!$A$2:$A$19,MATCH($G353,المرجع!$B$2:$B$19,0)),"")</f>
        <v>البناء المؤسسي</v>
      </c>
      <c r="I353" s="16" t="s">
        <v>54</v>
      </c>
      <c r="J353" s="14" t="str">
        <f>IFERROR(INDEX(المرجع!$D$2:$D$19,MATCH($I353,المرجع!$E$2:$E$19,0)),"")</f>
        <v>التنظيم</v>
      </c>
      <c r="K353" s="15">
        <f>IFERROR(INDEX(المرجع!$F$2:$F$19,MATCH($I353,المرجع!$E$2:$E$19,0)),"")</f>
        <v>4</v>
      </c>
      <c r="L353" s="15">
        <f>SUMIFS(المرجع!$H$2:$H$19,المرجع!$B$2:$B$19,$G353,المرجع!$E$2:$E$19,$I353)</f>
        <v>3</v>
      </c>
      <c r="M353" s="15">
        <f>COUNTIFS('المرتبطة بسمو الوزير'!$B$2:$B$151,$B353,'المرتبطة بسمو الوزير'!$G$2:$G$151,$G353,'المرتبطة بسمو الوزير'!$I$2:$I$151,$I353,'المرتبطة بسمو الوزير'!$M$2:$M$151,"&lt;&gt;")+COUNTIFS('الشؤون التنفيذية'!$B$2:$B$421,$B353,'الشؤون التنفيذية'!$G$2:$G$421,$G353,'الشؤون التنفيذية'!$I$2:$I$421,$I353,'الشؤون التنفيذية'!$N$2:$N$421,"&lt;&gt;")+COUNTIFS('الجهاز العسكري'!$B$2:$B$631,$B353,'الجهاز العسكري'!$G$2:$G$631,$G353,'الجهاز العسكري'!$I$2:$I$631,$I353,'الجهاز العسكري'!$M$2:$M$631,"&lt;&gt;")</f>
        <v>3</v>
      </c>
      <c r="N353" s="19">
        <f>IF($L353=0,0,ROUND((SUMIFS('المرتبطة بسمو الوزير'!$M$2:$M$151,'المرتبطة بسمو الوزير'!$B$2:$B$151,$B353,'المرتبطة بسمو الوزير'!$G$2:$G$151,$G353,'المرتبطة بسمو الوزير'!$I$2:$I$151,$I353)+SUMIFS('الشؤون التنفيذية'!$N$2:$N$421,'الشؤون التنفيذية'!$B$2:$B$421,$B353,'الشؤون التنفيذية'!$G$2:$G$421,$G353,'الشؤون التنفيذية'!$I$2:$I$421,$I353)+SUMIFS('الجهاز العسكري'!$M$2:$M$631,'الجهاز العسكري'!$B$2:$B$631,$B353,'الجهاز العسكري'!$G$2:$G$631,$G353,'الجهاز العسكري'!$I$2:$I$631,$I353))/$L353,0))</f>
        <v>63</v>
      </c>
      <c r="O353" s="18"/>
      <c r="P353" s="15">
        <f>SUMIFS(المرجع!$G$2:$G$19,المرجع!$B$2:$B$19,$G353,المرجع!$E$2:$E$19,$I353)</f>
        <v>20</v>
      </c>
      <c r="Q353" s="20">
        <f t="shared" si="6"/>
        <v>12.6</v>
      </c>
      <c r="R353" s="21" t="str">
        <f>IF($N353&gt;المرجع!$K$3,"متقدم",IF($N353&lt;=المرجع!$K$2,"أولي","جزئي"))</f>
        <v>جزئي</v>
      </c>
    </row>
    <row r="354" spans="1:18">
      <c r="A354" s="16" t="s">
        <v>1794</v>
      </c>
      <c r="B354" s="16" t="s">
        <v>188</v>
      </c>
      <c r="C354" s="15" t="str">
        <f>IFERROR(INDEX('قائمة الوحدات'!$B$2:$B$41,MATCH($B354,'قائمة الوحدات'!$A$2:$A$41,0)),"")</f>
        <v>MIL</v>
      </c>
      <c r="D354" s="14" t="str">
        <f>IFERROR(INDEX('قائمة الوحدات'!$C$2:$C$41,MATCH($B354,'قائمة الوحدات'!$A$2:$A$41,0)),"")</f>
        <v>الجهاز العسكري</v>
      </c>
      <c r="E354" s="14" t="str">
        <f>IFERROR(INDEX('قائمة الوحدات'!$D$2:$D$41,MATCH($B354,'قائمة الوحدات'!$A$2:$A$41,0)),"")</f>
        <v>هيئة الأركان</v>
      </c>
      <c r="F354" s="14" t="str">
        <f>IFERROR(INDEX('قائمة الوحدات'!$F$2:$F$41,MATCH($B354,'قائمة الوحدات'!$A$2:$A$41,0)),"")</f>
        <v>هيئة الأركان</v>
      </c>
      <c r="G354" s="16" t="s">
        <v>61</v>
      </c>
      <c r="H354" s="14" t="str">
        <f>IFERROR(INDEX(المرجع!$A$2:$A$19,MATCH($G354,المرجع!$B$2:$B$19,0)),"")</f>
        <v>البناء المؤسسي</v>
      </c>
      <c r="I354" s="16" t="s">
        <v>56</v>
      </c>
      <c r="J354" s="14" t="str">
        <f>IFERROR(INDEX(المرجع!$D$2:$D$19,MATCH($I354,المرجع!$E$2:$E$19,0)),"")</f>
        <v>الموارد</v>
      </c>
      <c r="K354" s="15">
        <f>IFERROR(INDEX(المرجع!$F$2:$F$19,MATCH($I354,المرجع!$E$2:$E$19,0)),"")</f>
        <v>5</v>
      </c>
      <c r="L354" s="15">
        <f>SUMIFS(المرجع!$H$2:$H$19,المرجع!$B$2:$B$19,$G354,المرجع!$E$2:$E$19,$I354)</f>
        <v>4</v>
      </c>
      <c r="M354" s="15">
        <f>COUNTIFS('المرتبطة بسمو الوزير'!$B$2:$B$151,$B354,'المرتبطة بسمو الوزير'!$G$2:$G$151,$G354,'المرتبطة بسمو الوزير'!$I$2:$I$151,$I354,'المرتبطة بسمو الوزير'!$M$2:$M$151,"&lt;&gt;")+COUNTIFS('الشؤون التنفيذية'!$B$2:$B$421,$B354,'الشؤون التنفيذية'!$G$2:$G$421,$G354,'الشؤون التنفيذية'!$I$2:$I$421,$I354,'الشؤون التنفيذية'!$N$2:$N$421,"&lt;&gt;")+COUNTIFS('الجهاز العسكري'!$B$2:$B$631,$B354,'الجهاز العسكري'!$G$2:$G$631,$G354,'الجهاز العسكري'!$I$2:$I$631,$I354,'الجهاز العسكري'!$M$2:$M$631,"&lt;&gt;")</f>
        <v>4</v>
      </c>
      <c r="N354" s="19">
        <f>IF($L354=0,0,ROUND((SUMIFS('المرتبطة بسمو الوزير'!$M$2:$M$151,'المرتبطة بسمو الوزير'!$B$2:$B$151,$B354,'المرتبطة بسمو الوزير'!$G$2:$G$151,$G354,'المرتبطة بسمو الوزير'!$I$2:$I$151,$I354)+SUMIFS('الشؤون التنفيذية'!$N$2:$N$421,'الشؤون التنفيذية'!$B$2:$B$421,$B354,'الشؤون التنفيذية'!$G$2:$G$421,$G354,'الشؤون التنفيذية'!$I$2:$I$421,$I354)+SUMIFS('الجهاز العسكري'!$M$2:$M$631,'الجهاز العسكري'!$B$2:$B$631,$B354,'الجهاز العسكري'!$G$2:$G$631,$G354,'الجهاز العسكري'!$I$2:$I$631,$I354))/$L354,0))</f>
        <v>43</v>
      </c>
      <c r="O354" s="18"/>
      <c r="P354" s="15">
        <f>SUMIFS(المرجع!$G$2:$G$19,المرجع!$B$2:$B$19,$G354,المرجع!$E$2:$E$19,$I354)</f>
        <v>25</v>
      </c>
      <c r="Q354" s="20">
        <f t="shared" si="6"/>
        <v>10.75</v>
      </c>
      <c r="R354" s="21" t="str">
        <f>IF($N354&gt;المرجع!$K$3,"متقدم",IF($N354&lt;=المرجع!$K$2,"أولي","جزئي"))</f>
        <v>جزئي</v>
      </c>
    </row>
    <row r="355" spans="1:18">
      <c r="A355" s="16" t="s">
        <v>1795</v>
      </c>
      <c r="B355" s="16" t="s">
        <v>188</v>
      </c>
      <c r="C355" s="15" t="str">
        <f>IFERROR(INDEX('قائمة الوحدات'!$B$2:$B$41,MATCH($B355,'قائمة الوحدات'!$A$2:$A$41,0)),"")</f>
        <v>MIL</v>
      </c>
      <c r="D355" s="14" t="str">
        <f>IFERROR(INDEX('قائمة الوحدات'!$C$2:$C$41,MATCH($B355,'قائمة الوحدات'!$A$2:$A$41,0)),"")</f>
        <v>الجهاز العسكري</v>
      </c>
      <c r="E355" s="14" t="str">
        <f>IFERROR(INDEX('قائمة الوحدات'!$D$2:$D$41,MATCH($B355,'قائمة الوحدات'!$A$2:$A$41,0)),"")</f>
        <v>هيئة الأركان</v>
      </c>
      <c r="F355" s="14" t="str">
        <f>IFERROR(INDEX('قائمة الوحدات'!$F$2:$F$41,MATCH($B355,'قائمة الوحدات'!$A$2:$A$41,0)),"")</f>
        <v>هيئة الأركان</v>
      </c>
      <c r="G355" s="16" t="s">
        <v>61</v>
      </c>
      <c r="H355" s="14" t="str">
        <f>IFERROR(INDEX(المرجع!$A$2:$A$19,MATCH($G355,المرجع!$B$2:$B$19,0)),"")</f>
        <v>البناء المؤسسي</v>
      </c>
      <c r="I355" s="16" t="s">
        <v>59</v>
      </c>
      <c r="J355" s="14" t="str">
        <f>IFERROR(INDEX(المرجع!$D$2:$D$19,MATCH($I355,المرجع!$E$2:$E$19,0)),"")</f>
        <v>الإجراءات</v>
      </c>
      <c r="K355" s="15">
        <f>IFERROR(INDEX(المرجع!$F$2:$F$19,MATCH($I355,المرجع!$E$2:$E$19,0)),"")</f>
        <v>6</v>
      </c>
      <c r="L355" s="15">
        <f>SUMIFS(المرجع!$H$2:$H$19,المرجع!$B$2:$B$19,$G355,المرجع!$E$2:$E$19,$I355)</f>
        <v>1</v>
      </c>
      <c r="M355" s="15">
        <f>COUNTIFS('المرتبطة بسمو الوزير'!$B$2:$B$151,$B355,'المرتبطة بسمو الوزير'!$G$2:$G$151,$G355,'المرتبطة بسمو الوزير'!$I$2:$I$151,$I355,'المرتبطة بسمو الوزير'!$M$2:$M$151,"&lt;&gt;")+COUNTIFS('الشؤون التنفيذية'!$B$2:$B$421,$B355,'الشؤون التنفيذية'!$G$2:$G$421,$G355,'الشؤون التنفيذية'!$I$2:$I$421,$I355,'الشؤون التنفيذية'!$N$2:$N$421,"&lt;&gt;")+COUNTIFS('الجهاز العسكري'!$B$2:$B$631,$B355,'الجهاز العسكري'!$G$2:$G$631,$G355,'الجهاز العسكري'!$I$2:$I$631,$I355,'الجهاز العسكري'!$M$2:$M$631,"&lt;&gt;")</f>
        <v>1</v>
      </c>
      <c r="N355" s="19">
        <f>IF($L355=0,0,ROUND((SUMIFS('المرتبطة بسمو الوزير'!$M$2:$M$151,'المرتبطة بسمو الوزير'!$B$2:$B$151,$B355,'المرتبطة بسمو الوزير'!$G$2:$G$151,$G355,'المرتبطة بسمو الوزير'!$I$2:$I$151,$I355)+SUMIFS('الشؤون التنفيذية'!$N$2:$N$421,'الشؤون التنفيذية'!$B$2:$B$421,$B355,'الشؤون التنفيذية'!$G$2:$G$421,$G355,'الشؤون التنفيذية'!$I$2:$I$421,$I355)+SUMIFS('الجهاز العسكري'!$M$2:$M$631,'الجهاز العسكري'!$B$2:$B$631,$B355,'الجهاز العسكري'!$G$2:$G$631,$G355,'الجهاز العسكري'!$I$2:$I$631,$I355))/$L355,0))</f>
        <v>68</v>
      </c>
      <c r="O355" s="18"/>
      <c r="P355" s="15">
        <f>SUMIFS(المرجع!$G$2:$G$19,المرجع!$B$2:$B$19,$G355,المرجع!$E$2:$E$19,$I355)</f>
        <v>5</v>
      </c>
      <c r="Q355" s="20">
        <f t="shared" si="6"/>
        <v>3.4</v>
      </c>
      <c r="R355" s="21" t="str">
        <f>IF($N355&gt;المرجع!$K$3,"متقدم",IF($N355&lt;=المرجع!$K$2,"أولي","جزئي"))</f>
        <v>جزئي</v>
      </c>
    </row>
    <row r="356" spans="1:18">
      <c r="A356" s="16" t="s">
        <v>1796</v>
      </c>
      <c r="B356" s="16" t="s">
        <v>188</v>
      </c>
      <c r="C356" s="15" t="str">
        <f>IFERROR(INDEX('قائمة الوحدات'!$B$2:$B$41,MATCH($B356,'قائمة الوحدات'!$A$2:$A$41,0)),"")</f>
        <v>MIL</v>
      </c>
      <c r="D356" s="14" t="str">
        <f>IFERROR(INDEX('قائمة الوحدات'!$C$2:$C$41,MATCH($B356,'قائمة الوحدات'!$A$2:$A$41,0)),"")</f>
        <v>الجهاز العسكري</v>
      </c>
      <c r="E356" s="14" t="str">
        <f>IFERROR(INDEX('قائمة الوحدات'!$D$2:$D$41,MATCH($B356,'قائمة الوحدات'!$A$2:$A$41,0)),"")</f>
        <v>هيئة الأركان</v>
      </c>
      <c r="F356" s="14" t="str">
        <f>IFERROR(INDEX('قائمة الوحدات'!$F$2:$F$41,MATCH($B356,'قائمة الوحدات'!$A$2:$A$41,0)),"")</f>
        <v>هيئة الأركان</v>
      </c>
      <c r="G356" s="16" t="s">
        <v>61</v>
      </c>
      <c r="H356" s="14" t="str">
        <f>IFERROR(INDEX(المرجع!$A$2:$A$19,MATCH($G356,المرجع!$B$2:$B$19,0)),"")</f>
        <v>البناء المؤسسي</v>
      </c>
      <c r="I356" s="16" t="s">
        <v>63</v>
      </c>
      <c r="J356" s="14" t="str">
        <f>IFERROR(INDEX(المرجع!$D$2:$D$19,MATCH($I356,المرجع!$E$2:$E$19,0)),"")</f>
        <v>إنتاج المخرج الأول</v>
      </c>
      <c r="K356" s="15">
        <f>IFERROR(INDEX(المرجع!$F$2:$F$19,MATCH($I356,المرجع!$E$2:$E$19,0)),"")</f>
        <v>7</v>
      </c>
      <c r="L356" s="15">
        <f>SUMIFS(المرجع!$H$2:$H$19,المرجع!$B$2:$B$19,$G356,المرجع!$E$2:$E$19,$I356)</f>
        <v>1</v>
      </c>
      <c r="M356" s="15">
        <f>COUNTIFS('المرتبطة بسمو الوزير'!$B$2:$B$151,$B356,'المرتبطة بسمو الوزير'!$G$2:$G$151,$G356,'المرتبطة بسمو الوزير'!$I$2:$I$151,$I356,'المرتبطة بسمو الوزير'!$M$2:$M$151,"&lt;&gt;")+COUNTIFS('الشؤون التنفيذية'!$B$2:$B$421,$B356,'الشؤون التنفيذية'!$G$2:$G$421,$G356,'الشؤون التنفيذية'!$I$2:$I$421,$I356,'الشؤون التنفيذية'!$N$2:$N$421,"&lt;&gt;")+COUNTIFS('الجهاز العسكري'!$B$2:$B$631,$B356,'الجهاز العسكري'!$G$2:$G$631,$G356,'الجهاز العسكري'!$I$2:$I$631,$I356,'الجهاز العسكري'!$M$2:$M$631,"&lt;&gt;")</f>
        <v>1</v>
      </c>
      <c r="N356" s="19">
        <f>IF($L356=0,0,ROUND((SUMIFS('المرتبطة بسمو الوزير'!$M$2:$M$151,'المرتبطة بسمو الوزير'!$B$2:$B$151,$B356,'المرتبطة بسمو الوزير'!$G$2:$G$151,$G356,'المرتبطة بسمو الوزير'!$I$2:$I$151,$I356)+SUMIFS('الشؤون التنفيذية'!$N$2:$N$421,'الشؤون التنفيذية'!$B$2:$B$421,$B356,'الشؤون التنفيذية'!$G$2:$G$421,$G356,'الشؤون التنفيذية'!$I$2:$I$421,$I356)+SUMIFS('الجهاز العسكري'!$M$2:$M$631,'الجهاز العسكري'!$B$2:$B$631,$B356,'الجهاز العسكري'!$G$2:$G$631,$G356,'الجهاز العسكري'!$I$2:$I$631,$I356))/$L356,0))</f>
        <v>43</v>
      </c>
      <c r="O356" s="18"/>
      <c r="P356" s="15">
        <f>SUMIFS(المرجع!$G$2:$G$19,المرجع!$B$2:$B$19,$G356,المرجع!$E$2:$E$19,$I356)</f>
        <v>5</v>
      </c>
      <c r="Q356" s="20">
        <f t="shared" si="6"/>
        <v>2.15</v>
      </c>
      <c r="R356" s="21" t="str">
        <f>IF($N356&gt;المرجع!$K$3,"متقدم",IF($N356&lt;=المرجع!$K$2,"أولي","جزئي"))</f>
        <v>جزئي</v>
      </c>
    </row>
    <row r="357" spans="1:18">
      <c r="A357" s="16" t="s">
        <v>1797</v>
      </c>
      <c r="B357" s="16" t="s">
        <v>188</v>
      </c>
      <c r="C357" s="15" t="str">
        <f>IFERROR(INDEX('قائمة الوحدات'!$B$2:$B$41,MATCH($B357,'قائمة الوحدات'!$A$2:$A$41,0)),"")</f>
        <v>MIL</v>
      </c>
      <c r="D357" s="14" t="str">
        <f>IFERROR(INDEX('قائمة الوحدات'!$C$2:$C$41,MATCH($B357,'قائمة الوحدات'!$A$2:$A$41,0)),"")</f>
        <v>الجهاز العسكري</v>
      </c>
      <c r="E357" s="14" t="str">
        <f>IFERROR(INDEX('قائمة الوحدات'!$D$2:$D$41,MATCH($B357,'قائمة الوحدات'!$A$2:$A$41,0)),"")</f>
        <v>هيئة الأركان</v>
      </c>
      <c r="F357" s="14" t="str">
        <f>IFERROR(INDEX('قائمة الوحدات'!$F$2:$F$41,MATCH($B357,'قائمة الوحدات'!$A$2:$A$41,0)),"")</f>
        <v>هيئة الأركان</v>
      </c>
      <c r="G357" s="16" t="s">
        <v>65</v>
      </c>
      <c r="H357" s="14" t="str">
        <f>IFERROR(INDEX(المرجع!$A$2:$A$19,MATCH($G357,المرجع!$B$2:$B$19,0)),"")</f>
        <v>التشغيل</v>
      </c>
      <c r="I357" s="16" t="s">
        <v>48</v>
      </c>
      <c r="J357" s="14" t="str">
        <f>IFERROR(INDEX(المرجع!$D$2:$D$19,MATCH($I357,المرجع!$E$2:$E$19,0)),"")</f>
        <v>الأهداف ومؤشرات الأداء</v>
      </c>
      <c r="K357" s="15">
        <f>IFERROR(INDEX(المرجع!$F$2:$F$19,MATCH($I357,المرجع!$E$2:$E$19,0)),"")</f>
        <v>2</v>
      </c>
      <c r="L357" s="15">
        <f>SUMIFS(المرجع!$H$2:$H$19,المرجع!$B$2:$B$19,$G357,المرجع!$E$2:$E$19,$I357)</f>
        <v>2</v>
      </c>
      <c r="M357" s="15">
        <f>COUNTIFS('المرتبطة بسمو الوزير'!$B$2:$B$151,$B357,'المرتبطة بسمو الوزير'!$G$2:$G$151,$G357,'المرتبطة بسمو الوزير'!$I$2:$I$151,$I357,'المرتبطة بسمو الوزير'!$M$2:$M$151,"&lt;&gt;")+COUNTIFS('الشؤون التنفيذية'!$B$2:$B$421,$B357,'الشؤون التنفيذية'!$G$2:$G$421,$G357,'الشؤون التنفيذية'!$I$2:$I$421,$I357,'الشؤون التنفيذية'!$N$2:$N$421,"&lt;&gt;")+COUNTIFS('الجهاز العسكري'!$B$2:$B$631,$B357,'الجهاز العسكري'!$G$2:$G$631,$G357,'الجهاز العسكري'!$I$2:$I$631,$I357,'الجهاز العسكري'!$M$2:$M$631,"&lt;&gt;")</f>
        <v>2</v>
      </c>
      <c r="N357" s="19">
        <f>IF($L357=0,0,ROUND((SUMIFS('المرتبطة بسمو الوزير'!$M$2:$M$151,'المرتبطة بسمو الوزير'!$B$2:$B$151,$B357,'المرتبطة بسمو الوزير'!$G$2:$G$151,$G357,'المرتبطة بسمو الوزير'!$I$2:$I$151,$I357)+SUMIFS('الشؤون التنفيذية'!$N$2:$N$421,'الشؤون التنفيذية'!$B$2:$B$421,$B357,'الشؤون التنفيذية'!$G$2:$G$421,$G357,'الشؤون التنفيذية'!$I$2:$I$421,$I357)+SUMIFS('الجهاز العسكري'!$M$2:$M$631,'الجهاز العسكري'!$B$2:$B$631,$B357,'الجهاز العسكري'!$G$2:$G$631,$G357,'الجهاز العسكري'!$I$2:$I$631,$I357))/$L357,0))</f>
        <v>25</v>
      </c>
      <c r="O357" s="18"/>
      <c r="P357" s="15">
        <f>SUMIFS(المرجع!$G$2:$G$19,المرجع!$B$2:$B$19,$G357,المرجع!$E$2:$E$19,$I357)</f>
        <v>25</v>
      </c>
      <c r="Q357" s="20">
        <f t="shared" si="6"/>
        <v>6.25</v>
      </c>
      <c r="R357" s="21" t="str">
        <f>IF($N357&gt;المرجع!$K$3,"متقدم",IF($N357&lt;=المرجع!$K$2,"أولي","جزئي"))</f>
        <v>أولي</v>
      </c>
    </row>
    <row r="358" spans="1:18">
      <c r="A358" s="16" t="s">
        <v>1798</v>
      </c>
      <c r="B358" s="16" t="s">
        <v>188</v>
      </c>
      <c r="C358" s="15" t="str">
        <f>IFERROR(INDEX('قائمة الوحدات'!$B$2:$B$41,MATCH($B358,'قائمة الوحدات'!$A$2:$A$41,0)),"")</f>
        <v>MIL</v>
      </c>
      <c r="D358" s="14" t="str">
        <f>IFERROR(INDEX('قائمة الوحدات'!$C$2:$C$41,MATCH($B358,'قائمة الوحدات'!$A$2:$A$41,0)),"")</f>
        <v>الجهاز العسكري</v>
      </c>
      <c r="E358" s="14" t="str">
        <f>IFERROR(INDEX('قائمة الوحدات'!$D$2:$D$41,MATCH($B358,'قائمة الوحدات'!$A$2:$A$41,0)),"")</f>
        <v>هيئة الأركان</v>
      </c>
      <c r="F358" s="14" t="str">
        <f>IFERROR(INDEX('قائمة الوحدات'!$F$2:$F$41,MATCH($B358,'قائمة الوحدات'!$A$2:$A$41,0)),"")</f>
        <v>هيئة الأركان</v>
      </c>
      <c r="G358" s="16" t="s">
        <v>65</v>
      </c>
      <c r="H358" s="14" t="str">
        <f>IFERROR(INDEX(المرجع!$A$2:$A$19,MATCH($G358,المرجع!$B$2:$B$19,0)),"")</f>
        <v>التشغيل</v>
      </c>
      <c r="I358" s="16" t="s">
        <v>51</v>
      </c>
      <c r="J358" s="14" t="str">
        <f>IFERROR(INDEX(المرجع!$D$2:$D$19,MATCH($I358,المرجع!$E$2:$E$19,0)),"")</f>
        <v>الحوكمة</v>
      </c>
      <c r="K358" s="15">
        <f>IFERROR(INDEX(المرجع!$F$2:$F$19,MATCH($I358,المرجع!$E$2:$E$19,0)),"")</f>
        <v>3</v>
      </c>
      <c r="L358" s="15">
        <f>SUMIFS(المرجع!$H$2:$H$19,المرجع!$B$2:$B$19,$G358,المرجع!$E$2:$E$19,$I358)</f>
        <v>3</v>
      </c>
      <c r="M358" s="15">
        <f>COUNTIFS('المرتبطة بسمو الوزير'!$B$2:$B$151,$B358,'المرتبطة بسمو الوزير'!$G$2:$G$151,$G358,'المرتبطة بسمو الوزير'!$I$2:$I$151,$I358,'المرتبطة بسمو الوزير'!$M$2:$M$151,"&lt;&gt;")+COUNTIFS('الشؤون التنفيذية'!$B$2:$B$421,$B358,'الشؤون التنفيذية'!$G$2:$G$421,$G358,'الشؤون التنفيذية'!$I$2:$I$421,$I358,'الشؤون التنفيذية'!$N$2:$N$421,"&lt;&gt;")+COUNTIFS('الجهاز العسكري'!$B$2:$B$631,$B358,'الجهاز العسكري'!$G$2:$G$631,$G358,'الجهاز العسكري'!$I$2:$I$631,$I358,'الجهاز العسكري'!$M$2:$M$631,"&lt;&gt;")</f>
        <v>3</v>
      </c>
      <c r="N358" s="19">
        <f>IF($L358=0,0,ROUND((SUMIFS('المرتبطة بسمو الوزير'!$M$2:$M$151,'المرتبطة بسمو الوزير'!$B$2:$B$151,$B358,'المرتبطة بسمو الوزير'!$G$2:$G$151,$G358,'المرتبطة بسمو الوزير'!$I$2:$I$151,$I358)+SUMIFS('الشؤون التنفيذية'!$N$2:$N$421,'الشؤون التنفيذية'!$B$2:$B$421,$B358,'الشؤون التنفيذية'!$G$2:$G$421,$G358,'الشؤون التنفيذية'!$I$2:$I$421,$I358)+SUMIFS('الجهاز العسكري'!$M$2:$M$631,'الجهاز العسكري'!$B$2:$B$631,$B358,'الجهاز العسكري'!$G$2:$G$631,$G358,'الجهاز العسكري'!$I$2:$I$631,$I358))/$L358,0))</f>
        <v>35</v>
      </c>
      <c r="O358" s="18"/>
      <c r="P358" s="15">
        <f>SUMIFS(المرجع!$G$2:$G$19,المرجع!$B$2:$B$19,$G358,المرجع!$E$2:$E$19,$I358)</f>
        <v>15</v>
      </c>
      <c r="Q358" s="20">
        <f t="shared" si="6"/>
        <v>5.25</v>
      </c>
      <c r="R358" s="21" t="str">
        <f>IF($N358&gt;المرجع!$K$3,"متقدم",IF($N358&lt;=المرجع!$K$2,"أولي","جزئي"))</f>
        <v>جزئي</v>
      </c>
    </row>
    <row r="359" spans="1:18">
      <c r="A359" s="16" t="s">
        <v>1799</v>
      </c>
      <c r="B359" s="16" t="s">
        <v>188</v>
      </c>
      <c r="C359" s="15" t="str">
        <f>IFERROR(INDEX('قائمة الوحدات'!$B$2:$B$41,MATCH($B359,'قائمة الوحدات'!$A$2:$A$41,0)),"")</f>
        <v>MIL</v>
      </c>
      <c r="D359" s="14" t="str">
        <f>IFERROR(INDEX('قائمة الوحدات'!$C$2:$C$41,MATCH($B359,'قائمة الوحدات'!$A$2:$A$41,0)),"")</f>
        <v>الجهاز العسكري</v>
      </c>
      <c r="E359" s="14" t="str">
        <f>IFERROR(INDEX('قائمة الوحدات'!$D$2:$D$41,MATCH($B359,'قائمة الوحدات'!$A$2:$A$41,0)),"")</f>
        <v>هيئة الأركان</v>
      </c>
      <c r="F359" s="14" t="str">
        <f>IFERROR(INDEX('قائمة الوحدات'!$F$2:$F$41,MATCH($B359,'قائمة الوحدات'!$A$2:$A$41,0)),"")</f>
        <v>هيئة الأركان</v>
      </c>
      <c r="G359" s="16" t="s">
        <v>65</v>
      </c>
      <c r="H359" s="14" t="str">
        <f>IFERROR(INDEX(المرجع!$A$2:$A$19,MATCH($G359,المرجع!$B$2:$B$19,0)),"")</f>
        <v>التشغيل</v>
      </c>
      <c r="I359" s="16" t="s">
        <v>56</v>
      </c>
      <c r="J359" s="14" t="str">
        <f>IFERROR(INDEX(المرجع!$D$2:$D$19,MATCH($I359,المرجع!$E$2:$E$19,0)),"")</f>
        <v>الموارد</v>
      </c>
      <c r="K359" s="15">
        <f>IFERROR(INDEX(المرجع!$F$2:$F$19,MATCH($I359,المرجع!$E$2:$E$19,0)),"")</f>
        <v>5</v>
      </c>
      <c r="L359" s="15">
        <f>SUMIFS(المرجع!$H$2:$H$19,المرجع!$B$2:$B$19,$G359,المرجع!$E$2:$E$19,$I359)</f>
        <v>1</v>
      </c>
      <c r="M359" s="15">
        <f>COUNTIFS('المرتبطة بسمو الوزير'!$B$2:$B$151,$B359,'المرتبطة بسمو الوزير'!$G$2:$G$151,$G359,'المرتبطة بسمو الوزير'!$I$2:$I$151,$I359,'المرتبطة بسمو الوزير'!$M$2:$M$151,"&lt;&gt;")+COUNTIFS('الشؤون التنفيذية'!$B$2:$B$421,$B359,'الشؤون التنفيذية'!$G$2:$G$421,$G359,'الشؤون التنفيذية'!$I$2:$I$421,$I359,'الشؤون التنفيذية'!$N$2:$N$421,"&lt;&gt;")+COUNTIFS('الجهاز العسكري'!$B$2:$B$631,$B359,'الجهاز العسكري'!$G$2:$G$631,$G359,'الجهاز العسكري'!$I$2:$I$631,$I359,'الجهاز العسكري'!$M$2:$M$631,"&lt;&gt;")</f>
        <v>1</v>
      </c>
      <c r="N359" s="19">
        <f>IF($L359=0,0,ROUND((SUMIFS('المرتبطة بسمو الوزير'!$M$2:$M$151,'المرتبطة بسمو الوزير'!$B$2:$B$151,$B359,'المرتبطة بسمو الوزير'!$G$2:$G$151,$G359,'المرتبطة بسمو الوزير'!$I$2:$I$151,$I359)+SUMIFS('الشؤون التنفيذية'!$N$2:$N$421,'الشؤون التنفيذية'!$B$2:$B$421,$B359,'الشؤون التنفيذية'!$G$2:$G$421,$G359,'الشؤون التنفيذية'!$I$2:$I$421,$I359)+SUMIFS('الجهاز العسكري'!$M$2:$M$631,'الجهاز العسكري'!$B$2:$B$631,$B359,'الجهاز العسكري'!$G$2:$G$631,$G359,'الجهاز العسكري'!$I$2:$I$631,$I359))/$L359,0))</f>
        <v>44</v>
      </c>
      <c r="O359" s="18"/>
      <c r="P359" s="15">
        <f>SUMIFS(المرجع!$G$2:$G$19,المرجع!$B$2:$B$19,$G359,المرجع!$E$2:$E$19,$I359)</f>
        <v>15</v>
      </c>
      <c r="Q359" s="20">
        <f t="shared" si="6"/>
        <v>6.6</v>
      </c>
      <c r="R359" s="21" t="str">
        <f>IF($N359&gt;المرجع!$K$3,"متقدم",IF($N359&lt;=المرجع!$K$2,"أولي","جزئي"))</f>
        <v>جزئي</v>
      </c>
    </row>
    <row r="360" spans="1:18">
      <c r="A360" s="16" t="s">
        <v>1800</v>
      </c>
      <c r="B360" s="16" t="s">
        <v>188</v>
      </c>
      <c r="C360" s="15" t="str">
        <f>IFERROR(INDEX('قائمة الوحدات'!$B$2:$B$41,MATCH($B360,'قائمة الوحدات'!$A$2:$A$41,0)),"")</f>
        <v>MIL</v>
      </c>
      <c r="D360" s="14" t="str">
        <f>IFERROR(INDEX('قائمة الوحدات'!$C$2:$C$41,MATCH($B360,'قائمة الوحدات'!$A$2:$A$41,0)),"")</f>
        <v>الجهاز العسكري</v>
      </c>
      <c r="E360" s="14" t="str">
        <f>IFERROR(INDEX('قائمة الوحدات'!$D$2:$D$41,MATCH($B360,'قائمة الوحدات'!$A$2:$A$41,0)),"")</f>
        <v>هيئة الأركان</v>
      </c>
      <c r="F360" s="14" t="str">
        <f>IFERROR(INDEX('قائمة الوحدات'!$F$2:$F$41,MATCH($B360,'قائمة الوحدات'!$A$2:$A$41,0)),"")</f>
        <v>هيئة الأركان</v>
      </c>
      <c r="G360" s="16" t="s">
        <v>65</v>
      </c>
      <c r="H360" s="14" t="str">
        <f>IFERROR(INDEX(المرجع!$A$2:$A$19,MATCH($G360,المرجع!$B$2:$B$19,0)),"")</f>
        <v>التشغيل</v>
      </c>
      <c r="I360" s="16" t="s">
        <v>59</v>
      </c>
      <c r="J360" s="14" t="str">
        <f>IFERROR(INDEX(المرجع!$D$2:$D$19,MATCH($I360,المرجع!$E$2:$E$19,0)),"")</f>
        <v>الإجراءات</v>
      </c>
      <c r="K360" s="15">
        <f>IFERROR(INDEX(المرجع!$F$2:$F$19,MATCH($I360,المرجع!$E$2:$E$19,0)),"")</f>
        <v>6</v>
      </c>
      <c r="L360" s="15">
        <f>SUMIFS(المرجع!$H$2:$H$19,المرجع!$B$2:$B$19,$G360,المرجع!$E$2:$E$19,$I360)</f>
        <v>1</v>
      </c>
      <c r="M360" s="15">
        <f>COUNTIFS('المرتبطة بسمو الوزير'!$B$2:$B$151,$B360,'المرتبطة بسمو الوزير'!$G$2:$G$151,$G360,'المرتبطة بسمو الوزير'!$I$2:$I$151,$I360,'المرتبطة بسمو الوزير'!$M$2:$M$151,"&lt;&gt;")+COUNTIFS('الشؤون التنفيذية'!$B$2:$B$421,$B360,'الشؤون التنفيذية'!$G$2:$G$421,$G360,'الشؤون التنفيذية'!$I$2:$I$421,$I360,'الشؤون التنفيذية'!$N$2:$N$421,"&lt;&gt;")+COUNTIFS('الجهاز العسكري'!$B$2:$B$631,$B360,'الجهاز العسكري'!$G$2:$G$631,$G360,'الجهاز العسكري'!$I$2:$I$631,$I360,'الجهاز العسكري'!$M$2:$M$631,"&lt;&gt;")</f>
        <v>1</v>
      </c>
      <c r="N360" s="19">
        <f>IF($L360=0,0,ROUND((SUMIFS('المرتبطة بسمو الوزير'!$M$2:$M$151,'المرتبطة بسمو الوزير'!$B$2:$B$151,$B360,'المرتبطة بسمو الوزير'!$G$2:$G$151,$G360,'المرتبطة بسمو الوزير'!$I$2:$I$151,$I360)+SUMIFS('الشؤون التنفيذية'!$N$2:$N$421,'الشؤون التنفيذية'!$B$2:$B$421,$B360,'الشؤون التنفيذية'!$G$2:$G$421,$G360,'الشؤون التنفيذية'!$I$2:$I$421,$I360)+SUMIFS('الجهاز العسكري'!$M$2:$M$631,'الجهاز العسكري'!$B$2:$B$631,$B360,'الجهاز العسكري'!$G$2:$G$631,$G360,'الجهاز العسكري'!$I$2:$I$631,$I360))/$L360,0))</f>
        <v>58</v>
      </c>
      <c r="O360" s="18"/>
      <c r="P360" s="15">
        <f>SUMIFS(المرجع!$G$2:$G$19,المرجع!$B$2:$B$19,$G360,المرجع!$E$2:$E$19,$I360)</f>
        <v>15</v>
      </c>
      <c r="Q360" s="20">
        <f t="shared" si="6"/>
        <v>8.6999999999999993</v>
      </c>
      <c r="R360" s="21" t="str">
        <f>IF($N360&gt;المرجع!$K$3,"متقدم",IF($N360&lt;=المرجع!$K$2,"أولي","جزئي"))</f>
        <v>جزئي</v>
      </c>
    </row>
    <row r="361" spans="1:18">
      <c r="A361" s="16" t="s">
        <v>1801</v>
      </c>
      <c r="B361" s="16" t="s">
        <v>188</v>
      </c>
      <c r="C361" s="15" t="str">
        <f>IFERROR(INDEX('قائمة الوحدات'!$B$2:$B$41,MATCH($B361,'قائمة الوحدات'!$A$2:$A$41,0)),"")</f>
        <v>MIL</v>
      </c>
      <c r="D361" s="14" t="str">
        <f>IFERROR(INDEX('قائمة الوحدات'!$C$2:$C$41,MATCH($B361,'قائمة الوحدات'!$A$2:$A$41,0)),"")</f>
        <v>الجهاز العسكري</v>
      </c>
      <c r="E361" s="14" t="str">
        <f>IFERROR(INDEX('قائمة الوحدات'!$D$2:$D$41,MATCH($B361,'قائمة الوحدات'!$A$2:$A$41,0)),"")</f>
        <v>هيئة الأركان</v>
      </c>
      <c r="F361" s="14" t="str">
        <f>IFERROR(INDEX('قائمة الوحدات'!$F$2:$F$41,MATCH($B361,'قائمة الوحدات'!$A$2:$A$41,0)),"")</f>
        <v>هيئة الأركان</v>
      </c>
      <c r="G361" s="16" t="s">
        <v>65</v>
      </c>
      <c r="H361" s="14" t="str">
        <f>IFERROR(INDEX(المرجع!$A$2:$A$19,MATCH($G361,المرجع!$B$2:$B$19,0)),"")</f>
        <v>التشغيل</v>
      </c>
      <c r="I361" s="16" t="s">
        <v>67</v>
      </c>
      <c r="J361" s="14" t="str">
        <f>IFERROR(INDEX(المرجع!$D$2:$D$19,MATCH($I361,المرجع!$E$2:$E$19,0)),"")</f>
        <v>اكتمال المخرجات المستهدفة</v>
      </c>
      <c r="K361" s="15">
        <f>IFERROR(INDEX(المرجع!$F$2:$F$19,MATCH($I361,المرجع!$E$2:$E$19,0)),"")</f>
        <v>8</v>
      </c>
      <c r="L361" s="15">
        <f>SUMIFS(المرجع!$H$2:$H$19,المرجع!$B$2:$B$19,$G361,المرجع!$E$2:$E$19,$I361)</f>
        <v>1</v>
      </c>
      <c r="M361" s="15">
        <f>COUNTIFS('المرتبطة بسمو الوزير'!$B$2:$B$151,$B361,'المرتبطة بسمو الوزير'!$G$2:$G$151,$G361,'المرتبطة بسمو الوزير'!$I$2:$I$151,$I361,'المرتبطة بسمو الوزير'!$M$2:$M$151,"&lt;&gt;")+COUNTIFS('الشؤون التنفيذية'!$B$2:$B$421,$B361,'الشؤون التنفيذية'!$G$2:$G$421,$G361,'الشؤون التنفيذية'!$I$2:$I$421,$I361,'الشؤون التنفيذية'!$N$2:$N$421,"&lt;&gt;")+COUNTIFS('الجهاز العسكري'!$B$2:$B$631,$B361,'الجهاز العسكري'!$G$2:$G$631,$G361,'الجهاز العسكري'!$I$2:$I$631,$I361,'الجهاز العسكري'!$M$2:$M$631,"&lt;&gt;")</f>
        <v>1</v>
      </c>
      <c r="N361" s="19">
        <f>IF($L361=0,0,ROUND((SUMIFS('المرتبطة بسمو الوزير'!$M$2:$M$151,'المرتبطة بسمو الوزير'!$B$2:$B$151,$B361,'المرتبطة بسمو الوزير'!$G$2:$G$151,$G361,'المرتبطة بسمو الوزير'!$I$2:$I$151,$I361)+SUMIFS('الشؤون التنفيذية'!$N$2:$N$421,'الشؤون التنفيذية'!$B$2:$B$421,$B361,'الشؤون التنفيذية'!$G$2:$G$421,$G361,'الشؤون التنفيذية'!$I$2:$I$421,$I361)+SUMIFS('الجهاز العسكري'!$M$2:$M$631,'الجهاز العسكري'!$B$2:$B$631,$B361,'الجهاز العسكري'!$G$2:$G$631,$G361,'الجهاز العسكري'!$I$2:$I$631,$I361))/$L361,0))</f>
        <v>43</v>
      </c>
      <c r="O361" s="18"/>
      <c r="P361" s="15">
        <f>SUMIFS(المرجع!$G$2:$G$19,المرجع!$B$2:$B$19,$G361,المرجع!$E$2:$E$19,$I361)</f>
        <v>30</v>
      </c>
      <c r="Q361" s="20">
        <f t="shared" si="6"/>
        <v>12.9</v>
      </c>
      <c r="R361" s="21" t="str">
        <f>IF($N361&gt;المرجع!$K$3,"متقدم",IF($N361&lt;=المرجع!$K$2,"أولي","جزئي"))</f>
        <v>جزئي</v>
      </c>
    </row>
    <row r="362" spans="1:18">
      <c r="A362" s="16" t="s">
        <v>1802</v>
      </c>
      <c r="B362" s="16" t="s">
        <v>192</v>
      </c>
      <c r="C362" s="15" t="str">
        <f>IFERROR(INDEX('قائمة الوحدات'!$B$2:$B$41,MATCH($B362,'قائمة الوحدات'!$A$2:$A$41,0)),"")</f>
        <v>MIL</v>
      </c>
      <c r="D362" s="14" t="str">
        <f>IFERROR(INDEX('قائمة الوحدات'!$C$2:$C$41,MATCH($B362,'قائمة الوحدات'!$A$2:$A$41,0)),"")</f>
        <v>الجهاز العسكري</v>
      </c>
      <c r="E362" s="14" t="str">
        <f>IFERROR(INDEX('قائمة الوحدات'!$D$2:$D$41,MATCH($B362,'قائمة الوحدات'!$A$2:$A$41,0)),"")</f>
        <v>قيادة القوات البرية</v>
      </c>
      <c r="F362" s="14" t="str">
        <f>IFERROR(INDEX('قائمة الوحدات'!$F$2:$F$41,MATCH($B362,'قائمة الوحدات'!$A$2:$A$41,0)),"")</f>
        <v>قيادة القوات البرية</v>
      </c>
      <c r="G362" s="16" t="s">
        <v>43</v>
      </c>
      <c r="H362" s="14" t="str">
        <f>IFERROR(INDEX(المرجع!$A$2:$A$19,MATCH($G362,المرجع!$B$2:$B$19,0)),"")</f>
        <v>التصميم</v>
      </c>
      <c r="I362" s="16" t="s">
        <v>45</v>
      </c>
      <c r="J362" s="14" t="str">
        <f>IFERROR(INDEX(المرجع!$D$2:$D$19,MATCH($I362,المرجع!$E$2:$E$19,0)),"")</f>
        <v>الدور</v>
      </c>
      <c r="K362" s="15">
        <f>IFERROR(INDEX(المرجع!$F$2:$F$19,MATCH($I362,المرجع!$E$2:$E$19,0)),"")</f>
        <v>1</v>
      </c>
      <c r="L362" s="15">
        <f>SUMIFS(المرجع!$H$2:$H$19,المرجع!$B$2:$B$19,$G362,المرجع!$E$2:$E$19,$I362)</f>
        <v>1</v>
      </c>
      <c r="M362" s="15">
        <f>COUNTIFS('المرتبطة بسمو الوزير'!$B$2:$B$151,$B362,'المرتبطة بسمو الوزير'!$G$2:$G$151,$G362,'المرتبطة بسمو الوزير'!$I$2:$I$151,$I362,'المرتبطة بسمو الوزير'!$M$2:$M$151,"&lt;&gt;")+COUNTIFS('الشؤون التنفيذية'!$B$2:$B$421,$B362,'الشؤون التنفيذية'!$G$2:$G$421,$G362,'الشؤون التنفيذية'!$I$2:$I$421,$I362,'الشؤون التنفيذية'!$N$2:$N$421,"&lt;&gt;")+COUNTIFS('الجهاز العسكري'!$B$2:$B$631,$B362,'الجهاز العسكري'!$G$2:$G$631,$G362,'الجهاز العسكري'!$I$2:$I$631,$I362,'الجهاز العسكري'!$M$2:$M$631,"&lt;&gt;")</f>
        <v>1</v>
      </c>
      <c r="N362" s="19">
        <f>IF($L362=0,0,ROUND((SUMIFS('المرتبطة بسمو الوزير'!$M$2:$M$151,'المرتبطة بسمو الوزير'!$B$2:$B$151,$B362,'المرتبطة بسمو الوزير'!$G$2:$G$151,$G362,'المرتبطة بسمو الوزير'!$I$2:$I$151,$I362)+SUMIFS('الشؤون التنفيذية'!$N$2:$N$421,'الشؤون التنفيذية'!$B$2:$B$421,$B362,'الشؤون التنفيذية'!$G$2:$G$421,$G362,'الشؤون التنفيذية'!$I$2:$I$421,$I362)+SUMIFS('الجهاز العسكري'!$M$2:$M$631,'الجهاز العسكري'!$B$2:$B$631,$B362,'الجهاز العسكري'!$G$2:$G$631,$G362,'الجهاز العسكري'!$I$2:$I$631,$I362))/$L362,0))</f>
        <v>69</v>
      </c>
      <c r="O362" s="18"/>
      <c r="P362" s="15">
        <f>SUMIFS(المرجع!$G$2:$G$19,المرجع!$B$2:$B$19,$G362,المرجع!$E$2:$E$19,$I362)</f>
        <v>25</v>
      </c>
      <c r="Q362" s="20">
        <f t="shared" si="6"/>
        <v>17.25</v>
      </c>
      <c r="R362" s="21" t="str">
        <f>IF($N362&gt;المرجع!$K$3,"متقدم",IF($N362&lt;=المرجع!$K$2,"أولي","جزئي"))</f>
        <v>جزئي</v>
      </c>
    </row>
    <row r="363" spans="1:18">
      <c r="A363" s="16" t="s">
        <v>1803</v>
      </c>
      <c r="B363" s="16" t="s">
        <v>192</v>
      </c>
      <c r="C363" s="15" t="str">
        <f>IFERROR(INDEX('قائمة الوحدات'!$B$2:$B$41,MATCH($B363,'قائمة الوحدات'!$A$2:$A$41,0)),"")</f>
        <v>MIL</v>
      </c>
      <c r="D363" s="14" t="str">
        <f>IFERROR(INDEX('قائمة الوحدات'!$C$2:$C$41,MATCH($B363,'قائمة الوحدات'!$A$2:$A$41,0)),"")</f>
        <v>الجهاز العسكري</v>
      </c>
      <c r="E363" s="14" t="str">
        <f>IFERROR(INDEX('قائمة الوحدات'!$D$2:$D$41,MATCH($B363,'قائمة الوحدات'!$A$2:$A$41,0)),"")</f>
        <v>قيادة القوات البرية</v>
      </c>
      <c r="F363" s="14" t="str">
        <f>IFERROR(INDEX('قائمة الوحدات'!$F$2:$F$41,MATCH($B363,'قائمة الوحدات'!$A$2:$A$41,0)),"")</f>
        <v>قيادة القوات البرية</v>
      </c>
      <c r="G363" s="16" t="s">
        <v>43</v>
      </c>
      <c r="H363" s="14" t="str">
        <f>IFERROR(INDEX(المرجع!$A$2:$A$19,MATCH($G363,المرجع!$B$2:$B$19,0)),"")</f>
        <v>التصميم</v>
      </c>
      <c r="I363" s="16" t="s">
        <v>48</v>
      </c>
      <c r="J363" s="14" t="str">
        <f>IFERROR(INDEX(المرجع!$D$2:$D$19,MATCH($I363,المرجع!$E$2:$E$19,0)),"")</f>
        <v>الأهداف ومؤشرات الأداء</v>
      </c>
      <c r="K363" s="15">
        <f>IFERROR(INDEX(المرجع!$F$2:$F$19,MATCH($I363,المرجع!$E$2:$E$19,0)),"")</f>
        <v>2</v>
      </c>
      <c r="L363" s="15">
        <f>SUMIFS(المرجع!$H$2:$H$19,المرجع!$B$2:$B$19,$G363,المرجع!$E$2:$E$19,$I363)</f>
        <v>2</v>
      </c>
      <c r="M363" s="15">
        <f>COUNTIFS('المرتبطة بسمو الوزير'!$B$2:$B$151,$B363,'المرتبطة بسمو الوزير'!$G$2:$G$151,$G363,'المرتبطة بسمو الوزير'!$I$2:$I$151,$I363,'المرتبطة بسمو الوزير'!$M$2:$M$151,"&lt;&gt;")+COUNTIFS('الشؤون التنفيذية'!$B$2:$B$421,$B363,'الشؤون التنفيذية'!$G$2:$G$421,$G363,'الشؤون التنفيذية'!$I$2:$I$421,$I363,'الشؤون التنفيذية'!$N$2:$N$421,"&lt;&gt;")+COUNTIFS('الجهاز العسكري'!$B$2:$B$631,$B363,'الجهاز العسكري'!$G$2:$G$631,$G363,'الجهاز العسكري'!$I$2:$I$631,$I363,'الجهاز العسكري'!$M$2:$M$631,"&lt;&gt;")</f>
        <v>2</v>
      </c>
      <c r="N363" s="19">
        <f>IF($L363=0,0,ROUND((SUMIFS('المرتبطة بسمو الوزير'!$M$2:$M$151,'المرتبطة بسمو الوزير'!$B$2:$B$151,$B363,'المرتبطة بسمو الوزير'!$G$2:$G$151,$G363,'المرتبطة بسمو الوزير'!$I$2:$I$151,$I363)+SUMIFS('الشؤون التنفيذية'!$N$2:$N$421,'الشؤون التنفيذية'!$B$2:$B$421,$B363,'الشؤون التنفيذية'!$G$2:$G$421,$G363,'الشؤون التنفيذية'!$I$2:$I$421,$I363)+SUMIFS('الجهاز العسكري'!$M$2:$M$631,'الجهاز العسكري'!$B$2:$B$631,$B363,'الجهاز العسكري'!$G$2:$G$631,$G363,'الجهاز العسكري'!$I$2:$I$631,$I363))/$L363,0))</f>
        <v>78</v>
      </c>
      <c r="O363" s="18"/>
      <c r="P363" s="15">
        <f>SUMIFS(المرجع!$G$2:$G$19,المرجع!$B$2:$B$19,$G363,المرجع!$E$2:$E$19,$I363)</f>
        <v>15</v>
      </c>
      <c r="Q363" s="20">
        <f t="shared" si="6"/>
        <v>11.7</v>
      </c>
      <c r="R363" s="21" t="str">
        <f>IF($N363&gt;المرجع!$K$3,"متقدم",IF($N363&lt;=المرجع!$K$2,"أولي","جزئي"))</f>
        <v>متقدم</v>
      </c>
    </row>
    <row r="364" spans="1:18">
      <c r="A364" s="16" t="s">
        <v>1804</v>
      </c>
      <c r="B364" s="16" t="s">
        <v>192</v>
      </c>
      <c r="C364" s="15" t="str">
        <f>IFERROR(INDEX('قائمة الوحدات'!$B$2:$B$41,MATCH($B364,'قائمة الوحدات'!$A$2:$A$41,0)),"")</f>
        <v>MIL</v>
      </c>
      <c r="D364" s="14" t="str">
        <f>IFERROR(INDEX('قائمة الوحدات'!$C$2:$C$41,MATCH($B364,'قائمة الوحدات'!$A$2:$A$41,0)),"")</f>
        <v>الجهاز العسكري</v>
      </c>
      <c r="E364" s="14" t="str">
        <f>IFERROR(INDEX('قائمة الوحدات'!$D$2:$D$41,MATCH($B364,'قائمة الوحدات'!$A$2:$A$41,0)),"")</f>
        <v>قيادة القوات البرية</v>
      </c>
      <c r="F364" s="14" t="str">
        <f>IFERROR(INDEX('قائمة الوحدات'!$F$2:$F$41,MATCH($B364,'قائمة الوحدات'!$A$2:$A$41,0)),"")</f>
        <v>قيادة القوات البرية</v>
      </c>
      <c r="G364" s="16" t="s">
        <v>43</v>
      </c>
      <c r="H364" s="14" t="str">
        <f>IFERROR(INDEX(المرجع!$A$2:$A$19,MATCH($G364,المرجع!$B$2:$B$19,0)),"")</f>
        <v>التصميم</v>
      </c>
      <c r="I364" s="16" t="s">
        <v>51</v>
      </c>
      <c r="J364" s="14" t="str">
        <f>IFERROR(INDEX(المرجع!$D$2:$D$19,MATCH($I364,المرجع!$E$2:$E$19,0)),"")</f>
        <v>الحوكمة</v>
      </c>
      <c r="K364" s="15">
        <f>IFERROR(INDEX(المرجع!$F$2:$F$19,MATCH($I364,المرجع!$E$2:$E$19,0)),"")</f>
        <v>3</v>
      </c>
      <c r="L364" s="15">
        <f>SUMIFS(المرجع!$H$2:$H$19,المرجع!$B$2:$B$19,$G364,المرجع!$E$2:$E$19,$I364)</f>
        <v>1</v>
      </c>
      <c r="M364" s="15">
        <f>COUNTIFS('المرتبطة بسمو الوزير'!$B$2:$B$151,$B364,'المرتبطة بسمو الوزير'!$G$2:$G$151,$G364,'المرتبطة بسمو الوزير'!$I$2:$I$151,$I364,'المرتبطة بسمو الوزير'!$M$2:$M$151,"&lt;&gt;")+COUNTIFS('الشؤون التنفيذية'!$B$2:$B$421,$B364,'الشؤون التنفيذية'!$G$2:$G$421,$G364,'الشؤون التنفيذية'!$I$2:$I$421,$I364,'الشؤون التنفيذية'!$N$2:$N$421,"&lt;&gt;")+COUNTIFS('الجهاز العسكري'!$B$2:$B$631,$B364,'الجهاز العسكري'!$G$2:$G$631,$G364,'الجهاز العسكري'!$I$2:$I$631,$I364,'الجهاز العسكري'!$M$2:$M$631,"&lt;&gt;")</f>
        <v>1</v>
      </c>
      <c r="N364" s="19">
        <f>IF($L364=0,0,ROUND((SUMIFS('المرتبطة بسمو الوزير'!$M$2:$M$151,'المرتبطة بسمو الوزير'!$B$2:$B$151,$B364,'المرتبطة بسمو الوزير'!$G$2:$G$151,$G364,'المرتبطة بسمو الوزير'!$I$2:$I$151,$I364)+SUMIFS('الشؤون التنفيذية'!$N$2:$N$421,'الشؤون التنفيذية'!$B$2:$B$421,$B364,'الشؤون التنفيذية'!$G$2:$G$421,$G364,'الشؤون التنفيذية'!$I$2:$I$421,$I364)+SUMIFS('الجهاز العسكري'!$M$2:$M$631,'الجهاز العسكري'!$B$2:$B$631,$B364,'الجهاز العسكري'!$G$2:$G$631,$G364,'الجهاز العسكري'!$I$2:$I$631,$I364))/$L364,0))</f>
        <v>76</v>
      </c>
      <c r="O364" s="18"/>
      <c r="P364" s="15">
        <f>SUMIFS(المرجع!$G$2:$G$19,المرجع!$B$2:$B$19,$G364,المرجع!$E$2:$E$19,$I364)</f>
        <v>15</v>
      </c>
      <c r="Q364" s="20">
        <f t="shared" si="6"/>
        <v>11.4</v>
      </c>
      <c r="R364" s="21" t="str">
        <f>IF($N364&gt;المرجع!$K$3,"متقدم",IF($N364&lt;=المرجع!$K$2,"أولي","جزئي"))</f>
        <v>متقدم</v>
      </c>
    </row>
    <row r="365" spans="1:18">
      <c r="A365" s="16" t="s">
        <v>1805</v>
      </c>
      <c r="B365" s="16" t="s">
        <v>192</v>
      </c>
      <c r="C365" s="15" t="str">
        <f>IFERROR(INDEX('قائمة الوحدات'!$B$2:$B$41,MATCH($B365,'قائمة الوحدات'!$A$2:$A$41,0)),"")</f>
        <v>MIL</v>
      </c>
      <c r="D365" s="14" t="str">
        <f>IFERROR(INDEX('قائمة الوحدات'!$C$2:$C$41,MATCH($B365,'قائمة الوحدات'!$A$2:$A$41,0)),"")</f>
        <v>الجهاز العسكري</v>
      </c>
      <c r="E365" s="14" t="str">
        <f>IFERROR(INDEX('قائمة الوحدات'!$D$2:$D$41,MATCH($B365,'قائمة الوحدات'!$A$2:$A$41,0)),"")</f>
        <v>قيادة القوات البرية</v>
      </c>
      <c r="F365" s="14" t="str">
        <f>IFERROR(INDEX('قائمة الوحدات'!$F$2:$F$41,MATCH($B365,'قائمة الوحدات'!$A$2:$A$41,0)),"")</f>
        <v>قيادة القوات البرية</v>
      </c>
      <c r="G365" s="16" t="s">
        <v>43</v>
      </c>
      <c r="H365" s="14" t="str">
        <f>IFERROR(INDEX(المرجع!$A$2:$A$19,MATCH($G365,المرجع!$B$2:$B$19,0)),"")</f>
        <v>التصميم</v>
      </c>
      <c r="I365" s="16" t="s">
        <v>54</v>
      </c>
      <c r="J365" s="14" t="str">
        <f>IFERROR(INDEX(المرجع!$D$2:$D$19,MATCH($I365,المرجع!$E$2:$E$19,0)),"")</f>
        <v>التنظيم</v>
      </c>
      <c r="K365" s="15">
        <f>IFERROR(INDEX(المرجع!$F$2:$F$19,MATCH($I365,المرجع!$E$2:$E$19,0)),"")</f>
        <v>4</v>
      </c>
      <c r="L365" s="15">
        <f>SUMIFS(المرجع!$H$2:$H$19,المرجع!$B$2:$B$19,$G365,المرجع!$E$2:$E$19,$I365)</f>
        <v>1</v>
      </c>
      <c r="M365" s="15">
        <f>COUNTIFS('المرتبطة بسمو الوزير'!$B$2:$B$151,$B365,'المرتبطة بسمو الوزير'!$G$2:$G$151,$G365,'المرتبطة بسمو الوزير'!$I$2:$I$151,$I365,'المرتبطة بسمو الوزير'!$M$2:$M$151,"&lt;&gt;")+COUNTIFS('الشؤون التنفيذية'!$B$2:$B$421,$B365,'الشؤون التنفيذية'!$G$2:$G$421,$G365,'الشؤون التنفيذية'!$I$2:$I$421,$I365,'الشؤون التنفيذية'!$N$2:$N$421,"&lt;&gt;")+COUNTIFS('الجهاز العسكري'!$B$2:$B$631,$B365,'الجهاز العسكري'!$G$2:$G$631,$G365,'الجهاز العسكري'!$I$2:$I$631,$I365,'الجهاز العسكري'!$M$2:$M$631,"&lt;&gt;")</f>
        <v>1</v>
      </c>
      <c r="N365" s="19">
        <f>IF($L365=0,0,ROUND((SUMIFS('المرتبطة بسمو الوزير'!$M$2:$M$151,'المرتبطة بسمو الوزير'!$B$2:$B$151,$B365,'المرتبطة بسمو الوزير'!$G$2:$G$151,$G365,'المرتبطة بسمو الوزير'!$I$2:$I$151,$I365)+SUMIFS('الشؤون التنفيذية'!$N$2:$N$421,'الشؤون التنفيذية'!$B$2:$B$421,$B365,'الشؤون التنفيذية'!$G$2:$G$421,$G365,'الشؤون التنفيذية'!$I$2:$I$421,$I365)+SUMIFS('الجهاز العسكري'!$M$2:$M$631,'الجهاز العسكري'!$B$2:$B$631,$B365,'الجهاز العسكري'!$G$2:$G$631,$G365,'الجهاز العسكري'!$I$2:$I$631,$I365))/$L365,0))</f>
        <v>69</v>
      </c>
      <c r="O365" s="18"/>
      <c r="P365" s="15">
        <f>SUMIFS(المرجع!$G$2:$G$19,المرجع!$B$2:$B$19,$G365,المرجع!$E$2:$E$19,$I365)</f>
        <v>20</v>
      </c>
      <c r="Q365" s="20">
        <f t="shared" si="6"/>
        <v>13.8</v>
      </c>
      <c r="R365" s="21" t="str">
        <f>IF($N365&gt;المرجع!$K$3,"متقدم",IF($N365&lt;=المرجع!$K$2,"أولي","جزئي"))</f>
        <v>جزئي</v>
      </c>
    </row>
    <row r="366" spans="1:18">
      <c r="A366" s="16" t="s">
        <v>1806</v>
      </c>
      <c r="B366" s="16" t="s">
        <v>192</v>
      </c>
      <c r="C366" s="15" t="str">
        <f>IFERROR(INDEX('قائمة الوحدات'!$B$2:$B$41,MATCH($B366,'قائمة الوحدات'!$A$2:$A$41,0)),"")</f>
        <v>MIL</v>
      </c>
      <c r="D366" s="14" t="str">
        <f>IFERROR(INDEX('قائمة الوحدات'!$C$2:$C$41,MATCH($B366,'قائمة الوحدات'!$A$2:$A$41,0)),"")</f>
        <v>الجهاز العسكري</v>
      </c>
      <c r="E366" s="14" t="str">
        <f>IFERROR(INDEX('قائمة الوحدات'!$D$2:$D$41,MATCH($B366,'قائمة الوحدات'!$A$2:$A$41,0)),"")</f>
        <v>قيادة القوات البرية</v>
      </c>
      <c r="F366" s="14" t="str">
        <f>IFERROR(INDEX('قائمة الوحدات'!$F$2:$F$41,MATCH($B366,'قائمة الوحدات'!$A$2:$A$41,0)),"")</f>
        <v>قيادة القوات البرية</v>
      </c>
      <c r="G366" s="16" t="s">
        <v>43</v>
      </c>
      <c r="H366" s="14" t="str">
        <f>IFERROR(INDEX(المرجع!$A$2:$A$19,MATCH($G366,المرجع!$B$2:$B$19,0)),"")</f>
        <v>التصميم</v>
      </c>
      <c r="I366" s="16" t="s">
        <v>56</v>
      </c>
      <c r="J366" s="14" t="str">
        <f>IFERROR(INDEX(المرجع!$D$2:$D$19,MATCH($I366,المرجع!$E$2:$E$19,0)),"")</f>
        <v>الموارد</v>
      </c>
      <c r="K366" s="15">
        <f>IFERROR(INDEX(المرجع!$F$2:$F$19,MATCH($I366,المرجع!$E$2:$E$19,0)),"")</f>
        <v>5</v>
      </c>
      <c r="L366" s="15">
        <f>SUMIFS(المرجع!$H$2:$H$19,المرجع!$B$2:$B$19,$G366,المرجع!$E$2:$E$19,$I366)</f>
        <v>1</v>
      </c>
      <c r="M366" s="15">
        <f>COUNTIFS('المرتبطة بسمو الوزير'!$B$2:$B$151,$B366,'المرتبطة بسمو الوزير'!$G$2:$G$151,$G366,'المرتبطة بسمو الوزير'!$I$2:$I$151,$I366,'المرتبطة بسمو الوزير'!$M$2:$M$151,"&lt;&gt;")+COUNTIFS('الشؤون التنفيذية'!$B$2:$B$421,$B366,'الشؤون التنفيذية'!$G$2:$G$421,$G366,'الشؤون التنفيذية'!$I$2:$I$421,$I366,'الشؤون التنفيذية'!$N$2:$N$421,"&lt;&gt;")+COUNTIFS('الجهاز العسكري'!$B$2:$B$631,$B366,'الجهاز العسكري'!$G$2:$G$631,$G366,'الجهاز العسكري'!$I$2:$I$631,$I366,'الجهاز العسكري'!$M$2:$M$631,"&lt;&gt;")</f>
        <v>1</v>
      </c>
      <c r="N366" s="19">
        <f>IF($L366=0,0,ROUND((SUMIFS('المرتبطة بسمو الوزير'!$M$2:$M$151,'المرتبطة بسمو الوزير'!$B$2:$B$151,$B366,'المرتبطة بسمو الوزير'!$G$2:$G$151,$G366,'المرتبطة بسمو الوزير'!$I$2:$I$151,$I366)+SUMIFS('الشؤون التنفيذية'!$N$2:$N$421,'الشؤون التنفيذية'!$B$2:$B$421,$B366,'الشؤون التنفيذية'!$G$2:$G$421,$G366,'الشؤون التنفيذية'!$I$2:$I$421,$I366)+SUMIFS('الجهاز العسكري'!$M$2:$M$631,'الجهاز العسكري'!$B$2:$B$631,$B366,'الجهاز العسكري'!$G$2:$G$631,$G366,'الجهاز العسكري'!$I$2:$I$631,$I366))/$L366,0))</f>
        <v>79</v>
      </c>
      <c r="O366" s="18"/>
      <c r="P366" s="15">
        <f>SUMIFS(المرجع!$G$2:$G$19,المرجع!$B$2:$B$19,$G366,المرجع!$E$2:$E$19,$I366)</f>
        <v>20</v>
      </c>
      <c r="Q366" s="20">
        <f t="shared" si="6"/>
        <v>15.8</v>
      </c>
      <c r="R366" s="21" t="str">
        <f>IF($N366&gt;المرجع!$K$3,"متقدم",IF($N366&lt;=المرجع!$K$2,"أولي","جزئي"))</f>
        <v>متقدم</v>
      </c>
    </row>
    <row r="367" spans="1:18">
      <c r="A367" s="16" t="s">
        <v>1807</v>
      </c>
      <c r="B367" s="16" t="s">
        <v>192</v>
      </c>
      <c r="C367" s="15" t="str">
        <f>IFERROR(INDEX('قائمة الوحدات'!$B$2:$B$41,MATCH($B367,'قائمة الوحدات'!$A$2:$A$41,0)),"")</f>
        <v>MIL</v>
      </c>
      <c r="D367" s="14" t="str">
        <f>IFERROR(INDEX('قائمة الوحدات'!$C$2:$C$41,MATCH($B367,'قائمة الوحدات'!$A$2:$A$41,0)),"")</f>
        <v>الجهاز العسكري</v>
      </c>
      <c r="E367" s="14" t="str">
        <f>IFERROR(INDEX('قائمة الوحدات'!$D$2:$D$41,MATCH($B367,'قائمة الوحدات'!$A$2:$A$41,0)),"")</f>
        <v>قيادة القوات البرية</v>
      </c>
      <c r="F367" s="14" t="str">
        <f>IFERROR(INDEX('قائمة الوحدات'!$F$2:$F$41,MATCH($B367,'قائمة الوحدات'!$A$2:$A$41,0)),"")</f>
        <v>قيادة القوات البرية</v>
      </c>
      <c r="G367" s="16" t="s">
        <v>43</v>
      </c>
      <c r="H367" s="14" t="str">
        <f>IFERROR(INDEX(المرجع!$A$2:$A$19,MATCH($G367,المرجع!$B$2:$B$19,0)),"")</f>
        <v>التصميم</v>
      </c>
      <c r="I367" s="16" t="s">
        <v>59</v>
      </c>
      <c r="J367" s="14" t="str">
        <f>IFERROR(INDEX(المرجع!$D$2:$D$19,MATCH($I367,المرجع!$E$2:$E$19,0)),"")</f>
        <v>الإجراءات</v>
      </c>
      <c r="K367" s="15">
        <f>IFERROR(INDEX(المرجع!$F$2:$F$19,MATCH($I367,المرجع!$E$2:$E$19,0)),"")</f>
        <v>6</v>
      </c>
      <c r="L367" s="15">
        <f>SUMIFS(المرجع!$H$2:$H$19,المرجع!$B$2:$B$19,$G367,المرجع!$E$2:$E$19,$I367)</f>
        <v>1</v>
      </c>
      <c r="M367" s="15">
        <f>COUNTIFS('المرتبطة بسمو الوزير'!$B$2:$B$151,$B367,'المرتبطة بسمو الوزير'!$G$2:$G$151,$G367,'المرتبطة بسمو الوزير'!$I$2:$I$151,$I367,'المرتبطة بسمو الوزير'!$M$2:$M$151,"&lt;&gt;")+COUNTIFS('الشؤون التنفيذية'!$B$2:$B$421,$B367,'الشؤون التنفيذية'!$G$2:$G$421,$G367,'الشؤون التنفيذية'!$I$2:$I$421,$I367,'الشؤون التنفيذية'!$N$2:$N$421,"&lt;&gt;")+COUNTIFS('الجهاز العسكري'!$B$2:$B$631,$B367,'الجهاز العسكري'!$G$2:$G$631,$G367,'الجهاز العسكري'!$I$2:$I$631,$I367,'الجهاز العسكري'!$M$2:$M$631,"&lt;&gt;")</f>
        <v>1</v>
      </c>
      <c r="N367" s="19">
        <f>IF($L367=0,0,ROUND((SUMIFS('المرتبطة بسمو الوزير'!$M$2:$M$151,'المرتبطة بسمو الوزير'!$B$2:$B$151,$B367,'المرتبطة بسمو الوزير'!$G$2:$G$151,$G367,'المرتبطة بسمو الوزير'!$I$2:$I$151,$I367)+SUMIFS('الشؤون التنفيذية'!$N$2:$N$421,'الشؤون التنفيذية'!$B$2:$B$421,$B367,'الشؤون التنفيذية'!$G$2:$G$421,$G367,'الشؤون التنفيذية'!$I$2:$I$421,$I367)+SUMIFS('الجهاز العسكري'!$M$2:$M$631,'الجهاز العسكري'!$B$2:$B$631,$B367,'الجهاز العسكري'!$G$2:$G$631,$G367,'الجهاز العسكري'!$I$2:$I$631,$I367))/$L367,0))</f>
        <v>83</v>
      </c>
      <c r="O367" s="18"/>
      <c r="P367" s="15">
        <f>SUMIFS(المرجع!$G$2:$G$19,المرجع!$B$2:$B$19,$G367,المرجع!$E$2:$E$19,$I367)</f>
        <v>5</v>
      </c>
      <c r="Q367" s="20">
        <f t="shared" si="6"/>
        <v>4.1500000000000004</v>
      </c>
      <c r="R367" s="21" t="str">
        <f>IF($N367&gt;المرجع!$K$3,"متقدم",IF($N367&lt;=المرجع!$K$2,"أولي","جزئي"))</f>
        <v>متقدم</v>
      </c>
    </row>
    <row r="368" spans="1:18">
      <c r="A368" s="16" t="s">
        <v>1808</v>
      </c>
      <c r="B368" s="16" t="s">
        <v>192</v>
      </c>
      <c r="C368" s="15" t="str">
        <f>IFERROR(INDEX('قائمة الوحدات'!$B$2:$B$41,MATCH($B368,'قائمة الوحدات'!$A$2:$A$41,0)),"")</f>
        <v>MIL</v>
      </c>
      <c r="D368" s="14" t="str">
        <f>IFERROR(INDEX('قائمة الوحدات'!$C$2:$C$41,MATCH($B368,'قائمة الوحدات'!$A$2:$A$41,0)),"")</f>
        <v>الجهاز العسكري</v>
      </c>
      <c r="E368" s="14" t="str">
        <f>IFERROR(INDEX('قائمة الوحدات'!$D$2:$D$41,MATCH($B368,'قائمة الوحدات'!$A$2:$A$41,0)),"")</f>
        <v>قيادة القوات البرية</v>
      </c>
      <c r="F368" s="14" t="str">
        <f>IFERROR(INDEX('قائمة الوحدات'!$F$2:$F$41,MATCH($B368,'قائمة الوحدات'!$A$2:$A$41,0)),"")</f>
        <v>قيادة القوات البرية</v>
      </c>
      <c r="G368" s="16" t="s">
        <v>61</v>
      </c>
      <c r="H368" s="14" t="str">
        <f>IFERROR(INDEX(المرجع!$A$2:$A$19,MATCH($G368,المرجع!$B$2:$B$19,0)),"")</f>
        <v>البناء المؤسسي</v>
      </c>
      <c r="I368" s="16" t="s">
        <v>45</v>
      </c>
      <c r="J368" s="14" t="str">
        <f>IFERROR(INDEX(المرجع!$D$2:$D$19,MATCH($I368,المرجع!$E$2:$E$19,0)),"")</f>
        <v>الدور</v>
      </c>
      <c r="K368" s="15">
        <f>IFERROR(INDEX(المرجع!$F$2:$F$19,MATCH($I368,المرجع!$E$2:$E$19,0)),"")</f>
        <v>1</v>
      </c>
      <c r="L368" s="15">
        <f>SUMIFS(المرجع!$H$2:$H$19,المرجع!$B$2:$B$19,$G368,المرجع!$E$2:$E$19,$I368)</f>
        <v>1</v>
      </c>
      <c r="M368" s="15">
        <f>COUNTIFS('المرتبطة بسمو الوزير'!$B$2:$B$151,$B368,'المرتبطة بسمو الوزير'!$G$2:$G$151,$G368,'المرتبطة بسمو الوزير'!$I$2:$I$151,$I368,'المرتبطة بسمو الوزير'!$M$2:$M$151,"&lt;&gt;")+COUNTIFS('الشؤون التنفيذية'!$B$2:$B$421,$B368,'الشؤون التنفيذية'!$G$2:$G$421,$G368,'الشؤون التنفيذية'!$I$2:$I$421,$I368,'الشؤون التنفيذية'!$N$2:$N$421,"&lt;&gt;")+COUNTIFS('الجهاز العسكري'!$B$2:$B$631,$B368,'الجهاز العسكري'!$G$2:$G$631,$G368,'الجهاز العسكري'!$I$2:$I$631,$I368,'الجهاز العسكري'!$M$2:$M$631,"&lt;&gt;")</f>
        <v>1</v>
      </c>
      <c r="N368" s="19">
        <f>IF($L368=0,0,ROUND((SUMIFS('المرتبطة بسمو الوزير'!$M$2:$M$151,'المرتبطة بسمو الوزير'!$B$2:$B$151,$B368,'المرتبطة بسمو الوزير'!$G$2:$G$151,$G368,'المرتبطة بسمو الوزير'!$I$2:$I$151,$I368)+SUMIFS('الشؤون التنفيذية'!$N$2:$N$421,'الشؤون التنفيذية'!$B$2:$B$421,$B368,'الشؤون التنفيذية'!$G$2:$G$421,$G368,'الشؤون التنفيذية'!$I$2:$I$421,$I368)+SUMIFS('الجهاز العسكري'!$M$2:$M$631,'الجهاز العسكري'!$B$2:$B$631,$B368,'الجهاز العسكري'!$G$2:$G$631,$G368,'الجهاز العسكري'!$I$2:$I$631,$I368))/$L368,0))</f>
        <v>74</v>
      </c>
      <c r="O368" s="18"/>
      <c r="P368" s="15">
        <f>SUMIFS(المرجع!$G$2:$G$19,المرجع!$B$2:$B$19,$G368,المرجع!$E$2:$E$19,$I368)</f>
        <v>15</v>
      </c>
      <c r="Q368" s="20">
        <f t="shared" si="6"/>
        <v>11.1</v>
      </c>
      <c r="R368" s="21" t="str">
        <f>IF($N368&gt;المرجع!$K$3,"متقدم",IF($N368&lt;=المرجع!$K$2,"أولي","جزئي"))</f>
        <v>متقدم</v>
      </c>
    </row>
    <row r="369" spans="1:18">
      <c r="A369" s="16" t="s">
        <v>1809</v>
      </c>
      <c r="B369" s="16" t="s">
        <v>192</v>
      </c>
      <c r="C369" s="15" t="str">
        <f>IFERROR(INDEX('قائمة الوحدات'!$B$2:$B$41,MATCH($B369,'قائمة الوحدات'!$A$2:$A$41,0)),"")</f>
        <v>MIL</v>
      </c>
      <c r="D369" s="14" t="str">
        <f>IFERROR(INDEX('قائمة الوحدات'!$C$2:$C$41,MATCH($B369,'قائمة الوحدات'!$A$2:$A$41,0)),"")</f>
        <v>الجهاز العسكري</v>
      </c>
      <c r="E369" s="14" t="str">
        <f>IFERROR(INDEX('قائمة الوحدات'!$D$2:$D$41,MATCH($B369,'قائمة الوحدات'!$A$2:$A$41,0)),"")</f>
        <v>قيادة القوات البرية</v>
      </c>
      <c r="F369" s="14" t="str">
        <f>IFERROR(INDEX('قائمة الوحدات'!$F$2:$F$41,MATCH($B369,'قائمة الوحدات'!$A$2:$A$41,0)),"")</f>
        <v>قيادة القوات البرية</v>
      </c>
      <c r="G369" s="16" t="s">
        <v>61</v>
      </c>
      <c r="H369" s="14" t="str">
        <f>IFERROR(INDEX(المرجع!$A$2:$A$19,MATCH($G369,المرجع!$B$2:$B$19,0)),"")</f>
        <v>البناء المؤسسي</v>
      </c>
      <c r="I369" s="16" t="s">
        <v>48</v>
      </c>
      <c r="J369" s="14" t="str">
        <f>IFERROR(INDEX(المرجع!$D$2:$D$19,MATCH($I369,المرجع!$E$2:$E$19,0)),"")</f>
        <v>الأهداف ومؤشرات الأداء</v>
      </c>
      <c r="K369" s="15">
        <f>IFERROR(INDEX(المرجع!$F$2:$F$19,MATCH($I369,المرجع!$E$2:$E$19,0)),"")</f>
        <v>2</v>
      </c>
      <c r="L369" s="15">
        <f>SUMIFS(المرجع!$H$2:$H$19,المرجع!$B$2:$B$19,$G369,المرجع!$E$2:$E$19,$I369)</f>
        <v>2</v>
      </c>
      <c r="M369" s="15">
        <f>COUNTIFS('المرتبطة بسمو الوزير'!$B$2:$B$151,$B369,'المرتبطة بسمو الوزير'!$G$2:$G$151,$G369,'المرتبطة بسمو الوزير'!$I$2:$I$151,$I369,'المرتبطة بسمو الوزير'!$M$2:$M$151,"&lt;&gt;")+COUNTIFS('الشؤون التنفيذية'!$B$2:$B$421,$B369,'الشؤون التنفيذية'!$G$2:$G$421,$G369,'الشؤون التنفيذية'!$I$2:$I$421,$I369,'الشؤون التنفيذية'!$N$2:$N$421,"&lt;&gt;")+COUNTIFS('الجهاز العسكري'!$B$2:$B$631,$B369,'الجهاز العسكري'!$G$2:$G$631,$G369,'الجهاز العسكري'!$I$2:$I$631,$I369,'الجهاز العسكري'!$M$2:$M$631,"&lt;&gt;")</f>
        <v>2</v>
      </c>
      <c r="N369" s="19">
        <f>IF($L369=0,0,ROUND((SUMIFS('المرتبطة بسمو الوزير'!$M$2:$M$151,'المرتبطة بسمو الوزير'!$B$2:$B$151,$B369,'المرتبطة بسمو الوزير'!$G$2:$G$151,$G369,'المرتبطة بسمو الوزير'!$I$2:$I$151,$I369)+SUMIFS('الشؤون التنفيذية'!$N$2:$N$421,'الشؤون التنفيذية'!$B$2:$B$421,$B369,'الشؤون التنفيذية'!$G$2:$G$421,$G369,'الشؤون التنفيذية'!$I$2:$I$421,$I369)+SUMIFS('الجهاز العسكري'!$M$2:$M$631,'الجهاز العسكري'!$B$2:$B$631,$B369,'الجهاز العسكري'!$G$2:$G$631,$G369,'الجهاز العسكري'!$I$2:$I$631,$I369))/$L369,0))</f>
        <v>58</v>
      </c>
      <c r="O369" s="18"/>
      <c r="P369" s="15">
        <f>SUMIFS(المرجع!$G$2:$G$19,المرجع!$B$2:$B$19,$G369,المرجع!$E$2:$E$19,$I369)</f>
        <v>15</v>
      </c>
      <c r="Q369" s="20">
        <f t="shared" si="6"/>
        <v>8.6999999999999993</v>
      </c>
      <c r="R369" s="21" t="str">
        <f>IF($N369&gt;المرجع!$K$3,"متقدم",IF($N369&lt;=المرجع!$K$2,"أولي","جزئي"))</f>
        <v>جزئي</v>
      </c>
    </row>
    <row r="370" spans="1:18">
      <c r="A370" s="16" t="s">
        <v>1810</v>
      </c>
      <c r="B370" s="16" t="s">
        <v>192</v>
      </c>
      <c r="C370" s="15" t="str">
        <f>IFERROR(INDEX('قائمة الوحدات'!$B$2:$B$41,MATCH($B370,'قائمة الوحدات'!$A$2:$A$41,0)),"")</f>
        <v>MIL</v>
      </c>
      <c r="D370" s="14" t="str">
        <f>IFERROR(INDEX('قائمة الوحدات'!$C$2:$C$41,MATCH($B370,'قائمة الوحدات'!$A$2:$A$41,0)),"")</f>
        <v>الجهاز العسكري</v>
      </c>
      <c r="E370" s="14" t="str">
        <f>IFERROR(INDEX('قائمة الوحدات'!$D$2:$D$41,MATCH($B370,'قائمة الوحدات'!$A$2:$A$41,0)),"")</f>
        <v>قيادة القوات البرية</v>
      </c>
      <c r="F370" s="14" t="str">
        <f>IFERROR(INDEX('قائمة الوحدات'!$F$2:$F$41,MATCH($B370,'قائمة الوحدات'!$A$2:$A$41,0)),"")</f>
        <v>قيادة القوات البرية</v>
      </c>
      <c r="G370" s="16" t="s">
        <v>61</v>
      </c>
      <c r="H370" s="14" t="str">
        <f>IFERROR(INDEX(المرجع!$A$2:$A$19,MATCH($G370,المرجع!$B$2:$B$19,0)),"")</f>
        <v>البناء المؤسسي</v>
      </c>
      <c r="I370" s="16" t="s">
        <v>51</v>
      </c>
      <c r="J370" s="14" t="str">
        <f>IFERROR(INDEX(المرجع!$D$2:$D$19,MATCH($I370,المرجع!$E$2:$E$19,0)),"")</f>
        <v>الحوكمة</v>
      </c>
      <c r="K370" s="15">
        <f>IFERROR(INDEX(المرجع!$F$2:$F$19,MATCH($I370,المرجع!$E$2:$E$19,0)),"")</f>
        <v>3</v>
      </c>
      <c r="L370" s="15">
        <f>SUMIFS(المرجع!$H$2:$H$19,المرجع!$B$2:$B$19,$G370,المرجع!$E$2:$E$19,$I370)</f>
        <v>3</v>
      </c>
      <c r="M370" s="15">
        <f>COUNTIFS('المرتبطة بسمو الوزير'!$B$2:$B$151,$B370,'المرتبطة بسمو الوزير'!$G$2:$G$151,$G370,'المرتبطة بسمو الوزير'!$I$2:$I$151,$I370,'المرتبطة بسمو الوزير'!$M$2:$M$151,"&lt;&gt;")+COUNTIFS('الشؤون التنفيذية'!$B$2:$B$421,$B370,'الشؤون التنفيذية'!$G$2:$G$421,$G370,'الشؤون التنفيذية'!$I$2:$I$421,$I370,'الشؤون التنفيذية'!$N$2:$N$421,"&lt;&gt;")+COUNTIFS('الجهاز العسكري'!$B$2:$B$631,$B370,'الجهاز العسكري'!$G$2:$G$631,$G370,'الجهاز العسكري'!$I$2:$I$631,$I370,'الجهاز العسكري'!$M$2:$M$631,"&lt;&gt;")</f>
        <v>3</v>
      </c>
      <c r="N370" s="19">
        <f>IF($L370=0,0,ROUND((SUMIFS('المرتبطة بسمو الوزير'!$M$2:$M$151,'المرتبطة بسمو الوزير'!$B$2:$B$151,$B370,'المرتبطة بسمو الوزير'!$G$2:$G$151,$G370,'المرتبطة بسمو الوزير'!$I$2:$I$151,$I370)+SUMIFS('الشؤون التنفيذية'!$N$2:$N$421,'الشؤون التنفيذية'!$B$2:$B$421,$B370,'الشؤون التنفيذية'!$G$2:$G$421,$G370,'الشؤون التنفيذية'!$I$2:$I$421,$I370)+SUMIFS('الجهاز العسكري'!$M$2:$M$631,'الجهاز العسكري'!$B$2:$B$631,$B370,'الجهاز العسكري'!$G$2:$G$631,$G370,'الجهاز العسكري'!$I$2:$I$631,$I370))/$L370,0))</f>
        <v>72</v>
      </c>
      <c r="O370" s="18"/>
      <c r="P370" s="15">
        <f>SUMIFS(المرجع!$G$2:$G$19,المرجع!$B$2:$B$19,$G370,المرجع!$E$2:$E$19,$I370)</f>
        <v>15</v>
      </c>
      <c r="Q370" s="20">
        <f t="shared" si="6"/>
        <v>10.8</v>
      </c>
      <c r="R370" s="21" t="str">
        <f>IF($N370&gt;المرجع!$K$3,"متقدم",IF($N370&lt;=المرجع!$K$2,"أولي","جزئي"))</f>
        <v>متقدم</v>
      </c>
    </row>
    <row r="371" spans="1:18">
      <c r="A371" s="16" t="s">
        <v>1811</v>
      </c>
      <c r="B371" s="16" t="s">
        <v>192</v>
      </c>
      <c r="C371" s="15" t="str">
        <f>IFERROR(INDEX('قائمة الوحدات'!$B$2:$B$41,MATCH($B371,'قائمة الوحدات'!$A$2:$A$41,0)),"")</f>
        <v>MIL</v>
      </c>
      <c r="D371" s="14" t="str">
        <f>IFERROR(INDEX('قائمة الوحدات'!$C$2:$C$41,MATCH($B371,'قائمة الوحدات'!$A$2:$A$41,0)),"")</f>
        <v>الجهاز العسكري</v>
      </c>
      <c r="E371" s="14" t="str">
        <f>IFERROR(INDEX('قائمة الوحدات'!$D$2:$D$41,MATCH($B371,'قائمة الوحدات'!$A$2:$A$41,0)),"")</f>
        <v>قيادة القوات البرية</v>
      </c>
      <c r="F371" s="14" t="str">
        <f>IFERROR(INDEX('قائمة الوحدات'!$F$2:$F$41,MATCH($B371,'قائمة الوحدات'!$A$2:$A$41,0)),"")</f>
        <v>قيادة القوات البرية</v>
      </c>
      <c r="G371" s="16" t="s">
        <v>61</v>
      </c>
      <c r="H371" s="14" t="str">
        <f>IFERROR(INDEX(المرجع!$A$2:$A$19,MATCH($G371,المرجع!$B$2:$B$19,0)),"")</f>
        <v>البناء المؤسسي</v>
      </c>
      <c r="I371" s="16" t="s">
        <v>54</v>
      </c>
      <c r="J371" s="14" t="str">
        <f>IFERROR(INDEX(المرجع!$D$2:$D$19,MATCH($I371,المرجع!$E$2:$E$19,0)),"")</f>
        <v>التنظيم</v>
      </c>
      <c r="K371" s="15">
        <f>IFERROR(INDEX(المرجع!$F$2:$F$19,MATCH($I371,المرجع!$E$2:$E$19,0)),"")</f>
        <v>4</v>
      </c>
      <c r="L371" s="15">
        <f>SUMIFS(المرجع!$H$2:$H$19,المرجع!$B$2:$B$19,$G371,المرجع!$E$2:$E$19,$I371)</f>
        <v>3</v>
      </c>
      <c r="M371" s="15">
        <f>COUNTIFS('المرتبطة بسمو الوزير'!$B$2:$B$151,$B371,'المرتبطة بسمو الوزير'!$G$2:$G$151,$G371,'المرتبطة بسمو الوزير'!$I$2:$I$151,$I371,'المرتبطة بسمو الوزير'!$M$2:$M$151,"&lt;&gt;")+COUNTIFS('الشؤون التنفيذية'!$B$2:$B$421,$B371,'الشؤون التنفيذية'!$G$2:$G$421,$G371,'الشؤون التنفيذية'!$I$2:$I$421,$I371,'الشؤون التنفيذية'!$N$2:$N$421,"&lt;&gt;")+COUNTIFS('الجهاز العسكري'!$B$2:$B$631,$B371,'الجهاز العسكري'!$G$2:$G$631,$G371,'الجهاز العسكري'!$I$2:$I$631,$I371,'الجهاز العسكري'!$M$2:$M$631,"&lt;&gt;")</f>
        <v>3</v>
      </c>
      <c r="N371" s="19">
        <f>IF($L371=0,0,ROUND((SUMIFS('المرتبطة بسمو الوزير'!$M$2:$M$151,'المرتبطة بسمو الوزير'!$B$2:$B$151,$B371,'المرتبطة بسمو الوزير'!$G$2:$G$151,$G371,'المرتبطة بسمو الوزير'!$I$2:$I$151,$I371)+SUMIFS('الشؤون التنفيذية'!$N$2:$N$421,'الشؤون التنفيذية'!$B$2:$B$421,$B371,'الشؤون التنفيذية'!$G$2:$G$421,$G371,'الشؤون التنفيذية'!$I$2:$I$421,$I371)+SUMIFS('الجهاز العسكري'!$M$2:$M$631,'الجهاز العسكري'!$B$2:$B$631,$B371,'الجهاز العسكري'!$G$2:$G$631,$G371,'الجهاز العسكري'!$I$2:$I$631,$I371))/$L371,0))</f>
        <v>43</v>
      </c>
      <c r="O371" s="18"/>
      <c r="P371" s="15">
        <f>SUMIFS(المرجع!$G$2:$G$19,المرجع!$B$2:$B$19,$G371,المرجع!$E$2:$E$19,$I371)</f>
        <v>20</v>
      </c>
      <c r="Q371" s="20">
        <f t="shared" si="6"/>
        <v>8.6</v>
      </c>
      <c r="R371" s="21" t="str">
        <f>IF($N371&gt;المرجع!$K$3,"متقدم",IF($N371&lt;=المرجع!$K$2,"أولي","جزئي"))</f>
        <v>جزئي</v>
      </c>
    </row>
    <row r="372" spans="1:18">
      <c r="A372" s="16" t="s">
        <v>1812</v>
      </c>
      <c r="B372" s="16" t="s">
        <v>192</v>
      </c>
      <c r="C372" s="15" t="str">
        <f>IFERROR(INDEX('قائمة الوحدات'!$B$2:$B$41,MATCH($B372,'قائمة الوحدات'!$A$2:$A$41,0)),"")</f>
        <v>MIL</v>
      </c>
      <c r="D372" s="14" t="str">
        <f>IFERROR(INDEX('قائمة الوحدات'!$C$2:$C$41,MATCH($B372,'قائمة الوحدات'!$A$2:$A$41,0)),"")</f>
        <v>الجهاز العسكري</v>
      </c>
      <c r="E372" s="14" t="str">
        <f>IFERROR(INDEX('قائمة الوحدات'!$D$2:$D$41,MATCH($B372,'قائمة الوحدات'!$A$2:$A$41,0)),"")</f>
        <v>قيادة القوات البرية</v>
      </c>
      <c r="F372" s="14" t="str">
        <f>IFERROR(INDEX('قائمة الوحدات'!$F$2:$F$41,MATCH($B372,'قائمة الوحدات'!$A$2:$A$41,0)),"")</f>
        <v>قيادة القوات البرية</v>
      </c>
      <c r="G372" s="16" t="s">
        <v>61</v>
      </c>
      <c r="H372" s="14" t="str">
        <f>IFERROR(INDEX(المرجع!$A$2:$A$19,MATCH($G372,المرجع!$B$2:$B$19,0)),"")</f>
        <v>البناء المؤسسي</v>
      </c>
      <c r="I372" s="16" t="s">
        <v>56</v>
      </c>
      <c r="J372" s="14" t="str">
        <f>IFERROR(INDEX(المرجع!$D$2:$D$19,MATCH($I372,المرجع!$E$2:$E$19,0)),"")</f>
        <v>الموارد</v>
      </c>
      <c r="K372" s="15">
        <f>IFERROR(INDEX(المرجع!$F$2:$F$19,MATCH($I372,المرجع!$E$2:$E$19,0)),"")</f>
        <v>5</v>
      </c>
      <c r="L372" s="15">
        <f>SUMIFS(المرجع!$H$2:$H$19,المرجع!$B$2:$B$19,$G372,المرجع!$E$2:$E$19,$I372)</f>
        <v>4</v>
      </c>
      <c r="M372" s="15">
        <f>COUNTIFS('المرتبطة بسمو الوزير'!$B$2:$B$151,$B372,'المرتبطة بسمو الوزير'!$G$2:$G$151,$G372,'المرتبطة بسمو الوزير'!$I$2:$I$151,$I372,'المرتبطة بسمو الوزير'!$M$2:$M$151,"&lt;&gt;")+COUNTIFS('الشؤون التنفيذية'!$B$2:$B$421,$B372,'الشؤون التنفيذية'!$G$2:$G$421,$G372,'الشؤون التنفيذية'!$I$2:$I$421,$I372,'الشؤون التنفيذية'!$N$2:$N$421,"&lt;&gt;")+COUNTIFS('الجهاز العسكري'!$B$2:$B$631,$B372,'الجهاز العسكري'!$G$2:$G$631,$G372,'الجهاز العسكري'!$I$2:$I$631,$I372,'الجهاز العسكري'!$M$2:$M$631,"&lt;&gt;")</f>
        <v>4</v>
      </c>
      <c r="N372" s="19">
        <f>IF($L372=0,0,ROUND((SUMIFS('المرتبطة بسمو الوزير'!$M$2:$M$151,'المرتبطة بسمو الوزير'!$B$2:$B$151,$B372,'المرتبطة بسمو الوزير'!$G$2:$G$151,$G372,'المرتبطة بسمو الوزير'!$I$2:$I$151,$I372)+SUMIFS('الشؤون التنفيذية'!$N$2:$N$421,'الشؤون التنفيذية'!$B$2:$B$421,$B372,'الشؤون التنفيذية'!$G$2:$G$421,$G372,'الشؤون التنفيذية'!$I$2:$I$421,$I372)+SUMIFS('الجهاز العسكري'!$M$2:$M$631,'الجهاز العسكري'!$B$2:$B$631,$B372,'الجهاز العسكري'!$G$2:$G$631,$G372,'الجهاز العسكري'!$I$2:$I$631,$I372))/$L372,0))</f>
        <v>54</v>
      </c>
      <c r="O372" s="18"/>
      <c r="P372" s="15">
        <f>SUMIFS(المرجع!$G$2:$G$19,المرجع!$B$2:$B$19,$G372,المرجع!$E$2:$E$19,$I372)</f>
        <v>25</v>
      </c>
      <c r="Q372" s="20">
        <f t="shared" si="6"/>
        <v>13.5</v>
      </c>
      <c r="R372" s="21" t="str">
        <f>IF($N372&gt;المرجع!$K$3,"متقدم",IF($N372&lt;=المرجع!$K$2,"أولي","جزئي"))</f>
        <v>جزئي</v>
      </c>
    </row>
    <row r="373" spans="1:18">
      <c r="A373" s="16" t="s">
        <v>1813</v>
      </c>
      <c r="B373" s="16" t="s">
        <v>192</v>
      </c>
      <c r="C373" s="15" t="str">
        <f>IFERROR(INDEX('قائمة الوحدات'!$B$2:$B$41,MATCH($B373,'قائمة الوحدات'!$A$2:$A$41,0)),"")</f>
        <v>MIL</v>
      </c>
      <c r="D373" s="14" t="str">
        <f>IFERROR(INDEX('قائمة الوحدات'!$C$2:$C$41,MATCH($B373,'قائمة الوحدات'!$A$2:$A$41,0)),"")</f>
        <v>الجهاز العسكري</v>
      </c>
      <c r="E373" s="14" t="str">
        <f>IFERROR(INDEX('قائمة الوحدات'!$D$2:$D$41,MATCH($B373,'قائمة الوحدات'!$A$2:$A$41,0)),"")</f>
        <v>قيادة القوات البرية</v>
      </c>
      <c r="F373" s="14" t="str">
        <f>IFERROR(INDEX('قائمة الوحدات'!$F$2:$F$41,MATCH($B373,'قائمة الوحدات'!$A$2:$A$41,0)),"")</f>
        <v>قيادة القوات البرية</v>
      </c>
      <c r="G373" s="16" t="s">
        <v>61</v>
      </c>
      <c r="H373" s="14" t="str">
        <f>IFERROR(INDEX(المرجع!$A$2:$A$19,MATCH($G373,المرجع!$B$2:$B$19,0)),"")</f>
        <v>البناء المؤسسي</v>
      </c>
      <c r="I373" s="16" t="s">
        <v>59</v>
      </c>
      <c r="J373" s="14" t="str">
        <f>IFERROR(INDEX(المرجع!$D$2:$D$19,MATCH($I373,المرجع!$E$2:$E$19,0)),"")</f>
        <v>الإجراءات</v>
      </c>
      <c r="K373" s="15">
        <f>IFERROR(INDEX(المرجع!$F$2:$F$19,MATCH($I373,المرجع!$E$2:$E$19,0)),"")</f>
        <v>6</v>
      </c>
      <c r="L373" s="15">
        <f>SUMIFS(المرجع!$H$2:$H$19,المرجع!$B$2:$B$19,$G373,المرجع!$E$2:$E$19,$I373)</f>
        <v>1</v>
      </c>
      <c r="M373" s="15">
        <f>COUNTIFS('المرتبطة بسمو الوزير'!$B$2:$B$151,$B373,'المرتبطة بسمو الوزير'!$G$2:$G$151,$G373,'المرتبطة بسمو الوزير'!$I$2:$I$151,$I373,'المرتبطة بسمو الوزير'!$M$2:$M$151,"&lt;&gt;")+COUNTIFS('الشؤون التنفيذية'!$B$2:$B$421,$B373,'الشؤون التنفيذية'!$G$2:$G$421,$G373,'الشؤون التنفيذية'!$I$2:$I$421,$I373,'الشؤون التنفيذية'!$N$2:$N$421,"&lt;&gt;")+COUNTIFS('الجهاز العسكري'!$B$2:$B$631,$B373,'الجهاز العسكري'!$G$2:$G$631,$G373,'الجهاز العسكري'!$I$2:$I$631,$I373,'الجهاز العسكري'!$M$2:$M$631,"&lt;&gt;")</f>
        <v>1</v>
      </c>
      <c r="N373" s="19">
        <f>IF($L373=0,0,ROUND((SUMIFS('المرتبطة بسمو الوزير'!$M$2:$M$151,'المرتبطة بسمو الوزير'!$B$2:$B$151,$B373,'المرتبطة بسمو الوزير'!$G$2:$G$151,$G373,'المرتبطة بسمو الوزير'!$I$2:$I$151,$I373)+SUMIFS('الشؤون التنفيذية'!$N$2:$N$421,'الشؤون التنفيذية'!$B$2:$B$421,$B373,'الشؤون التنفيذية'!$G$2:$G$421,$G373,'الشؤون التنفيذية'!$I$2:$I$421,$I373)+SUMIFS('الجهاز العسكري'!$M$2:$M$631,'الجهاز العسكري'!$B$2:$B$631,$B373,'الجهاز العسكري'!$G$2:$G$631,$G373,'الجهاز العسكري'!$I$2:$I$631,$I373))/$L373,0))</f>
        <v>48</v>
      </c>
      <c r="O373" s="18"/>
      <c r="P373" s="15">
        <f>SUMIFS(المرجع!$G$2:$G$19,المرجع!$B$2:$B$19,$G373,المرجع!$E$2:$E$19,$I373)</f>
        <v>5</v>
      </c>
      <c r="Q373" s="20">
        <f t="shared" si="6"/>
        <v>2.4</v>
      </c>
      <c r="R373" s="21" t="str">
        <f>IF($N373&gt;المرجع!$K$3,"متقدم",IF($N373&lt;=المرجع!$K$2,"أولي","جزئي"))</f>
        <v>جزئي</v>
      </c>
    </row>
    <row r="374" spans="1:18">
      <c r="A374" s="16" t="s">
        <v>1814</v>
      </c>
      <c r="B374" s="16" t="s">
        <v>192</v>
      </c>
      <c r="C374" s="15" t="str">
        <f>IFERROR(INDEX('قائمة الوحدات'!$B$2:$B$41,MATCH($B374,'قائمة الوحدات'!$A$2:$A$41,0)),"")</f>
        <v>MIL</v>
      </c>
      <c r="D374" s="14" t="str">
        <f>IFERROR(INDEX('قائمة الوحدات'!$C$2:$C$41,MATCH($B374,'قائمة الوحدات'!$A$2:$A$41,0)),"")</f>
        <v>الجهاز العسكري</v>
      </c>
      <c r="E374" s="14" t="str">
        <f>IFERROR(INDEX('قائمة الوحدات'!$D$2:$D$41,MATCH($B374,'قائمة الوحدات'!$A$2:$A$41,0)),"")</f>
        <v>قيادة القوات البرية</v>
      </c>
      <c r="F374" s="14" t="str">
        <f>IFERROR(INDEX('قائمة الوحدات'!$F$2:$F$41,MATCH($B374,'قائمة الوحدات'!$A$2:$A$41,0)),"")</f>
        <v>قيادة القوات البرية</v>
      </c>
      <c r="G374" s="16" t="s">
        <v>61</v>
      </c>
      <c r="H374" s="14" t="str">
        <f>IFERROR(INDEX(المرجع!$A$2:$A$19,MATCH($G374,المرجع!$B$2:$B$19,0)),"")</f>
        <v>البناء المؤسسي</v>
      </c>
      <c r="I374" s="16" t="s">
        <v>63</v>
      </c>
      <c r="J374" s="14" t="str">
        <f>IFERROR(INDEX(المرجع!$D$2:$D$19,MATCH($I374,المرجع!$E$2:$E$19,0)),"")</f>
        <v>إنتاج المخرج الأول</v>
      </c>
      <c r="K374" s="15">
        <f>IFERROR(INDEX(المرجع!$F$2:$F$19,MATCH($I374,المرجع!$E$2:$E$19,0)),"")</f>
        <v>7</v>
      </c>
      <c r="L374" s="15">
        <f>SUMIFS(المرجع!$H$2:$H$19,المرجع!$B$2:$B$19,$G374,المرجع!$E$2:$E$19,$I374)</f>
        <v>1</v>
      </c>
      <c r="M374" s="15">
        <f>COUNTIFS('المرتبطة بسمو الوزير'!$B$2:$B$151,$B374,'المرتبطة بسمو الوزير'!$G$2:$G$151,$G374,'المرتبطة بسمو الوزير'!$I$2:$I$151,$I374,'المرتبطة بسمو الوزير'!$M$2:$M$151,"&lt;&gt;")+COUNTIFS('الشؤون التنفيذية'!$B$2:$B$421,$B374,'الشؤون التنفيذية'!$G$2:$G$421,$G374,'الشؤون التنفيذية'!$I$2:$I$421,$I374,'الشؤون التنفيذية'!$N$2:$N$421,"&lt;&gt;")+COUNTIFS('الجهاز العسكري'!$B$2:$B$631,$B374,'الجهاز العسكري'!$G$2:$G$631,$G374,'الجهاز العسكري'!$I$2:$I$631,$I374,'الجهاز العسكري'!$M$2:$M$631,"&lt;&gt;")</f>
        <v>1</v>
      </c>
      <c r="N374" s="19">
        <f>IF($L374=0,0,ROUND((SUMIFS('المرتبطة بسمو الوزير'!$M$2:$M$151,'المرتبطة بسمو الوزير'!$B$2:$B$151,$B374,'المرتبطة بسمو الوزير'!$G$2:$G$151,$G374,'المرتبطة بسمو الوزير'!$I$2:$I$151,$I374)+SUMIFS('الشؤون التنفيذية'!$N$2:$N$421,'الشؤون التنفيذية'!$B$2:$B$421,$B374,'الشؤون التنفيذية'!$G$2:$G$421,$G374,'الشؤون التنفيذية'!$I$2:$I$421,$I374)+SUMIFS('الجهاز العسكري'!$M$2:$M$631,'الجهاز العسكري'!$B$2:$B$631,$B374,'الجهاز العسكري'!$G$2:$G$631,$G374,'الجهاز العسكري'!$I$2:$I$631,$I374))/$L374,0))</f>
        <v>44</v>
      </c>
      <c r="O374" s="18"/>
      <c r="P374" s="15">
        <f>SUMIFS(المرجع!$G$2:$G$19,المرجع!$B$2:$B$19,$G374,المرجع!$E$2:$E$19,$I374)</f>
        <v>5</v>
      </c>
      <c r="Q374" s="20">
        <f t="shared" si="6"/>
        <v>2.2000000000000002</v>
      </c>
      <c r="R374" s="21" t="str">
        <f>IF($N374&gt;المرجع!$K$3,"متقدم",IF($N374&lt;=المرجع!$K$2,"أولي","جزئي"))</f>
        <v>جزئي</v>
      </c>
    </row>
    <row r="375" spans="1:18">
      <c r="A375" s="16" t="s">
        <v>1815</v>
      </c>
      <c r="B375" s="16" t="s">
        <v>192</v>
      </c>
      <c r="C375" s="15" t="str">
        <f>IFERROR(INDEX('قائمة الوحدات'!$B$2:$B$41,MATCH($B375,'قائمة الوحدات'!$A$2:$A$41,0)),"")</f>
        <v>MIL</v>
      </c>
      <c r="D375" s="14" t="str">
        <f>IFERROR(INDEX('قائمة الوحدات'!$C$2:$C$41,MATCH($B375,'قائمة الوحدات'!$A$2:$A$41,0)),"")</f>
        <v>الجهاز العسكري</v>
      </c>
      <c r="E375" s="14" t="str">
        <f>IFERROR(INDEX('قائمة الوحدات'!$D$2:$D$41,MATCH($B375,'قائمة الوحدات'!$A$2:$A$41,0)),"")</f>
        <v>قيادة القوات البرية</v>
      </c>
      <c r="F375" s="14" t="str">
        <f>IFERROR(INDEX('قائمة الوحدات'!$F$2:$F$41,MATCH($B375,'قائمة الوحدات'!$A$2:$A$41,0)),"")</f>
        <v>قيادة القوات البرية</v>
      </c>
      <c r="G375" s="16" t="s">
        <v>65</v>
      </c>
      <c r="H375" s="14" t="str">
        <f>IFERROR(INDEX(المرجع!$A$2:$A$19,MATCH($G375,المرجع!$B$2:$B$19,0)),"")</f>
        <v>التشغيل</v>
      </c>
      <c r="I375" s="16" t="s">
        <v>48</v>
      </c>
      <c r="J375" s="14" t="str">
        <f>IFERROR(INDEX(المرجع!$D$2:$D$19,MATCH($I375,المرجع!$E$2:$E$19,0)),"")</f>
        <v>الأهداف ومؤشرات الأداء</v>
      </c>
      <c r="K375" s="15">
        <f>IFERROR(INDEX(المرجع!$F$2:$F$19,MATCH($I375,المرجع!$E$2:$E$19,0)),"")</f>
        <v>2</v>
      </c>
      <c r="L375" s="15">
        <f>SUMIFS(المرجع!$H$2:$H$19,المرجع!$B$2:$B$19,$G375,المرجع!$E$2:$E$19,$I375)</f>
        <v>2</v>
      </c>
      <c r="M375" s="15">
        <f>COUNTIFS('المرتبطة بسمو الوزير'!$B$2:$B$151,$B375,'المرتبطة بسمو الوزير'!$G$2:$G$151,$G375,'المرتبطة بسمو الوزير'!$I$2:$I$151,$I375,'المرتبطة بسمو الوزير'!$M$2:$M$151,"&lt;&gt;")+COUNTIFS('الشؤون التنفيذية'!$B$2:$B$421,$B375,'الشؤون التنفيذية'!$G$2:$G$421,$G375,'الشؤون التنفيذية'!$I$2:$I$421,$I375,'الشؤون التنفيذية'!$N$2:$N$421,"&lt;&gt;")+COUNTIFS('الجهاز العسكري'!$B$2:$B$631,$B375,'الجهاز العسكري'!$G$2:$G$631,$G375,'الجهاز العسكري'!$I$2:$I$631,$I375,'الجهاز العسكري'!$M$2:$M$631,"&lt;&gt;")</f>
        <v>2</v>
      </c>
      <c r="N375" s="19">
        <f>IF($L375=0,0,ROUND((SUMIFS('المرتبطة بسمو الوزير'!$M$2:$M$151,'المرتبطة بسمو الوزير'!$B$2:$B$151,$B375,'المرتبطة بسمو الوزير'!$G$2:$G$151,$G375,'المرتبطة بسمو الوزير'!$I$2:$I$151,$I375)+SUMIFS('الشؤون التنفيذية'!$N$2:$N$421,'الشؤون التنفيذية'!$B$2:$B$421,$B375,'الشؤون التنفيذية'!$G$2:$G$421,$G375,'الشؤون التنفيذية'!$I$2:$I$421,$I375)+SUMIFS('الجهاز العسكري'!$M$2:$M$631,'الجهاز العسكري'!$B$2:$B$631,$B375,'الجهاز العسكري'!$G$2:$G$631,$G375,'الجهاز العسكري'!$I$2:$I$631,$I375))/$L375,0))</f>
        <v>35</v>
      </c>
      <c r="O375" s="18"/>
      <c r="P375" s="15">
        <f>SUMIFS(المرجع!$G$2:$G$19,المرجع!$B$2:$B$19,$G375,المرجع!$E$2:$E$19,$I375)</f>
        <v>25</v>
      </c>
      <c r="Q375" s="20">
        <f t="shared" si="6"/>
        <v>8.75</v>
      </c>
      <c r="R375" s="21" t="str">
        <f>IF($N375&gt;المرجع!$K$3,"متقدم",IF($N375&lt;=المرجع!$K$2,"أولي","جزئي"))</f>
        <v>جزئي</v>
      </c>
    </row>
    <row r="376" spans="1:18">
      <c r="A376" s="16" t="s">
        <v>1816</v>
      </c>
      <c r="B376" s="16" t="s">
        <v>192</v>
      </c>
      <c r="C376" s="15" t="str">
        <f>IFERROR(INDEX('قائمة الوحدات'!$B$2:$B$41,MATCH($B376,'قائمة الوحدات'!$A$2:$A$41,0)),"")</f>
        <v>MIL</v>
      </c>
      <c r="D376" s="14" t="str">
        <f>IFERROR(INDEX('قائمة الوحدات'!$C$2:$C$41,MATCH($B376,'قائمة الوحدات'!$A$2:$A$41,0)),"")</f>
        <v>الجهاز العسكري</v>
      </c>
      <c r="E376" s="14" t="str">
        <f>IFERROR(INDEX('قائمة الوحدات'!$D$2:$D$41,MATCH($B376,'قائمة الوحدات'!$A$2:$A$41,0)),"")</f>
        <v>قيادة القوات البرية</v>
      </c>
      <c r="F376" s="14" t="str">
        <f>IFERROR(INDEX('قائمة الوحدات'!$F$2:$F$41,MATCH($B376,'قائمة الوحدات'!$A$2:$A$41,0)),"")</f>
        <v>قيادة القوات البرية</v>
      </c>
      <c r="G376" s="16" t="s">
        <v>65</v>
      </c>
      <c r="H376" s="14" t="str">
        <f>IFERROR(INDEX(المرجع!$A$2:$A$19,MATCH($G376,المرجع!$B$2:$B$19,0)),"")</f>
        <v>التشغيل</v>
      </c>
      <c r="I376" s="16" t="s">
        <v>51</v>
      </c>
      <c r="J376" s="14" t="str">
        <f>IFERROR(INDEX(المرجع!$D$2:$D$19,MATCH($I376,المرجع!$E$2:$E$19,0)),"")</f>
        <v>الحوكمة</v>
      </c>
      <c r="K376" s="15">
        <f>IFERROR(INDEX(المرجع!$F$2:$F$19,MATCH($I376,المرجع!$E$2:$E$19,0)),"")</f>
        <v>3</v>
      </c>
      <c r="L376" s="15">
        <f>SUMIFS(المرجع!$H$2:$H$19,المرجع!$B$2:$B$19,$G376,المرجع!$E$2:$E$19,$I376)</f>
        <v>3</v>
      </c>
      <c r="M376" s="15">
        <f>COUNTIFS('المرتبطة بسمو الوزير'!$B$2:$B$151,$B376,'المرتبطة بسمو الوزير'!$G$2:$G$151,$G376,'المرتبطة بسمو الوزير'!$I$2:$I$151,$I376,'المرتبطة بسمو الوزير'!$M$2:$M$151,"&lt;&gt;")+COUNTIFS('الشؤون التنفيذية'!$B$2:$B$421,$B376,'الشؤون التنفيذية'!$G$2:$G$421,$G376,'الشؤون التنفيذية'!$I$2:$I$421,$I376,'الشؤون التنفيذية'!$N$2:$N$421,"&lt;&gt;")+COUNTIFS('الجهاز العسكري'!$B$2:$B$631,$B376,'الجهاز العسكري'!$G$2:$G$631,$G376,'الجهاز العسكري'!$I$2:$I$631,$I376,'الجهاز العسكري'!$M$2:$M$631,"&lt;&gt;")</f>
        <v>3</v>
      </c>
      <c r="N376" s="19">
        <f>IF($L376=0,0,ROUND((SUMIFS('المرتبطة بسمو الوزير'!$M$2:$M$151,'المرتبطة بسمو الوزير'!$B$2:$B$151,$B376,'المرتبطة بسمو الوزير'!$G$2:$G$151,$G376,'المرتبطة بسمو الوزير'!$I$2:$I$151,$I376)+SUMIFS('الشؤون التنفيذية'!$N$2:$N$421,'الشؤون التنفيذية'!$B$2:$B$421,$B376,'الشؤون التنفيذية'!$G$2:$G$421,$G376,'الشؤون التنفيذية'!$I$2:$I$421,$I376)+SUMIFS('الجهاز العسكري'!$M$2:$M$631,'الجهاز العسكري'!$B$2:$B$631,$B376,'الجهاز العسكري'!$G$2:$G$631,$G376,'الجهاز العسكري'!$I$2:$I$631,$I376))/$L376,0))</f>
        <v>35</v>
      </c>
      <c r="O376" s="18"/>
      <c r="P376" s="15">
        <f>SUMIFS(المرجع!$G$2:$G$19,المرجع!$B$2:$B$19,$G376,المرجع!$E$2:$E$19,$I376)</f>
        <v>15</v>
      </c>
      <c r="Q376" s="20">
        <f t="shared" si="6"/>
        <v>5.25</v>
      </c>
      <c r="R376" s="21" t="str">
        <f>IF($N376&gt;المرجع!$K$3,"متقدم",IF($N376&lt;=المرجع!$K$2,"أولي","جزئي"))</f>
        <v>جزئي</v>
      </c>
    </row>
    <row r="377" spans="1:18">
      <c r="A377" s="16" t="s">
        <v>1817</v>
      </c>
      <c r="B377" s="16" t="s">
        <v>192</v>
      </c>
      <c r="C377" s="15" t="str">
        <f>IFERROR(INDEX('قائمة الوحدات'!$B$2:$B$41,MATCH($B377,'قائمة الوحدات'!$A$2:$A$41,0)),"")</f>
        <v>MIL</v>
      </c>
      <c r="D377" s="14" t="str">
        <f>IFERROR(INDEX('قائمة الوحدات'!$C$2:$C$41,MATCH($B377,'قائمة الوحدات'!$A$2:$A$41,0)),"")</f>
        <v>الجهاز العسكري</v>
      </c>
      <c r="E377" s="14" t="str">
        <f>IFERROR(INDEX('قائمة الوحدات'!$D$2:$D$41,MATCH($B377,'قائمة الوحدات'!$A$2:$A$41,0)),"")</f>
        <v>قيادة القوات البرية</v>
      </c>
      <c r="F377" s="14" t="str">
        <f>IFERROR(INDEX('قائمة الوحدات'!$F$2:$F$41,MATCH($B377,'قائمة الوحدات'!$A$2:$A$41,0)),"")</f>
        <v>قيادة القوات البرية</v>
      </c>
      <c r="G377" s="16" t="s">
        <v>65</v>
      </c>
      <c r="H377" s="14" t="str">
        <f>IFERROR(INDEX(المرجع!$A$2:$A$19,MATCH($G377,المرجع!$B$2:$B$19,0)),"")</f>
        <v>التشغيل</v>
      </c>
      <c r="I377" s="16" t="s">
        <v>56</v>
      </c>
      <c r="J377" s="14" t="str">
        <f>IFERROR(INDEX(المرجع!$D$2:$D$19,MATCH($I377,المرجع!$E$2:$E$19,0)),"")</f>
        <v>الموارد</v>
      </c>
      <c r="K377" s="15">
        <f>IFERROR(INDEX(المرجع!$F$2:$F$19,MATCH($I377,المرجع!$E$2:$E$19,0)),"")</f>
        <v>5</v>
      </c>
      <c r="L377" s="15">
        <f>SUMIFS(المرجع!$H$2:$H$19,المرجع!$B$2:$B$19,$G377,المرجع!$E$2:$E$19,$I377)</f>
        <v>1</v>
      </c>
      <c r="M377" s="15">
        <f>COUNTIFS('المرتبطة بسمو الوزير'!$B$2:$B$151,$B377,'المرتبطة بسمو الوزير'!$G$2:$G$151,$G377,'المرتبطة بسمو الوزير'!$I$2:$I$151,$I377,'المرتبطة بسمو الوزير'!$M$2:$M$151,"&lt;&gt;")+COUNTIFS('الشؤون التنفيذية'!$B$2:$B$421,$B377,'الشؤون التنفيذية'!$G$2:$G$421,$G377,'الشؤون التنفيذية'!$I$2:$I$421,$I377,'الشؤون التنفيذية'!$N$2:$N$421,"&lt;&gt;")+COUNTIFS('الجهاز العسكري'!$B$2:$B$631,$B377,'الجهاز العسكري'!$G$2:$G$631,$G377,'الجهاز العسكري'!$I$2:$I$631,$I377,'الجهاز العسكري'!$M$2:$M$631,"&lt;&gt;")</f>
        <v>1</v>
      </c>
      <c r="N377" s="19">
        <f>IF($L377=0,0,ROUND((SUMIFS('المرتبطة بسمو الوزير'!$M$2:$M$151,'المرتبطة بسمو الوزير'!$B$2:$B$151,$B377,'المرتبطة بسمو الوزير'!$G$2:$G$151,$G377,'المرتبطة بسمو الوزير'!$I$2:$I$151,$I377)+SUMIFS('الشؤون التنفيذية'!$N$2:$N$421,'الشؤون التنفيذية'!$B$2:$B$421,$B377,'الشؤون التنفيذية'!$G$2:$G$421,$G377,'الشؤون التنفيذية'!$I$2:$I$421,$I377)+SUMIFS('الجهاز العسكري'!$M$2:$M$631,'الجهاز العسكري'!$B$2:$B$631,$B377,'الجهاز العسكري'!$G$2:$G$631,$G377,'الجهاز العسكري'!$I$2:$I$631,$I377))/$L377,0))</f>
        <v>55</v>
      </c>
      <c r="O377" s="18"/>
      <c r="P377" s="15">
        <f>SUMIFS(المرجع!$G$2:$G$19,المرجع!$B$2:$B$19,$G377,المرجع!$E$2:$E$19,$I377)</f>
        <v>15</v>
      </c>
      <c r="Q377" s="20">
        <f t="shared" si="6"/>
        <v>8.25</v>
      </c>
      <c r="R377" s="21" t="str">
        <f>IF($N377&gt;المرجع!$K$3,"متقدم",IF($N377&lt;=المرجع!$K$2,"أولي","جزئي"))</f>
        <v>جزئي</v>
      </c>
    </row>
    <row r="378" spans="1:18">
      <c r="A378" s="16" t="s">
        <v>1818</v>
      </c>
      <c r="B378" s="16" t="s">
        <v>192</v>
      </c>
      <c r="C378" s="15" t="str">
        <f>IFERROR(INDEX('قائمة الوحدات'!$B$2:$B$41,MATCH($B378,'قائمة الوحدات'!$A$2:$A$41,0)),"")</f>
        <v>MIL</v>
      </c>
      <c r="D378" s="14" t="str">
        <f>IFERROR(INDEX('قائمة الوحدات'!$C$2:$C$41,MATCH($B378,'قائمة الوحدات'!$A$2:$A$41,0)),"")</f>
        <v>الجهاز العسكري</v>
      </c>
      <c r="E378" s="14" t="str">
        <f>IFERROR(INDEX('قائمة الوحدات'!$D$2:$D$41,MATCH($B378,'قائمة الوحدات'!$A$2:$A$41,0)),"")</f>
        <v>قيادة القوات البرية</v>
      </c>
      <c r="F378" s="14" t="str">
        <f>IFERROR(INDEX('قائمة الوحدات'!$F$2:$F$41,MATCH($B378,'قائمة الوحدات'!$A$2:$A$41,0)),"")</f>
        <v>قيادة القوات البرية</v>
      </c>
      <c r="G378" s="16" t="s">
        <v>65</v>
      </c>
      <c r="H378" s="14" t="str">
        <f>IFERROR(INDEX(المرجع!$A$2:$A$19,MATCH($G378,المرجع!$B$2:$B$19,0)),"")</f>
        <v>التشغيل</v>
      </c>
      <c r="I378" s="16" t="s">
        <v>59</v>
      </c>
      <c r="J378" s="14" t="str">
        <f>IFERROR(INDEX(المرجع!$D$2:$D$19,MATCH($I378,المرجع!$E$2:$E$19,0)),"")</f>
        <v>الإجراءات</v>
      </c>
      <c r="K378" s="15">
        <f>IFERROR(INDEX(المرجع!$F$2:$F$19,MATCH($I378,المرجع!$E$2:$E$19,0)),"")</f>
        <v>6</v>
      </c>
      <c r="L378" s="15">
        <f>SUMIFS(المرجع!$H$2:$H$19,المرجع!$B$2:$B$19,$G378,المرجع!$E$2:$E$19,$I378)</f>
        <v>1</v>
      </c>
      <c r="M378" s="15">
        <f>COUNTIFS('المرتبطة بسمو الوزير'!$B$2:$B$151,$B378,'المرتبطة بسمو الوزير'!$G$2:$G$151,$G378,'المرتبطة بسمو الوزير'!$I$2:$I$151,$I378,'المرتبطة بسمو الوزير'!$M$2:$M$151,"&lt;&gt;")+COUNTIFS('الشؤون التنفيذية'!$B$2:$B$421,$B378,'الشؤون التنفيذية'!$G$2:$G$421,$G378,'الشؤون التنفيذية'!$I$2:$I$421,$I378,'الشؤون التنفيذية'!$N$2:$N$421,"&lt;&gt;")+COUNTIFS('الجهاز العسكري'!$B$2:$B$631,$B378,'الجهاز العسكري'!$G$2:$G$631,$G378,'الجهاز العسكري'!$I$2:$I$631,$I378,'الجهاز العسكري'!$M$2:$M$631,"&lt;&gt;")</f>
        <v>1</v>
      </c>
      <c r="N378" s="19">
        <f>IF($L378=0,0,ROUND((SUMIFS('المرتبطة بسمو الوزير'!$M$2:$M$151,'المرتبطة بسمو الوزير'!$B$2:$B$151,$B378,'المرتبطة بسمو الوزير'!$G$2:$G$151,$G378,'المرتبطة بسمو الوزير'!$I$2:$I$151,$I378)+SUMIFS('الشؤون التنفيذية'!$N$2:$N$421,'الشؤون التنفيذية'!$B$2:$B$421,$B378,'الشؤون التنفيذية'!$G$2:$G$421,$G378,'الشؤون التنفيذية'!$I$2:$I$421,$I378)+SUMIFS('الجهاز العسكري'!$M$2:$M$631,'الجهاز العسكري'!$B$2:$B$631,$B378,'الجهاز العسكري'!$G$2:$G$631,$G378,'الجهاز العسكري'!$I$2:$I$631,$I378))/$L378,0))</f>
        <v>23</v>
      </c>
      <c r="O378" s="18"/>
      <c r="P378" s="15">
        <f>SUMIFS(المرجع!$G$2:$G$19,المرجع!$B$2:$B$19,$G378,المرجع!$E$2:$E$19,$I378)</f>
        <v>15</v>
      </c>
      <c r="Q378" s="20">
        <f t="shared" si="6"/>
        <v>3.45</v>
      </c>
      <c r="R378" s="21" t="str">
        <f>IF($N378&gt;المرجع!$K$3,"متقدم",IF($N378&lt;=المرجع!$K$2,"أولي","جزئي"))</f>
        <v>أولي</v>
      </c>
    </row>
    <row r="379" spans="1:18">
      <c r="A379" s="16" t="s">
        <v>1819</v>
      </c>
      <c r="B379" s="16" t="s">
        <v>192</v>
      </c>
      <c r="C379" s="15" t="str">
        <f>IFERROR(INDEX('قائمة الوحدات'!$B$2:$B$41,MATCH($B379,'قائمة الوحدات'!$A$2:$A$41,0)),"")</f>
        <v>MIL</v>
      </c>
      <c r="D379" s="14" t="str">
        <f>IFERROR(INDEX('قائمة الوحدات'!$C$2:$C$41,MATCH($B379,'قائمة الوحدات'!$A$2:$A$41,0)),"")</f>
        <v>الجهاز العسكري</v>
      </c>
      <c r="E379" s="14" t="str">
        <f>IFERROR(INDEX('قائمة الوحدات'!$D$2:$D$41,MATCH($B379,'قائمة الوحدات'!$A$2:$A$41,0)),"")</f>
        <v>قيادة القوات البرية</v>
      </c>
      <c r="F379" s="14" t="str">
        <f>IFERROR(INDEX('قائمة الوحدات'!$F$2:$F$41,MATCH($B379,'قائمة الوحدات'!$A$2:$A$41,0)),"")</f>
        <v>قيادة القوات البرية</v>
      </c>
      <c r="G379" s="16" t="s">
        <v>65</v>
      </c>
      <c r="H379" s="14" t="str">
        <f>IFERROR(INDEX(المرجع!$A$2:$A$19,MATCH($G379,المرجع!$B$2:$B$19,0)),"")</f>
        <v>التشغيل</v>
      </c>
      <c r="I379" s="16" t="s">
        <v>67</v>
      </c>
      <c r="J379" s="14" t="str">
        <f>IFERROR(INDEX(المرجع!$D$2:$D$19,MATCH($I379,المرجع!$E$2:$E$19,0)),"")</f>
        <v>اكتمال المخرجات المستهدفة</v>
      </c>
      <c r="K379" s="15">
        <f>IFERROR(INDEX(المرجع!$F$2:$F$19,MATCH($I379,المرجع!$E$2:$E$19,0)),"")</f>
        <v>8</v>
      </c>
      <c r="L379" s="15">
        <f>SUMIFS(المرجع!$H$2:$H$19,المرجع!$B$2:$B$19,$G379,المرجع!$E$2:$E$19,$I379)</f>
        <v>1</v>
      </c>
      <c r="M379" s="15">
        <f>COUNTIFS('المرتبطة بسمو الوزير'!$B$2:$B$151,$B379,'المرتبطة بسمو الوزير'!$G$2:$G$151,$G379,'المرتبطة بسمو الوزير'!$I$2:$I$151,$I379,'المرتبطة بسمو الوزير'!$M$2:$M$151,"&lt;&gt;")+COUNTIFS('الشؤون التنفيذية'!$B$2:$B$421,$B379,'الشؤون التنفيذية'!$G$2:$G$421,$G379,'الشؤون التنفيذية'!$I$2:$I$421,$I379,'الشؤون التنفيذية'!$N$2:$N$421,"&lt;&gt;")+COUNTIFS('الجهاز العسكري'!$B$2:$B$631,$B379,'الجهاز العسكري'!$G$2:$G$631,$G379,'الجهاز العسكري'!$I$2:$I$631,$I379,'الجهاز العسكري'!$M$2:$M$631,"&lt;&gt;")</f>
        <v>1</v>
      </c>
      <c r="N379" s="19">
        <f>IF($L379=0,0,ROUND((SUMIFS('المرتبطة بسمو الوزير'!$M$2:$M$151,'المرتبطة بسمو الوزير'!$B$2:$B$151,$B379,'المرتبطة بسمو الوزير'!$G$2:$G$151,$G379,'المرتبطة بسمو الوزير'!$I$2:$I$151,$I379)+SUMIFS('الشؤون التنفيذية'!$N$2:$N$421,'الشؤون التنفيذية'!$B$2:$B$421,$B379,'الشؤون التنفيذية'!$G$2:$G$421,$G379,'الشؤون التنفيذية'!$I$2:$I$421,$I379)+SUMIFS('الجهاز العسكري'!$M$2:$M$631,'الجهاز العسكري'!$B$2:$B$631,$B379,'الجهاز العسكري'!$G$2:$G$631,$G379,'الجهاز العسكري'!$I$2:$I$631,$I379))/$L379,0))</f>
        <v>62</v>
      </c>
      <c r="O379" s="18"/>
      <c r="P379" s="15">
        <f>SUMIFS(المرجع!$G$2:$G$19,المرجع!$B$2:$B$19,$G379,المرجع!$E$2:$E$19,$I379)</f>
        <v>30</v>
      </c>
      <c r="Q379" s="20">
        <f t="shared" si="6"/>
        <v>18.600000000000001</v>
      </c>
      <c r="R379" s="21" t="str">
        <f>IF($N379&gt;المرجع!$K$3,"متقدم",IF($N379&lt;=المرجع!$K$2,"أولي","جزئي"))</f>
        <v>جزئي</v>
      </c>
    </row>
    <row r="380" spans="1:18">
      <c r="A380" s="16" t="s">
        <v>1820</v>
      </c>
      <c r="B380" s="16" t="s">
        <v>194</v>
      </c>
      <c r="C380" s="15" t="str">
        <f>IFERROR(INDEX('قائمة الوحدات'!$B$2:$B$41,MATCH($B380,'قائمة الوحدات'!$A$2:$A$41,0)),"")</f>
        <v>MIL</v>
      </c>
      <c r="D380" s="14" t="str">
        <f>IFERROR(INDEX('قائمة الوحدات'!$C$2:$C$41,MATCH($B380,'قائمة الوحدات'!$A$2:$A$41,0)),"")</f>
        <v>الجهاز العسكري</v>
      </c>
      <c r="E380" s="14" t="str">
        <f>IFERROR(INDEX('قائمة الوحدات'!$D$2:$D$41,MATCH($B380,'قائمة الوحدات'!$A$2:$A$41,0)),"")</f>
        <v>قيادة القوات الجوية</v>
      </c>
      <c r="F380" s="14" t="str">
        <f>IFERROR(INDEX('قائمة الوحدات'!$F$2:$F$41,MATCH($B380,'قائمة الوحدات'!$A$2:$A$41,0)),"")</f>
        <v>قيادة القوات الجوية</v>
      </c>
      <c r="G380" s="16" t="s">
        <v>43</v>
      </c>
      <c r="H380" s="14" t="str">
        <f>IFERROR(INDEX(المرجع!$A$2:$A$19,MATCH($G380,المرجع!$B$2:$B$19,0)),"")</f>
        <v>التصميم</v>
      </c>
      <c r="I380" s="16" t="s">
        <v>45</v>
      </c>
      <c r="J380" s="14" t="str">
        <f>IFERROR(INDEX(المرجع!$D$2:$D$19,MATCH($I380,المرجع!$E$2:$E$19,0)),"")</f>
        <v>الدور</v>
      </c>
      <c r="K380" s="15">
        <f>IFERROR(INDEX(المرجع!$F$2:$F$19,MATCH($I380,المرجع!$E$2:$E$19,0)),"")</f>
        <v>1</v>
      </c>
      <c r="L380" s="15">
        <f>SUMIFS(المرجع!$H$2:$H$19,المرجع!$B$2:$B$19,$G380,المرجع!$E$2:$E$19,$I380)</f>
        <v>1</v>
      </c>
      <c r="M380" s="15">
        <f>COUNTIFS('المرتبطة بسمو الوزير'!$B$2:$B$151,$B380,'المرتبطة بسمو الوزير'!$G$2:$G$151,$G380,'المرتبطة بسمو الوزير'!$I$2:$I$151,$I380,'المرتبطة بسمو الوزير'!$M$2:$M$151,"&lt;&gt;")+COUNTIFS('الشؤون التنفيذية'!$B$2:$B$421,$B380,'الشؤون التنفيذية'!$G$2:$G$421,$G380,'الشؤون التنفيذية'!$I$2:$I$421,$I380,'الشؤون التنفيذية'!$N$2:$N$421,"&lt;&gt;")+COUNTIFS('الجهاز العسكري'!$B$2:$B$631,$B380,'الجهاز العسكري'!$G$2:$G$631,$G380,'الجهاز العسكري'!$I$2:$I$631,$I380,'الجهاز العسكري'!$M$2:$M$631,"&lt;&gt;")</f>
        <v>1</v>
      </c>
      <c r="N380" s="19">
        <f>IF($L380=0,0,ROUND((SUMIFS('المرتبطة بسمو الوزير'!$M$2:$M$151,'المرتبطة بسمو الوزير'!$B$2:$B$151,$B380,'المرتبطة بسمو الوزير'!$G$2:$G$151,$G380,'المرتبطة بسمو الوزير'!$I$2:$I$151,$I380)+SUMIFS('الشؤون التنفيذية'!$N$2:$N$421,'الشؤون التنفيذية'!$B$2:$B$421,$B380,'الشؤون التنفيذية'!$G$2:$G$421,$G380,'الشؤون التنفيذية'!$I$2:$I$421,$I380)+SUMIFS('الجهاز العسكري'!$M$2:$M$631,'الجهاز العسكري'!$B$2:$B$631,$B380,'الجهاز العسكري'!$G$2:$G$631,$G380,'الجهاز العسكري'!$I$2:$I$631,$I380))/$L380,0))</f>
        <v>78</v>
      </c>
      <c r="O380" s="18"/>
      <c r="P380" s="15">
        <f>SUMIFS(المرجع!$G$2:$G$19,المرجع!$B$2:$B$19,$G380,المرجع!$E$2:$E$19,$I380)</f>
        <v>25</v>
      </c>
      <c r="Q380" s="20">
        <f t="shared" si="6"/>
        <v>19.5</v>
      </c>
      <c r="R380" s="21" t="str">
        <f>IF($N380&gt;المرجع!$K$3,"متقدم",IF($N380&lt;=المرجع!$K$2,"أولي","جزئي"))</f>
        <v>متقدم</v>
      </c>
    </row>
    <row r="381" spans="1:18">
      <c r="A381" s="16" t="s">
        <v>1821</v>
      </c>
      <c r="B381" s="16" t="s">
        <v>194</v>
      </c>
      <c r="C381" s="15" t="str">
        <f>IFERROR(INDEX('قائمة الوحدات'!$B$2:$B$41,MATCH($B381,'قائمة الوحدات'!$A$2:$A$41,0)),"")</f>
        <v>MIL</v>
      </c>
      <c r="D381" s="14" t="str">
        <f>IFERROR(INDEX('قائمة الوحدات'!$C$2:$C$41,MATCH($B381,'قائمة الوحدات'!$A$2:$A$41,0)),"")</f>
        <v>الجهاز العسكري</v>
      </c>
      <c r="E381" s="14" t="str">
        <f>IFERROR(INDEX('قائمة الوحدات'!$D$2:$D$41,MATCH($B381,'قائمة الوحدات'!$A$2:$A$41,0)),"")</f>
        <v>قيادة القوات الجوية</v>
      </c>
      <c r="F381" s="14" t="str">
        <f>IFERROR(INDEX('قائمة الوحدات'!$F$2:$F$41,MATCH($B381,'قائمة الوحدات'!$A$2:$A$41,0)),"")</f>
        <v>قيادة القوات الجوية</v>
      </c>
      <c r="G381" s="16" t="s">
        <v>43</v>
      </c>
      <c r="H381" s="14" t="str">
        <f>IFERROR(INDEX(المرجع!$A$2:$A$19,MATCH($G381,المرجع!$B$2:$B$19,0)),"")</f>
        <v>التصميم</v>
      </c>
      <c r="I381" s="16" t="s">
        <v>48</v>
      </c>
      <c r="J381" s="14" t="str">
        <f>IFERROR(INDEX(المرجع!$D$2:$D$19,MATCH($I381,المرجع!$E$2:$E$19,0)),"")</f>
        <v>الأهداف ومؤشرات الأداء</v>
      </c>
      <c r="K381" s="15">
        <f>IFERROR(INDEX(المرجع!$F$2:$F$19,MATCH($I381,المرجع!$E$2:$E$19,0)),"")</f>
        <v>2</v>
      </c>
      <c r="L381" s="15">
        <f>SUMIFS(المرجع!$H$2:$H$19,المرجع!$B$2:$B$19,$G381,المرجع!$E$2:$E$19,$I381)</f>
        <v>2</v>
      </c>
      <c r="M381" s="15">
        <f>COUNTIFS('المرتبطة بسمو الوزير'!$B$2:$B$151,$B381,'المرتبطة بسمو الوزير'!$G$2:$G$151,$G381,'المرتبطة بسمو الوزير'!$I$2:$I$151,$I381,'المرتبطة بسمو الوزير'!$M$2:$M$151,"&lt;&gt;")+COUNTIFS('الشؤون التنفيذية'!$B$2:$B$421,$B381,'الشؤون التنفيذية'!$G$2:$G$421,$G381,'الشؤون التنفيذية'!$I$2:$I$421,$I381,'الشؤون التنفيذية'!$N$2:$N$421,"&lt;&gt;")+COUNTIFS('الجهاز العسكري'!$B$2:$B$631,$B381,'الجهاز العسكري'!$G$2:$G$631,$G381,'الجهاز العسكري'!$I$2:$I$631,$I381,'الجهاز العسكري'!$M$2:$M$631,"&lt;&gt;")</f>
        <v>2</v>
      </c>
      <c r="N381" s="19">
        <f>IF($L381=0,0,ROUND((SUMIFS('المرتبطة بسمو الوزير'!$M$2:$M$151,'المرتبطة بسمو الوزير'!$B$2:$B$151,$B381,'المرتبطة بسمو الوزير'!$G$2:$G$151,$G381,'المرتبطة بسمو الوزير'!$I$2:$I$151,$I381)+SUMIFS('الشؤون التنفيذية'!$N$2:$N$421,'الشؤون التنفيذية'!$B$2:$B$421,$B381,'الشؤون التنفيذية'!$G$2:$G$421,$G381,'الشؤون التنفيذية'!$I$2:$I$421,$I381)+SUMIFS('الجهاز العسكري'!$M$2:$M$631,'الجهاز العسكري'!$B$2:$B$631,$B381,'الجهاز العسكري'!$G$2:$G$631,$G381,'الجهاز العسكري'!$I$2:$I$631,$I381))/$L381,0))</f>
        <v>90</v>
      </c>
      <c r="O381" s="18"/>
      <c r="P381" s="15">
        <f>SUMIFS(المرجع!$G$2:$G$19,المرجع!$B$2:$B$19,$G381,المرجع!$E$2:$E$19,$I381)</f>
        <v>15</v>
      </c>
      <c r="Q381" s="20">
        <f t="shared" si="6"/>
        <v>13.5</v>
      </c>
      <c r="R381" s="21" t="str">
        <f>IF($N381&gt;المرجع!$K$3,"متقدم",IF($N381&lt;=المرجع!$K$2,"أولي","جزئي"))</f>
        <v>متقدم</v>
      </c>
    </row>
    <row r="382" spans="1:18">
      <c r="A382" s="16" t="s">
        <v>1822</v>
      </c>
      <c r="B382" s="16" t="s">
        <v>194</v>
      </c>
      <c r="C382" s="15" t="str">
        <f>IFERROR(INDEX('قائمة الوحدات'!$B$2:$B$41,MATCH($B382,'قائمة الوحدات'!$A$2:$A$41,0)),"")</f>
        <v>MIL</v>
      </c>
      <c r="D382" s="14" t="str">
        <f>IFERROR(INDEX('قائمة الوحدات'!$C$2:$C$41,MATCH($B382,'قائمة الوحدات'!$A$2:$A$41,0)),"")</f>
        <v>الجهاز العسكري</v>
      </c>
      <c r="E382" s="14" t="str">
        <f>IFERROR(INDEX('قائمة الوحدات'!$D$2:$D$41,MATCH($B382,'قائمة الوحدات'!$A$2:$A$41,0)),"")</f>
        <v>قيادة القوات الجوية</v>
      </c>
      <c r="F382" s="14" t="str">
        <f>IFERROR(INDEX('قائمة الوحدات'!$F$2:$F$41,MATCH($B382,'قائمة الوحدات'!$A$2:$A$41,0)),"")</f>
        <v>قيادة القوات الجوية</v>
      </c>
      <c r="G382" s="16" t="s">
        <v>43</v>
      </c>
      <c r="H382" s="14" t="str">
        <f>IFERROR(INDEX(المرجع!$A$2:$A$19,MATCH($G382,المرجع!$B$2:$B$19,0)),"")</f>
        <v>التصميم</v>
      </c>
      <c r="I382" s="16" t="s">
        <v>51</v>
      </c>
      <c r="J382" s="14" t="str">
        <f>IFERROR(INDEX(المرجع!$D$2:$D$19,MATCH($I382,المرجع!$E$2:$E$19,0)),"")</f>
        <v>الحوكمة</v>
      </c>
      <c r="K382" s="15">
        <f>IFERROR(INDEX(المرجع!$F$2:$F$19,MATCH($I382,المرجع!$E$2:$E$19,0)),"")</f>
        <v>3</v>
      </c>
      <c r="L382" s="15">
        <f>SUMIFS(المرجع!$H$2:$H$19,المرجع!$B$2:$B$19,$G382,المرجع!$E$2:$E$19,$I382)</f>
        <v>1</v>
      </c>
      <c r="M382" s="15">
        <f>COUNTIFS('المرتبطة بسمو الوزير'!$B$2:$B$151,$B382,'المرتبطة بسمو الوزير'!$G$2:$G$151,$G382,'المرتبطة بسمو الوزير'!$I$2:$I$151,$I382,'المرتبطة بسمو الوزير'!$M$2:$M$151,"&lt;&gt;")+COUNTIFS('الشؤون التنفيذية'!$B$2:$B$421,$B382,'الشؤون التنفيذية'!$G$2:$G$421,$G382,'الشؤون التنفيذية'!$I$2:$I$421,$I382,'الشؤون التنفيذية'!$N$2:$N$421,"&lt;&gt;")+COUNTIFS('الجهاز العسكري'!$B$2:$B$631,$B382,'الجهاز العسكري'!$G$2:$G$631,$G382,'الجهاز العسكري'!$I$2:$I$631,$I382,'الجهاز العسكري'!$M$2:$M$631,"&lt;&gt;")</f>
        <v>1</v>
      </c>
      <c r="N382" s="19">
        <f>IF($L382=0,0,ROUND((SUMIFS('المرتبطة بسمو الوزير'!$M$2:$M$151,'المرتبطة بسمو الوزير'!$B$2:$B$151,$B382,'المرتبطة بسمو الوزير'!$G$2:$G$151,$G382,'المرتبطة بسمو الوزير'!$I$2:$I$151,$I382)+SUMIFS('الشؤون التنفيذية'!$N$2:$N$421,'الشؤون التنفيذية'!$B$2:$B$421,$B382,'الشؤون التنفيذية'!$G$2:$G$421,$G382,'الشؤون التنفيذية'!$I$2:$I$421,$I382)+SUMIFS('الجهاز العسكري'!$M$2:$M$631,'الجهاز العسكري'!$B$2:$B$631,$B382,'الجهاز العسكري'!$G$2:$G$631,$G382,'الجهاز العسكري'!$I$2:$I$631,$I382))/$L382,0))</f>
        <v>77</v>
      </c>
      <c r="O382" s="18"/>
      <c r="P382" s="15">
        <f>SUMIFS(المرجع!$G$2:$G$19,المرجع!$B$2:$B$19,$G382,المرجع!$E$2:$E$19,$I382)</f>
        <v>15</v>
      </c>
      <c r="Q382" s="20">
        <f t="shared" si="6"/>
        <v>11.55</v>
      </c>
      <c r="R382" s="21" t="str">
        <f>IF($N382&gt;المرجع!$K$3,"متقدم",IF($N382&lt;=المرجع!$K$2,"أولي","جزئي"))</f>
        <v>متقدم</v>
      </c>
    </row>
    <row r="383" spans="1:18">
      <c r="A383" s="16" t="s">
        <v>1823</v>
      </c>
      <c r="B383" s="16" t="s">
        <v>194</v>
      </c>
      <c r="C383" s="15" t="str">
        <f>IFERROR(INDEX('قائمة الوحدات'!$B$2:$B$41,MATCH($B383,'قائمة الوحدات'!$A$2:$A$41,0)),"")</f>
        <v>MIL</v>
      </c>
      <c r="D383" s="14" t="str">
        <f>IFERROR(INDEX('قائمة الوحدات'!$C$2:$C$41,MATCH($B383,'قائمة الوحدات'!$A$2:$A$41,0)),"")</f>
        <v>الجهاز العسكري</v>
      </c>
      <c r="E383" s="14" t="str">
        <f>IFERROR(INDEX('قائمة الوحدات'!$D$2:$D$41,MATCH($B383,'قائمة الوحدات'!$A$2:$A$41,0)),"")</f>
        <v>قيادة القوات الجوية</v>
      </c>
      <c r="F383" s="14" t="str">
        <f>IFERROR(INDEX('قائمة الوحدات'!$F$2:$F$41,MATCH($B383,'قائمة الوحدات'!$A$2:$A$41,0)),"")</f>
        <v>قيادة القوات الجوية</v>
      </c>
      <c r="G383" s="16" t="s">
        <v>43</v>
      </c>
      <c r="H383" s="14" t="str">
        <f>IFERROR(INDEX(المرجع!$A$2:$A$19,MATCH($G383,المرجع!$B$2:$B$19,0)),"")</f>
        <v>التصميم</v>
      </c>
      <c r="I383" s="16" t="s">
        <v>54</v>
      </c>
      <c r="J383" s="14" t="str">
        <f>IFERROR(INDEX(المرجع!$D$2:$D$19,MATCH($I383,المرجع!$E$2:$E$19,0)),"")</f>
        <v>التنظيم</v>
      </c>
      <c r="K383" s="15">
        <f>IFERROR(INDEX(المرجع!$F$2:$F$19,MATCH($I383,المرجع!$E$2:$E$19,0)),"")</f>
        <v>4</v>
      </c>
      <c r="L383" s="15">
        <f>SUMIFS(المرجع!$H$2:$H$19,المرجع!$B$2:$B$19,$G383,المرجع!$E$2:$E$19,$I383)</f>
        <v>1</v>
      </c>
      <c r="M383" s="15">
        <f>COUNTIFS('المرتبطة بسمو الوزير'!$B$2:$B$151,$B383,'المرتبطة بسمو الوزير'!$G$2:$G$151,$G383,'المرتبطة بسمو الوزير'!$I$2:$I$151,$I383,'المرتبطة بسمو الوزير'!$M$2:$M$151,"&lt;&gt;")+COUNTIFS('الشؤون التنفيذية'!$B$2:$B$421,$B383,'الشؤون التنفيذية'!$G$2:$G$421,$G383,'الشؤون التنفيذية'!$I$2:$I$421,$I383,'الشؤون التنفيذية'!$N$2:$N$421,"&lt;&gt;")+COUNTIFS('الجهاز العسكري'!$B$2:$B$631,$B383,'الجهاز العسكري'!$G$2:$G$631,$G383,'الجهاز العسكري'!$I$2:$I$631,$I383,'الجهاز العسكري'!$M$2:$M$631,"&lt;&gt;")</f>
        <v>1</v>
      </c>
      <c r="N383" s="19">
        <f>IF($L383=0,0,ROUND((SUMIFS('المرتبطة بسمو الوزير'!$M$2:$M$151,'المرتبطة بسمو الوزير'!$B$2:$B$151,$B383,'المرتبطة بسمو الوزير'!$G$2:$G$151,$G383,'المرتبطة بسمو الوزير'!$I$2:$I$151,$I383)+SUMIFS('الشؤون التنفيذية'!$N$2:$N$421,'الشؤون التنفيذية'!$B$2:$B$421,$B383,'الشؤون التنفيذية'!$G$2:$G$421,$G383,'الشؤون التنفيذية'!$I$2:$I$421,$I383)+SUMIFS('الجهاز العسكري'!$M$2:$M$631,'الجهاز العسكري'!$B$2:$B$631,$B383,'الجهاز العسكري'!$G$2:$G$631,$G383,'الجهاز العسكري'!$I$2:$I$631,$I383))/$L383,0))</f>
        <v>90</v>
      </c>
      <c r="O383" s="18"/>
      <c r="P383" s="15">
        <f>SUMIFS(المرجع!$G$2:$G$19,المرجع!$B$2:$B$19,$G383,المرجع!$E$2:$E$19,$I383)</f>
        <v>20</v>
      </c>
      <c r="Q383" s="20">
        <f t="shared" si="6"/>
        <v>18</v>
      </c>
      <c r="R383" s="21" t="str">
        <f>IF($N383&gt;المرجع!$K$3,"متقدم",IF($N383&lt;=المرجع!$K$2,"أولي","جزئي"))</f>
        <v>متقدم</v>
      </c>
    </row>
    <row r="384" spans="1:18">
      <c r="A384" s="16" t="s">
        <v>1824</v>
      </c>
      <c r="B384" s="16" t="s">
        <v>194</v>
      </c>
      <c r="C384" s="15" t="str">
        <f>IFERROR(INDEX('قائمة الوحدات'!$B$2:$B$41,MATCH($B384,'قائمة الوحدات'!$A$2:$A$41,0)),"")</f>
        <v>MIL</v>
      </c>
      <c r="D384" s="14" t="str">
        <f>IFERROR(INDEX('قائمة الوحدات'!$C$2:$C$41,MATCH($B384,'قائمة الوحدات'!$A$2:$A$41,0)),"")</f>
        <v>الجهاز العسكري</v>
      </c>
      <c r="E384" s="14" t="str">
        <f>IFERROR(INDEX('قائمة الوحدات'!$D$2:$D$41,MATCH($B384,'قائمة الوحدات'!$A$2:$A$41,0)),"")</f>
        <v>قيادة القوات الجوية</v>
      </c>
      <c r="F384" s="14" t="str">
        <f>IFERROR(INDEX('قائمة الوحدات'!$F$2:$F$41,MATCH($B384,'قائمة الوحدات'!$A$2:$A$41,0)),"")</f>
        <v>قيادة القوات الجوية</v>
      </c>
      <c r="G384" s="16" t="s">
        <v>43</v>
      </c>
      <c r="H384" s="14" t="str">
        <f>IFERROR(INDEX(المرجع!$A$2:$A$19,MATCH($G384,المرجع!$B$2:$B$19,0)),"")</f>
        <v>التصميم</v>
      </c>
      <c r="I384" s="16" t="s">
        <v>56</v>
      </c>
      <c r="J384" s="14" t="str">
        <f>IFERROR(INDEX(المرجع!$D$2:$D$19,MATCH($I384,المرجع!$E$2:$E$19,0)),"")</f>
        <v>الموارد</v>
      </c>
      <c r="K384" s="15">
        <f>IFERROR(INDEX(المرجع!$F$2:$F$19,MATCH($I384,المرجع!$E$2:$E$19,0)),"")</f>
        <v>5</v>
      </c>
      <c r="L384" s="15">
        <f>SUMIFS(المرجع!$H$2:$H$19,المرجع!$B$2:$B$19,$G384,المرجع!$E$2:$E$19,$I384)</f>
        <v>1</v>
      </c>
      <c r="M384" s="15">
        <f>COUNTIFS('المرتبطة بسمو الوزير'!$B$2:$B$151,$B384,'المرتبطة بسمو الوزير'!$G$2:$G$151,$G384,'المرتبطة بسمو الوزير'!$I$2:$I$151,$I384,'المرتبطة بسمو الوزير'!$M$2:$M$151,"&lt;&gt;")+COUNTIFS('الشؤون التنفيذية'!$B$2:$B$421,$B384,'الشؤون التنفيذية'!$G$2:$G$421,$G384,'الشؤون التنفيذية'!$I$2:$I$421,$I384,'الشؤون التنفيذية'!$N$2:$N$421,"&lt;&gt;")+COUNTIFS('الجهاز العسكري'!$B$2:$B$631,$B384,'الجهاز العسكري'!$G$2:$G$631,$G384,'الجهاز العسكري'!$I$2:$I$631,$I384,'الجهاز العسكري'!$M$2:$M$631,"&lt;&gt;")</f>
        <v>1</v>
      </c>
      <c r="N384" s="19">
        <f>IF($L384=0,0,ROUND((SUMIFS('المرتبطة بسمو الوزير'!$M$2:$M$151,'المرتبطة بسمو الوزير'!$B$2:$B$151,$B384,'المرتبطة بسمو الوزير'!$G$2:$G$151,$G384,'المرتبطة بسمو الوزير'!$I$2:$I$151,$I384)+SUMIFS('الشؤون التنفيذية'!$N$2:$N$421,'الشؤون التنفيذية'!$B$2:$B$421,$B384,'الشؤون التنفيذية'!$G$2:$G$421,$G384,'الشؤون التنفيذية'!$I$2:$I$421,$I384)+SUMIFS('الجهاز العسكري'!$M$2:$M$631,'الجهاز العسكري'!$B$2:$B$631,$B384,'الجهاز العسكري'!$G$2:$G$631,$G384,'الجهاز العسكري'!$I$2:$I$631,$I384))/$L384,0))</f>
        <v>71</v>
      </c>
      <c r="O384" s="18"/>
      <c r="P384" s="15">
        <f>SUMIFS(المرجع!$G$2:$G$19,المرجع!$B$2:$B$19,$G384,المرجع!$E$2:$E$19,$I384)</f>
        <v>20</v>
      </c>
      <c r="Q384" s="20">
        <f t="shared" si="6"/>
        <v>14.2</v>
      </c>
      <c r="R384" s="21" t="str">
        <f>IF($N384&gt;المرجع!$K$3,"متقدم",IF($N384&lt;=المرجع!$K$2,"أولي","جزئي"))</f>
        <v>متقدم</v>
      </c>
    </row>
    <row r="385" spans="1:18">
      <c r="A385" s="16" t="s">
        <v>1825</v>
      </c>
      <c r="B385" s="16" t="s">
        <v>194</v>
      </c>
      <c r="C385" s="15" t="str">
        <f>IFERROR(INDEX('قائمة الوحدات'!$B$2:$B$41,MATCH($B385,'قائمة الوحدات'!$A$2:$A$41,0)),"")</f>
        <v>MIL</v>
      </c>
      <c r="D385" s="14" t="str">
        <f>IFERROR(INDEX('قائمة الوحدات'!$C$2:$C$41,MATCH($B385,'قائمة الوحدات'!$A$2:$A$41,0)),"")</f>
        <v>الجهاز العسكري</v>
      </c>
      <c r="E385" s="14" t="str">
        <f>IFERROR(INDEX('قائمة الوحدات'!$D$2:$D$41,MATCH($B385,'قائمة الوحدات'!$A$2:$A$41,0)),"")</f>
        <v>قيادة القوات الجوية</v>
      </c>
      <c r="F385" s="14" t="str">
        <f>IFERROR(INDEX('قائمة الوحدات'!$F$2:$F$41,MATCH($B385,'قائمة الوحدات'!$A$2:$A$41,0)),"")</f>
        <v>قيادة القوات الجوية</v>
      </c>
      <c r="G385" s="16" t="s">
        <v>43</v>
      </c>
      <c r="H385" s="14" t="str">
        <f>IFERROR(INDEX(المرجع!$A$2:$A$19,MATCH($G385,المرجع!$B$2:$B$19,0)),"")</f>
        <v>التصميم</v>
      </c>
      <c r="I385" s="16" t="s">
        <v>59</v>
      </c>
      <c r="J385" s="14" t="str">
        <f>IFERROR(INDEX(المرجع!$D$2:$D$19,MATCH($I385,المرجع!$E$2:$E$19,0)),"")</f>
        <v>الإجراءات</v>
      </c>
      <c r="K385" s="15">
        <f>IFERROR(INDEX(المرجع!$F$2:$F$19,MATCH($I385,المرجع!$E$2:$E$19,0)),"")</f>
        <v>6</v>
      </c>
      <c r="L385" s="15">
        <f>SUMIFS(المرجع!$H$2:$H$19,المرجع!$B$2:$B$19,$G385,المرجع!$E$2:$E$19,$I385)</f>
        <v>1</v>
      </c>
      <c r="M385" s="15">
        <f>COUNTIFS('المرتبطة بسمو الوزير'!$B$2:$B$151,$B385,'المرتبطة بسمو الوزير'!$G$2:$G$151,$G385,'المرتبطة بسمو الوزير'!$I$2:$I$151,$I385,'المرتبطة بسمو الوزير'!$M$2:$M$151,"&lt;&gt;")+COUNTIFS('الشؤون التنفيذية'!$B$2:$B$421,$B385,'الشؤون التنفيذية'!$G$2:$G$421,$G385,'الشؤون التنفيذية'!$I$2:$I$421,$I385,'الشؤون التنفيذية'!$N$2:$N$421,"&lt;&gt;")+COUNTIFS('الجهاز العسكري'!$B$2:$B$631,$B385,'الجهاز العسكري'!$G$2:$G$631,$G385,'الجهاز العسكري'!$I$2:$I$631,$I385,'الجهاز العسكري'!$M$2:$M$631,"&lt;&gt;")</f>
        <v>1</v>
      </c>
      <c r="N385" s="19">
        <f>IF($L385=0,0,ROUND((SUMIFS('المرتبطة بسمو الوزير'!$M$2:$M$151,'المرتبطة بسمو الوزير'!$B$2:$B$151,$B385,'المرتبطة بسمو الوزير'!$G$2:$G$151,$G385,'المرتبطة بسمو الوزير'!$I$2:$I$151,$I385)+SUMIFS('الشؤون التنفيذية'!$N$2:$N$421,'الشؤون التنفيذية'!$B$2:$B$421,$B385,'الشؤون التنفيذية'!$G$2:$G$421,$G385,'الشؤون التنفيذية'!$I$2:$I$421,$I385)+SUMIFS('الجهاز العسكري'!$M$2:$M$631,'الجهاز العسكري'!$B$2:$B$631,$B385,'الجهاز العسكري'!$G$2:$G$631,$G385,'الجهاز العسكري'!$I$2:$I$631,$I385))/$L385,0))</f>
        <v>88</v>
      </c>
      <c r="O385" s="18"/>
      <c r="P385" s="15">
        <f>SUMIFS(المرجع!$G$2:$G$19,المرجع!$B$2:$B$19,$G385,المرجع!$E$2:$E$19,$I385)</f>
        <v>5</v>
      </c>
      <c r="Q385" s="20">
        <f t="shared" si="6"/>
        <v>4.4000000000000004</v>
      </c>
      <c r="R385" s="21" t="str">
        <f>IF($N385&gt;المرجع!$K$3,"متقدم",IF($N385&lt;=المرجع!$K$2,"أولي","جزئي"))</f>
        <v>متقدم</v>
      </c>
    </row>
    <row r="386" spans="1:18">
      <c r="A386" s="16" t="s">
        <v>1826</v>
      </c>
      <c r="B386" s="16" t="s">
        <v>194</v>
      </c>
      <c r="C386" s="15" t="str">
        <f>IFERROR(INDEX('قائمة الوحدات'!$B$2:$B$41,MATCH($B386,'قائمة الوحدات'!$A$2:$A$41,0)),"")</f>
        <v>MIL</v>
      </c>
      <c r="D386" s="14" t="str">
        <f>IFERROR(INDEX('قائمة الوحدات'!$C$2:$C$41,MATCH($B386,'قائمة الوحدات'!$A$2:$A$41,0)),"")</f>
        <v>الجهاز العسكري</v>
      </c>
      <c r="E386" s="14" t="str">
        <f>IFERROR(INDEX('قائمة الوحدات'!$D$2:$D$41,MATCH($B386,'قائمة الوحدات'!$A$2:$A$41,0)),"")</f>
        <v>قيادة القوات الجوية</v>
      </c>
      <c r="F386" s="14" t="str">
        <f>IFERROR(INDEX('قائمة الوحدات'!$F$2:$F$41,MATCH($B386,'قائمة الوحدات'!$A$2:$A$41,0)),"")</f>
        <v>قيادة القوات الجوية</v>
      </c>
      <c r="G386" s="16" t="s">
        <v>61</v>
      </c>
      <c r="H386" s="14" t="str">
        <f>IFERROR(INDEX(المرجع!$A$2:$A$19,MATCH($G386,المرجع!$B$2:$B$19,0)),"")</f>
        <v>البناء المؤسسي</v>
      </c>
      <c r="I386" s="16" t="s">
        <v>45</v>
      </c>
      <c r="J386" s="14" t="str">
        <f>IFERROR(INDEX(المرجع!$D$2:$D$19,MATCH($I386,المرجع!$E$2:$E$19,0)),"")</f>
        <v>الدور</v>
      </c>
      <c r="K386" s="15">
        <f>IFERROR(INDEX(المرجع!$F$2:$F$19,MATCH($I386,المرجع!$E$2:$E$19,0)),"")</f>
        <v>1</v>
      </c>
      <c r="L386" s="15">
        <f>SUMIFS(المرجع!$H$2:$H$19,المرجع!$B$2:$B$19,$G386,المرجع!$E$2:$E$19,$I386)</f>
        <v>1</v>
      </c>
      <c r="M386" s="15">
        <f>COUNTIFS('المرتبطة بسمو الوزير'!$B$2:$B$151,$B386,'المرتبطة بسمو الوزير'!$G$2:$G$151,$G386,'المرتبطة بسمو الوزير'!$I$2:$I$151,$I386,'المرتبطة بسمو الوزير'!$M$2:$M$151,"&lt;&gt;")+COUNTIFS('الشؤون التنفيذية'!$B$2:$B$421,$B386,'الشؤون التنفيذية'!$G$2:$G$421,$G386,'الشؤون التنفيذية'!$I$2:$I$421,$I386,'الشؤون التنفيذية'!$N$2:$N$421,"&lt;&gt;")+COUNTIFS('الجهاز العسكري'!$B$2:$B$631,$B386,'الجهاز العسكري'!$G$2:$G$631,$G386,'الجهاز العسكري'!$I$2:$I$631,$I386,'الجهاز العسكري'!$M$2:$M$631,"&lt;&gt;")</f>
        <v>1</v>
      </c>
      <c r="N386" s="19">
        <f>IF($L386=0,0,ROUND((SUMIFS('المرتبطة بسمو الوزير'!$M$2:$M$151,'المرتبطة بسمو الوزير'!$B$2:$B$151,$B386,'المرتبطة بسمو الوزير'!$G$2:$G$151,$G386,'المرتبطة بسمو الوزير'!$I$2:$I$151,$I386)+SUMIFS('الشؤون التنفيذية'!$N$2:$N$421,'الشؤون التنفيذية'!$B$2:$B$421,$B386,'الشؤون التنفيذية'!$G$2:$G$421,$G386,'الشؤون التنفيذية'!$I$2:$I$421,$I386)+SUMIFS('الجهاز العسكري'!$M$2:$M$631,'الجهاز العسكري'!$B$2:$B$631,$B386,'الجهاز العسكري'!$G$2:$G$631,$G386,'الجهاز العسكري'!$I$2:$I$631,$I386))/$L386,0))</f>
        <v>82</v>
      </c>
      <c r="O386" s="18"/>
      <c r="P386" s="15">
        <f>SUMIFS(المرجع!$G$2:$G$19,المرجع!$B$2:$B$19,$G386,المرجع!$E$2:$E$19,$I386)</f>
        <v>15</v>
      </c>
      <c r="Q386" s="20">
        <f t="shared" ref="Q386:Q449" si="7">ROUND($P386*$N386/100,2)</f>
        <v>12.3</v>
      </c>
      <c r="R386" s="21" t="str">
        <f>IF($N386&gt;المرجع!$K$3,"متقدم",IF($N386&lt;=المرجع!$K$2,"أولي","جزئي"))</f>
        <v>متقدم</v>
      </c>
    </row>
    <row r="387" spans="1:18">
      <c r="A387" s="16" t="s">
        <v>1827</v>
      </c>
      <c r="B387" s="16" t="s">
        <v>194</v>
      </c>
      <c r="C387" s="15" t="str">
        <f>IFERROR(INDEX('قائمة الوحدات'!$B$2:$B$41,MATCH($B387,'قائمة الوحدات'!$A$2:$A$41,0)),"")</f>
        <v>MIL</v>
      </c>
      <c r="D387" s="14" t="str">
        <f>IFERROR(INDEX('قائمة الوحدات'!$C$2:$C$41,MATCH($B387,'قائمة الوحدات'!$A$2:$A$41,0)),"")</f>
        <v>الجهاز العسكري</v>
      </c>
      <c r="E387" s="14" t="str">
        <f>IFERROR(INDEX('قائمة الوحدات'!$D$2:$D$41,MATCH($B387,'قائمة الوحدات'!$A$2:$A$41,0)),"")</f>
        <v>قيادة القوات الجوية</v>
      </c>
      <c r="F387" s="14" t="str">
        <f>IFERROR(INDEX('قائمة الوحدات'!$F$2:$F$41,MATCH($B387,'قائمة الوحدات'!$A$2:$A$41,0)),"")</f>
        <v>قيادة القوات الجوية</v>
      </c>
      <c r="G387" s="16" t="s">
        <v>61</v>
      </c>
      <c r="H387" s="14" t="str">
        <f>IFERROR(INDEX(المرجع!$A$2:$A$19,MATCH($G387,المرجع!$B$2:$B$19,0)),"")</f>
        <v>البناء المؤسسي</v>
      </c>
      <c r="I387" s="16" t="s">
        <v>48</v>
      </c>
      <c r="J387" s="14" t="str">
        <f>IFERROR(INDEX(المرجع!$D$2:$D$19,MATCH($I387,المرجع!$E$2:$E$19,0)),"")</f>
        <v>الأهداف ومؤشرات الأداء</v>
      </c>
      <c r="K387" s="15">
        <f>IFERROR(INDEX(المرجع!$F$2:$F$19,MATCH($I387,المرجع!$E$2:$E$19,0)),"")</f>
        <v>2</v>
      </c>
      <c r="L387" s="15">
        <f>SUMIFS(المرجع!$H$2:$H$19,المرجع!$B$2:$B$19,$G387,المرجع!$E$2:$E$19,$I387)</f>
        <v>2</v>
      </c>
      <c r="M387" s="15">
        <f>COUNTIFS('المرتبطة بسمو الوزير'!$B$2:$B$151,$B387,'المرتبطة بسمو الوزير'!$G$2:$G$151,$G387,'المرتبطة بسمو الوزير'!$I$2:$I$151,$I387,'المرتبطة بسمو الوزير'!$M$2:$M$151,"&lt;&gt;")+COUNTIFS('الشؤون التنفيذية'!$B$2:$B$421,$B387,'الشؤون التنفيذية'!$G$2:$G$421,$G387,'الشؤون التنفيذية'!$I$2:$I$421,$I387,'الشؤون التنفيذية'!$N$2:$N$421,"&lt;&gt;")+COUNTIFS('الجهاز العسكري'!$B$2:$B$631,$B387,'الجهاز العسكري'!$G$2:$G$631,$G387,'الجهاز العسكري'!$I$2:$I$631,$I387,'الجهاز العسكري'!$M$2:$M$631,"&lt;&gt;")</f>
        <v>2</v>
      </c>
      <c r="N387" s="19">
        <f>IF($L387=0,0,ROUND((SUMIFS('المرتبطة بسمو الوزير'!$M$2:$M$151,'المرتبطة بسمو الوزير'!$B$2:$B$151,$B387,'المرتبطة بسمو الوزير'!$G$2:$G$151,$G387,'المرتبطة بسمو الوزير'!$I$2:$I$151,$I387)+SUMIFS('الشؤون التنفيذية'!$N$2:$N$421,'الشؤون التنفيذية'!$B$2:$B$421,$B387,'الشؤون التنفيذية'!$G$2:$G$421,$G387,'الشؤون التنفيذية'!$I$2:$I$421,$I387)+SUMIFS('الجهاز العسكري'!$M$2:$M$631,'الجهاز العسكري'!$B$2:$B$631,$B387,'الجهاز العسكري'!$G$2:$G$631,$G387,'الجهاز العسكري'!$I$2:$I$631,$I387))/$L387,0))</f>
        <v>50</v>
      </c>
      <c r="O387" s="18"/>
      <c r="P387" s="15">
        <f>SUMIFS(المرجع!$G$2:$G$19,المرجع!$B$2:$B$19,$G387,المرجع!$E$2:$E$19,$I387)</f>
        <v>15</v>
      </c>
      <c r="Q387" s="20">
        <f t="shared" si="7"/>
        <v>7.5</v>
      </c>
      <c r="R387" s="21" t="str">
        <f>IF($N387&gt;المرجع!$K$3,"متقدم",IF($N387&lt;=المرجع!$K$2,"أولي","جزئي"))</f>
        <v>جزئي</v>
      </c>
    </row>
    <row r="388" spans="1:18">
      <c r="A388" s="16" t="s">
        <v>1828</v>
      </c>
      <c r="B388" s="16" t="s">
        <v>194</v>
      </c>
      <c r="C388" s="15" t="str">
        <f>IFERROR(INDEX('قائمة الوحدات'!$B$2:$B$41,MATCH($B388,'قائمة الوحدات'!$A$2:$A$41,0)),"")</f>
        <v>MIL</v>
      </c>
      <c r="D388" s="14" t="str">
        <f>IFERROR(INDEX('قائمة الوحدات'!$C$2:$C$41,MATCH($B388,'قائمة الوحدات'!$A$2:$A$41,0)),"")</f>
        <v>الجهاز العسكري</v>
      </c>
      <c r="E388" s="14" t="str">
        <f>IFERROR(INDEX('قائمة الوحدات'!$D$2:$D$41,MATCH($B388,'قائمة الوحدات'!$A$2:$A$41,0)),"")</f>
        <v>قيادة القوات الجوية</v>
      </c>
      <c r="F388" s="14" t="str">
        <f>IFERROR(INDEX('قائمة الوحدات'!$F$2:$F$41,MATCH($B388,'قائمة الوحدات'!$A$2:$A$41,0)),"")</f>
        <v>قيادة القوات الجوية</v>
      </c>
      <c r="G388" s="16" t="s">
        <v>61</v>
      </c>
      <c r="H388" s="14" t="str">
        <f>IFERROR(INDEX(المرجع!$A$2:$A$19,MATCH($G388,المرجع!$B$2:$B$19,0)),"")</f>
        <v>البناء المؤسسي</v>
      </c>
      <c r="I388" s="16" t="s">
        <v>51</v>
      </c>
      <c r="J388" s="14" t="str">
        <f>IFERROR(INDEX(المرجع!$D$2:$D$19,MATCH($I388,المرجع!$E$2:$E$19,0)),"")</f>
        <v>الحوكمة</v>
      </c>
      <c r="K388" s="15">
        <f>IFERROR(INDEX(المرجع!$F$2:$F$19,MATCH($I388,المرجع!$E$2:$E$19,0)),"")</f>
        <v>3</v>
      </c>
      <c r="L388" s="15">
        <f>SUMIFS(المرجع!$H$2:$H$19,المرجع!$B$2:$B$19,$G388,المرجع!$E$2:$E$19,$I388)</f>
        <v>3</v>
      </c>
      <c r="M388" s="15">
        <f>COUNTIFS('المرتبطة بسمو الوزير'!$B$2:$B$151,$B388,'المرتبطة بسمو الوزير'!$G$2:$G$151,$G388,'المرتبطة بسمو الوزير'!$I$2:$I$151,$I388,'المرتبطة بسمو الوزير'!$M$2:$M$151,"&lt;&gt;")+COUNTIFS('الشؤون التنفيذية'!$B$2:$B$421,$B388,'الشؤون التنفيذية'!$G$2:$G$421,$G388,'الشؤون التنفيذية'!$I$2:$I$421,$I388,'الشؤون التنفيذية'!$N$2:$N$421,"&lt;&gt;")+COUNTIFS('الجهاز العسكري'!$B$2:$B$631,$B388,'الجهاز العسكري'!$G$2:$G$631,$G388,'الجهاز العسكري'!$I$2:$I$631,$I388,'الجهاز العسكري'!$M$2:$M$631,"&lt;&gt;")</f>
        <v>3</v>
      </c>
      <c r="N388" s="19">
        <f>IF($L388=0,0,ROUND((SUMIFS('المرتبطة بسمو الوزير'!$M$2:$M$151,'المرتبطة بسمو الوزير'!$B$2:$B$151,$B388,'المرتبطة بسمو الوزير'!$G$2:$G$151,$G388,'المرتبطة بسمو الوزير'!$I$2:$I$151,$I388)+SUMIFS('الشؤون التنفيذية'!$N$2:$N$421,'الشؤون التنفيذية'!$B$2:$B$421,$B388,'الشؤون التنفيذية'!$G$2:$G$421,$G388,'الشؤون التنفيذية'!$I$2:$I$421,$I388)+SUMIFS('الجهاز العسكري'!$M$2:$M$631,'الجهاز العسكري'!$B$2:$B$631,$B388,'الجهاز العسكري'!$G$2:$G$631,$G388,'الجهاز العسكري'!$I$2:$I$631,$I388))/$L388,0))</f>
        <v>48</v>
      </c>
      <c r="O388" s="18"/>
      <c r="P388" s="15">
        <f>SUMIFS(المرجع!$G$2:$G$19,المرجع!$B$2:$B$19,$G388,المرجع!$E$2:$E$19,$I388)</f>
        <v>15</v>
      </c>
      <c r="Q388" s="20">
        <f t="shared" si="7"/>
        <v>7.2</v>
      </c>
      <c r="R388" s="21" t="str">
        <f>IF($N388&gt;المرجع!$K$3,"متقدم",IF($N388&lt;=المرجع!$K$2,"أولي","جزئي"))</f>
        <v>جزئي</v>
      </c>
    </row>
    <row r="389" spans="1:18">
      <c r="A389" s="16" t="s">
        <v>1829</v>
      </c>
      <c r="B389" s="16" t="s">
        <v>194</v>
      </c>
      <c r="C389" s="15" t="str">
        <f>IFERROR(INDEX('قائمة الوحدات'!$B$2:$B$41,MATCH($B389,'قائمة الوحدات'!$A$2:$A$41,0)),"")</f>
        <v>MIL</v>
      </c>
      <c r="D389" s="14" t="str">
        <f>IFERROR(INDEX('قائمة الوحدات'!$C$2:$C$41,MATCH($B389,'قائمة الوحدات'!$A$2:$A$41,0)),"")</f>
        <v>الجهاز العسكري</v>
      </c>
      <c r="E389" s="14" t="str">
        <f>IFERROR(INDEX('قائمة الوحدات'!$D$2:$D$41,MATCH($B389,'قائمة الوحدات'!$A$2:$A$41,0)),"")</f>
        <v>قيادة القوات الجوية</v>
      </c>
      <c r="F389" s="14" t="str">
        <f>IFERROR(INDEX('قائمة الوحدات'!$F$2:$F$41,MATCH($B389,'قائمة الوحدات'!$A$2:$A$41,0)),"")</f>
        <v>قيادة القوات الجوية</v>
      </c>
      <c r="G389" s="16" t="s">
        <v>61</v>
      </c>
      <c r="H389" s="14" t="str">
        <f>IFERROR(INDEX(المرجع!$A$2:$A$19,MATCH($G389,المرجع!$B$2:$B$19,0)),"")</f>
        <v>البناء المؤسسي</v>
      </c>
      <c r="I389" s="16" t="s">
        <v>54</v>
      </c>
      <c r="J389" s="14" t="str">
        <f>IFERROR(INDEX(المرجع!$D$2:$D$19,MATCH($I389,المرجع!$E$2:$E$19,0)),"")</f>
        <v>التنظيم</v>
      </c>
      <c r="K389" s="15">
        <f>IFERROR(INDEX(المرجع!$F$2:$F$19,MATCH($I389,المرجع!$E$2:$E$19,0)),"")</f>
        <v>4</v>
      </c>
      <c r="L389" s="15">
        <f>SUMIFS(المرجع!$H$2:$H$19,المرجع!$B$2:$B$19,$G389,المرجع!$E$2:$E$19,$I389)</f>
        <v>3</v>
      </c>
      <c r="M389" s="15">
        <f>COUNTIFS('المرتبطة بسمو الوزير'!$B$2:$B$151,$B389,'المرتبطة بسمو الوزير'!$G$2:$G$151,$G389,'المرتبطة بسمو الوزير'!$I$2:$I$151,$I389,'المرتبطة بسمو الوزير'!$M$2:$M$151,"&lt;&gt;")+COUNTIFS('الشؤون التنفيذية'!$B$2:$B$421,$B389,'الشؤون التنفيذية'!$G$2:$G$421,$G389,'الشؤون التنفيذية'!$I$2:$I$421,$I389,'الشؤون التنفيذية'!$N$2:$N$421,"&lt;&gt;")+COUNTIFS('الجهاز العسكري'!$B$2:$B$631,$B389,'الجهاز العسكري'!$G$2:$G$631,$G389,'الجهاز العسكري'!$I$2:$I$631,$I389,'الجهاز العسكري'!$M$2:$M$631,"&lt;&gt;")</f>
        <v>3</v>
      </c>
      <c r="N389" s="19">
        <f>IF($L389=0,0,ROUND((SUMIFS('المرتبطة بسمو الوزير'!$M$2:$M$151,'المرتبطة بسمو الوزير'!$B$2:$B$151,$B389,'المرتبطة بسمو الوزير'!$G$2:$G$151,$G389,'المرتبطة بسمو الوزير'!$I$2:$I$151,$I389)+SUMIFS('الشؤون التنفيذية'!$N$2:$N$421,'الشؤون التنفيذية'!$B$2:$B$421,$B389,'الشؤون التنفيذية'!$G$2:$G$421,$G389,'الشؤون التنفيذية'!$I$2:$I$421,$I389)+SUMIFS('الجهاز العسكري'!$M$2:$M$631,'الجهاز العسكري'!$B$2:$B$631,$B389,'الجهاز العسكري'!$G$2:$G$631,$G389,'الجهاز العسكري'!$I$2:$I$631,$I389))/$L389,0))</f>
        <v>63</v>
      </c>
      <c r="O389" s="18"/>
      <c r="P389" s="15">
        <f>SUMIFS(المرجع!$G$2:$G$19,المرجع!$B$2:$B$19,$G389,المرجع!$E$2:$E$19,$I389)</f>
        <v>20</v>
      </c>
      <c r="Q389" s="20">
        <f t="shared" si="7"/>
        <v>12.6</v>
      </c>
      <c r="R389" s="21" t="str">
        <f>IF($N389&gt;المرجع!$K$3,"متقدم",IF($N389&lt;=المرجع!$K$2,"أولي","جزئي"))</f>
        <v>جزئي</v>
      </c>
    </row>
    <row r="390" spans="1:18">
      <c r="A390" s="16" t="s">
        <v>1830</v>
      </c>
      <c r="B390" s="16" t="s">
        <v>194</v>
      </c>
      <c r="C390" s="15" t="str">
        <f>IFERROR(INDEX('قائمة الوحدات'!$B$2:$B$41,MATCH($B390,'قائمة الوحدات'!$A$2:$A$41,0)),"")</f>
        <v>MIL</v>
      </c>
      <c r="D390" s="14" t="str">
        <f>IFERROR(INDEX('قائمة الوحدات'!$C$2:$C$41,MATCH($B390,'قائمة الوحدات'!$A$2:$A$41,0)),"")</f>
        <v>الجهاز العسكري</v>
      </c>
      <c r="E390" s="14" t="str">
        <f>IFERROR(INDEX('قائمة الوحدات'!$D$2:$D$41,MATCH($B390,'قائمة الوحدات'!$A$2:$A$41,0)),"")</f>
        <v>قيادة القوات الجوية</v>
      </c>
      <c r="F390" s="14" t="str">
        <f>IFERROR(INDEX('قائمة الوحدات'!$F$2:$F$41,MATCH($B390,'قائمة الوحدات'!$A$2:$A$41,0)),"")</f>
        <v>قيادة القوات الجوية</v>
      </c>
      <c r="G390" s="16" t="s">
        <v>61</v>
      </c>
      <c r="H390" s="14" t="str">
        <f>IFERROR(INDEX(المرجع!$A$2:$A$19,MATCH($G390,المرجع!$B$2:$B$19,0)),"")</f>
        <v>البناء المؤسسي</v>
      </c>
      <c r="I390" s="16" t="s">
        <v>56</v>
      </c>
      <c r="J390" s="14" t="str">
        <f>IFERROR(INDEX(المرجع!$D$2:$D$19,MATCH($I390,المرجع!$E$2:$E$19,0)),"")</f>
        <v>الموارد</v>
      </c>
      <c r="K390" s="15">
        <f>IFERROR(INDEX(المرجع!$F$2:$F$19,MATCH($I390,المرجع!$E$2:$E$19,0)),"")</f>
        <v>5</v>
      </c>
      <c r="L390" s="15">
        <f>SUMIFS(المرجع!$H$2:$H$19,المرجع!$B$2:$B$19,$G390,المرجع!$E$2:$E$19,$I390)</f>
        <v>4</v>
      </c>
      <c r="M390" s="15">
        <f>COUNTIFS('المرتبطة بسمو الوزير'!$B$2:$B$151,$B390,'المرتبطة بسمو الوزير'!$G$2:$G$151,$G390,'المرتبطة بسمو الوزير'!$I$2:$I$151,$I390,'المرتبطة بسمو الوزير'!$M$2:$M$151,"&lt;&gt;")+COUNTIFS('الشؤون التنفيذية'!$B$2:$B$421,$B390,'الشؤون التنفيذية'!$G$2:$G$421,$G390,'الشؤون التنفيذية'!$I$2:$I$421,$I390,'الشؤون التنفيذية'!$N$2:$N$421,"&lt;&gt;")+COUNTIFS('الجهاز العسكري'!$B$2:$B$631,$B390,'الجهاز العسكري'!$G$2:$G$631,$G390,'الجهاز العسكري'!$I$2:$I$631,$I390,'الجهاز العسكري'!$M$2:$M$631,"&lt;&gt;")</f>
        <v>4</v>
      </c>
      <c r="N390" s="19">
        <f>IF($L390=0,0,ROUND((SUMIFS('المرتبطة بسمو الوزير'!$M$2:$M$151,'المرتبطة بسمو الوزير'!$B$2:$B$151,$B390,'المرتبطة بسمو الوزير'!$G$2:$G$151,$G390,'المرتبطة بسمو الوزير'!$I$2:$I$151,$I390)+SUMIFS('الشؤون التنفيذية'!$N$2:$N$421,'الشؤون التنفيذية'!$B$2:$B$421,$B390,'الشؤون التنفيذية'!$G$2:$G$421,$G390,'الشؤون التنفيذية'!$I$2:$I$421,$I390)+SUMIFS('الجهاز العسكري'!$M$2:$M$631,'الجهاز العسكري'!$B$2:$B$631,$B390,'الجهاز العسكري'!$G$2:$G$631,$G390,'الجهاز العسكري'!$I$2:$I$631,$I390))/$L390,0))</f>
        <v>69</v>
      </c>
      <c r="O390" s="18"/>
      <c r="P390" s="15">
        <f>SUMIFS(المرجع!$G$2:$G$19,المرجع!$B$2:$B$19,$G390,المرجع!$E$2:$E$19,$I390)</f>
        <v>25</v>
      </c>
      <c r="Q390" s="20">
        <f t="shared" si="7"/>
        <v>17.25</v>
      </c>
      <c r="R390" s="21" t="str">
        <f>IF($N390&gt;المرجع!$K$3,"متقدم",IF($N390&lt;=المرجع!$K$2,"أولي","جزئي"))</f>
        <v>جزئي</v>
      </c>
    </row>
    <row r="391" spans="1:18">
      <c r="A391" s="16" t="s">
        <v>1831</v>
      </c>
      <c r="B391" s="16" t="s">
        <v>194</v>
      </c>
      <c r="C391" s="15" t="str">
        <f>IFERROR(INDEX('قائمة الوحدات'!$B$2:$B$41,MATCH($B391,'قائمة الوحدات'!$A$2:$A$41,0)),"")</f>
        <v>MIL</v>
      </c>
      <c r="D391" s="14" t="str">
        <f>IFERROR(INDEX('قائمة الوحدات'!$C$2:$C$41,MATCH($B391,'قائمة الوحدات'!$A$2:$A$41,0)),"")</f>
        <v>الجهاز العسكري</v>
      </c>
      <c r="E391" s="14" t="str">
        <f>IFERROR(INDEX('قائمة الوحدات'!$D$2:$D$41,MATCH($B391,'قائمة الوحدات'!$A$2:$A$41,0)),"")</f>
        <v>قيادة القوات الجوية</v>
      </c>
      <c r="F391" s="14" t="str">
        <f>IFERROR(INDEX('قائمة الوحدات'!$F$2:$F$41,MATCH($B391,'قائمة الوحدات'!$A$2:$A$41,0)),"")</f>
        <v>قيادة القوات الجوية</v>
      </c>
      <c r="G391" s="16" t="s">
        <v>61</v>
      </c>
      <c r="H391" s="14" t="str">
        <f>IFERROR(INDEX(المرجع!$A$2:$A$19,MATCH($G391,المرجع!$B$2:$B$19,0)),"")</f>
        <v>البناء المؤسسي</v>
      </c>
      <c r="I391" s="16" t="s">
        <v>59</v>
      </c>
      <c r="J391" s="14" t="str">
        <f>IFERROR(INDEX(المرجع!$D$2:$D$19,MATCH($I391,المرجع!$E$2:$E$19,0)),"")</f>
        <v>الإجراءات</v>
      </c>
      <c r="K391" s="15">
        <f>IFERROR(INDEX(المرجع!$F$2:$F$19,MATCH($I391,المرجع!$E$2:$E$19,0)),"")</f>
        <v>6</v>
      </c>
      <c r="L391" s="15">
        <f>SUMIFS(المرجع!$H$2:$H$19,المرجع!$B$2:$B$19,$G391,المرجع!$E$2:$E$19,$I391)</f>
        <v>1</v>
      </c>
      <c r="M391" s="15">
        <f>COUNTIFS('المرتبطة بسمو الوزير'!$B$2:$B$151,$B391,'المرتبطة بسمو الوزير'!$G$2:$G$151,$G391,'المرتبطة بسمو الوزير'!$I$2:$I$151,$I391,'المرتبطة بسمو الوزير'!$M$2:$M$151,"&lt;&gt;")+COUNTIFS('الشؤون التنفيذية'!$B$2:$B$421,$B391,'الشؤون التنفيذية'!$G$2:$G$421,$G391,'الشؤون التنفيذية'!$I$2:$I$421,$I391,'الشؤون التنفيذية'!$N$2:$N$421,"&lt;&gt;")+COUNTIFS('الجهاز العسكري'!$B$2:$B$631,$B391,'الجهاز العسكري'!$G$2:$G$631,$G391,'الجهاز العسكري'!$I$2:$I$631,$I391,'الجهاز العسكري'!$M$2:$M$631,"&lt;&gt;")</f>
        <v>1</v>
      </c>
      <c r="N391" s="19">
        <f>IF($L391=0,0,ROUND((SUMIFS('المرتبطة بسمو الوزير'!$M$2:$M$151,'المرتبطة بسمو الوزير'!$B$2:$B$151,$B391,'المرتبطة بسمو الوزير'!$G$2:$G$151,$G391,'المرتبطة بسمو الوزير'!$I$2:$I$151,$I391)+SUMIFS('الشؤون التنفيذية'!$N$2:$N$421,'الشؤون التنفيذية'!$B$2:$B$421,$B391,'الشؤون التنفيذية'!$G$2:$G$421,$G391,'الشؤون التنفيذية'!$I$2:$I$421,$I391)+SUMIFS('الجهاز العسكري'!$M$2:$M$631,'الجهاز العسكري'!$B$2:$B$631,$B391,'الجهاز العسكري'!$G$2:$G$631,$G391,'الجهاز العسكري'!$I$2:$I$631,$I391))/$L391,0))</f>
        <v>55</v>
      </c>
      <c r="O391" s="18"/>
      <c r="P391" s="15">
        <f>SUMIFS(المرجع!$G$2:$G$19,المرجع!$B$2:$B$19,$G391,المرجع!$E$2:$E$19,$I391)</f>
        <v>5</v>
      </c>
      <c r="Q391" s="20">
        <f t="shared" si="7"/>
        <v>2.75</v>
      </c>
      <c r="R391" s="21" t="str">
        <f>IF($N391&gt;المرجع!$K$3,"متقدم",IF($N391&lt;=المرجع!$K$2,"أولي","جزئي"))</f>
        <v>جزئي</v>
      </c>
    </row>
    <row r="392" spans="1:18">
      <c r="A392" s="16" t="s">
        <v>1832</v>
      </c>
      <c r="B392" s="16" t="s">
        <v>194</v>
      </c>
      <c r="C392" s="15" t="str">
        <f>IFERROR(INDEX('قائمة الوحدات'!$B$2:$B$41,MATCH($B392,'قائمة الوحدات'!$A$2:$A$41,0)),"")</f>
        <v>MIL</v>
      </c>
      <c r="D392" s="14" t="str">
        <f>IFERROR(INDEX('قائمة الوحدات'!$C$2:$C$41,MATCH($B392,'قائمة الوحدات'!$A$2:$A$41,0)),"")</f>
        <v>الجهاز العسكري</v>
      </c>
      <c r="E392" s="14" t="str">
        <f>IFERROR(INDEX('قائمة الوحدات'!$D$2:$D$41,MATCH($B392,'قائمة الوحدات'!$A$2:$A$41,0)),"")</f>
        <v>قيادة القوات الجوية</v>
      </c>
      <c r="F392" s="14" t="str">
        <f>IFERROR(INDEX('قائمة الوحدات'!$F$2:$F$41,MATCH($B392,'قائمة الوحدات'!$A$2:$A$41,0)),"")</f>
        <v>قيادة القوات الجوية</v>
      </c>
      <c r="G392" s="16" t="s">
        <v>61</v>
      </c>
      <c r="H392" s="14" t="str">
        <f>IFERROR(INDEX(المرجع!$A$2:$A$19,MATCH($G392,المرجع!$B$2:$B$19,0)),"")</f>
        <v>البناء المؤسسي</v>
      </c>
      <c r="I392" s="16" t="s">
        <v>63</v>
      </c>
      <c r="J392" s="14" t="str">
        <f>IFERROR(INDEX(المرجع!$D$2:$D$19,MATCH($I392,المرجع!$E$2:$E$19,0)),"")</f>
        <v>إنتاج المخرج الأول</v>
      </c>
      <c r="K392" s="15">
        <f>IFERROR(INDEX(المرجع!$F$2:$F$19,MATCH($I392,المرجع!$E$2:$E$19,0)),"")</f>
        <v>7</v>
      </c>
      <c r="L392" s="15">
        <f>SUMIFS(المرجع!$H$2:$H$19,المرجع!$B$2:$B$19,$G392,المرجع!$E$2:$E$19,$I392)</f>
        <v>1</v>
      </c>
      <c r="M392" s="15">
        <f>COUNTIFS('المرتبطة بسمو الوزير'!$B$2:$B$151,$B392,'المرتبطة بسمو الوزير'!$G$2:$G$151,$G392,'المرتبطة بسمو الوزير'!$I$2:$I$151,$I392,'المرتبطة بسمو الوزير'!$M$2:$M$151,"&lt;&gt;")+COUNTIFS('الشؤون التنفيذية'!$B$2:$B$421,$B392,'الشؤون التنفيذية'!$G$2:$G$421,$G392,'الشؤون التنفيذية'!$I$2:$I$421,$I392,'الشؤون التنفيذية'!$N$2:$N$421,"&lt;&gt;")+COUNTIFS('الجهاز العسكري'!$B$2:$B$631,$B392,'الجهاز العسكري'!$G$2:$G$631,$G392,'الجهاز العسكري'!$I$2:$I$631,$I392,'الجهاز العسكري'!$M$2:$M$631,"&lt;&gt;")</f>
        <v>1</v>
      </c>
      <c r="N392" s="19">
        <f>IF($L392=0,0,ROUND((SUMIFS('المرتبطة بسمو الوزير'!$M$2:$M$151,'المرتبطة بسمو الوزير'!$B$2:$B$151,$B392,'المرتبطة بسمو الوزير'!$G$2:$G$151,$G392,'المرتبطة بسمو الوزير'!$I$2:$I$151,$I392)+SUMIFS('الشؤون التنفيذية'!$N$2:$N$421,'الشؤون التنفيذية'!$B$2:$B$421,$B392,'الشؤون التنفيذية'!$G$2:$G$421,$G392,'الشؤون التنفيذية'!$I$2:$I$421,$I392)+SUMIFS('الجهاز العسكري'!$M$2:$M$631,'الجهاز العسكري'!$B$2:$B$631,$B392,'الجهاز العسكري'!$G$2:$G$631,$G392,'الجهاز العسكري'!$I$2:$I$631,$I392))/$L392,0))</f>
        <v>80</v>
      </c>
      <c r="O392" s="18"/>
      <c r="P392" s="15">
        <f>SUMIFS(المرجع!$G$2:$G$19,المرجع!$B$2:$B$19,$G392,المرجع!$E$2:$E$19,$I392)</f>
        <v>5</v>
      </c>
      <c r="Q392" s="20">
        <f t="shared" si="7"/>
        <v>4</v>
      </c>
      <c r="R392" s="21" t="str">
        <f>IF($N392&gt;المرجع!$K$3,"متقدم",IF($N392&lt;=المرجع!$K$2,"أولي","جزئي"))</f>
        <v>متقدم</v>
      </c>
    </row>
    <row r="393" spans="1:18">
      <c r="A393" s="16" t="s">
        <v>1833</v>
      </c>
      <c r="B393" s="16" t="s">
        <v>194</v>
      </c>
      <c r="C393" s="15" t="str">
        <f>IFERROR(INDEX('قائمة الوحدات'!$B$2:$B$41,MATCH($B393,'قائمة الوحدات'!$A$2:$A$41,0)),"")</f>
        <v>MIL</v>
      </c>
      <c r="D393" s="14" t="str">
        <f>IFERROR(INDEX('قائمة الوحدات'!$C$2:$C$41,MATCH($B393,'قائمة الوحدات'!$A$2:$A$41,0)),"")</f>
        <v>الجهاز العسكري</v>
      </c>
      <c r="E393" s="14" t="str">
        <f>IFERROR(INDEX('قائمة الوحدات'!$D$2:$D$41,MATCH($B393,'قائمة الوحدات'!$A$2:$A$41,0)),"")</f>
        <v>قيادة القوات الجوية</v>
      </c>
      <c r="F393" s="14" t="str">
        <f>IFERROR(INDEX('قائمة الوحدات'!$F$2:$F$41,MATCH($B393,'قائمة الوحدات'!$A$2:$A$41,0)),"")</f>
        <v>قيادة القوات الجوية</v>
      </c>
      <c r="G393" s="16" t="s">
        <v>65</v>
      </c>
      <c r="H393" s="14" t="str">
        <f>IFERROR(INDEX(المرجع!$A$2:$A$19,MATCH($G393,المرجع!$B$2:$B$19,0)),"")</f>
        <v>التشغيل</v>
      </c>
      <c r="I393" s="16" t="s">
        <v>48</v>
      </c>
      <c r="J393" s="14" t="str">
        <f>IFERROR(INDEX(المرجع!$D$2:$D$19,MATCH($I393,المرجع!$E$2:$E$19,0)),"")</f>
        <v>الأهداف ومؤشرات الأداء</v>
      </c>
      <c r="K393" s="15">
        <f>IFERROR(INDEX(المرجع!$F$2:$F$19,MATCH($I393,المرجع!$E$2:$E$19,0)),"")</f>
        <v>2</v>
      </c>
      <c r="L393" s="15">
        <f>SUMIFS(المرجع!$H$2:$H$19,المرجع!$B$2:$B$19,$G393,المرجع!$E$2:$E$19,$I393)</f>
        <v>2</v>
      </c>
      <c r="M393" s="15">
        <f>COUNTIFS('المرتبطة بسمو الوزير'!$B$2:$B$151,$B393,'المرتبطة بسمو الوزير'!$G$2:$G$151,$G393,'المرتبطة بسمو الوزير'!$I$2:$I$151,$I393,'المرتبطة بسمو الوزير'!$M$2:$M$151,"&lt;&gt;")+COUNTIFS('الشؤون التنفيذية'!$B$2:$B$421,$B393,'الشؤون التنفيذية'!$G$2:$G$421,$G393,'الشؤون التنفيذية'!$I$2:$I$421,$I393,'الشؤون التنفيذية'!$N$2:$N$421,"&lt;&gt;")+COUNTIFS('الجهاز العسكري'!$B$2:$B$631,$B393,'الجهاز العسكري'!$G$2:$G$631,$G393,'الجهاز العسكري'!$I$2:$I$631,$I393,'الجهاز العسكري'!$M$2:$M$631,"&lt;&gt;")</f>
        <v>2</v>
      </c>
      <c r="N393" s="19">
        <f>IF($L393=0,0,ROUND((SUMIFS('المرتبطة بسمو الوزير'!$M$2:$M$151,'المرتبطة بسمو الوزير'!$B$2:$B$151,$B393,'المرتبطة بسمو الوزير'!$G$2:$G$151,$G393,'المرتبطة بسمو الوزير'!$I$2:$I$151,$I393)+SUMIFS('الشؤون التنفيذية'!$N$2:$N$421,'الشؤون التنفيذية'!$B$2:$B$421,$B393,'الشؤون التنفيذية'!$G$2:$G$421,$G393,'الشؤون التنفيذية'!$I$2:$I$421,$I393)+SUMIFS('الجهاز العسكري'!$M$2:$M$631,'الجهاز العسكري'!$B$2:$B$631,$B393,'الجهاز العسكري'!$G$2:$G$631,$G393,'الجهاز العسكري'!$I$2:$I$631,$I393))/$L393,0))</f>
        <v>50</v>
      </c>
      <c r="O393" s="18"/>
      <c r="P393" s="15">
        <f>SUMIFS(المرجع!$G$2:$G$19,المرجع!$B$2:$B$19,$G393,المرجع!$E$2:$E$19,$I393)</f>
        <v>25</v>
      </c>
      <c r="Q393" s="20">
        <f t="shared" si="7"/>
        <v>12.5</v>
      </c>
      <c r="R393" s="21" t="str">
        <f>IF($N393&gt;المرجع!$K$3,"متقدم",IF($N393&lt;=المرجع!$K$2,"أولي","جزئي"))</f>
        <v>جزئي</v>
      </c>
    </row>
    <row r="394" spans="1:18">
      <c r="A394" s="16" t="s">
        <v>1834</v>
      </c>
      <c r="B394" s="16" t="s">
        <v>194</v>
      </c>
      <c r="C394" s="15" t="str">
        <f>IFERROR(INDEX('قائمة الوحدات'!$B$2:$B$41,MATCH($B394,'قائمة الوحدات'!$A$2:$A$41,0)),"")</f>
        <v>MIL</v>
      </c>
      <c r="D394" s="14" t="str">
        <f>IFERROR(INDEX('قائمة الوحدات'!$C$2:$C$41,MATCH($B394,'قائمة الوحدات'!$A$2:$A$41,0)),"")</f>
        <v>الجهاز العسكري</v>
      </c>
      <c r="E394" s="14" t="str">
        <f>IFERROR(INDEX('قائمة الوحدات'!$D$2:$D$41,MATCH($B394,'قائمة الوحدات'!$A$2:$A$41,0)),"")</f>
        <v>قيادة القوات الجوية</v>
      </c>
      <c r="F394" s="14" t="str">
        <f>IFERROR(INDEX('قائمة الوحدات'!$F$2:$F$41,MATCH($B394,'قائمة الوحدات'!$A$2:$A$41,0)),"")</f>
        <v>قيادة القوات الجوية</v>
      </c>
      <c r="G394" s="16" t="s">
        <v>65</v>
      </c>
      <c r="H394" s="14" t="str">
        <f>IFERROR(INDEX(المرجع!$A$2:$A$19,MATCH($G394,المرجع!$B$2:$B$19,0)),"")</f>
        <v>التشغيل</v>
      </c>
      <c r="I394" s="16" t="s">
        <v>51</v>
      </c>
      <c r="J394" s="14" t="str">
        <f>IFERROR(INDEX(المرجع!$D$2:$D$19,MATCH($I394,المرجع!$E$2:$E$19,0)),"")</f>
        <v>الحوكمة</v>
      </c>
      <c r="K394" s="15">
        <f>IFERROR(INDEX(المرجع!$F$2:$F$19,MATCH($I394,المرجع!$E$2:$E$19,0)),"")</f>
        <v>3</v>
      </c>
      <c r="L394" s="15">
        <f>SUMIFS(المرجع!$H$2:$H$19,المرجع!$B$2:$B$19,$G394,المرجع!$E$2:$E$19,$I394)</f>
        <v>3</v>
      </c>
      <c r="M394" s="15">
        <f>COUNTIFS('المرتبطة بسمو الوزير'!$B$2:$B$151,$B394,'المرتبطة بسمو الوزير'!$G$2:$G$151,$G394,'المرتبطة بسمو الوزير'!$I$2:$I$151,$I394,'المرتبطة بسمو الوزير'!$M$2:$M$151,"&lt;&gt;")+COUNTIFS('الشؤون التنفيذية'!$B$2:$B$421,$B394,'الشؤون التنفيذية'!$G$2:$G$421,$G394,'الشؤون التنفيذية'!$I$2:$I$421,$I394,'الشؤون التنفيذية'!$N$2:$N$421,"&lt;&gt;")+COUNTIFS('الجهاز العسكري'!$B$2:$B$631,$B394,'الجهاز العسكري'!$G$2:$G$631,$G394,'الجهاز العسكري'!$I$2:$I$631,$I394,'الجهاز العسكري'!$M$2:$M$631,"&lt;&gt;")</f>
        <v>3</v>
      </c>
      <c r="N394" s="19">
        <f>IF($L394=0,0,ROUND((SUMIFS('المرتبطة بسمو الوزير'!$M$2:$M$151,'المرتبطة بسمو الوزير'!$B$2:$B$151,$B394,'المرتبطة بسمو الوزير'!$G$2:$G$151,$G394,'المرتبطة بسمو الوزير'!$I$2:$I$151,$I394)+SUMIFS('الشؤون التنفيذية'!$N$2:$N$421,'الشؤون التنفيذية'!$B$2:$B$421,$B394,'الشؤون التنفيذية'!$G$2:$G$421,$G394,'الشؤون التنفيذية'!$I$2:$I$421,$I394)+SUMIFS('الجهاز العسكري'!$M$2:$M$631,'الجهاز العسكري'!$B$2:$B$631,$B394,'الجهاز العسكري'!$G$2:$G$631,$G394,'الجهاز العسكري'!$I$2:$I$631,$I394))/$L394,0))</f>
        <v>40</v>
      </c>
      <c r="O394" s="18"/>
      <c r="P394" s="15">
        <f>SUMIFS(المرجع!$G$2:$G$19,المرجع!$B$2:$B$19,$G394,المرجع!$E$2:$E$19,$I394)</f>
        <v>15</v>
      </c>
      <c r="Q394" s="20">
        <f t="shared" si="7"/>
        <v>6</v>
      </c>
      <c r="R394" s="21" t="str">
        <f>IF($N394&gt;المرجع!$K$3,"متقدم",IF($N394&lt;=المرجع!$K$2,"أولي","جزئي"))</f>
        <v>جزئي</v>
      </c>
    </row>
    <row r="395" spans="1:18">
      <c r="A395" s="16" t="s">
        <v>1835</v>
      </c>
      <c r="B395" s="16" t="s">
        <v>194</v>
      </c>
      <c r="C395" s="15" t="str">
        <f>IFERROR(INDEX('قائمة الوحدات'!$B$2:$B$41,MATCH($B395,'قائمة الوحدات'!$A$2:$A$41,0)),"")</f>
        <v>MIL</v>
      </c>
      <c r="D395" s="14" t="str">
        <f>IFERROR(INDEX('قائمة الوحدات'!$C$2:$C$41,MATCH($B395,'قائمة الوحدات'!$A$2:$A$41,0)),"")</f>
        <v>الجهاز العسكري</v>
      </c>
      <c r="E395" s="14" t="str">
        <f>IFERROR(INDEX('قائمة الوحدات'!$D$2:$D$41,MATCH($B395,'قائمة الوحدات'!$A$2:$A$41,0)),"")</f>
        <v>قيادة القوات الجوية</v>
      </c>
      <c r="F395" s="14" t="str">
        <f>IFERROR(INDEX('قائمة الوحدات'!$F$2:$F$41,MATCH($B395,'قائمة الوحدات'!$A$2:$A$41,0)),"")</f>
        <v>قيادة القوات الجوية</v>
      </c>
      <c r="G395" s="16" t="s">
        <v>65</v>
      </c>
      <c r="H395" s="14" t="str">
        <f>IFERROR(INDEX(المرجع!$A$2:$A$19,MATCH($G395,المرجع!$B$2:$B$19,0)),"")</f>
        <v>التشغيل</v>
      </c>
      <c r="I395" s="16" t="s">
        <v>56</v>
      </c>
      <c r="J395" s="14" t="str">
        <f>IFERROR(INDEX(المرجع!$D$2:$D$19,MATCH($I395,المرجع!$E$2:$E$19,0)),"")</f>
        <v>الموارد</v>
      </c>
      <c r="K395" s="15">
        <f>IFERROR(INDEX(المرجع!$F$2:$F$19,MATCH($I395,المرجع!$E$2:$E$19,0)),"")</f>
        <v>5</v>
      </c>
      <c r="L395" s="15">
        <f>SUMIFS(المرجع!$H$2:$H$19,المرجع!$B$2:$B$19,$G395,المرجع!$E$2:$E$19,$I395)</f>
        <v>1</v>
      </c>
      <c r="M395" s="15">
        <f>COUNTIFS('المرتبطة بسمو الوزير'!$B$2:$B$151,$B395,'المرتبطة بسمو الوزير'!$G$2:$G$151,$G395,'المرتبطة بسمو الوزير'!$I$2:$I$151,$I395,'المرتبطة بسمو الوزير'!$M$2:$M$151,"&lt;&gt;")+COUNTIFS('الشؤون التنفيذية'!$B$2:$B$421,$B395,'الشؤون التنفيذية'!$G$2:$G$421,$G395,'الشؤون التنفيذية'!$I$2:$I$421,$I395,'الشؤون التنفيذية'!$N$2:$N$421,"&lt;&gt;")+COUNTIFS('الجهاز العسكري'!$B$2:$B$631,$B395,'الجهاز العسكري'!$G$2:$G$631,$G395,'الجهاز العسكري'!$I$2:$I$631,$I395,'الجهاز العسكري'!$M$2:$M$631,"&lt;&gt;")</f>
        <v>1</v>
      </c>
      <c r="N395" s="19">
        <f>IF($L395=0,0,ROUND((SUMIFS('المرتبطة بسمو الوزير'!$M$2:$M$151,'المرتبطة بسمو الوزير'!$B$2:$B$151,$B395,'المرتبطة بسمو الوزير'!$G$2:$G$151,$G395,'المرتبطة بسمو الوزير'!$I$2:$I$151,$I395)+SUMIFS('الشؤون التنفيذية'!$N$2:$N$421,'الشؤون التنفيذية'!$B$2:$B$421,$B395,'الشؤون التنفيذية'!$G$2:$G$421,$G395,'الشؤون التنفيذية'!$I$2:$I$421,$I395)+SUMIFS('الجهاز العسكري'!$M$2:$M$631,'الجهاز العسكري'!$B$2:$B$631,$B395,'الجهاز العسكري'!$G$2:$G$631,$G395,'الجهاز العسكري'!$I$2:$I$631,$I395))/$L395,0))</f>
        <v>54</v>
      </c>
      <c r="O395" s="18"/>
      <c r="P395" s="15">
        <f>SUMIFS(المرجع!$G$2:$G$19,المرجع!$B$2:$B$19,$G395,المرجع!$E$2:$E$19,$I395)</f>
        <v>15</v>
      </c>
      <c r="Q395" s="20">
        <f t="shared" si="7"/>
        <v>8.1</v>
      </c>
      <c r="R395" s="21" t="str">
        <f>IF($N395&gt;المرجع!$K$3,"متقدم",IF($N395&lt;=المرجع!$K$2,"أولي","جزئي"))</f>
        <v>جزئي</v>
      </c>
    </row>
    <row r="396" spans="1:18">
      <c r="A396" s="16" t="s">
        <v>1836</v>
      </c>
      <c r="B396" s="16" t="s">
        <v>194</v>
      </c>
      <c r="C396" s="15" t="str">
        <f>IFERROR(INDEX('قائمة الوحدات'!$B$2:$B$41,MATCH($B396,'قائمة الوحدات'!$A$2:$A$41,0)),"")</f>
        <v>MIL</v>
      </c>
      <c r="D396" s="14" t="str">
        <f>IFERROR(INDEX('قائمة الوحدات'!$C$2:$C$41,MATCH($B396,'قائمة الوحدات'!$A$2:$A$41,0)),"")</f>
        <v>الجهاز العسكري</v>
      </c>
      <c r="E396" s="14" t="str">
        <f>IFERROR(INDEX('قائمة الوحدات'!$D$2:$D$41,MATCH($B396,'قائمة الوحدات'!$A$2:$A$41,0)),"")</f>
        <v>قيادة القوات الجوية</v>
      </c>
      <c r="F396" s="14" t="str">
        <f>IFERROR(INDEX('قائمة الوحدات'!$F$2:$F$41,MATCH($B396,'قائمة الوحدات'!$A$2:$A$41,0)),"")</f>
        <v>قيادة القوات الجوية</v>
      </c>
      <c r="G396" s="16" t="s">
        <v>65</v>
      </c>
      <c r="H396" s="14" t="str">
        <f>IFERROR(INDEX(المرجع!$A$2:$A$19,MATCH($G396,المرجع!$B$2:$B$19,0)),"")</f>
        <v>التشغيل</v>
      </c>
      <c r="I396" s="16" t="s">
        <v>59</v>
      </c>
      <c r="J396" s="14" t="str">
        <f>IFERROR(INDEX(المرجع!$D$2:$D$19,MATCH($I396,المرجع!$E$2:$E$19,0)),"")</f>
        <v>الإجراءات</v>
      </c>
      <c r="K396" s="15">
        <f>IFERROR(INDEX(المرجع!$F$2:$F$19,MATCH($I396,المرجع!$E$2:$E$19,0)),"")</f>
        <v>6</v>
      </c>
      <c r="L396" s="15">
        <f>SUMIFS(المرجع!$H$2:$H$19,المرجع!$B$2:$B$19,$G396,المرجع!$E$2:$E$19,$I396)</f>
        <v>1</v>
      </c>
      <c r="M396" s="15">
        <f>COUNTIFS('المرتبطة بسمو الوزير'!$B$2:$B$151,$B396,'المرتبطة بسمو الوزير'!$G$2:$G$151,$G396,'المرتبطة بسمو الوزير'!$I$2:$I$151,$I396,'المرتبطة بسمو الوزير'!$M$2:$M$151,"&lt;&gt;")+COUNTIFS('الشؤون التنفيذية'!$B$2:$B$421,$B396,'الشؤون التنفيذية'!$G$2:$G$421,$G396,'الشؤون التنفيذية'!$I$2:$I$421,$I396,'الشؤون التنفيذية'!$N$2:$N$421,"&lt;&gt;")+COUNTIFS('الجهاز العسكري'!$B$2:$B$631,$B396,'الجهاز العسكري'!$G$2:$G$631,$G396,'الجهاز العسكري'!$I$2:$I$631,$I396,'الجهاز العسكري'!$M$2:$M$631,"&lt;&gt;")</f>
        <v>1</v>
      </c>
      <c r="N396" s="19">
        <f>IF($L396=0,0,ROUND((SUMIFS('المرتبطة بسمو الوزير'!$M$2:$M$151,'المرتبطة بسمو الوزير'!$B$2:$B$151,$B396,'المرتبطة بسمو الوزير'!$G$2:$G$151,$G396,'المرتبطة بسمو الوزير'!$I$2:$I$151,$I396)+SUMIFS('الشؤون التنفيذية'!$N$2:$N$421,'الشؤون التنفيذية'!$B$2:$B$421,$B396,'الشؤون التنفيذية'!$G$2:$G$421,$G396,'الشؤون التنفيذية'!$I$2:$I$421,$I396)+SUMIFS('الجهاز العسكري'!$M$2:$M$631,'الجهاز العسكري'!$B$2:$B$631,$B396,'الجهاز العسكري'!$G$2:$G$631,$G396,'الجهاز العسكري'!$I$2:$I$631,$I396))/$L396,0))</f>
        <v>56</v>
      </c>
      <c r="O396" s="18"/>
      <c r="P396" s="15">
        <f>SUMIFS(المرجع!$G$2:$G$19,المرجع!$B$2:$B$19,$G396,المرجع!$E$2:$E$19,$I396)</f>
        <v>15</v>
      </c>
      <c r="Q396" s="20">
        <f t="shared" si="7"/>
        <v>8.4</v>
      </c>
      <c r="R396" s="21" t="str">
        <f>IF($N396&gt;المرجع!$K$3,"متقدم",IF($N396&lt;=المرجع!$K$2,"أولي","جزئي"))</f>
        <v>جزئي</v>
      </c>
    </row>
    <row r="397" spans="1:18">
      <c r="A397" s="16" t="s">
        <v>1837</v>
      </c>
      <c r="B397" s="16" t="s">
        <v>194</v>
      </c>
      <c r="C397" s="15" t="str">
        <f>IFERROR(INDEX('قائمة الوحدات'!$B$2:$B$41,MATCH($B397,'قائمة الوحدات'!$A$2:$A$41,0)),"")</f>
        <v>MIL</v>
      </c>
      <c r="D397" s="14" t="str">
        <f>IFERROR(INDEX('قائمة الوحدات'!$C$2:$C$41,MATCH($B397,'قائمة الوحدات'!$A$2:$A$41,0)),"")</f>
        <v>الجهاز العسكري</v>
      </c>
      <c r="E397" s="14" t="str">
        <f>IFERROR(INDEX('قائمة الوحدات'!$D$2:$D$41,MATCH($B397,'قائمة الوحدات'!$A$2:$A$41,0)),"")</f>
        <v>قيادة القوات الجوية</v>
      </c>
      <c r="F397" s="14" t="str">
        <f>IFERROR(INDEX('قائمة الوحدات'!$F$2:$F$41,MATCH($B397,'قائمة الوحدات'!$A$2:$A$41,0)),"")</f>
        <v>قيادة القوات الجوية</v>
      </c>
      <c r="G397" s="16" t="s">
        <v>65</v>
      </c>
      <c r="H397" s="14" t="str">
        <f>IFERROR(INDEX(المرجع!$A$2:$A$19,MATCH($G397,المرجع!$B$2:$B$19,0)),"")</f>
        <v>التشغيل</v>
      </c>
      <c r="I397" s="16" t="s">
        <v>67</v>
      </c>
      <c r="J397" s="14" t="str">
        <f>IFERROR(INDEX(المرجع!$D$2:$D$19,MATCH($I397,المرجع!$E$2:$E$19,0)),"")</f>
        <v>اكتمال المخرجات المستهدفة</v>
      </c>
      <c r="K397" s="15">
        <f>IFERROR(INDEX(المرجع!$F$2:$F$19,MATCH($I397,المرجع!$E$2:$E$19,0)),"")</f>
        <v>8</v>
      </c>
      <c r="L397" s="15">
        <f>SUMIFS(المرجع!$H$2:$H$19,المرجع!$B$2:$B$19,$G397,المرجع!$E$2:$E$19,$I397)</f>
        <v>1</v>
      </c>
      <c r="M397" s="15">
        <f>COUNTIFS('المرتبطة بسمو الوزير'!$B$2:$B$151,$B397,'المرتبطة بسمو الوزير'!$G$2:$G$151,$G397,'المرتبطة بسمو الوزير'!$I$2:$I$151,$I397,'المرتبطة بسمو الوزير'!$M$2:$M$151,"&lt;&gt;")+COUNTIFS('الشؤون التنفيذية'!$B$2:$B$421,$B397,'الشؤون التنفيذية'!$G$2:$G$421,$G397,'الشؤون التنفيذية'!$I$2:$I$421,$I397,'الشؤون التنفيذية'!$N$2:$N$421,"&lt;&gt;")+COUNTIFS('الجهاز العسكري'!$B$2:$B$631,$B397,'الجهاز العسكري'!$G$2:$G$631,$G397,'الجهاز العسكري'!$I$2:$I$631,$I397,'الجهاز العسكري'!$M$2:$M$631,"&lt;&gt;")</f>
        <v>1</v>
      </c>
      <c r="N397" s="19">
        <f>IF($L397=0,0,ROUND((SUMIFS('المرتبطة بسمو الوزير'!$M$2:$M$151,'المرتبطة بسمو الوزير'!$B$2:$B$151,$B397,'المرتبطة بسمو الوزير'!$G$2:$G$151,$G397,'المرتبطة بسمو الوزير'!$I$2:$I$151,$I397)+SUMIFS('الشؤون التنفيذية'!$N$2:$N$421,'الشؤون التنفيذية'!$B$2:$B$421,$B397,'الشؤون التنفيذية'!$G$2:$G$421,$G397,'الشؤون التنفيذية'!$I$2:$I$421,$I397)+SUMIFS('الجهاز العسكري'!$M$2:$M$631,'الجهاز العسكري'!$B$2:$B$631,$B397,'الجهاز العسكري'!$G$2:$G$631,$G397,'الجهاز العسكري'!$I$2:$I$631,$I397))/$L397,0))</f>
        <v>54</v>
      </c>
      <c r="O397" s="18"/>
      <c r="P397" s="15">
        <f>SUMIFS(المرجع!$G$2:$G$19,المرجع!$B$2:$B$19,$G397,المرجع!$E$2:$E$19,$I397)</f>
        <v>30</v>
      </c>
      <c r="Q397" s="20">
        <f t="shared" si="7"/>
        <v>16.2</v>
      </c>
      <c r="R397" s="21" t="str">
        <f>IF($N397&gt;المرجع!$K$3,"متقدم",IF($N397&lt;=المرجع!$K$2,"أولي","جزئي"))</f>
        <v>جزئي</v>
      </c>
    </row>
    <row r="398" spans="1:18">
      <c r="A398" s="16" t="s">
        <v>1838</v>
      </c>
      <c r="B398" s="16" t="s">
        <v>196</v>
      </c>
      <c r="C398" s="15" t="str">
        <f>IFERROR(INDEX('قائمة الوحدات'!$B$2:$B$41,MATCH($B398,'قائمة الوحدات'!$A$2:$A$41,0)),"")</f>
        <v>MIL</v>
      </c>
      <c r="D398" s="14" t="str">
        <f>IFERROR(INDEX('قائمة الوحدات'!$C$2:$C$41,MATCH($B398,'قائمة الوحدات'!$A$2:$A$41,0)),"")</f>
        <v>الجهاز العسكري</v>
      </c>
      <c r="E398" s="14" t="str">
        <f>IFERROR(INDEX('قائمة الوحدات'!$D$2:$D$41,MATCH($B398,'قائمة الوحدات'!$A$2:$A$41,0)),"")</f>
        <v>قيادة القوات البحرية</v>
      </c>
      <c r="F398" s="14" t="str">
        <f>IFERROR(INDEX('قائمة الوحدات'!$F$2:$F$41,MATCH($B398,'قائمة الوحدات'!$A$2:$A$41,0)),"")</f>
        <v>قيادة القوات البحرية</v>
      </c>
      <c r="G398" s="16" t="s">
        <v>43</v>
      </c>
      <c r="H398" s="14" t="str">
        <f>IFERROR(INDEX(المرجع!$A$2:$A$19,MATCH($G398,المرجع!$B$2:$B$19,0)),"")</f>
        <v>التصميم</v>
      </c>
      <c r="I398" s="16" t="s">
        <v>45</v>
      </c>
      <c r="J398" s="14" t="str">
        <f>IFERROR(INDEX(المرجع!$D$2:$D$19,MATCH($I398,المرجع!$E$2:$E$19,0)),"")</f>
        <v>الدور</v>
      </c>
      <c r="K398" s="15">
        <f>IFERROR(INDEX(المرجع!$F$2:$F$19,MATCH($I398,المرجع!$E$2:$E$19,0)),"")</f>
        <v>1</v>
      </c>
      <c r="L398" s="15">
        <f>SUMIFS(المرجع!$H$2:$H$19,المرجع!$B$2:$B$19,$G398,المرجع!$E$2:$E$19,$I398)</f>
        <v>1</v>
      </c>
      <c r="M398" s="15">
        <f>COUNTIFS('المرتبطة بسمو الوزير'!$B$2:$B$151,$B398,'المرتبطة بسمو الوزير'!$G$2:$G$151,$G398,'المرتبطة بسمو الوزير'!$I$2:$I$151,$I398,'المرتبطة بسمو الوزير'!$M$2:$M$151,"&lt;&gt;")+COUNTIFS('الشؤون التنفيذية'!$B$2:$B$421,$B398,'الشؤون التنفيذية'!$G$2:$G$421,$G398,'الشؤون التنفيذية'!$I$2:$I$421,$I398,'الشؤون التنفيذية'!$N$2:$N$421,"&lt;&gt;")+COUNTIFS('الجهاز العسكري'!$B$2:$B$631,$B398,'الجهاز العسكري'!$G$2:$G$631,$G398,'الجهاز العسكري'!$I$2:$I$631,$I398,'الجهاز العسكري'!$M$2:$M$631,"&lt;&gt;")</f>
        <v>1</v>
      </c>
      <c r="N398" s="19">
        <f>IF($L398=0,0,ROUND((SUMIFS('المرتبطة بسمو الوزير'!$M$2:$M$151,'المرتبطة بسمو الوزير'!$B$2:$B$151,$B398,'المرتبطة بسمو الوزير'!$G$2:$G$151,$G398,'المرتبطة بسمو الوزير'!$I$2:$I$151,$I398)+SUMIFS('الشؤون التنفيذية'!$N$2:$N$421,'الشؤون التنفيذية'!$B$2:$B$421,$B398,'الشؤون التنفيذية'!$G$2:$G$421,$G398,'الشؤون التنفيذية'!$I$2:$I$421,$I398)+SUMIFS('الجهاز العسكري'!$M$2:$M$631,'الجهاز العسكري'!$B$2:$B$631,$B398,'الجهاز العسكري'!$G$2:$G$631,$G398,'الجهاز العسكري'!$I$2:$I$631,$I398))/$L398,0))</f>
        <v>80</v>
      </c>
      <c r="O398" s="18"/>
      <c r="P398" s="15">
        <f>SUMIFS(المرجع!$G$2:$G$19,المرجع!$B$2:$B$19,$G398,المرجع!$E$2:$E$19,$I398)</f>
        <v>25</v>
      </c>
      <c r="Q398" s="20">
        <f t="shared" si="7"/>
        <v>20</v>
      </c>
      <c r="R398" s="21" t="str">
        <f>IF($N398&gt;المرجع!$K$3,"متقدم",IF($N398&lt;=المرجع!$K$2,"أولي","جزئي"))</f>
        <v>متقدم</v>
      </c>
    </row>
    <row r="399" spans="1:18">
      <c r="A399" s="16" t="s">
        <v>1839</v>
      </c>
      <c r="B399" s="16" t="s">
        <v>196</v>
      </c>
      <c r="C399" s="15" t="str">
        <f>IFERROR(INDEX('قائمة الوحدات'!$B$2:$B$41,MATCH($B399,'قائمة الوحدات'!$A$2:$A$41,0)),"")</f>
        <v>MIL</v>
      </c>
      <c r="D399" s="14" t="str">
        <f>IFERROR(INDEX('قائمة الوحدات'!$C$2:$C$41,MATCH($B399,'قائمة الوحدات'!$A$2:$A$41,0)),"")</f>
        <v>الجهاز العسكري</v>
      </c>
      <c r="E399" s="14" t="str">
        <f>IFERROR(INDEX('قائمة الوحدات'!$D$2:$D$41,MATCH($B399,'قائمة الوحدات'!$A$2:$A$41,0)),"")</f>
        <v>قيادة القوات البحرية</v>
      </c>
      <c r="F399" s="14" t="str">
        <f>IFERROR(INDEX('قائمة الوحدات'!$F$2:$F$41,MATCH($B399,'قائمة الوحدات'!$A$2:$A$41,0)),"")</f>
        <v>قيادة القوات البحرية</v>
      </c>
      <c r="G399" s="16" t="s">
        <v>43</v>
      </c>
      <c r="H399" s="14" t="str">
        <f>IFERROR(INDEX(المرجع!$A$2:$A$19,MATCH($G399,المرجع!$B$2:$B$19,0)),"")</f>
        <v>التصميم</v>
      </c>
      <c r="I399" s="16" t="s">
        <v>48</v>
      </c>
      <c r="J399" s="14" t="str">
        <f>IFERROR(INDEX(المرجع!$D$2:$D$19,MATCH($I399,المرجع!$E$2:$E$19,0)),"")</f>
        <v>الأهداف ومؤشرات الأداء</v>
      </c>
      <c r="K399" s="15">
        <f>IFERROR(INDEX(المرجع!$F$2:$F$19,MATCH($I399,المرجع!$E$2:$E$19,0)),"")</f>
        <v>2</v>
      </c>
      <c r="L399" s="15">
        <f>SUMIFS(المرجع!$H$2:$H$19,المرجع!$B$2:$B$19,$G399,المرجع!$E$2:$E$19,$I399)</f>
        <v>2</v>
      </c>
      <c r="M399" s="15">
        <f>COUNTIFS('المرتبطة بسمو الوزير'!$B$2:$B$151,$B399,'المرتبطة بسمو الوزير'!$G$2:$G$151,$G399,'المرتبطة بسمو الوزير'!$I$2:$I$151,$I399,'المرتبطة بسمو الوزير'!$M$2:$M$151,"&lt;&gt;")+COUNTIFS('الشؤون التنفيذية'!$B$2:$B$421,$B399,'الشؤون التنفيذية'!$G$2:$G$421,$G399,'الشؤون التنفيذية'!$I$2:$I$421,$I399,'الشؤون التنفيذية'!$N$2:$N$421,"&lt;&gt;")+COUNTIFS('الجهاز العسكري'!$B$2:$B$631,$B399,'الجهاز العسكري'!$G$2:$G$631,$G399,'الجهاز العسكري'!$I$2:$I$631,$I399,'الجهاز العسكري'!$M$2:$M$631,"&lt;&gt;")</f>
        <v>2</v>
      </c>
      <c r="N399" s="19">
        <f>IF($L399=0,0,ROUND((SUMIFS('المرتبطة بسمو الوزير'!$M$2:$M$151,'المرتبطة بسمو الوزير'!$B$2:$B$151,$B399,'المرتبطة بسمو الوزير'!$G$2:$G$151,$G399,'المرتبطة بسمو الوزير'!$I$2:$I$151,$I399)+SUMIFS('الشؤون التنفيذية'!$N$2:$N$421,'الشؤون التنفيذية'!$B$2:$B$421,$B399,'الشؤون التنفيذية'!$G$2:$G$421,$G399,'الشؤون التنفيذية'!$I$2:$I$421,$I399)+SUMIFS('الجهاز العسكري'!$M$2:$M$631,'الجهاز العسكري'!$B$2:$B$631,$B399,'الجهاز العسكري'!$G$2:$G$631,$G399,'الجهاز العسكري'!$I$2:$I$631,$I399))/$L399,0))</f>
        <v>80</v>
      </c>
      <c r="O399" s="18"/>
      <c r="P399" s="15">
        <f>SUMIFS(المرجع!$G$2:$G$19,المرجع!$B$2:$B$19,$G399,المرجع!$E$2:$E$19,$I399)</f>
        <v>15</v>
      </c>
      <c r="Q399" s="20">
        <f t="shared" si="7"/>
        <v>12</v>
      </c>
      <c r="R399" s="21" t="str">
        <f>IF($N399&gt;المرجع!$K$3,"متقدم",IF($N399&lt;=المرجع!$K$2,"أولي","جزئي"))</f>
        <v>متقدم</v>
      </c>
    </row>
    <row r="400" spans="1:18">
      <c r="A400" s="16" t="s">
        <v>1840</v>
      </c>
      <c r="B400" s="16" t="s">
        <v>196</v>
      </c>
      <c r="C400" s="15" t="str">
        <f>IFERROR(INDEX('قائمة الوحدات'!$B$2:$B$41,MATCH($B400,'قائمة الوحدات'!$A$2:$A$41,0)),"")</f>
        <v>MIL</v>
      </c>
      <c r="D400" s="14" t="str">
        <f>IFERROR(INDEX('قائمة الوحدات'!$C$2:$C$41,MATCH($B400,'قائمة الوحدات'!$A$2:$A$41,0)),"")</f>
        <v>الجهاز العسكري</v>
      </c>
      <c r="E400" s="14" t="str">
        <f>IFERROR(INDEX('قائمة الوحدات'!$D$2:$D$41,MATCH($B400,'قائمة الوحدات'!$A$2:$A$41,0)),"")</f>
        <v>قيادة القوات البحرية</v>
      </c>
      <c r="F400" s="14" t="str">
        <f>IFERROR(INDEX('قائمة الوحدات'!$F$2:$F$41,MATCH($B400,'قائمة الوحدات'!$A$2:$A$41,0)),"")</f>
        <v>قيادة القوات البحرية</v>
      </c>
      <c r="G400" s="16" t="s">
        <v>43</v>
      </c>
      <c r="H400" s="14" t="str">
        <f>IFERROR(INDEX(المرجع!$A$2:$A$19,MATCH($G400,المرجع!$B$2:$B$19,0)),"")</f>
        <v>التصميم</v>
      </c>
      <c r="I400" s="16" t="s">
        <v>51</v>
      </c>
      <c r="J400" s="14" t="str">
        <f>IFERROR(INDEX(المرجع!$D$2:$D$19,MATCH($I400,المرجع!$E$2:$E$19,0)),"")</f>
        <v>الحوكمة</v>
      </c>
      <c r="K400" s="15">
        <f>IFERROR(INDEX(المرجع!$F$2:$F$19,MATCH($I400,المرجع!$E$2:$E$19,0)),"")</f>
        <v>3</v>
      </c>
      <c r="L400" s="15">
        <f>SUMIFS(المرجع!$H$2:$H$19,المرجع!$B$2:$B$19,$G400,المرجع!$E$2:$E$19,$I400)</f>
        <v>1</v>
      </c>
      <c r="M400" s="15">
        <f>COUNTIFS('المرتبطة بسمو الوزير'!$B$2:$B$151,$B400,'المرتبطة بسمو الوزير'!$G$2:$G$151,$G400,'المرتبطة بسمو الوزير'!$I$2:$I$151,$I400,'المرتبطة بسمو الوزير'!$M$2:$M$151,"&lt;&gt;")+COUNTIFS('الشؤون التنفيذية'!$B$2:$B$421,$B400,'الشؤون التنفيذية'!$G$2:$G$421,$G400,'الشؤون التنفيذية'!$I$2:$I$421,$I400,'الشؤون التنفيذية'!$N$2:$N$421,"&lt;&gt;")+COUNTIFS('الجهاز العسكري'!$B$2:$B$631,$B400,'الجهاز العسكري'!$G$2:$G$631,$G400,'الجهاز العسكري'!$I$2:$I$631,$I400,'الجهاز العسكري'!$M$2:$M$631,"&lt;&gt;")</f>
        <v>1</v>
      </c>
      <c r="N400" s="19">
        <f>IF($L400=0,0,ROUND((SUMIFS('المرتبطة بسمو الوزير'!$M$2:$M$151,'المرتبطة بسمو الوزير'!$B$2:$B$151,$B400,'المرتبطة بسمو الوزير'!$G$2:$G$151,$G400,'المرتبطة بسمو الوزير'!$I$2:$I$151,$I400)+SUMIFS('الشؤون التنفيذية'!$N$2:$N$421,'الشؤون التنفيذية'!$B$2:$B$421,$B400,'الشؤون التنفيذية'!$G$2:$G$421,$G400,'الشؤون التنفيذية'!$I$2:$I$421,$I400)+SUMIFS('الجهاز العسكري'!$M$2:$M$631,'الجهاز العسكري'!$B$2:$B$631,$B400,'الجهاز العسكري'!$G$2:$G$631,$G400,'الجهاز العسكري'!$I$2:$I$631,$I400))/$L400,0))</f>
        <v>86</v>
      </c>
      <c r="O400" s="18"/>
      <c r="P400" s="15">
        <f>SUMIFS(المرجع!$G$2:$G$19,المرجع!$B$2:$B$19,$G400,المرجع!$E$2:$E$19,$I400)</f>
        <v>15</v>
      </c>
      <c r="Q400" s="20">
        <f t="shared" si="7"/>
        <v>12.9</v>
      </c>
      <c r="R400" s="21" t="str">
        <f>IF($N400&gt;المرجع!$K$3,"متقدم",IF($N400&lt;=المرجع!$K$2,"أولي","جزئي"))</f>
        <v>متقدم</v>
      </c>
    </row>
    <row r="401" spans="1:18">
      <c r="A401" s="16" t="s">
        <v>1841</v>
      </c>
      <c r="B401" s="16" t="s">
        <v>196</v>
      </c>
      <c r="C401" s="15" t="str">
        <f>IFERROR(INDEX('قائمة الوحدات'!$B$2:$B$41,MATCH($B401,'قائمة الوحدات'!$A$2:$A$41,0)),"")</f>
        <v>MIL</v>
      </c>
      <c r="D401" s="14" t="str">
        <f>IFERROR(INDEX('قائمة الوحدات'!$C$2:$C$41,MATCH($B401,'قائمة الوحدات'!$A$2:$A$41,0)),"")</f>
        <v>الجهاز العسكري</v>
      </c>
      <c r="E401" s="14" t="str">
        <f>IFERROR(INDEX('قائمة الوحدات'!$D$2:$D$41,MATCH($B401,'قائمة الوحدات'!$A$2:$A$41,0)),"")</f>
        <v>قيادة القوات البحرية</v>
      </c>
      <c r="F401" s="14" t="str">
        <f>IFERROR(INDEX('قائمة الوحدات'!$F$2:$F$41,MATCH($B401,'قائمة الوحدات'!$A$2:$A$41,0)),"")</f>
        <v>قيادة القوات البحرية</v>
      </c>
      <c r="G401" s="16" t="s">
        <v>43</v>
      </c>
      <c r="H401" s="14" t="str">
        <f>IFERROR(INDEX(المرجع!$A$2:$A$19,MATCH($G401,المرجع!$B$2:$B$19,0)),"")</f>
        <v>التصميم</v>
      </c>
      <c r="I401" s="16" t="s">
        <v>54</v>
      </c>
      <c r="J401" s="14" t="str">
        <f>IFERROR(INDEX(المرجع!$D$2:$D$19,MATCH($I401,المرجع!$E$2:$E$19,0)),"")</f>
        <v>التنظيم</v>
      </c>
      <c r="K401" s="15">
        <f>IFERROR(INDEX(المرجع!$F$2:$F$19,MATCH($I401,المرجع!$E$2:$E$19,0)),"")</f>
        <v>4</v>
      </c>
      <c r="L401" s="15">
        <f>SUMIFS(المرجع!$H$2:$H$19,المرجع!$B$2:$B$19,$G401,المرجع!$E$2:$E$19,$I401)</f>
        <v>1</v>
      </c>
      <c r="M401" s="15">
        <f>COUNTIFS('المرتبطة بسمو الوزير'!$B$2:$B$151,$B401,'المرتبطة بسمو الوزير'!$G$2:$G$151,$G401,'المرتبطة بسمو الوزير'!$I$2:$I$151,$I401,'المرتبطة بسمو الوزير'!$M$2:$M$151,"&lt;&gt;")+COUNTIFS('الشؤون التنفيذية'!$B$2:$B$421,$B401,'الشؤون التنفيذية'!$G$2:$G$421,$G401,'الشؤون التنفيذية'!$I$2:$I$421,$I401,'الشؤون التنفيذية'!$N$2:$N$421,"&lt;&gt;")+COUNTIFS('الجهاز العسكري'!$B$2:$B$631,$B401,'الجهاز العسكري'!$G$2:$G$631,$G401,'الجهاز العسكري'!$I$2:$I$631,$I401,'الجهاز العسكري'!$M$2:$M$631,"&lt;&gt;")</f>
        <v>1</v>
      </c>
      <c r="N401" s="19">
        <f>IF($L401=0,0,ROUND((SUMIFS('المرتبطة بسمو الوزير'!$M$2:$M$151,'المرتبطة بسمو الوزير'!$B$2:$B$151,$B401,'المرتبطة بسمو الوزير'!$G$2:$G$151,$G401,'المرتبطة بسمو الوزير'!$I$2:$I$151,$I401)+SUMIFS('الشؤون التنفيذية'!$N$2:$N$421,'الشؤون التنفيذية'!$B$2:$B$421,$B401,'الشؤون التنفيذية'!$G$2:$G$421,$G401,'الشؤون التنفيذية'!$I$2:$I$421,$I401)+SUMIFS('الجهاز العسكري'!$M$2:$M$631,'الجهاز العسكري'!$B$2:$B$631,$B401,'الجهاز العسكري'!$G$2:$G$631,$G401,'الجهاز العسكري'!$I$2:$I$631,$I401))/$L401,0))</f>
        <v>83</v>
      </c>
      <c r="O401" s="18"/>
      <c r="P401" s="15">
        <f>SUMIFS(المرجع!$G$2:$G$19,المرجع!$B$2:$B$19,$G401,المرجع!$E$2:$E$19,$I401)</f>
        <v>20</v>
      </c>
      <c r="Q401" s="20">
        <f t="shared" si="7"/>
        <v>16.600000000000001</v>
      </c>
      <c r="R401" s="21" t="str">
        <f>IF($N401&gt;المرجع!$K$3,"متقدم",IF($N401&lt;=المرجع!$K$2,"أولي","جزئي"))</f>
        <v>متقدم</v>
      </c>
    </row>
    <row r="402" spans="1:18">
      <c r="A402" s="16" t="s">
        <v>1842</v>
      </c>
      <c r="B402" s="16" t="s">
        <v>196</v>
      </c>
      <c r="C402" s="15" t="str">
        <f>IFERROR(INDEX('قائمة الوحدات'!$B$2:$B$41,MATCH($B402,'قائمة الوحدات'!$A$2:$A$41,0)),"")</f>
        <v>MIL</v>
      </c>
      <c r="D402" s="14" t="str">
        <f>IFERROR(INDEX('قائمة الوحدات'!$C$2:$C$41,MATCH($B402,'قائمة الوحدات'!$A$2:$A$41,0)),"")</f>
        <v>الجهاز العسكري</v>
      </c>
      <c r="E402" s="14" t="str">
        <f>IFERROR(INDEX('قائمة الوحدات'!$D$2:$D$41,MATCH($B402,'قائمة الوحدات'!$A$2:$A$41,0)),"")</f>
        <v>قيادة القوات البحرية</v>
      </c>
      <c r="F402" s="14" t="str">
        <f>IFERROR(INDEX('قائمة الوحدات'!$F$2:$F$41,MATCH($B402,'قائمة الوحدات'!$A$2:$A$41,0)),"")</f>
        <v>قيادة القوات البحرية</v>
      </c>
      <c r="G402" s="16" t="s">
        <v>43</v>
      </c>
      <c r="H402" s="14" t="str">
        <f>IFERROR(INDEX(المرجع!$A$2:$A$19,MATCH($G402,المرجع!$B$2:$B$19,0)),"")</f>
        <v>التصميم</v>
      </c>
      <c r="I402" s="16" t="s">
        <v>56</v>
      </c>
      <c r="J402" s="14" t="str">
        <f>IFERROR(INDEX(المرجع!$D$2:$D$19,MATCH($I402,المرجع!$E$2:$E$19,0)),"")</f>
        <v>الموارد</v>
      </c>
      <c r="K402" s="15">
        <f>IFERROR(INDEX(المرجع!$F$2:$F$19,MATCH($I402,المرجع!$E$2:$E$19,0)),"")</f>
        <v>5</v>
      </c>
      <c r="L402" s="15">
        <f>SUMIFS(المرجع!$H$2:$H$19,المرجع!$B$2:$B$19,$G402,المرجع!$E$2:$E$19,$I402)</f>
        <v>1</v>
      </c>
      <c r="M402" s="15">
        <f>COUNTIFS('المرتبطة بسمو الوزير'!$B$2:$B$151,$B402,'المرتبطة بسمو الوزير'!$G$2:$G$151,$G402,'المرتبطة بسمو الوزير'!$I$2:$I$151,$I402,'المرتبطة بسمو الوزير'!$M$2:$M$151,"&lt;&gt;")+COUNTIFS('الشؤون التنفيذية'!$B$2:$B$421,$B402,'الشؤون التنفيذية'!$G$2:$G$421,$G402,'الشؤون التنفيذية'!$I$2:$I$421,$I402,'الشؤون التنفيذية'!$N$2:$N$421,"&lt;&gt;")+COUNTIFS('الجهاز العسكري'!$B$2:$B$631,$B402,'الجهاز العسكري'!$G$2:$G$631,$G402,'الجهاز العسكري'!$I$2:$I$631,$I402,'الجهاز العسكري'!$M$2:$M$631,"&lt;&gt;")</f>
        <v>1</v>
      </c>
      <c r="N402" s="19">
        <f>IF($L402=0,0,ROUND((SUMIFS('المرتبطة بسمو الوزير'!$M$2:$M$151,'المرتبطة بسمو الوزير'!$B$2:$B$151,$B402,'المرتبطة بسمو الوزير'!$G$2:$G$151,$G402,'المرتبطة بسمو الوزير'!$I$2:$I$151,$I402)+SUMIFS('الشؤون التنفيذية'!$N$2:$N$421,'الشؤون التنفيذية'!$B$2:$B$421,$B402,'الشؤون التنفيذية'!$G$2:$G$421,$G402,'الشؤون التنفيذية'!$I$2:$I$421,$I402)+SUMIFS('الجهاز العسكري'!$M$2:$M$631,'الجهاز العسكري'!$B$2:$B$631,$B402,'الجهاز العسكري'!$G$2:$G$631,$G402,'الجهاز العسكري'!$I$2:$I$631,$I402))/$L402,0))</f>
        <v>91</v>
      </c>
      <c r="O402" s="18"/>
      <c r="P402" s="15">
        <f>SUMIFS(المرجع!$G$2:$G$19,المرجع!$B$2:$B$19,$G402,المرجع!$E$2:$E$19,$I402)</f>
        <v>20</v>
      </c>
      <c r="Q402" s="20">
        <f t="shared" si="7"/>
        <v>18.2</v>
      </c>
      <c r="R402" s="21" t="str">
        <f>IF($N402&gt;المرجع!$K$3,"متقدم",IF($N402&lt;=المرجع!$K$2,"أولي","جزئي"))</f>
        <v>متقدم</v>
      </c>
    </row>
    <row r="403" spans="1:18">
      <c r="A403" s="16" t="s">
        <v>1843</v>
      </c>
      <c r="B403" s="16" t="s">
        <v>196</v>
      </c>
      <c r="C403" s="15" t="str">
        <f>IFERROR(INDEX('قائمة الوحدات'!$B$2:$B$41,MATCH($B403,'قائمة الوحدات'!$A$2:$A$41,0)),"")</f>
        <v>MIL</v>
      </c>
      <c r="D403" s="14" t="str">
        <f>IFERROR(INDEX('قائمة الوحدات'!$C$2:$C$41,MATCH($B403,'قائمة الوحدات'!$A$2:$A$41,0)),"")</f>
        <v>الجهاز العسكري</v>
      </c>
      <c r="E403" s="14" t="str">
        <f>IFERROR(INDEX('قائمة الوحدات'!$D$2:$D$41,MATCH($B403,'قائمة الوحدات'!$A$2:$A$41,0)),"")</f>
        <v>قيادة القوات البحرية</v>
      </c>
      <c r="F403" s="14" t="str">
        <f>IFERROR(INDEX('قائمة الوحدات'!$F$2:$F$41,MATCH($B403,'قائمة الوحدات'!$A$2:$A$41,0)),"")</f>
        <v>قيادة القوات البحرية</v>
      </c>
      <c r="G403" s="16" t="s">
        <v>43</v>
      </c>
      <c r="H403" s="14" t="str">
        <f>IFERROR(INDEX(المرجع!$A$2:$A$19,MATCH($G403,المرجع!$B$2:$B$19,0)),"")</f>
        <v>التصميم</v>
      </c>
      <c r="I403" s="16" t="s">
        <v>59</v>
      </c>
      <c r="J403" s="14" t="str">
        <f>IFERROR(INDEX(المرجع!$D$2:$D$19,MATCH($I403,المرجع!$E$2:$E$19,0)),"")</f>
        <v>الإجراءات</v>
      </c>
      <c r="K403" s="15">
        <f>IFERROR(INDEX(المرجع!$F$2:$F$19,MATCH($I403,المرجع!$E$2:$E$19,0)),"")</f>
        <v>6</v>
      </c>
      <c r="L403" s="15">
        <f>SUMIFS(المرجع!$H$2:$H$19,المرجع!$B$2:$B$19,$G403,المرجع!$E$2:$E$19,$I403)</f>
        <v>1</v>
      </c>
      <c r="M403" s="15">
        <f>COUNTIFS('المرتبطة بسمو الوزير'!$B$2:$B$151,$B403,'المرتبطة بسمو الوزير'!$G$2:$G$151,$G403,'المرتبطة بسمو الوزير'!$I$2:$I$151,$I403,'المرتبطة بسمو الوزير'!$M$2:$M$151,"&lt;&gt;")+COUNTIFS('الشؤون التنفيذية'!$B$2:$B$421,$B403,'الشؤون التنفيذية'!$G$2:$G$421,$G403,'الشؤون التنفيذية'!$I$2:$I$421,$I403,'الشؤون التنفيذية'!$N$2:$N$421,"&lt;&gt;")+COUNTIFS('الجهاز العسكري'!$B$2:$B$631,$B403,'الجهاز العسكري'!$G$2:$G$631,$G403,'الجهاز العسكري'!$I$2:$I$631,$I403,'الجهاز العسكري'!$M$2:$M$631,"&lt;&gt;")</f>
        <v>1</v>
      </c>
      <c r="N403" s="19">
        <f>IF($L403=0,0,ROUND((SUMIFS('المرتبطة بسمو الوزير'!$M$2:$M$151,'المرتبطة بسمو الوزير'!$B$2:$B$151,$B403,'المرتبطة بسمو الوزير'!$G$2:$G$151,$G403,'المرتبطة بسمو الوزير'!$I$2:$I$151,$I403)+SUMIFS('الشؤون التنفيذية'!$N$2:$N$421,'الشؤون التنفيذية'!$B$2:$B$421,$B403,'الشؤون التنفيذية'!$G$2:$G$421,$G403,'الشؤون التنفيذية'!$I$2:$I$421,$I403)+SUMIFS('الجهاز العسكري'!$M$2:$M$631,'الجهاز العسكري'!$B$2:$B$631,$B403,'الجهاز العسكري'!$G$2:$G$631,$G403,'الجهاز العسكري'!$I$2:$I$631,$I403))/$L403,0))</f>
        <v>81</v>
      </c>
      <c r="O403" s="18"/>
      <c r="P403" s="15">
        <f>SUMIFS(المرجع!$G$2:$G$19,المرجع!$B$2:$B$19,$G403,المرجع!$E$2:$E$19,$I403)</f>
        <v>5</v>
      </c>
      <c r="Q403" s="20">
        <f t="shared" si="7"/>
        <v>4.05</v>
      </c>
      <c r="R403" s="21" t="str">
        <f>IF($N403&gt;المرجع!$K$3,"متقدم",IF($N403&lt;=المرجع!$K$2,"أولي","جزئي"))</f>
        <v>متقدم</v>
      </c>
    </row>
    <row r="404" spans="1:18">
      <c r="A404" s="16" t="s">
        <v>1844</v>
      </c>
      <c r="B404" s="16" t="s">
        <v>196</v>
      </c>
      <c r="C404" s="15" t="str">
        <f>IFERROR(INDEX('قائمة الوحدات'!$B$2:$B$41,MATCH($B404,'قائمة الوحدات'!$A$2:$A$41,0)),"")</f>
        <v>MIL</v>
      </c>
      <c r="D404" s="14" t="str">
        <f>IFERROR(INDEX('قائمة الوحدات'!$C$2:$C$41,MATCH($B404,'قائمة الوحدات'!$A$2:$A$41,0)),"")</f>
        <v>الجهاز العسكري</v>
      </c>
      <c r="E404" s="14" t="str">
        <f>IFERROR(INDEX('قائمة الوحدات'!$D$2:$D$41,MATCH($B404,'قائمة الوحدات'!$A$2:$A$41,0)),"")</f>
        <v>قيادة القوات البحرية</v>
      </c>
      <c r="F404" s="14" t="str">
        <f>IFERROR(INDEX('قائمة الوحدات'!$F$2:$F$41,MATCH($B404,'قائمة الوحدات'!$A$2:$A$41,0)),"")</f>
        <v>قيادة القوات البحرية</v>
      </c>
      <c r="G404" s="16" t="s">
        <v>61</v>
      </c>
      <c r="H404" s="14" t="str">
        <f>IFERROR(INDEX(المرجع!$A$2:$A$19,MATCH($G404,المرجع!$B$2:$B$19,0)),"")</f>
        <v>البناء المؤسسي</v>
      </c>
      <c r="I404" s="16" t="s">
        <v>45</v>
      </c>
      <c r="J404" s="14" t="str">
        <f>IFERROR(INDEX(المرجع!$D$2:$D$19,MATCH($I404,المرجع!$E$2:$E$19,0)),"")</f>
        <v>الدور</v>
      </c>
      <c r="K404" s="15">
        <f>IFERROR(INDEX(المرجع!$F$2:$F$19,MATCH($I404,المرجع!$E$2:$E$19,0)),"")</f>
        <v>1</v>
      </c>
      <c r="L404" s="15">
        <f>SUMIFS(المرجع!$H$2:$H$19,المرجع!$B$2:$B$19,$G404,المرجع!$E$2:$E$19,$I404)</f>
        <v>1</v>
      </c>
      <c r="M404" s="15">
        <f>COUNTIFS('المرتبطة بسمو الوزير'!$B$2:$B$151,$B404,'المرتبطة بسمو الوزير'!$G$2:$G$151,$G404,'المرتبطة بسمو الوزير'!$I$2:$I$151,$I404,'المرتبطة بسمو الوزير'!$M$2:$M$151,"&lt;&gt;")+COUNTIFS('الشؤون التنفيذية'!$B$2:$B$421,$B404,'الشؤون التنفيذية'!$G$2:$G$421,$G404,'الشؤون التنفيذية'!$I$2:$I$421,$I404,'الشؤون التنفيذية'!$N$2:$N$421,"&lt;&gt;")+COUNTIFS('الجهاز العسكري'!$B$2:$B$631,$B404,'الجهاز العسكري'!$G$2:$G$631,$G404,'الجهاز العسكري'!$I$2:$I$631,$I404,'الجهاز العسكري'!$M$2:$M$631,"&lt;&gt;")</f>
        <v>1</v>
      </c>
      <c r="N404" s="19">
        <f>IF($L404=0,0,ROUND((SUMIFS('المرتبطة بسمو الوزير'!$M$2:$M$151,'المرتبطة بسمو الوزير'!$B$2:$B$151,$B404,'المرتبطة بسمو الوزير'!$G$2:$G$151,$G404,'المرتبطة بسمو الوزير'!$I$2:$I$151,$I404)+SUMIFS('الشؤون التنفيذية'!$N$2:$N$421,'الشؤون التنفيذية'!$B$2:$B$421,$B404,'الشؤون التنفيذية'!$G$2:$G$421,$G404,'الشؤون التنفيذية'!$I$2:$I$421,$I404)+SUMIFS('الجهاز العسكري'!$M$2:$M$631,'الجهاز العسكري'!$B$2:$B$631,$B404,'الجهاز العسكري'!$G$2:$G$631,$G404,'الجهاز العسكري'!$I$2:$I$631,$I404))/$L404,0))</f>
        <v>67</v>
      </c>
      <c r="O404" s="18"/>
      <c r="P404" s="15">
        <f>SUMIFS(المرجع!$G$2:$G$19,المرجع!$B$2:$B$19,$G404,المرجع!$E$2:$E$19,$I404)</f>
        <v>15</v>
      </c>
      <c r="Q404" s="20">
        <f t="shared" si="7"/>
        <v>10.050000000000001</v>
      </c>
      <c r="R404" s="21" t="str">
        <f>IF($N404&gt;المرجع!$K$3,"متقدم",IF($N404&lt;=المرجع!$K$2,"أولي","جزئي"))</f>
        <v>جزئي</v>
      </c>
    </row>
    <row r="405" spans="1:18">
      <c r="A405" s="16" t="s">
        <v>1845</v>
      </c>
      <c r="B405" s="16" t="s">
        <v>196</v>
      </c>
      <c r="C405" s="15" t="str">
        <f>IFERROR(INDEX('قائمة الوحدات'!$B$2:$B$41,MATCH($B405,'قائمة الوحدات'!$A$2:$A$41,0)),"")</f>
        <v>MIL</v>
      </c>
      <c r="D405" s="14" t="str">
        <f>IFERROR(INDEX('قائمة الوحدات'!$C$2:$C$41,MATCH($B405,'قائمة الوحدات'!$A$2:$A$41,0)),"")</f>
        <v>الجهاز العسكري</v>
      </c>
      <c r="E405" s="14" t="str">
        <f>IFERROR(INDEX('قائمة الوحدات'!$D$2:$D$41,MATCH($B405,'قائمة الوحدات'!$A$2:$A$41,0)),"")</f>
        <v>قيادة القوات البحرية</v>
      </c>
      <c r="F405" s="14" t="str">
        <f>IFERROR(INDEX('قائمة الوحدات'!$F$2:$F$41,MATCH($B405,'قائمة الوحدات'!$A$2:$A$41,0)),"")</f>
        <v>قيادة القوات البحرية</v>
      </c>
      <c r="G405" s="16" t="s">
        <v>61</v>
      </c>
      <c r="H405" s="14" t="str">
        <f>IFERROR(INDEX(المرجع!$A$2:$A$19,MATCH($G405,المرجع!$B$2:$B$19,0)),"")</f>
        <v>البناء المؤسسي</v>
      </c>
      <c r="I405" s="16" t="s">
        <v>48</v>
      </c>
      <c r="J405" s="14" t="str">
        <f>IFERROR(INDEX(المرجع!$D$2:$D$19,MATCH($I405,المرجع!$E$2:$E$19,0)),"")</f>
        <v>الأهداف ومؤشرات الأداء</v>
      </c>
      <c r="K405" s="15">
        <f>IFERROR(INDEX(المرجع!$F$2:$F$19,MATCH($I405,المرجع!$E$2:$E$19,0)),"")</f>
        <v>2</v>
      </c>
      <c r="L405" s="15">
        <f>SUMIFS(المرجع!$H$2:$H$19,المرجع!$B$2:$B$19,$G405,المرجع!$E$2:$E$19,$I405)</f>
        <v>2</v>
      </c>
      <c r="M405" s="15">
        <f>COUNTIFS('المرتبطة بسمو الوزير'!$B$2:$B$151,$B405,'المرتبطة بسمو الوزير'!$G$2:$G$151,$G405,'المرتبطة بسمو الوزير'!$I$2:$I$151,$I405,'المرتبطة بسمو الوزير'!$M$2:$M$151,"&lt;&gt;")+COUNTIFS('الشؤون التنفيذية'!$B$2:$B$421,$B405,'الشؤون التنفيذية'!$G$2:$G$421,$G405,'الشؤون التنفيذية'!$I$2:$I$421,$I405,'الشؤون التنفيذية'!$N$2:$N$421,"&lt;&gt;")+COUNTIFS('الجهاز العسكري'!$B$2:$B$631,$B405,'الجهاز العسكري'!$G$2:$G$631,$G405,'الجهاز العسكري'!$I$2:$I$631,$I405,'الجهاز العسكري'!$M$2:$M$631,"&lt;&gt;")</f>
        <v>2</v>
      </c>
      <c r="N405" s="19">
        <f>IF($L405=0,0,ROUND((SUMIFS('المرتبطة بسمو الوزير'!$M$2:$M$151,'المرتبطة بسمو الوزير'!$B$2:$B$151,$B405,'المرتبطة بسمو الوزير'!$G$2:$G$151,$G405,'المرتبطة بسمو الوزير'!$I$2:$I$151,$I405)+SUMIFS('الشؤون التنفيذية'!$N$2:$N$421,'الشؤون التنفيذية'!$B$2:$B$421,$B405,'الشؤون التنفيذية'!$G$2:$G$421,$G405,'الشؤون التنفيذية'!$I$2:$I$421,$I405)+SUMIFS('الجهاز العسكري'!$M$2:$M$631,'الجهاز العسكري'!$B$2:$B$631,$B405,'الجهاز العسكري'!$G$2:$G$631,$G405,'الجهاز العسكري'!$I$2:$I$631,$I405))/$L405,0))</f>
        <v>48</v>
      </c>
      <c r="O405" s="18"/>
      <c r="P405" s="15">
        <f>SUMIFS(المرجع!$G$2:$G$19,المرجع!$B$2:$B$19,$G405,المرجع!$E$2:$E$19,$I405)</f>
        <v>15</v>
      </c>
      <c r="Q405" s="20">
        <f t="shared" si="7"/>
        <v>7.2</v>
      </c>
      <c r="R405" s="21" t="str">
        <f>IF($N405&gt;المرجع!$K$3,"متقدم",IF($N405&lt;=المرجع!$K$2,"أولي","جزئي"))</f>
        <v>جزئي</v>
      </c>
    </row>
    <row r="406" spans="1:18">
      <c r="A406" s="16" t="s">
        <v>1846</v>
      </c>
      <c r="B406" s="16" t="s">
        <v>196</v>
      </c>
      <c r="C406" s="15" t="str">
        <f>IFERROR(INDEX('قائمة الوحدات'!$B$2:$B$41,MATCH($B406,'قائمة الوحدات'!$A$2:$A$41,0)),"")</f>
        <v>MIL</v>
      </c>
      <c r="D406" s="14" t="str">
        <f>IFERROR(INDEX('قائمة الوحدات'!$C$2:$C$41,MATCH($B406,'قائمة الوحدات'!$A$2:$A$41,0)),"")</f>
        <v>الجهاز العسكري</v>
      </c>
      <c r="E406" s="14" t="str">
        <f>IFERROR(INDEX('قائمة الوحدات'!$D$2:$D$41,MATCH($B406,'قائمة الوحدات'!$A$2:$A$41,0)),"")</f>
        <v>قيادة القوات البحرية</v>
      </c>
      <c r="F406" s="14" t="str">
        <f>IFERROR(INDEX('قائمة الوحدات'!$F$2:$F$41,MATCH($B406,'قائمة الوحدات'!$A$2:$A$41,0)),"")</f>
        <v>قيادة القوات البحرية</v>
      </c>
      <c r="G406" s="16" t="s">
        <v>61</v>
      </c>
      <c r="H406" s="14" t="str">
        <f>IFERROR(INDEX(المرجع!$A$2:$A$19,MATCH($G406,المرجع!$B$2:$B$19,0)),"")</f>
        <v>البناء المؤسسي</v>
      </c>
      <c r="I406" s="16" t="s">
        <v>51</v>
      </c>
      <c r="J406" s="14" t="str">
        <f>IFERROR(INDEX(المرجع!$D$2:$D$19,MATCH($I406,المرجع!$E$2:$E$19,0)),"")</f>
        <v>الحوكمة</v>
      </c>
      <c r="K406" s="15">
        <f>IFERROR(INDEX(المرجع!$F$2:$F$19,MATCH($I406,المرجع!$E$2:$E$19,0)),"")</f>
        <v>3</v>
      </c>
      <c r="L406" s="15">
        <f>SUMIFS(المرجع!$H$2:$H$19,المرجع!$B$2:$B$19,$G406,المرجع!$E$2:$E$19,$I406)</f>
        <v>3</v>
      </c>
      <c r="M406" s="15">
        <f>COUNTIFS('المرتبطة بسمو الوزير'!$B$2:$B$151,$B406,'المرتبطة بسمو الوزير'!$G$2:$G$151,$G406,'المرتبطة بسمو الوزير'!$I$2:$I$151,$I406,'المرتبطة بسمو الوزير'!$M$2:$M$151,"&lt;&gt;")+COUNTIFS('الشؤون التنفيذية'!$B$2:$B$421,$B406,'الشؤون التنفيذية'!$G$2:$G$421,$G406,'الشؤون التنفيذية'!$I$2:$I$421,$I406,'الشؤون التنفيذية'!$N$2:$N$421,"&lt;&gt;")+COUNTIFS('الجهاز العسكري'!$B$2:$B$631,$B406,'الجهاز العسكري'!$G$2:$G$631,$G406,'الجهاز العسكري'!$I$2:$I$631,$I406,'الجهاز العسكري'!$M$2:$M$631,"&lt;&gt;")</f>
        <v>3</v>
      </c>
      <c r="N406" s="19">
        <f>IF($L406=0,0,ROUND((SUMIFS('المرتبطة بسمو الوزير'!$M$2:$M$151,'المرتبطة بسمو الوزير'!$B$2:$B$151,$B406,'المرتبطة بسمو الوزير'!$G$2:$G$151,$G406,'المرتبطة بسمو الوزير'!$I$2:$I$151,$I406)+SUMIFS('الشؤون التنفيذية'!$N$2:$N$421,'الشؤون التنفيذية'!$B$2:$B$421,$B406,'الشؤون التنفيذية'!$G$2:$G$421,$G406,'الشؤون التنفيذية'!$I$2:$I$421,$I406)+SUMIFS('الجهاز العسكري'!$M$2:$M$631,'الجهاز العسكري'!$B$2:$B$631,$B406,'الجهاز العسكري'!$G$2:$G$631,$G406,'الجهاز العسكري'!$I$2:$I$631,$I406))/$L406,0))</f>
        <v>45</v>
      </c>
      <c r="O406" s="18"/>
      <c r="P406" s="15">
        <f>SUMIFS(المرجع!$G$2:$G$19,المرجع!$B$2:$B$19,$G406,المرجع!$E$2:$E$19,$I406)</f>
        <v>15</v>
      </c>
      <c r="Q406" s="20">
        <f t="shared" si="7"/>
        <v>6.75</v>
      </c>
      <c r="R406" s="21" t="str">
        <f>IF($N406&gt;المرجع!$K$3,"متقدم",IF($N406&lt;=المرجع!$K$2,"أولي","جزئي"))</f>
        <v>جزئي</v>
      </c>
    </row>
    <row r="407" spans="1:18">
      <c r="A407" s="16" t="s">
        <v>1847</v>
      </c>
      <c r="B407" s="16" t="s">
        <v>196</v>
      </c>
      <c r="C407" s="15" t="str">
        <f>IFERROR(INDEX('قائمة الوحدات'!$B$2:$B$41,MATCH($B407,'قائمة الوحدات'!$A$2:$A$41,0)),"")</f>
        <v>MIL</v>
      </c>
      <c r="D407" s="14" t="str">
        <f>IFERROR(INDEX('قائمة الوحدات'!$C$2:$C$41,MATCH($B407,'قائمة الوحدات'!$A$2:$A$41,0)),"")</f>
        <v>الجهاز العسكري</v>
      </c>
      <c r="E407" s="14" t="str">
        <f>IFERROR(INDEX('قائمة الوحدات'!$D$2:$D$41,MATCH($B407,'قائمة الوحدات'!$A$2:$A$41,0)),"")</f>
        <v>قيادة القوات البحرية</v>
      </c>
      <c r="F407" s="14" t="str">
        <f>IFERROR(INDEX('قائمة الوحدات'!$F$2:$F$41,MATCH($B407,'قائمة الوحدات'!$A$2:$A$41,0)),"")</f>
        <v>قيادة القوات البحرية</v>
      </c>
      <c r="G407" s="16" t="s">
        <v>61</v>
      </c>
      <c r="H407" s="14" t="str">
        <f>IFERROR(INDEX(المرجع!$A$2:$A$19,MATCH($G407,المرجع!$B$2:$B$19,0)),"")</f>
        <v>البناء المؤسسي</v>
      </c>
      <c r="I407" s="16" t="s">
        <v>54</v>
      </c>
      <c r="J407" s="14" t="str">
        <f>IFERROR(INDEX(المرجع!$D$2:$D$19,MATCH($I407,المرجع!$E$2:$E$19,0)),"")</f>
        <v>التنظيم</v>
      </c>
      <c r="K407" s="15">
        <f>IFERROR(INDEX(المرجع!$F$2:$F$19,MATCH($I407,المرجع!$E$2:$E$19,0)),"")</f>
        <v>4</v>
      </c>
      <c r="L407" s="15">
        <f>SUMIFS(المرجع!$H$2:$H$19,المرجع!$B$2:$B$19,$G407,المرجع!$E$2:$E$19,$I407)</f>
        <v>3</v>
      </c>
      <c r="M407" s="15">
        <f>COUNTIFS('المرتبطة بسمو الوزير'!$B$2:$B$151,$B407,'المرتبطة بسمو الوزير'!$G$2:$G$151,$G407,'المرتبطة بسمو الوزير'!$I$2:$I$151,$I407,'المرتبطة بسمو الوزير'!$M$2:$M$151,"&lt;&gt;")+COUNTIFS('الشؤون التنفيذية'!$B$2:$B$421,$B407,'الشؤون التنفيذية'!$G$2:$G$421,$G407,'الشؤون التنفيذية'!$I$2:$I$421,$I407,'الشؤون التنفيذية'!$N$2:$N$421,"&lt;&gt;")+COUNTIFS('الجهاز العسكري'!$B$2:$B$631,$B407,'الجهاز العسكري'!$G$2:$G$631,$G407,'الجهاز العسكري'!$I$2:$I$631,$I407,'الجهاز العسكري'!$M$2:$M$631,"&lt;&gt;")</f>
        <v>3</v>
      </c>
      <c r="N407" s="19">
        <f>IF($L407=0,0,ROUND((SUMIFS('المرتبطة بسمو الوزير'!$M$2:$M$151,'المرتبطة بسمو الوزير'!$B$2:$B$151,$B407,'المرتبطة بسمو الوزير'!$G$2:$G$151,$G407,'المرتبطة بسمو الوزير'!$I$2:$I$151,$I407)+SUMIFS('الشؤون التنفيذية'!$N$2:$N$421,'الشؤون التنفيذية'!$B$2:$B$421,$B407,'الشؤون التنفيذية'!$G$2:$G$421,$G407,'الشؤون التنفيذية'!$I$2:$I$421,$I407)+SUMIFS('الجهاز العسكري'!$M$2:$M$631,'الجهاز العسكري'!$B$2:$B$631,$B407,'الجهاز العسكري'!$G$2:$G$631,$G407,'الجهاز العسكري'!$I$2:$I$631,$I407))/$L407,0))</f>
        <v>63</v>
      </c>
      <c r="O407" s="18"/>
      <c r="P407" s="15">
        <f>SUMIFS(المرجع!$G$2:$G$19,المرجع!$B$2:$B$19,$G407,المرجع!$E$2:$E$19,$I407)</f>
        <v>20</v>
      </c>
      <c r="Q407" s="20">
        <f t="shared" si="7"/>
        <v>12.6</v>
      </c>
      <c r="R407" s="21" t="str">
        <f>IF($N407&gt;المرجع!$K$3,"متقدم",IF($N407&lt;=المرجع!$K$2,"أولي","جزئي"))</f>
        <v>جزئي</v>
      </c>
    </row>
    <row r="408" spans="1:18">
      <c r="A408" s="16" t="s">
        <v>1848</v>
      </c>
      <c r="B408" s="16" t="s">
        <v>196</v>
      </c>
      <c r="C408" s="15" t="str">
        <f>IFERROR(INDEX('قائمة الوحدات'!$B$2:$B$41,MATCH($B408,'قائمة الوحدات'!$A$2:$A$41,0)),"")</f>
        <v>MIL</v>
      </c>
      <c r="D408" s="14" t="str">
        <f>IFERROR(INDEX('قائمة الوحدات'!$C$2:$C$41,MATCH($B408,'قائمة الوحدات'!$A$2:$A$41,0)),"")</f>
        <v>الجهاز العسكري</v>
      </c>
      <c r="E408" s="14" t="str">
        <f>IFERROR(INDEX('قائمة الوحدات'!$D$2:$D$41,MATCH($B408,'قائمة الوحدات'!$A$2:$A$41,0)),"")</f>
        <v>قيادة القوات البحرية</v>
      </c>
      <c r="F408" s="14" t="str">
        <f>IFERROR(INDEX('قائمة الوحدات'!$F$2:$F$41,MATCH($B408,'قائمة الوحدات'!$A$2:$A$41,0)),"")</f>
        <v>قيادة القوات البحرية</v>
      </c>
      <c r="G408" s="16" t="s">
        <v>61</v>
      </c>
      <c r="H408" s="14" t="str">
        <f>IFERROR(INDEX(المرجع!$A$2:$A$19,MATCH($G408,المرجع!$B$2:$B$19,0)),"")</f>
        <v>البناء المؤسسي</v>
      </c>
      <c r="I408" s="16" t="s">
        <v>56</v>
      </c>
      <c r="J408" s="14" t="str">
        <f>IFERROR(INDEX(المرجع!$D$2:$D$19,MATCH($I408,المرجع!$E$2:$E$19,0)),"")</f>
        <v>الموارد</v>
      </c>
      <c r="K408" s="15">
        <f>IFERROR(INDEX(المرجع!$F$2:$F$19,MATCH($I408,المرجع!$E$2:$E$19,0)),"")</f>
        <v>5</v>
      </c>
      <c r="L408" s="15">
        <f>SUMIFS(المرجع!$H$2:$H$19,المرجع!$B$2:$B$19,$G408,المرجع!$E$2:$E$19,$I408)</f>
        <v>4</v>
      </c>
      <c r="M408" s="15">
        <f>COUNTIFS('المرتبطة بسمو الوزير'!$B$2:$B$151,$B408,'المرتبطة بسمو الوزير'!$G$2:$G$151,$G408,'المرتبطة بسمو الوزير'!$I$2:$I$151,$I408,'المرتبطة بسمو الوزير'!$M$2:$M$151,"&lt;&gt;")+COUNTIFS('الشؤون التنفيذية'!$B$2:$B$421,$B408,'الشؤون التنفيذية'!$G$2:$G$421,$G408,'الشؤون التنفيذية'!$I$2:$I$421,$I408,'الشؤون التنفيذية'!$N$2:$N$421,"&lt;&gt;")+COUNTIFS('الجهاز العسكري'!$B$2:$B$631,$B408,'الجهاز العسكري'!$G$2:$G$631,$G408,'الجهاز العسكري'!$I$2:$I$631,$I408,'الجهاز العسكري'!$M$2:$M$631,"&lt;&gt;")</f>
        <v>4</v>
      </c>
      <c r="N408" s="19">
        <f>IF($L408=0,0,ROUND((SUMIFS('المرتبطة بسمو الوزير'!$M$2:$M$151,'المرتبطة بسمو الوزير'!$B$2:$B$151,$B408,'المرتبطة بسمو الوزير'!$G$2:$G$151,$G408,'المرتبطة بسمو الوزير'!$I$2:$I$151,$I408)+SUMIFS('الشؤون التنفيذية'!$N$2:$N$421,'الشؤون التنفيذية'!$B$2:$B$421,$B408,'الشؤون التنفيذية'!$G$2:$G$421,$G408,'الشؤون التنفيذية'!$I$2:$I$421,$I408)+SUMIFS('الجهاز العسكري'!$M$2:$M$631,'الجهاز العسكري'!$B$2:$B$631,$B408,'الجهاز العسكري'!$G$2:$G$631,$G408,'الجهاز العسكري'!$I$2:$I$631,$I408))/$L408,0))</f>
        <v>63</v>
      </c>
      <c r="O408" s="18"/>
      <c r="P408" s="15">
        <f>SUMIFS(المرجع!$G$2:$G$19,المرجع!$B$2:$B$19,$G408,المرجع!$E$2:$E$19,$I408)</f>
        <v>25</v>
      </c>
      <c r="Q408" s="20">
        <f t="shared" si="7"/>
        <v>15.75</v>
      </c>
      <c r="R408" s="21" t="str">
        <f>IF($N408&gt;المرجع!$K$3,"متقدم",IF($N408&lt;=المرجع!$K$2,"أولي","جزئي"))</f>
        <v>جزئي</v>
      </c>
    </row>
    <row r="409" spans="1:18">
      <c r="A409" s="16" t="s">
        <v>1849</v>
      </c>
      <c r="B409" s="16" t="s">
        <v>196</v>
      </c>
      <c r="C409" s="15" t="str">
        <f>IFERROR(INDEX('قائمة الوحدات'!$B$2:$B$41,MATCH($B409,'قائمة الوحدات'!$A$2:$A$41,0)),"")</f>
        <v>MIL</v>
      </c>
      <c r="D409" s="14" t="str">
        <f>IFERROR(INDEX('قائمة الوحدات'!$C$2:$C$41,MATCH($B409,'قائمة الوحدات'!$A$2:$A$41,0)),"")</f>
        <v>الجهاز العسكري</v>
      </c>
      <c r="E409" s="14" t="str">
        <f>IFERROR(INDEX('قائمة الوحدات'!$D$2:$D$41,MATCH($B409,'قائمة الوحدات'!$A$2:$A$41,0)),"")</f>
        <v>قيادة القوات البحرية</v>
      </c>
      <c r="F409" s="14" t="str">
        <f>IFERROR(INDEX('قائمة الوحدات'!$F$2:$F$41,MATCH($B409,'قائمة الوحدات'!$A$2:$A$41,0)),"")</f>
        <v>قيادة القوات البحرية</v>
      </c>
      <c r="G409" s="16" t="s">
        <v>61</v>
      </c>
      <c r="H409" s="14" t="str">
        <f>IFERROR(INDEX(المرجع!$A$2:$A$19,MATCH($G409,المرجع!$B$2:$B$19,0)),"")</f>
        <v>البناء المؤسسي</v>
      </c>
      <c r="I409" s="16" t="s">
        <v>59</v>
      </c>
      <c r="J409" s="14" t="str">
        <f>IFERROR(INDEX(المرجع!$D$2:$D$19,MATCH($I409,المرجع!$E$2:$E$19,0)),"")</f>
        <v>الإجراءات</v>
      </c>
      <c r="K409" s="15">
        <f>IFERROR(INDEX(المرجع!$F$2:$F$19,MATCH($I409,المرجع!$E$2:$E$19,0)),"")</f>
        <v>6</v>
      </c>
      <c r="L409" s="15">
        <f>SUMIFS(المرجع!$H$2:$H$19,المرجع!$B$2:$B$19,$G409,المرجع!$E$2:$E$19,$I409)</f>
        <v>1</v>
      </c>
      <c r="M409" s="15">
        <f>COUNTIFS('المرتبطة بسمو الوزير'!$B$2:$B$151,$B409,'المرتبطة بسمو الوزير'!$G$2:$G$151,$G409,'المرتبطة بسمو الوزير'!$I$2:$I$151,$I409,'المرتبطة بسمو الوزير'!$M$2:$M$151,"&lt;&gt;")+COUNTIFS('الشؤون التنفيذية'!$B$2:$B$421,$B409,'الشؤون التنفيذية'!$G$2:$G$421,$G409,'الشؤون التنفيذية'!$I$2:$I$421,$I409,'الشؤون التنفيذية'!$N$2:$N$421,"&lt;&gt;")+COUNTIFS('الجهاز العسكري'!$B$2:$B$631,$B409,'الجهاز العسكري'!$G$2:$G$631,$G409,'الجهاز العسكري'!$I$2:$I$631,$I409,'الجهاز العسكري'!$M$2:$M$631,"&lt;&gt;")</f>
        <v>1</v>
      </c>
      <c r="N409" s="19">
        <f>IF($L409=0,0,ROUND((SUMIFS('المرتبطة بسمو الوزير'!$M$2:$M$151,'المرتبطة بسمو الوزير'!$B$2:$B$151,$B409,'المرتبطة بسمو الوزير'!$G$2:$G$151,$G409,'المرتبطة بسمو الوزير'!$I$2:$I$151,$I409)+SUMIFS('الشؤون التنفيذية'!$N$2:$N$421,'الشؤون التنفيذية'!$B$2:$B$421,$B409,'الشؤون التنفيذية'!$G$2:$G$421,$G409,'الشؤون التنفيذية'!$I$2:$I$421,$I409)+SUMIFS('الجهاز العسكري'!$M$2:$M$631,'الجهاز العسكري'!$B$2:$B$631,$B409,'الجهاز العسكري'!$G$2:$G$631,$G409,'الجهاز العسكري'!$I$2:$I$631,$I409))/$L409,0))</f>
        <v>70</v>
      </c>
      <c r="O409" s="18"/>
      <c r="P409" s="15">
        <f>SUMIFS(المرجع!$G$2:$G$19,المرجع!$B$2:$B$19,$G409,المرجع!$E$2:$E$19,$I409)</f>
        <v>5</v>
      </c>
      <c r="Q409" s="20">
        <f t="shared" si="7"/>
        <v>3.5</v>
      </c>
      <c r="R409" s="21" t="str">
        <f>IF($N409&gt;المرجع!$K$3,"متقدم",IF($N409&lt;=المرجع!$K$2,"أولي","جزئي"))</f>
        <v>جزئي</v>
      </c>
    </row>
    <row r="410" spans="1:18">
      <c r="A410" s="16" t="s">
        <v>1850</v>
      </c>
      <c r="B410" s="16" t="s">
        <v>196</v>
      </c>
      <c r="C410" s="15" t="str">
        <f>IFERROR(INDEX('قائمة الوحدات'!$B$2:$B$41,MATCH($B410,'قائمة الوحدات'!$A$2:$A$41,0)),"")</f>
        <v>MIL</v>
      </c>
      <c r="D410" s="14" t="str">
        <f>IFERROR(INDEX('قائمة الوحدات'!$C$2:$C$41,MATCH($B410,'قائمة الوحدات'!$A$2:$A$41,0)),"")</f>
        <v>الجهاز العسكري</v>
      </c>
      <c r="E410" s="14" t="str">
        <f>IFERROR(INDEX('قائمة الوحدات'!$D$2:$D$41,MATCH($B410,'قائمة الوحدات'!$A$2:$A$41,0)),"")</f>
        <v>قيادة القوات البحرية</v>
      </c>
      <c r="F410" s="14" t="str">
        <f>IFERROR(INDEX('قائمة الوحدات'!$F$2:$F$41,MATCH($B410,'قائمة الوحدات'!$A$2:$A$41,0)),"")</f>
        <v>قيادة القوات البحرية</v>
      </c>
      <c r="G410" s="16" t="s">
        <v>61</v>
      </c>
      <c r="H410" s="14" t="str">
        <f>IFERROR(INDEX(المرجع!$A$2:$A$19,MATCH($G410,المرجع!$B$2:$B$19,0)),"")</f>
        <v>البناء المؤسسي</v>
      </c>
      <c r="I410" s="16" t="s">
        <v>63</v>
      </c>
      <c r="J410" s="14" t="str">
        <f>IFERROR(INDEX(المرجع!$D$2:$D$19,MATCH($I410,المرجع!$E$2:$E$19,0)),"")</f>
        <v>إنتاج المخرج الأول</v>
      </c>
      <c r="K410" s="15">
        <f>IFERROR(INDEX(المرجع!$F$2:$F$19,MATCH($I410,المرجع!$E$2:$E$19,0)),"")</f>
        <v>7</v>
      </c>
      <c r="L410" s="15">
        <f>SUMIFS(المرجع!$H$2:$H$19,المرجع!$B$2:$B$19,$G410,المرجع!$E$2:$E$19,$I410)</f>
        <v>1</v>
      </c>
      <c r="M410" s="15">
        <f>COUNTIFS('المرتبطة بسمو الوزير'!$B$2:$B$151,$B410,'المرتبطة بسمو الوزير'!$G$2:$G$151,$G410,'المرتبطة بسمو الوزير'!$I$2:$I$151,$I410,'المرتبطة بسمو الوزير'!$M$2:$M$151,"&lt;&gt;")+COUNTIFS('الشؤون التنفيذية'!$B$2:$B$421,$B410,'الشؤون التنفيذية'!$G$2:$G$421,$G410,'الشؤون التنفيذية'!$I$2:$I$421,$I410,'الشؤون التنفيذية'!$N$2:$N$421,"&lt;&gt;")+COUNTIFS('الجهاز العسكري'!$B$2:$B$631,$B410,'الجهاز العسكري'!$G$2:$G$631,$G410,'الجهاز العسكري'!$I$2:$I$631,$I410,'الجهاز العسكري'!$M$2:$M$631,"&lt;&gt;")</f>
        <v>1</v>
      </c>
      <c r="N410" s="19">
        <f>IF($L410=0,0,ROUND((SUMIFS('المرتبطة بسمو الوزير'!$M$2:$M$151,'المرتبطة بسمو الوزير'!$B$2:$B$151,$B410,'المرتبطة بسمو الوزير'!$G$2:$G$151,$G410,'المرتبطة بسمو الوزير'!$I$2:$I$151,$I410)+SUMIFS('الشؤون التنفيذية'!$N$2:$N$421,'الشؤون التنفيذية'!$B$2:$B$421,$B410,'الشؤون التنفيذية'!$G$2:$G$421,$G410,'الشؤون التنفيذية'!$I$2:$I$421,$I410)+SUMIFS('الجهاز العسكري'!$M$2:$M$631,'الجهاز العسكري'!$B$2:$B$631,$B410,'الجهاز العسكري'!$G$2:$G$631,$G410,'الجهاز العسكري'!$I$2:$I$631,$I410))/$L410,0))</f>
        <v>88</v>
      </c>
      <c r="O410" s="18"/>
      <c r="P410" s="15">
        <f>SUMIFS(المرجع!$G$2:$G$19,المرجع!$B$2:$B$19,$G410,المرجع!$E$2:$E$19,$I410)</f>
        <v>5</v>
      </c>
      <c r="Q410" s="20">
        <f t="shared" si="7"/>
        <v>4.4000000000000004</v>
      </c>
      <c r="R410" s="21" t="str">
        <f>IF($N410&gt;المرجع!$K$3,"متقدم",IF($N410&lt;=المرجع!$K$2,"أولي","جزئي"))</f>
        <v>متقدم</v>
      </c>
    </row>
    <row r="411" spans="1:18">
      <c r="A411" s="16" t="s">
        <v>1851</v>
      </c>
      <c r="B411" s="16" t="s">
        <v>196</v>
      </c>
      <c r="C411" s="15" t="str">
        <f>IFERROR(INDEX('قائمة الوحدات'!$B$2:$B$41,MATCH($B411,'قائمة الوحدات'!$A$2:$A$41,0)),"")</f>
        <v>MIL</v>
      </c>
      <c r="D411" s="14" t="str">
        <f>IFERROR(INDEX('قائمة الوحدات'!$C$2:$C$41,MATCH($B411,'قائمة الوحدات'!$A$2:$A$41,0)),"")</f>
        <v>الجهاز العسكري</v>
      </c>
      <c r="E411" s="14" t="str">
        <f>IFERROR(INDEX('قائمة الوحدات'!$D$2:$D$41,MATCH($B411,'قائمة الوحدات'!$A$2:$A$41,0)),"")</f>
        <v>قيادة القوات البحرية</v>
      </c>
      <c r="F411" s="14" t="str">
        <f>IFERROR(INDEX('قائمة الوحدات'!$F$2:$F$41,MATCH($B411,'قائمة الوحدات'!$A$2:$A$41,0)),"")</f>
        <v>قيادة القوات البحرية</v>
      </c>
      <c r="G411" s="16" t="s">
        <v>65</v>
      </c>
      <c r="H411" s="14" t="str">
        <f>IFERROR(INDEX(المرجع!$A$2:$A$19,MATCH($G411,المرجع!$B$2:$B$19,0)),"")</f>
        <v>التشغيل</v>
      </c>
      <c r="I411" s="16" t="s">
        <v>48</v>
      </c>
      <c r="J411" s="14" t="str">
        <f>IFERROR(INDEX(المرجع!$D$2:$D$19,MATCH($I411,المرجع!$E$2:$E$19,0)),"")</f>
        <v>الأهداف ومؤشرات الأداء</v>
      </c>
      <c r="K411" s="15">
        <f>IFERROR(INDEX(المرجع!$F$2:$F$19,MATCH($I411,المرجع!$E$2:$E$19,0)),"")</f>
        <v>2</v>
      </c>
      <c r="L411" s="15">
        <f>SUMIFS(المرجع!$H$2:$H$19,المرجع!$B$2:$B$19,$G411,المرجع!$E$2:$E$19,$I411)</f>
        <v>2</v>
      </c>
      <c r="M411" s="15">
        <f>COUNTIFS('المرتبطة بسمو الوزير'!$B$2:$B$151,$B411,'المرتبطة بسمو الوزير'!$G$2:$G$151,$G411,'المرتبطة بسمو الوزير'!$I$2:$I$151,$I411,'المرتبطة بسمو الوزير'!$M$2:$M$151,"&lt;&gt;")+COUNTIFS('الشؤون التنفيذية'!$B$2:$B$421,$B411,'الشؤون التنفيذية'!$G$2:$G$421,$G411,'الشؤون التنفيذية'!$I$2:$I$421,$I411,'الشؤون التنفيذية'!$N$2:$N$421,"&lt;&gt;")+COUNTIFS('الجهاز العسكري'!$B$2:$B$631,$B411,'الجهاز العسكري'!$G$2:$G$631,$G411,'الجهاز العسكري'!$I$2:$I$631,$I411,'الجهاز العسكري'!$M$2:$M$631,"&lt;&gt;")</f>
        <v>2</v>
      </c>
      <c r="N411" s="19">
        <f>IF($L411=0,0,ROUND((SUMIFS('المرتبطة بسمو الوزير'!$M$2:$M$151,'المرتبطة بسمو الوزير'!$B$2:$B$151,$B411,'المرتبطة بسمو الوزير'!$G$2:$G$151,$G411,'المرتبطة بسمو الوزير'!$I$2:$I$151,$I411)+SUMIFS('الشؤون التنفيذية'!$N$2:$N$421,'الشؤون التنفيذية'!$B$2:$B$421,$B411,'الشؤون التنفيذية'!$G$2:$G$421,$G411,'الشؤون التنفيذية'!$I$2:$I$421,$I411)+SUMIFS('الجهاز العسكري'!$M$2:$M$631,'الجهاز العسكري'!$B$2:$B$631,$B411,'الجهاز العسكري'!$G$2:$G$631,$G411,'الجهاز العسكري'!$I$2:$I$631,$I411))/$L411,0))</f>
        <v>43</v>
      </c>
      <c r="O411" s="18"/>
      <c r="P411" s="15">
        <f>SUMIFS(المرجع!$G$2:$G$19,المرجع!$B$2:$B$19,$G411,المرجع!$E$2:$E$19,$I411)</f>
        <v>25</v>
      </c>
      <c r="Q411" s="20">
        <f t="shared" si="7"/>
        <v>10.75</v>
      </c>
      <c r="R411" s="21" t="str">
        <f>IF($N411&gt;المرجع!$K$3,"متقدم",IF($N411&lt;=المرجع!$K$2,"أولي","جزئي"))</f>
        <v>جزئي</v>
      </c>
    </row>
    <row r="412" spans="1:18">
      <c r="A412" s="16" t="s">
        <v>1852</v>
      </c>
      <c r="B412" s="16" t="s">
        <v>196</v>
      </c>
      <c r="C412" s="15" t="str">
        <f>IFERROR(INDEX('قائمة الوحدات'!$B$2:$B$41,MATCH($B412,'قائمة الوحدات'!$A$2:$A$41,0)),"")</f>
        <v>MIL</v>
      </c>
      <c r="D412" s="14" t="str">
        <f>IFERROR(INDEX('قائمة الوحدات'!$C$2:$C$41,MATCH($B412,'قائمة الوحدات'!$A$2:$A$41,0)),"")</f>
        <v>الجهاز العسكري</v>
      </c>
      <c r="E412" s="14" t="str">
        <f>IFERROR(INDEX('قائمة الوحدات'!$D$2:$D$41,MATCH($B412,'قائمة الوحدات'!$A$2:$A$41,0)),"")</f>
        <v>قيادة القوات البحرية</v>
      </c>
      <c r="F412" s="14" t="str">
        <f>IFERROR(INDEX('قائمة الوحدات'!$F$2:$F$41,MATCH($B412,'قائمة الوحدات'!$A$2:$A$41,0)),"")</f>
        <v>قيادة القوات البحرية</v>
      </c>
      <c r="G412" s="16" t="s">
        <v>65</v>
      </c>
      <c r="H412" s="14" t="str">
        <f>IFERROR(INDEX(المرجع!$A$2:$A$19,MATCH($G412,المرجع!$B$2:$B$19,0)),"")</f>
        <v>التشغيل</v>
      </c>
      <c r="I412" s="16" t="s">
        <v>51</v>
      </c>
      <c r="J412" s="14" t="str">
        <f>IFERROR(INDEX(المرجع!$D$2:$D$19,MATCH($I412,المرجع!$E$2:$E$19,0)),"")</f>
        <v>الحوكمة</v>
      </c>
      <c r="K412" s="15">
        <f>IFERROR(INDEX(المرجع!$F$2:$F$19,MATCH($I412,المرجع!$E$2:$E$19,0)),"")</f>
        <v>3</v>
      </c>
      <c r="L412" s="15">
        <f>SUMIFS(المرجع!$H$2:$H$19,المرجع!$B$2:$B$19,$G412,المرجع!$E$2:$E$19,$I412)</f>
        <v>3</v>
      </c>
      <c r="M412" s="15">
        <f>COUNTIFS('المرتبطة بسمو الوزير'!$B$2:$B$151,$B412,'المرتبطة بسمو الوزير'!$G$2:$G$151,$G412,'المرتبطة بسمو الوزير'!$I$2:$I$151,$I412,'المرتبطة بسمو الوزير'!$M$2:$M$151,"&lt;&gt;")+COUNTIFS('الشؤون التنفيذية'!$B$2:$B$421,$B412,'الشؤون التنفيذية'!$G$2:$G$421,$G412,'الشؤون التنفيذية'!$I$2:$I$421,$I412,'الشؤون التنفيذية'!$N$2:$N$421,"&lt;&gt;")+COUNTIFS('الجهاز العسكري'!$B$2:$B$631,$B412,'الجهاز العسكري'!$G$2:$G$631,$G412,'الجهاز العسكري'!$I$2:$I$631,$I412,'الجهاز العسكري'!$M$2:$M$631,"&lt;&gt;")</f>
        <v>3</v>
      </c>
      <c r="N412" s="19">
        <f>IF($L412=0,0,ROUND((SUMIFS('المرتبطة بسمو الوزير'!$M$2:$M$151,'المرتبطة بسمو الوزير'!$B$2:$B$151,$B412,'المرتبطة بسمو الوزير'!$G$2:$G$151,$G412,'المرتبطة بسمو الوزير'!$I$2:$I$151,$I412)+SUMIFS('الشؤون التنفيذية'!$N$2:$N$421,'الشؤون التنفيذية'!$B$2:$B$421,$B412,'الشؤون التنفيذية'!$G$2:$G$421,$G412,'الشؤون التنفيذية'!$I$2:$I$421,$I412)+SUMIFS('الجهاز العسكري'!$M$2:$M$631,'الجهاز العسكري'!$B$2:$B$631,$B412,'الجهاز العسكري'!$G$2:$G$631,$G412,'الجهاز العسكري'!$I$2:$I$631,$I412))/$L412,0))</f>
        <v>23</v>
      </c>
      <c r="O412" s="18"/>
      <c r="P412" s="15">
        <f>SUMIFS(المرجع!$G$2:$G$19,المرجع!$B$2:$B$19,$G412,المرجع!$E$2:$E$19,$I412)</f>
        <v>15</v>
      </c>
      <c r="Q412" s="20">
        <f t="shared" si="7"/>
        <v>3.45</v>
      </c>
      <c r="R412" s="21" t="str">
        <f>IF($N412&gt;المرجع!$K$3,"متقدم",IF($N412&lt;=المرجع!$K$2,"أولي","جزئي"))</f>
        <v>أولي</v>
      </c>
    </row>
    <row r="413" spans="1:18">
      <c r="A413" s="16" t="s">
        <v>1853</v>
      </c>
      <c r="B413" s="16" t="s">
        <v>196</v>
      </c>
      <c r="C413" s="15" t="str">
        <f>IFERROR(INDEX('قائمة الوحدات'!$B$2:$B$41,MATCH($B413,'قائمة الوحدات'!$A$2:$A$41,0)),"")</f>
        <v>MIL</v>
      </c>
      <c r="D413" s="14" t="str">
        <f>IFERROR(INDEX('قائمة الوحدات'!$C$2:$C$41,MATCH($B413,'قائمة الوحدات'!$A$2:$A$41,0)),"")</f>
        <v>الجهاز العسكري</v>
      </c>
      <c r="E413" s="14" t="str">
        <f>IFERROR(INDEX('قائمة الوحدات'!$D$2:$D$41,MATCH($B413,'قائمة الوحدات'!$A$2:$A$41,0)),"")</f>
        <v>قيادة القوات البحرية</v>
      </c>
      <c r="F413" s="14" t="str">
        <f>IFERROR(INDEX('قائمة الوحدات'!$F$2:$F$41,MATCH($B413,'قائمة الوحدات'!$A$2:$A$41,0)),"")</f>
        <v>قيادة القوات البحرية</v>
      </c>
      <c r="G413" s="16" t="s">
        <v>65</v>
      </c>
      <c r="H413" s="14" t="str">
        <f>IFERROR(INDEX(المرجع!$A$2:$A$19,MATCH($G413,المرجع!$B$2:$B$19,0)),"")</f>
        <v>التشغيل</v>
      </c>
      <c r="I413" s="16" t="s">
        <v>56</v>
      </c>
      <c r="J413" s="14" t="str">
        <f>IFERROR(INDEX(المرجع!$D$2:$D$19,MATCH($I413,المرجع!$E$2:$E$19,0)),"")</f>
        <v>الموارد</v>
      </c>
      <c r="K413" s="15">
        <f>IFERROR(INDEX(المرجع!$F$2:$F$19,MATCH($I413,المرجع!$E$2:$E$19,0)),"")</f>
        <v>5</v>
      </c>
      <c r="L413" s="15">
        <f>SUMIFS(المرجع!$H$2:$H$19,المرجع!$B$2:$B$19,$G413,المرجع!$E$2:$E$19,$I413)</f>
        <v>1</v>
      </c>
      <c r="M413" s="15">
        <f>COUNTIFS('المرتبطة بسمو الوزير'!$B$2:$B$151,$B413,'المرتبطة بسمو الوزير'!$G$2:$G$151,$G413,'المرتبطة بسمو الوزير'!$I$2:$I$151,$I413,'المرتبطة بسمو الوزير'!$M$2:$M$151,"&lt;&gt;")+COUNTIFS('الشؤون التنفيذية'!$B$2:$B$421,$B413,'الشؤون التنفيذية'!$G$2:$G$421,$G413,'الشؤون التنفيذية'!$I$2:$I$421,$I413,'الشؤون التنفيذية'!$N$2:$N$421,"&lt;&gt;")+COUNTIFS('الجهاز العسكري'!$B$2:$B$631,$B413,'الجهاز العسكري'!$G$2:$G$631,$G413,'الجهاز العسكري'!$I$2:$I$631,$I413,'الجهاز العسكري'!$M$2:$M$631,"&lt;&gt;")</f>
        <v>1</v>
      </c>
      <c r="N413" s="19">
        <f>IF($L413=0,0,ROUND((SUMIFS('المرتبطة بسمو الوزير'!$M$2:$M$151,'المرتبطة بسمو الوزير'!$B$2:$B$151,$B413,'المرتبطة بسمو الوزير'!$G$2:$G$151,$G413,'المرتبطة بسمو الوزير'!$I$2:$I$151,$I413)+SUMIFS('الشؤون التنفيذية'!$N$2:$N$421,'الشؤون التنفيذية'!$B$2:$B$421,$B413,'الشؤون التنفيذية'!$G$2:$G$421,$G413,'الشؤون التنفيذية'!$I$2:$I$421,$I413)+SUMIFS('الجهاز العسكري'!$M$2:$M$631,'الجهاز العسكري'!$B$2:$B$631,$B413,'الجهاز العسكري'!$G$2:$G$631,$G413,'الجهاز العسكري'!$I$2:$I$631,$I413))/$L413,0))</f>
        <v>55</v>
      </c>
      <c r="O413" s="18"/>
      <c r="P413" s="15">
        <f>SUMIFS(المرجع!$G$2:$G$19,المرجع!$B$2:$B$19,$G413,المرجع!$E$2:$E$19,$I413)</f>
        <v>15</v>
      </c>
      <c r="Q413" s="20">
        <f t="shared" si="7"/>
        <v>8.25</v>
      </c>
      <c r="R413" s="21" t="str">
        <f>IF($N413&gt;المرجع!$K$3,"متقدم",IF($N413&lt;=المرجع!$K$2,"أولي","جزئي"))</f>
        <v>جزئي</v>
      </c>
    </row>
    <row r="414" spans="1:18">
      <c r="A414" s="16" t="s">
        <v>1854</v>
      </c>
      <c r="B414" s="16" t="s">
        <v>196</v>
      </c>
      <c r="C414" s="15" t="str">
        <f>IFERROR(INDEX('قائمة الوحدات'!$B$2:$B$41,MATCH($B414,'قائمة الوحدات'!$A$2:$A$41,0)),"")</f>
        <v>MIL</v>
      </c>
      <c r="D414" s="14" t="str">
        <f>IFERROR(INDEX('قائمة الوحدات'!$C$2:$C$41,MATCH($B414,'قائمة الوحدات'!$A$2:$A$41,0)),"")</f>
        <v>الجهاز العسكري</v>
      </c>
      <c r="E414" s="14" t="str">
        <f>IFERROR(INDEX('قائمة الوحدات'!$D$2:$D$41,MATCH($B414,'قائمة الوحدات'!$A$2:$A$41,0)),"")</f>
        <v>قيادة القوات البحرية</v>
      </c>
      <c r="F414" s="14" t="str">
        <f>IFERROR(INDEX('قائمة الوحدات'!$F$2:$F$41,MATCH($B414,'قائمة الوحدات'!$A$2:$A$41,0)),"")</f>
        <v>قيادة القوات البحرية</v>
      </c>
      <c r="G414" s="16" t="s">
        <v>65</v>
      </c>
      <c r="H414" s="14" t="str">
        <f>IFERROR(INDEX(المرجع!$A$2:$A$19,MATCH($G414,المرجع!$B$2:$B$19,0)),"")</f>
        <v>التشغيل</v>
      </c>
      <c r="I414" s="16" t="s">
        <v>59</v>
      </c>
      <c r="J414" s="14" t="str">
        <f>IFERROR(INDEX(المرجع!$D$2:$D$19,MATCH($I414,المرجع!$E$2:$E$19,0)),"")</f>
        <v>الإجراءات</v>
      </c>
      <c r="K414" s="15">
        <f>IFERROR(INDEX(المرجع!$F$2:$F$19,MATCH($I414,المرجع!$E$2:$E$19,0)),"")</f>
        <v>6</v>
      </c>
      <c r="L414" s="15">
        <f>SUMIFS(المرجع!$H$2:$H$19,المرجع!$B$2:$B$19,$G414,المرجع!$E$2:$E$19,$I414)</f>
        <v>1</v>
      </c>
      <c r="M414" s="15">
        <f>COUNTIFS('المرتبطة بسمو الوزير'!$B$2:$B$151,$B414,'المرتبطة بسمو الوزير'!$G$2:$G$151,$G414,'المرتبطة بسمو الوزير'!$I$2:$I$151,$I414,'المرتبطة بسمو الوزير'!$M$2:$M$151,"&lt;&gt;")+COUNTIFS('الشؤون التنفيذية'!$B$2:$B$421,$B414,'الشؤون التنفيذية'!$G$2:$G$421,$G414,'الشؤون التنفيذية'!$I$2:$I$421,$I414,'الشؤون التنفيذية'!$N$2:$N$421,"&lt;&gt;")+COUNTIFS('الجهاز العسكري'!$B$2:$B$631,$B414,'الجهاز العسكري'!$G$2:$G$631,$G414,'الجهاز العسكري'!$I$2:$I$631,$I414,'الجهاز العسكري'!$M$2:$M$631,"&lt;&gt;")</f>
        <v>1</v>
      </c>
      <c r="N414" s="19">
        <f>IF($L414=0,0,ROUND((SUMIFS('المرتبطة بسمو الوزير'!$M$2:$M$151,'المرتبطة بسمو الوزير'!$B$2:$B$151,$B414,'المرتبطة بسمو الوزير'!$G$2:$G$151,$G414,'المرتبطة بسمو الوزير'!$I$2:$I$151,$I414)+SUMIFS('الشؤون التنفيذية'!$N$2:$N$421,'الشؤون التنفيذية'!$B$2:$B$421,$B414,'الشؤون التنفيذية'!$G$2:$G$421,$G414,'الشؤون التنفيذية'!$I$2:$I$421,$I414)+SUMIFS('الجهاز العسكري'!$M$2:$M$631,'الجهاز العسكري'!$B$2:$B$631,$B414,'الجهاز العسكري'!$G$2:$G$631,$G414,'الجهاز العسكري'!$I$2:$I$631,$I414))/$L414,0))</f>
        <v>24</v>
      </c>
      <c r="O414" s="18"/>
      <c r="P414" s="15">
        <f>SUMIFS(المرجع!$G$2:$G$19,المرجع!$B$2:$B$19,$G414,المرجع!$E$2:$E$19,$I414)</f>
        <v>15</v>
      </c>
      <c r="Q414" s="20">
        <f t="shared" si="7"/>
        <v>3.6</v>
      </c>
      <c r="R414" s="21" t="str">
        <f>IF($N414&gt;المرجع!$K$3,"متقدم",IF($N414&lt;=المرجع!$K$2,"أولي","جزئي"))</f>
        <v>أولي</v>
      </c>
    </row>
    <row r="415" spans="1:18">
      <c r="A415" s="16" t="s">
        <v>1855</v>
      </c>
      <c r="B415" s="16" t="s">
        <v>196</v>
      </c>
      <c r="C415" s="15" t="str">
        <f>IFERROR(INDEX('قائمة الوحدات'!$B$2:$B$41,MATCH($B415,'قائمة الوحدات'!$A$2:$A$41,0)),"")</f>
        <v>MIL</v>
      </c>
      <c r="D415" s="14" t="str">
        <f>IFERROR(INDEX('قائمة الوحدات'!$C$2:$C$41,MATCH($B415,'قائمة الوحدات'!$A$2:$A$41,0)),"")</f>
        <v>الجهاز العسكري</v>
      </c>
      <c r="E415" s="14" t="str">
        <f>IFERROR(INDEX('قائمة الوحدات'!$D$2:$D$41,MATCH($B415,'قائمة الوحدات'!$A$2:$A$41,0)),"")</f>
        <v>قيادة القوات البحرية</v>
      </c>
      <c r="F415" s="14" t="str">
        <f>IFERROR(INDEX('قائمة الوحدات'!$F$2:$F$41,MATCH($B415,'قائمة الوحدات'!$A$2:$A$41,0)),"")</f>
        <v>قيادة القوات البحرية</v>
      </c>
      <c r="G415" s="16" t="s">
        <v>65</v>
      </c>
      <c r="H415" s="14" t="str">
        <f>IFERROR(INDEX(المرجع!$A$2:$A$19,MATCH($G415,المرجع!$B$2:$B$19,0)),"")</f>
        <v>التشغيل</v>
      </c>
      <c r="I415" s="16" t="s">
        <v>67</v>
      </c>
      <c r="J415" s="14" t="str">
        <f>IFERROR(INDEX(المرجع!$D$2:$D$19,MATCH($I415,المرجع!$E$2:$E$19,0)),"")</f>
        <v>اكتمال المخرجات المستهدفة</v>
      </c>
      <c r="K415" s="15">
        <f>IFERROR(INDEX(المرجع!$F$2:$F$19,MATCH($I415,المرجع!$E$2:$E$19,0)),"")</f>
        <v>8</v>
      </c>
      <c r="L415" s="15">
        <f>SUMIFS(المرجع!$H$2:$H$19,المرجع!$B$2:$B$19,$G415,المرجع!$E$2:$E$19,$I415)</f>
        <v>1</v>
      </c>
      <c r="M415" s="15">
        <f>COUNTIFS('المرتبطة بسمو الوزير'!$B$2:$B$151,$B415,'المرتبطة بسمو الوزير'!$G$2:$G$151,$G415,'المرتبطة بسمو الوزير'!$I$2:$I$151,$I415,'المرتبطة بسمو الوزير'!$M$2:$M$151,"&lt;&gt;")+COUNTIFS('الشؤون التنفيذية'!$B$2:$B$421,$B415,'الشؤون التنفيذية'!$G$2:$G$421,$G415,'الشؤون التنفيذية'!$I$2:$I$421,$I415,'الشؤون التنفيذية'!$N$2:$N$421,"&lt;&gt;")+COUNTIFS('الجهاز العسكري'!$B$2:$B$631,$B415,'الجهاز العسكري'!$G$2:$G$631,$G415,'الجهاز العسكري'!$I$2:$I$631,$I415,'الجهاز العسكري'!$M$2:$M$631,"&lt;&gt;")</f>
        <v>1</v>
      </c>
      <c r="N415" s="19">
        <f>IF($L415=0,0,ROUND((SUMIFS('المرتبطة بسمو الوزير'!$M$2:$M$151,'المرتبطة بسمو الوزير'!$B$2:$B$151,$B415,'المرتبطة بسمو الوزير'!$G$2:$G$151,$G415,'المرتبطة بسمو الوزير'!$I$2:$I$151,$I415)+SUMIFS('الشؤون التنفيذية'!$N$2:$N$421,'الشؤون التنفيذية'!$B$2:$B$421,$B415,'الشؤون التنفيذية'!$G$2:$G$421,$G415,'الشؤون التنفيذية'!$I$2:$I$421,$I415)+SUMIFS('الجهاز العسكري'!$M$2:$M$631,'الجهاز العسكري'!$B$2:$B$631,$B415,'الجهاز العسكري'!$G$2:$G$631,$G415,'الجهاز العسكري'!$I$2:$I$631,$I415))/$L415,0))</f>
        <v>40</v>
      </c>
      <c r="O415" s="18"/>
      <c r="P415" s="15">
        <f>SUMIFS(المرجع!$G$2:$G$19,المرجع!$B$2:$B$19,$G415,المرجع!$E$2:$E$19,$I415)</f>
        <v>30</v>
      </c>
      <c r="Q415" s="20">
        <f t="shared" si="7"/>
        <v>12</v>
      </c>
      <c r="R415" s="21" t="str">
        <f>IF($N415&gt;المرجع!$K$3,"متقدم",IF($N415&lt;=المرجع!$K$2,"أولي","جزئي"))</f>
        <v>جزئي</v>
      </c>
    </row>
    <row r="416" spans="1:18">
      <c r="A416" s="16" t="s">
        <v>1856</v>
      </c>
      <c r="B416" s="16" t="s">
        <v>198</v>
      </c>
      <c r="C416" s="15" t="str">
        <f>IFERROR(INDEX('قائمة الوحدات'!$B$2:$B$41,MATCH($B416,'قائمة الوحدات'!$A$2:$A$41,0)),"")</f>
        <v>MIL</v>
      </c>
      <c r="D416" s="14" t="str">
        <f>IFERROR(INDEX('قائمة الوحدات'!$C$2:$C$41,MATCH($B416,'قائمة الوحدات'!$A$2:$A$41,0)),"")</f>
        <v>الجهاز العسكري</v>
      </c>
      <c r="E416" s="14" t="str">
        <f>IFERROR(INDEX('قائمة الوحدات'!$D$2:$D$41,MATCH($B416,'قائمة الوحدات'!$A$2:$A$41,0)),"")</f>
        <v>قيادة قوات الدفاع الجوي</v>
      </c>
      <c r="F416" s="14" t="str">
        <f>IFERROR(INDEX('قائمة الوحدات'!$F$2:$F$41,MATCH($B416,'قائمة الوحدات'!$A$2:$A$41,0)),"")</f>
        <v>قيادة قوات الدفاع الجوي</v>
      </c>
      <c r="G416" s="16" t="s">
        <v>43</v>
      </c>
      <c r="H416" s="14" t="str">
        <f>IFERROR(INDEX(المرجع!$A$2:$A$19,MATCH($G416,المرجع!$B$2:$B$19,0)),"")</f>
        <v>التصميم</v>
      </c>
      <c r="I416" s="16" t="s">
        <v>45</v>
      </c>
      <c r="J416" s="14" t="str">
        <f>IFERROR(INDEX(المرجع!$D$2:$D$19,MATCH($I416,المرجع!$E$2:$E$19,0)),"")</f>
        <v>الدور</v>
      </c>
      <c r="K416" s="15">
        <f>IFERROR(INDEX(المرجع!$F$2:$F$19,MATCH($I416,المرجع!$E$2:$E$19,0)),"")</f>
        <v>1</v>
      </c>
      <c r="L416" s="15">
        <f>SUMIFS(المرجع!$H$2:$H$19,المرجع!$B$2:$B$19,$G416,المرجع!$E$2:$E$19,$I416)</f>
        <v>1</v>
      </c>
      <c r="M416" s="15">
        <f>COUNTIFS('المرتبطة بسمو الوزير'!$B$2:$B$151,$B416,'المرتبطة بسمو الوزير'!$G$2:$G$151,$G416,'المرتبطة بسمو الوزير'!$I$2:$I$151,$I416,'المرتبطة بسمو الوزير'!$M$2:$M$151,"&lt;&gt;")+COUNTIFS('الشؤون التنفيذية'!$B$2:$B$421,$B416,'الشؤون التنفيذية'!$G$2:$G$421,$G416,'الشؤون التنفيذية'!$I$2:$I$421,$I416,'الشؤون التنفيذية'!$N$2:$N$421,"&lt;&gt;")+COUNTIFS('الجهاز العسكري'!$B$2:$B$631,$B416,'الجهاز العسكري'!$G$2:$G$631,$G416,'الجهاز العسكري'!$I$2:$I$631,$I416,'الجهاز العسكري'!$M$2:$M$631,"&lt;&gt;")</f>
        <v>1</v>
      </c>
      <c r="N416" s="19">
        <f>IF($L416=0,0,ROUND((SUMIFS('المرتبطة بسمو الوزير'!$M$2:$M$151,'المرتبطة بسمو الوزير'!$B$2:$B$151,$B416,'المرتبطة بسمو الوزير'!$G$2:$G$151,$G416,'المرتبطة بسمو الوزير'!$I$2:$I$151,$I416)+SUMIFS('الشؤون التنفيذية'!$N$2:$N$421,'الشؤون التنفيذية'!$B$2:$B$421,$B416,'الشؤون التنفيذية'!$G$2:$G$421,$G416,'الشؤون التنفيذية'!$I$2:$I$421,$I416)+SUMIFS('الجهاز العسكري'!$M$2:$M$631,'الجهاز العسكري'!$B$2:$B$631,$B416,'الجهاز العسكري'!$G$2:$G$631,$G416,'الجهاز العسكري'!$I$2:$I$631,$I416))/$L416,0))</f>
        <v>96</v>
      </c>
      <c r="O416" s="18"/>
      <c r="P416" s="15">
        <f>SUMIFS(المرجع!$G$2:$G$19,المرجع!$B$2:$B$19,$G416,المرجع!$E$2:$E$19,$I416)</f>
        <v>25</v>
      </c>
      <c r="Q416" s="20">
        <f t="shared" si="7"/>
        <v>24</v>
      </c>
      <c r="R416" s="21" t="str">
        <f>IF($N416&gt;المرجع!$K$3,"متقدم",IF($N416&lt;=المرجع!$K$2,"أولي","جزئي"))</f>
        <v>متقدم</v>
      </c>
    </row>
    <row r="417" spans="1:18">
      <c r="A417" s="16" t="s">
        <v>1857</v>
      </c>
      <c r="B417" s="16" t="s">
        <v>198</v>
      </c>
      <c r="C417" s="15" t="str">
        <f>IFERROR(INDEX('قائمة الوحدات'!$B$2:$B$41,MATCH($B417,'قائمة الوحدات'!$A$2:$A$41,0)),"")</f>
        <v>MIL</v>
      </c>
      <c r="D417" s="14" t="str">
        <f>IFERROR(INDEX('قائمة الوحدات'!$C$2:$C$41,MATCH($B417,'قائمة الوحدات'!$A$2:$A$41,0)),"")</f>
        <v>الجهاز العسكري</v>
      </c>
      <c r="E417" s="14" t="str">
        <f>IFERROR(INDEX('قائمة الوحدات'!$D$2:$D$41,MATCH($B417,'قائمة الوحدات'!$A$2:$A$41,0)),"")</f>
        <v>قيادة قوات الدفاع الجوي</v>
      </c>
      <c r="F417" s="14" t="str">
        <f>IFERROR(INDEX('قائمة الوحدات'!$F$2:$F$41,MATCH($B417,'قائمة الوحدات'!$A$2:$A$41,0)),"")</f>
        <v>قيادة قوات الدفاع الجوي</v>
      </c>
      <c r="G417" s="16" t="s">
        <v>43</v>
      </c>
      <c r="H417" s="14" t="str">
        <f>IFERROR(INDEX(المرجع!$A$2:$A$19,MATCH($G417,المرجع!$B$2:$B$19,0)),"")</f>
        <v>التصميم</v>
      </c>
      <c r="I417" s="16" t="s">
        <v>48</v>
      </c>
      <c r="J417" s="14" t="str">
        <f>IFERROR(INDEX(المرجع!$D$2:$D$19,MATCH($I417,المرجع!$E$2:$E$19,0)),"")</f>
        <v>الأهداف ومؤشرات الأداء</v>
      </c>
      <c r="K417" s="15">
        <f>IFERROR(INDEX(المرجع!$F$2:$F$19,MATCH($I417,المرجع!$E$2:$E$19,0)),"")</f>
        <v>2</v>
      </c>
      <c r="L417" s="15">
        <f>SUMIFS(المرجع!$H$2:$H$19,المرجع!$B$2:$B$19,$G417,المرجع!$E$2:$E$19,$I417)</f>
        <v>2</v>
      </c>
      <c r="M417" s="15">
        <f>COUNTIFS('المرتبطة بسمو الوزير'!$B$2:$B$151,$B417,'المرتبطة بسمو الوزير'!$G$2:$G$151,$G417,'المرتبطة بسمو الوزير'!$I$2:$I$151,$I417,'المرتبطة بسمو الوزير'!$M$2:$M$151,"&lt;&gt;")+COUNTIFS('الشؤون التنفيذية'!$B$2:$B$421,$B417,'الشؤون التنفيذية'!$G$2:$G$421,$G417,'الشؤون التنفيذية'!$I$2:$I$421,$I417,'الشؤون التنفيذية'!$N$2:$N$421,"&lt;&gt;")+COUNTIFS('الجهاز العسكري'!$B$2:$B$631,$B417,'الجهاز العسكري'!$G$2:$G$631,$G417,'الجهاز العسكري'!$I$2:$I$631,$I417,'الجهاز العسكري'!$M$2:$M$631,"&lt;&gt;")</f>
        <v>2</v>
      </c>
      <c r="N417" s="19">
        <f>IF($L417=0,0,ROUND((SUMIFS('المرتبطة بسمو الوزير'!$M$2:$M$151,'المرتبطة بسمو الوزير'!$B$2:$B$151,$B417,'المرتبطة بسمو الوزير'!$G$2:$G$151,$G417,'المرتبطة بسمو الوزير'!$I$2:$I$151,$I417)+SUMIFS('الشؤون التنفيذية'!$N$2:$N$421,'الشؤون التنفيذية'!$B$2:$B$421,$B417,'الشؤون التنفيذية'!$G$2:$G$421,$G417,'الشؤون التنفيذية'!$I$2:$I$421,$I417)+SUMIFS('الجهاز العسكري'!$M$2:$M$631,'الجهاز العسكري'!$B$2:$B$631,$B417,'الجهاز العسكري'!$G$2:$G$631,$G417,'الجهاز العسكري'!$I$2:$I$631,$I417))/$L417,0))</f>
        <v>83</v>
      </c>
      <c r="O417" s="18"/>
      <c r="P417" s="15">
        <f>SUMIFS(المرجع!$G$2:$G$19,المرجع!$B$2:$B$19,$G417,المرجع!$E$2:$E$19,$I417)</f>
        <v>15</v>
      </c>
      <c r="Q417" s="20">
        <f t="shared" si="7"/>
        <v>12.45</v>
      </c>
      <c r="R417" s="21" t="str">
        <f>IF($N417&gt;المرجع!$K$3,"متقدم",IF($N417&lt;=المرجع!$K$2,"أولي","جزئي"))</f>
        <v>متقدم</v>
      </c>
    </row>
    <row r="418" spans="1:18">
      <c r="A418" s="16" t="s">
        <v>1858</v>
      </c>
      <c r="B418" s="16" t="s">
        <v>198</v>
      </c>
      <c r="C418" s="15" t="str">
        <f>IFERROR(INDEX('قائمة الوحدات'!$B$2:$B$41,MATCH($B418,'قائمة الوحدات'!$A$2:$A$41,0)),"")</f>
        <v>MIL</v>
      </c>
      <c r="D418" s="14" t="str">
        <f>IFERROR(INDEX('قائمة الوحدات'!$C$2:$C$41,MATCH($B418,'قائمة الوحدات'!$A$2:$A$41,0)),"")</f>
        <v>الجهاز العسكري</v>
      </c>
      <c r="E418" s="14" t="str">
        <f>IFERROR(INDEX('قائمة الوحدات'!$D$2:$D$41,MATCH($B418,'قائمة الوحدات'!$A$2:$A$41,0)),"")</f>
        <v>قيادة قوات الدفاع الجوي</v>
      </c>
      <c r="F418" s="14" t="str">
        <f>IFERROR(INDEX('قائمة الوحدات'!$F$2:$F$41,MATCH($B418,'قائمة الوحدات'!$A$2:$A$41,0)),"")</f>
        <v>قيادة قوات الدفاع الجوي</v>
      </c>
      <c r="G418" s="16" t="s">
        <v>43</v>
      </c>
      <c r="H418" s="14" t="str">
        <f>IFERROR(INDEX(المرجع!$A$2:$A$19,MATCH($G418,المرجع!$B$2:$B$19,0)),"")</f>
        <v>التصميم</v>
      </c>
      <c r="I418" s="16" t="s">
        <v>51</v>
      </c>
      <c r="J418" s="14" t="str">
        <f>IFERROR(INDEX(المرجع!$D$2:$D$19,MATCH($I418,المرجع!$E$2:$E$19,0)),"")</f>
        <v>الحوكمة</v>
      </c>
      <c r="K418" s="15">
        <f>IFERROR(INDEX(المرجع!$F$2:$F$19,MATCH($I418,المرجع!$E$2:$E$19,0)),"")</f>
        <v>3</v>
      </c>
      <c r="L418" s="15">
        <f>SUMIFS(المرجع!$H$2:$H$19,المرجع!$B$2:$B$19,$G418,المرجع!$E$2:$E$19,$I418)</f>
        <v>1</v>
      </c>
      <c r="M418" s="15">
        <f>COUNTIFS('المرتبطة بسمو الوزير'!$B$2:$B$151,$B418,'المرتبطة بسمو الوزير'!$G$2:$G$151,$G418,'المرتبطة بسمو الوزير'!$I$2:$I$151,$I418,'المرتبطة بسمو الوزير'!$M$2:$M$151,"&lt;&gt;")+COUNTIFS('الشؤون التنفيذية'!$B$2:$B$421,$B418,'الشؤون التنفيذية'!$G$2:$G$421,$G418,'الشؤون التنفيذية'!$I$2:$I$421,$I418,'الشؤون التنفيذية'!$N$2:$N$421,"&lt;&gt;")+COUNTIFS('الجهاز العسكري'!$B$2:$B$631,$B418,'الجهاز العسكري'!$G$2:$G$631,$G418,'الجهاز العسكري'!$I$2:$I$631,$I418,'الجهاز العسكري'!$M$2:$M$631,"&lt;&gt;")</f>
        <v>1</v>
      </c>
      <c r="N418" s="19">
        <f>IF($L418=0,0,ROUND((SUMIFS('المرتبطة بسمو الوزير'!$M$2:$M$151,'المرتبطة بسمو الوزير'!$B$2:$B$151,$B418,'المرتبطة بسمو الوزير'!$G$2:$G$151,$G418,'المرتبطة بسمو الوزير'!$I$2:$I$151,$I418)+SUMIFS('الشؤون التنفيذية'!$N$2:$N$421,'الشؤون التنفيذية'!$B$2:$B$421,$B418,'الشؤون التنفيذية'!$G$2:$G$421,$G418,'الشؤون التنفيذية'!$I$2:$I$421,$I418)+SUMIFS('الجهاز العسكري'!$M$2:$M$631,'الجهاز العسكري'!$B$2:$B$631,$B418,'الجهاز العسكري'!$G$2:$G$631,$G418,'الجهاز العسكري'!$I$2:$I$631,$I418))/$L418,0))</f>
        <v>83</v>
      </c>
      <c r="O418" s="18"/>
      <c r="P418" s="15">
        <f>SUMIFS(المرجع!$G$2:$G$19,المرجع!$B$2:$B$19,$G418,المرجع!$E$2:$E$19,$I418)</f>
        <v>15</v>
      </c>
      <c r="Q418" s="20">
        <f t="shared" si="7"/>
        <v>12.45</v>
      </c>
      <c r="R418" s="21" t="str">
        <f>IF($N418&gt;المرجع!$K$3,"متقدم",IF($N418&lt;=المرجع!$K$2,"أولي","جزئي"))</f>
        <v>متقدم</v>
      </c>
    </row>
    <row r="419" spans="1:18">
      <c r="A419" s="16" t="s">
        <v>1859</v>
      </c>
      <c r="B419" s="16" t="s">
        <v>198</v>
      </c>
      <c r="C419" s="15" t="str">
        <f>IFERROR(INDEX('قائمة الوحدات'!$B$2:$B$41,MATCH($B419,'قائمة الوحدات'!$A$2:$A$41,0)),"")</f>
        <v>MIL</v>
      </c>
      <c r="D419" s="14" t="str">
        <f>IFERROR(INDEX('قائمة الوحدات'!$C$2:$C$41,MATCH($B419,'قائمة الوحدات'!$A$2:$A$41,0)),"")</f>
        <v>الجهاز العسكري</v>
      </c>
      <c r="E419" s="14" t="str">
        <f>IFERROR(INDEX('قائمة الوحدات'!$D$2:$D$41,MATCH($B419,'قائمة الوحدات'!$A$2:$A$41,0)),"")</f>
        <v>قيادة قوات الدفاع الجوي</v>
      </c>
      <c r="F419" s="14" t="str">
        <f>IFERROR(INDEX('قائمة الوحدات'!$F$2:$F$41,MATCH($B419,'قائمة الوحدات'!$A$2:$A$41,0)),"")</f>
        <v>قيادة قوات الدفاع الجوي</v>
      </c>
      <c r="G419" s="16" t="s">
        <v>43</v>
      </c>
      <c r="H419" s="14" t="str">
        <f>IFERROR(INDEX(المرجع!$A$2:$A$19,MATCH($G419,المرجع!$B$2:$B$19,0)),"")</f>
        <v>التصميم</v>
      </c>
      <c r="I419" s="16" t="s">
        <v>54</v>
      </c>
      <c r="J419" s="14" t="str">
        <f>IFERROR(INDEX(المرجع!$D$2:$D$19,MATCH($I419,المرجع!$E$2:$E$19,0)),"")</f>
        <v>التنظيم</v>
      </c>
      <c r="K419" s="15">
        <f>IFERROR(INDEX(المرجع!$F$2:$F$19,MATCH($I419,المرجع!$E$2:$E$19,0)),"")</f>
        <v>4</v>
      </c>
      <c r="L419" s="15">
        <f>SUMIFS(المرجع!$H$2:$H$19,المرجع!$B$2:$B$19,$G419,المرجع!$E$2:$E$19,$I419)</f>
        <v>1</v>
      </c>
      <c r="M419" s="15">
        <f>COUNTIFS('المرتبطة بسمو الوزير'!$B$2:$B$151,$B419,'المرتبطة بسمو الوزير'!$G$2:$G$151,$G419,'المرتبطة بسمو الوزير'!$I$2:$I$151,$I419,'المرتبطة بسمو الوزير'!$M$2:$M$151,"&lt;&gt;")+COUNTIFS('الشؤون التنفيذية'!$B$2:$B$421,$B419,'الشؤون التنفيذية'!$G$2:$G$421,$G419,'الشؤون التنفيذية'!$I$2:$I$421,$I419,'الشؤون التنفيذية'!$N$2:$N$421,"&lt;&gt;")+COUNTIFS('الجهاز العسكري'!$B$2:$B$631,$B419,'الجهاز العسكري'!$G$2:$G$631,$G419,'الجهاز العسكري'!$I$2:$I$631,$I419,'الجهاز العسكري'!$M$2:$M$631,"&lt;&gt;")</f>
        <v>1</v>
      </c>
      <c r="N419" s="19">
        <f>IF($L419=0,0,ROUND((SUMIFS('المرتبطة بسمو الوزير'!$M$2:$M$151,'المرتبطة بسمو الوزير'!$B$2:$B$151,$B419,'المرتبطة بسمو الوزير'!$G$2:$G$151,$G419,'المرتبطة بسمو الوزير'!$I$2:$I$151,$I419)+SUMIFS('الشؤون التنفيذية'!$N$2:$N$421,'الشؤون التنفيذية'!$B$2:$B$421,$B419,'الشؤون التنفيذية'!$G$2:$G$421,$G419,'الشؤون التنفيذية'!$I$2:$I$421,$I419)+SUMIFS('الجهاز العسكري'!$M$2:$M$631,'الجهاز العسكري'!$B$2:$B$631,$B419,'الجهاز العسكري'!$G$2:$G$631,$G419,'الجهاز العسكري'!$I$2:$I$631,$I419))/$L419,0))</f>
        <v>75</v>
      </c>
      <c r="O419" s="18"/>
      <c r="P419" s="15">
        <f>SUMIFS(المرجع!$G$2:$G$19,المرجع!$B$2:$B$19,$G419,المرجع!$E$2:$E$19,$I419)</f>
        <v>20</v>
      </c>
      <c r="Q419" s="20">
        <f t="shared" si="7"/>
        <v>15</v>
      </c>
      <c r="R419" s="21" t="str">
        <f>IF($N419&gt;المرجع!$K$3,"متقدم",IF($N419&lt;=المرجع!$K$2,"أولي","جزئي"))</f>
        <v>متقدم</v>
      </c>
    </row>
    <row r="420" spans="1:18">
      <c r="A420" s="16" t="s">
        <v>1860</v>
      </c>
      <c r="B420" s="16" t="s">
        <v>198</v>
      </c>
      <c r="C420" s="15" t="str">
        <f>IFERROR(INDEX('قائمة الوحدات'!$B$2:$B$41,MATCH($B420,'قائمة الوحدات'!$A$2:$A$41,0)),"")</f>
        <v>MIL</v>
      </c>
      <c r="D420" s="14" t="str">
        <f>IFERROR(INDEX('قائمة الوحدات'!$C$2:$C$41,MATCH($B420,'قائمة الوحدات'!$A$2:$A$41,0)),"")</f>
        <v>الجهاز العسكري</v>
      </c>
      <c r="E420" s="14" t="str">
        <f>IFERROR(INDEX('قائمة الوحدات'!$D$2:$D$41,MATCH($B420,'قائمة الوحدات'!$A$2:$A$41,0)),"")</f>
        <v>قيادة قوات الدفاع الجوي</v>
      </c>
      <c r="F420" s="14" t="str">
        <f>IFERROR(INDEX('قائمة الوحدات'!$F$2:$F$41,MATCH($B420,'قائمة الوحدات'!$A$2:$A$41,0)),"")</f>
        <v>قيادة قوات الدفاع الجوي</v>
      </c>
      <c r="G420" s="16" t="s">
        <v>43</v>
      </c>
      <c r="H420" s="14" t="str">
        <f>IFERROR(INDEX(المرجع!$A$2:$A$19,MATCH($G420,المرجع!$B$2:$B$19,0)),"")</f>
        <v>التصميم</v>
      </c>
      <c r="I420" s="16" t="s">
        <v>56</v>
      </c>
      <c r="J420" s="14" t="str">
        <f>IFERROR(INDEX(المرجع!$D$2:$D$19,MATCH($I420,المرجع!$E$2:$E$19,0)),"")</f>
        <v>الموارد</v>
      </c>
      <c r="K420" s="15">
        <f>IFERROR(INDEX(المرجع!$F$2:$F$19,MATCH($I420,المرجع!$E$2:$E$19,0)),"")</f>
        <v>5</v>
      </c>
      <c r="L420" s="15">
        <f>SUMIFS(المرجع!$H$2:$H$19,المرجع!$B$2:$B$19,$G420,المرجع!$E$2:$E$19,$I420)</f>
        <v>1</v>
      </c>
      <c r="M420" s="15">
        <f>COUNTIFS('المرتبطة بسمو الوزير'!$B$2:$B$151,$B420,'المرتبطة بسمو الوزير'!$G$2:$G$151,$G420,'المرتبطة بسمو الوزير'!$I$2:$I$151,$I420,'المرتبطة بسمو الوزير'!$M$2:$M$151,"&lt;&gt;")+COUNTIFS('الشؤون التنفيذية'!$B$2:$B$421,$B420,'الشؤون التنفيذية'!$G$2:$G$421,$G420,'الشؤون التنفيذية'!$I$2:$I$421,$I420,'الشؤون التنفيذية'!$N$2:$N$421,"&lt;&gt;")+COUNTIFS('الجهاز العسكري'!$B$2:$B$631,$B420,'الجهاز العسكري'!$G$2:$G$631,$G420,'الجهاز العسكري'!$I$2:$I$631,$I420,'الجهاز العسكري'!$M$2:$M$631,"&lt;&gt;")</f>
        <v>1</v>
      </c>
      <c r="N420" s="19">
        <f>IF($L420=0,0,ROUND((SUMIFS('المرتبطة بسمو الوزير'!$M$2:$M$151,'المرتبطة بسمو الوزير'!$B$2:$B$151,$B420,'المرتبطة بسمو الوزير'!$G$2:$G$151,$G420,'المرتبطة بسمو الوزير'!$I$2:$I$151,$I420)+SUMIFS('الشؤون التنفيذية'!$N$2:$N$421,'الشؤون التنفيذية'!$B$2:$B$421,$B420,'الشؤون التنفيذية'!$G$2:$G$421,$G420,'الشؤون التنفيذية'!$I$2:$I$421,$I420)+SUMIFS('الجهاز العسكري'!$M$2:$M$631,'الجهاز العسكري'!$B$2:$B$631,$B420,'الجهاز العسكري'!$G$2:$G$631,$G420,'الجهاز العسكري'!$I$2:$I$631,$I420))/$L420,0))</f>
        <v>83</v>
      </c>
      <c r="O420" s="18"/>
      <c r="P420" s="15">
        <f>SUMIFS(المرجع!$G$2:$G$19,المرجع!$B$2:$B$19,$G420,المرجع!$E$2:$E$19,$I420)</f>
        <v>20</v>
      </c>
      <c r="Q420" s="20">
        <f t="shared" si="7"/>
        <v>16.600000000000001</v>
      </c>
      <c r="R420" s="21" t="str">
        <f>IF($N420&gt;المرجع!$K$3,"متقدم",IF($N420&lt;=المرجع!$K$2,"أولي","جزئي"))</f>
        <v>متقدم</v>
      </c>
    </row>
    <row r="421" spans="1:18">
      <c r="A421" s="16" t="s">
        <v>1861</v>
      </c>
      <c r="B421" s="16" t="s">
        <v>198</v>
      </c>
      <c r="C421" s="15" t="str">
        <f>IFERROR(INDEX('قائمة الوحدات'!$B$2:$B$41,MATCH($B421,'قائمة الوحدات'!$A$2:$A$41,0)),"")</f>
        <v>MIL</v>
      </c>
      <c r="D421" s="14" t="str">
        <f>IFERROR(INDEX('قائمة الوحدات'!$C$2:$C$41,MATCH($B421,'قائمة الوحدات'!$A$2:$A$41,0)),"")</f>
        <v>الجهاز العسكري</v>
      </c>
      <c r="E421" s="14" t="str">
        <f>IFERROR(INDEX('قائمة الوحدات'!$D$2:$D$41,MATCH($B421,'قائمة الوحدات'!$A$2:$A$41,0)),"")</f>
        <v>قيادة قوات الدفاع الجوي</v>
      </c>
      <c r="F421" s="14" t="str">
        <f>IFERROR(INDEX('قائمة الوحدات'!$F$2:$F$41,MATCH($B421,'قائمة الوحدات'!$A$2:$A$41,0)),"")</f>
        <v>قيادة قوات الدفاع الجوي</v>
      </c>
      <c r="G421" s="16" t="s">
        <v>43</v>
      </c>
      <c r="H421" s="14" t="str">
        <f>IFERROR(INDEX(المرجع!$A$2:$A$19,MATCH($G421,المرجع!$B$2:$B$19,0)),"")</f>
        <v>التصميم</v>
      </c>
      <c r="I421" s="16" t="s">
        <v>59</v>
      </c>
      <c r="J421" s="14" t="str">
        <f>IFERROR(INDEX(المرجع!$D$2:$D$19,MATCH($I421,المرجع!$E$2:$E$19,0)),"")</f>
        <v>الإجراءات</v>
      </c>
      <c r="K421" s="15">
        <f>IFERROR(INDEX(المرجع!$F$2:$F$19,MATCH($I421,المرجع!$E$2:$E$19,0)),"")</f>
        <v>6</v>
      </c>
      <c r="L421" s="15">
        <f>SUMIFS(المرجع!$H$2:$H$19,المرجع!$B$2:$B$19,$G421,المرجع!$E$2:$E$19,$I421)</f>
        <v>1</v>
      </c>
      <c r="M421" s="15">
        <f>COUNTIFS('المرتبطة بسمو الوزير'!$B$2:$B$151,$B421,'المرتبطة بسمو الوزير'!$G$2:$G$151,$G421,'المرتبطة بسمو الوزير'!$I$2:$I$151,$I421,'المرتبطة بسمو الوزير'!$M$2:$M$151,"&lt;&gt;")+COUNTIFS('الشؤون التنفيذية'!$B$2:$B$421,$B421,'الشؤون التنفيذية'!$G$2:$G$421,$G421,'الشؤون التنفيذية'!$I$2:$I$421,$I421,'الشؤون التنفيذية'!$N$2:$N$421,"&lt;&gt;")+COUNTIFS('الجهاز العسكري'!$B$2:$B$631,$B421,'الجهاز العسكري'!$G$2:$G$631,$G421,'الجهاز العسكري'!$I$2:$I$631,$I421,'الجهاز العسكري'!$M$2:$M$631,"&lt;&gt;")</f>
        <v>1</v>
      </c>
      <c r="N421" s="19">
        <f>IF($L421=0,0,ROUND((SUMIFS('المرتبطة بسمو الوزير'!$M$2:$M$151,'المرتبطة بسمو الوزير'!$B$2:$B$151,$B421,'المرتبطة بسمو الوزير'!$G$2:$G$151,$G421,'المرتبطة بسمو الوزير'!$I$2:$I$151,$I421)+SUMIFS('الشؤون التنفيذية'!$N$2:$N$421,'الشؤون التنفيذية'!$B$2:$B$421,$B421,'الشؤون التنفيذية'!$G$2:$G$421,$G421,'الشؤون التنفيذية'!$I$2:$I$421,$I421)+SUMIFS('الجهاز العسكري'!$M$2:$M$631,'الجهاز العسكري'!$B$2:$B$631,$B421,'الجهاز العسكري'!$G$2:$G$631,$G421,'الجهاز العسكري'!$I$2:$I$631,$I421))/$L421,0))</f>
        <v>98</v>
      </c>
      <c r="O421" s="18"/>
      <c r="P421" s="15">
        <f>SUMIFS(المرجع!$G$2:$G$19,المرجع!$B$2:$B$19,$G421,المرجع!$E$2:$E$19,$I421)</f>
        <v>5</v>
      </c>
      <c r="Q421" s="20">
        <f t="shared" si="7"/>
        <v>4.9000000000000004</v>
      </c>
      <c r="R421" s="21" t="str">
        <f>IF($N421&gt;المرجع!$K$3,"متقدم",IF($N421&lt;=المرجع!$K$2,"أولي","جزئي"))</f>
        <v>متقدم</v>
      </c>
    </row>
    <row r="422" spans="1:18">
      <c r="A422" s="16" t="s">
        <v>1862</v>
      </c>
      <c r="B422" s="16" t="s">
        <v>198</v>
      </c>
      <c r="C422" s="15" t="str">
        <f>IFERROR(INDEX('قائمة الوحدات'!$B$2:$B$41,MATCH($B422,'قائمة الوحدات'!$A$2:$A$41,0)),"")</f>
        <v>MIL</v>
      </c>
      <c r="D422" s="14" t="str">
        <f>IFERROR(INDEX('قائمة الوحدات'!$C$2:$C$41,MATCH($B422,'قائمة الوحدات'!$A$2:$A$41,0)),"")</f>
        <v>الجهاز العسكري</v>
      </c>
      <c r="E422" s="14" t="str">
        <f>IFERROR(INDEX('قائمة الوحدات'!$D$2:$D$41,MATCH($B422,'قائمة الوحدات'!$A$2:$A$41,0)),"")</f>
        <v>قيادة قوات الدفاع الجوي</v>
      </c>
      <c r="F422" s="14" t="str">
        <f>IFERROR(INDEX('قائمة الوحدات'!$F$2:$F$41,MATCH($B422,'قائمة الوحدات'!$A$2:$A$41,0)),"")</f>
        <v>قيادة قوات الدفاع الجوي</v>
      </c>
      <c r="G422" s="16" t="s">
        <v>61</v>
      </c>
      <c r="H422" s="14" t="str">
        <f>IFERROR(INDEX(المرجع!$A$2:$A$19,MATCH($G422,المرجع!$B$2:$B$19,0)),"")</f>
        <v>البناء المؤسسي</v>
      </c>
      <c r="I422" s="16" t="s">
        <v>45</v>
      </c>
      <c r="J422" s="14" t="str">
        <f>IFERROR(INDEX(المرجع!$D$2:$D$19,MATCH($I422,المرجع!$E$2:$E$19,0)),"")</f>
        <v>الدور</v>
      </c>
      <c r="K422" s="15">
        <f>IFERROR(INDEX(المرجع!$F$2:$F$19,MATCH($I422,المرجع!$E$2:$E$19,0)),"")</f>
        <v>1</v>
      </c>
      <c r="L422" s="15">
        <f>SUMIFS(المرجع!$H$2:$H$19,المرجع!$B$2:$B$19,$G422,المرجع!$E$2:$E$19,$I422)</f>
        <v>1</v>
      </c>
      <c r="M422" s="15">
        <f>COUNTIFS('المرتبطة بسمو الوزير'!$B$2:$B$151,$B422,'المرتبطة بسمو الوزير'!$G$2:$G$151,$G422,'المرتبطة بسمو الوزير'!$I$2:$I$151,$I422,'المرتبطة بسمو الوزير'!$M$2:$M$151,"&lt;&gt;")+COUNTIFS('الشؤون التنفيذية'!$B$2:$B$421,$B422,'الشؤون التنفيذية'!$G$2:$G$421,$G422,'الشؤون التنفيذية'!$I$2:$I$421,$I422,'الشؤون التنفيذية'!$N$2:$N$421,"&lt;&gt;")+COUNTIFS('الجهاز العسكري'!$B$2:$B$631,$B422,'الجهاز العسكري'!$G$2:$G$631,$G422,'الجهاز العسكري'!$I$2:$I$631,$I422,'الجهاز العسكري'!$M$2:$M$631,"&lt;&gt;")</f>
        <v>1</v>
      </c>
      <c r="N422" s="19">
        <f>IF($L422=0,0,ROUND((SUMIFS('المرتبطة بسمو الوزير'!$M$2:$M$151,'المرتبطة بسمو الوزير'!$B$2:$B$151,$B422,'المرتبطة بسمو الوزير'!$G$2:$G$151,$G422,'المرتبطة بسمو الوزير'!$I$2:$I$151,$I422)+SUMIFS('الشؤون التنفيذية'!$N$2:$N$421,'الشؤون التنفيذية'!$B$2:$B$421,$B422,'الشؤون التنفيذية'!$G$2:$G$421,$G422,'الشؤون التنفيذية'!$I$2:$I$421,$I422)+SUMIFS('الجهاز العسكري'!$M$2:$M$631,'الجهاز العسكري'!$B$2:$B$631,$B422,'الجهاز العسكري'!$G$2:$G$631,$G422,'الجهاز العسكري'!$I$2:$I$631,$I422))/$L422,0))</f>
        <v>55</v>
      </c>
      <c r="O422" s="18"/>
      <c r="P422" s="15">
        <f>SUMIFS(المرجع!$G$2:$G$19,المرجع!$B$2:$B$19,$G422,المرجع!$E$2:$E$19,$I422)</f>
        <v>15</v>
      </c>
      <c r="Q422" s="20">
        <f t="shared" si="7"/>
        <v>8.25</v>
      </c>
      <c r="R422" s="21" t="str">
        <f>IF($N422&gt;المرجع!$K$3,"متقدم",IF($N422&lt;=المرجع!$K$2,"أولي","جزئي"))</f>
        <v>جزئي</v>
      </c>
    </row>
    <row r="423" spans="1:18">
      <c r="A423" s="16" t="s">
        <v>1863</v>
      </c>
      <c r="B423" s="16" t="s">
        <v>198</v>
      </c>
      <c r="C423" s="15" t="str">
        <f>IFERROR(INDEX('قائمة الوحدات'!$B$2:$B$41,MATCH($B423,'قائمة الوحدات'!$A$2:$A$41,0)),"")</f>
        <v>MIL</v>
      </c>
      <c r="D423" s="14" t="str">
        <f>IFERROR(INDEX('قائمة الوحدات'!$C$2:$C$41,MATCH($B423,'قائمة الوحدات'!$A$2:$A$41,0)),"")</f>
        <v>الجهاز العسكري</v>
      </c>
      <c r="E423" s="14" t="str">
        <f>IFERROR(INDEX('قائمة الوحدات'!$D$2:$D$41,MATCH($B423,'قائمة الوحدات'!$A$2:$A$41,0)),"")</f>
        <v>قيادة قوات الدفاع الجوي</v>
      </c>
      <c r="F423" s="14" t="str">
        <f>IFERROR(INDEX('قائمة الوحدات'!$F$2:$F$41,MATCH($B423,'قائمة الوحدات'!$A$2:$A$41,0)),"")</f>
        <v>قيادة قوات الدفاع الجوي</v>
      </c>
      <c r="G423" s="16" t="s">
        <v>61</v>
      </c>
      <c r="H423" s="14" t="str">
        <f>IFERROR(INDEX(المرجع!$A$2:$A$19,MATCH($G423,المرجع!$B$2:$B$19,0)),"")</f>
        <v>البناء المؤسسي</v>
      </c>
      <c r="I423" s="16" t="s">
        <v>48</v>
      </c>
      <c r="J423" s="14" t="str">
        <f>IFERROR(INDEX(المرجع!$D$2:$D$19,MATCH($I423,المرجع!$E$2:$E$19,0)),"")</f>
        <v>الأهداف ومؤشرات الأداء</v>
      </c>
      <c r="K423" s="15">
        <f>IFERROR(INDEX(المرجع!$F$2:$F$19,MATCH($I423,المرجع!$E$2:$E$19,0)),"")</f>
        <v>2</v>
      </c>
      <c r="L423" s="15">
        <f>SUMIFS(المرجع!$H$2:$H$19,المرجع!$B$2:$B$19,$G423,المرجع!$E$2:$E$19,$I423)</f>
        <v>2</v>
      </c>
      <c r="M423" s="15">
        <f>COUNTIFS('المرتبطة بسمو الوزير'!$B$2:$B$151,$B423,'المرتبطة بسمو الوزير'!$G$2:$G$151,$G423,'المرتبطة بسمو الوزير'!$I$2:$I$151,$I423,'المرتبطة بسمو الوزير'!$M$2:$M$151,"&lt;&gt;")+COUNTIFS('الشؤون التنفيذية'!$B$2:$B$421,$B423,'الشؤون التنفيذية'!$G$2:$G$421,$G423,'الشؤون التنفيذية'!$I$2:$I$421,$I423,'الشؤون التنفيذية'!$N$2:$N$421,"&lt;&gt;")+COUNTIFS('الجهاز العسكري'!$B$2:$B$631,$B423,'الجهاز العسكري'!$G$2:$G$631,$G423,'الجهاز العسكري'!$I$2:$I$631,$I423,'الجهاز العسكري'!$M$2:$M$631,"&lt;&gt;")</f>
        <v>2</v>
      </c>
      <c r="N423" s="19">
        <f>IF($L423=0,0,ROUND((SUMIFS('المرتبطة بسمو الوزير'!$M$2:$M$151,'المرتبطة بسمو الوزير'!$B$2:$B$151,$B423,'المرتبطة بسمو الوزير'!$G$2:$G$151,$G423,'المرتبطة بسمو الوزير'!$I$2:$I$151,$I423)+SUMIFS('الشؤون التنفيذية'!$N$2:$N$421,'الشؤون التنفيذية'!$B$2:$B$421,$B423,'الشؤون التنفيذية'!$G$2:$G$421,$G423,'الشؤون التنفيذية'!$I$2:$I$421,$I423)+SUMIFS('الجهاز العسكري'!$M$2:$M$631,'الجهاز العسكري'!$B$2:$B$631,$B423,'الجهاز العسكري'!$G$2:$G$631,$G423,'الجهاز العسكري'!$I$2:$I$631,$I423))/$L423,0))</f>
        <v>33</v>
      </c>
      <c r="O423" s="18"/>
      <c r="P423" s="15">
        <f>SUMIFS(المرجع!$G$2:$G$19,المرجع!$B$2:$B$19,$G423,المرجع!$E$2:$E$19,$I423)</f>
        <v>15</v>
      </c>
      <c r="Q423" s="20">
        <f t="shared" si="7"/>
        <v>4.95</v>
      </c>
      <c r="R423" s="21" t="str">
        <f>IF($N423&gt;المرجع!$K$3,"متقدم",IF($N423&lt;=المرجع!$K$2,"أولي","جزئي"))</f>
        <v>جزئي</v>
      </c>
    </row>
    <row r="424" spans="1:18">
      <c r="A424" s="16" t="s">
        <v>1864</v>
      </c>
      <c r="B424" s="16" t="s">
        <v>198</v>
      </c>
      <c r="C424" s="15" t="str">
        <f>IFERROR(INDEX('قائمة الوحدات'!$B$2:$B$41,MATCH($B424,'قائمة الوحدات'!$A$2:$A$41,0)),"")</f>
        <v>MIL</v>
      </c>
      <c r="D424" s="14" t="str">
        <f>IFERROR(INDEX('قائمة الوحدات'!$C$2:$C$41,MATCH($B424,'قائمة الوحدات'!$A$2:$A$41,0)),"")</f>
        <v>الجهاز العسكري</v>
      </c>
      <c r="E424" s="14" t="str">
        <f>IFERROR(INDEX('قائمة الوحدات'!$D$2:$D$41,MATCH($B424,'قائمة الوحدات'!$A$2:$A$41,0)),"")</f>
        <v>قيادة قوات الدفاع الجوي</v>
      </c>
      <c r="F424" s="14" t="str">
        <f>IFERROR(INDEX('قائمة الوحدات'!$F$2:$F$41,MATCH($B424,'قائمة الوحدات'!$A$2:$A$41,0)),"")</f>
        <v>قيادة قوات الدفاع الجوي</v>
      </c>
      <c r="G424" s="16" t="s">
        <v>61</v>
      </c>
      <c r="H424" s="14" t="str">
        <f>IFERROR(INDEX(المرجع!$A$2:$A$19,MATCH($G424,المرجع!$B$2:$B$19,0)),"")</f>
        <v>البناء المؤسسي</v>
      </c>
      <c r="I424" s="16" t="s">
        <v>51</v>
      </c>
      <c r="J424" s="14" t="str">
        <f>IFERROR(INDEX(المرجع!$D$2:$D$19,MATCH($I424,المرجع!$E$2:$E$19,0)),"")</f>
        <v>الحوكمة</v>
      </c>
      <c r="K424" s="15">
        <f>IFERROR(INDEX(المرجع!$F$2:$F$19,MATCH($I424,المرجع!$E$2:$E$19,0)),"")</f>
        <v>3</v>
      </c>
      <c r="L424" s="15">
        <f>SUMIFS(المرجع!$H$2:$H$19,المرجع!$B$2:$B$19,$G424,المرجع!$E$2:$E$19,$I424)</f>
        <v>3</v>
      </c>
      <c r="M424" s="15">
        <f>COUNTIFS('المرتبطة بسمو الوزير'!$B$2:$B$151,$B424,'المرتبطة بسمو الوزير'!$G$2:$G$151,$G424,'المرتبطة بسمو الوزير'!$I$2:$I$151,$I424,'المرتبطة بسمو الوزير'!$M$2:$M$151,"&lt;&gt;")+COUNTIFS('الشؤون التنفيذية'!$B$2:$B$421,$B424,'الشؤون التنفيذية'!$G$2:$G$421,$G424,'الشؤون التنفيذية'!$I$2:$I$421,$I424,'الشؤون التنفيذية'!$N$2:$N$421,"&lt;&gt;")+COUNTIFS('الجهاز العسكري'!$B$2:$B$631,$B424,'الجهاز العسكري'!$G$2:$G$631,$G424,'الجهاز العسكري'!$I$2:$I$631,$I424,'الجهاز العسكري'!$M$2:$M$631,"&lt;&gt;")</f>
        <v>3</v>
      </c>
      <c r="N424" s="19">
        <f>IF($L424=0,0,ROUND((SUMIFS('المرتبطة بسمو الوزير'!$M$2:$M$151,'المرتبطة بسمو الوزير'!$B$2:$B$151,$B424,'المرتبطة بسمو الوزير'!$G$2:$G$151,$G424,'المرتبطة بسمو الوزير'!$I$2:$I$151,$I424)+SUMIFS('الشؤون التنفيذية'!$N$2:$N$421,'الشؤون التنفيذية'!$B$2:$B$421,$B424,'الشؤون التنفيذية'!$G$2:$G$421,$G424,'الشؤون التنفيذية'!$I$2:$I$421,$I424)+SUMIFS('الجهاز العسكري'!$M$2:$M$631,'الجهاز العسكري'!$B$2:$B$631,$B424,'الجهاز العسكري'!$G$2:$G$631,$G424,'الجهاز العسكري'!$I$2:$I$631,$I424))/$L424,0))</f>
        <v>60</v>
      </c>
      <c r="O424" s="18"/>
      <c r="P424" s="15">
        <f>SUMIFS(المرجع!$G$2:$G$19,المرجع!$B$2:$B$19,$G424,المرجع!$E$2:$E$19,$I424)</f>
        <v>15</v>
      </c>
      <c r="Q424" s="20">
        <f t="shared" si="7"/>
        <v>9</v>
      </c>
      <c r="R424" s="21" t="str">
        <f>IF($N424&gt;المرجع!$K$3,"متقدم",IF($N424&lt;=المرجع!$K$2,"أولي","جزئي"))</f>
        <v>جزئي</v>
      </c>
    </row>
    <row r="425" spans="1:18">
      <c r="A425" s="16" t="s">
        <v>1865</v>
      </c>
      <c r="B425" s="16" t="s">
        <v>198</v>
      </c>
      <c r="C425" s="15" t="str">
        <f>IFERROR(INDEX('قائمة الوحدات'!$B$2:$B$41,MATCH($B425,'قائمة الوحدات'!$A$2:$A$41,0)),"")</f>
        <v>MIL</v>
      </c>
      <c r="D425" s="14" t="str">
        <f>IFERROR(INDEX('قائمة الوحدات'!$C$2:$C$41,MATCH($B425,'قائمة الوحدات'!$A$2:$A$41,0)),"")</f>
        <v>الجهاز العسكري</v>
      </c>
      <c r="E425" s="14" t="str">
        <f>IFERROR(INDEX('قائمة الوحدات'!$D$2:$D$41,MATCH($B425,'قائمة الوحدات'!$A$2:$A$41,0)),"")</f>
        <v>قيادة قوات الدفاع الجوي</v>
      </c>
      <c r="F425" s="14" t="str">
        <f>IFERROR(INDEX('قائمة الوحدات'!$F$2:$F$41,MATCH($B425,'قائمة الوحدات'!$A$2:$A$41,0)),"")</f>
        <v>قيادة قوات الدفاع الجوي</v>
      </c>
      <c r="G425" s="16" t="s">
        <v>61</v>
      </c>
      <c r="H425" s="14" t="str">
        <f>IFERROR(INDEX(المرجع!$A$2:$A$19,MATCH($G425,المرجع!$B$2:$B$19,0)),"")</f>
        <v>البناء المؤسسي</v>
      </c>
      <c r="I425" s="16" t="s">
        <v>54</v>
      </c>
      <c r="J425" s="14" t="str">
        <f>IFERROR(INDEX(المرجع!$D$2:$D$19,MATCH($I425,المرجع!$E$2:$E$19,0)),"")</f>
        <v>التنظيم</v>
      </c>
      <c r="K425" s="15">
        <f>IFERROR(INDEX(المرجع!$F$2:$F$19,MATCH($I425,المرجع!$E$2:$E$19,0)),"")</f>
        <v>4</v>
      </c>
      <c r="L425" s="15">
        <f>SUMIFS(المرجع!$H$2:$H$19,المرجع!$B$2:$B$19,$G425,المرجع!$E$2:$E$19,$I425)</f>
        <v>3</v>
      </c>
      <c r="M425" s="15">
        <f>COUNTIFS('المرتبطة بسمو الوزير'!$B$2:$B$151,$B425,'المرتبطة بسمو الوزير'!$G$2:$G$151,$G425,'المرتبطة بسمو الوزير'!$I$2:$I$151,$I425,'المرتبطة بسمو الوزير'!$M$2:$M$151,"&lt;&gt;")+COUNTIFS('الشؤون التنفيذية'!$B$2:$B$421,$B425,'الشؤون التنفيذية'!$G$2:$G$421,$G425,'الشؤون التنفيذية'!$I$2:$I$421,$I425,'الشؤون التنفيذية'!$N$2:$N$421,"&lt;&gt;")+COUNTIFS('الجهاز العسكري'!$B$2:$B$631,$B425,'الجهاز العسكري'!$G$2:$G$631,$G425,'الجهاز العسكري'!$I$2:$I$631,$I425,'الجهاز العسكري'!$M$2:$M$631,"&lt;&gt;")</f>
        <v>3</v>
      </c>
      <c r="N425" s="19">
        <f>IF($L425=0,0,ROUND((SUMIFS('المرتبطة بسمو الوزير'!$M$2:$M$151,'المرتبطة بسمو الوزير'!$B$2:$B$151,$B425,'المرتبطة بسمو الوزير'!$G$2:$G$151,$G425,'المرتبطة بسمو الوزير'!$I$2:$I$151,$I425)+SUMIFS('الشؤون التنفيذية'!$N$2:$N$421,'الشؤون التنفيذية'!$B$2:$B$421,$B425,'الشؤون التنفيذية'!$G$2:$G$421,$G425,'الشؤون التنفيذية'!$I$2:$I$421,$I425)+SUMIFS('الجهاز العسكري'!$M$2:$M$631,'الجهاز العسكري'!$B$2:$B$631,$B425,'الجهاز العسكري'!$G$2:$G$631,$G425,'الجهاز العسكري'!$I$2:$I$631,$I425))/$L425,0))</f>
        <v>95</v>
      </c>
      <c r="O425" s="18"/>
      <c r="P425" s="15">
        <f>SUMIFS(المرجع!$G$2:$G$19,المرجع!$B$2:$B$19,$G425,المرجع!$E$2:$E$19,$I425)</f>
        <v>20</v>
      </c>
      <c r="Q425" s="20">
        <f t="shared" si="7"/>
        <v>19</v>
      </c>
      <c r="R425" s="21" t="str">
        <f>IF($N425&gt;المرجع!$K$3,"متقدم",IF($N425&lt;=المرجع!$K$2,"أولي","جزئي"))</f>
        <v>متقدم</v>
      </c>
    </row>
    <row r="426" spans="1:18">
      <c r="A426" s="16" t="s">
        <v>1866</v>
      </c>
      <c r="B426" s="16" t="s">
        <v>198</v>
      </c>
      <c r="C426" s="15" t="str">
        <f>IFERROR(INDEX('قائمة الوحدات'!$B$2:$B$41,MATCH($B426,'قائمة الوحدات'!$A$2:$A$41,0)),"")</f>
        <v>MIL</v>
      </c>
      <c r="D426" s="14" t="str">
        <f>IFERROR(INDEX('قائمة الوحدات'!$C$2:$C$41,MATCH($B426,'قائمة الوحدات'!$A$2:$A$41,0)),"")</f>
        <v>الجهاز العسكري</v>
      </c>
      <c r="E426" s="14" t="str">
        <f>IFERROR(INDEX('قائمة الوحدات'!$D$2:$D$41,MATCH($B426,'قائمة الوحدات'!$A$2:$A$41,0)),"")</f>
        <v>قيادة قوات الدفاع الجوي</v>
      </c>
      <c r="F426" s="14" t="str">
        <f>IFERROR(INDEX('قائمة الوحدات'!$F$2:$F$41,MATCH($B426,'قائمة الوحدات'!$A$2:$A$41,0)),"")</f>
        <v>قيادة قوات الدفاع الجوي</v>
      </c>
      <c r="G426" s="16" t="s">
        <v>61</v>
      </c>
      <c r="H426" s="14" t="str">
        <f>IFERROR(INDEX(المرجع!$A$2:$A$19,MATCH($G426,المرجع!$B$2:$B$19,0)),"")</f>
        <v>البناء المؤسسي</v>
      </c>
      <c r="I426" s="16" t="s">
        <v>56</v>
      </c>
      <c r="J426" s="14" t="str">
        <f>IFERROR(INDEX(المرجع!$D$2:$D$19,MATCH($I426,المرجع!$E$2:$E$19,0)),"")</f>
        <v>الموارد</v>
      </c>
      <c r="K426" s="15">
        <f>IFERROR(INDEX(المرجع!$F$2:$F$19,MATCH($I426,المرجع!$E$2:$E$19,0)),"")</f>
        <v>5</v>
      </c>
      <c r="L426" s="15">
        <f>SUMIFS(المرجع!$H$2:$H$19,المرجع!$B$2:$B$19,$G426,المرجع!$E$2:$E$19,$I426)</f>
        <v>4</v>
      </c>
      <c r="M426" s="15">
        <f>COUNTIFS('المرتبطة بسمو الوزير'!$B$2:$B$151,$B426,'المرتبطة بسمو الوزير'!$G$2:$G$151,$G426,'المرتبطة بسمو الوزير'!$I$2:$I$151,$I426,'المرتبطة بسمو الوزير'!$M$2:$M$151,"&lt;&gt;")+COUNTIFS('الشؤون التنفيذية'!$B$2:$B$421,$B426,'الشؤون التنفيذية'!$G$2:$G$421,$G426,'الشؤون التنفيذية'!$I$2:$I$421,$I426,'الشؤون التنفيذية'!$N$2:$N$421,"&lt;&gt;")+COUNTIFS('الجهاز العسكري'!$B$2:$B$631,$B426,'الجهاز العسكري'!$G$2:$G$631,$G426,'الجهاز العسكري'!$I$2:$I$631,$I426,'الجهاز العسكري'!$M$2:$M$631,"&lt;&gt;")</f>
        <v>4</v>
      </c>
      <c r="N426" s="19">
        <f>IF($L426=0,0,ROUND((SUMIFS('المرتبطة بسمو الوزير'!$M$2:$M$151,'المرتبطة بسمو الوزير'!$B$2:$B$151,$B426,'المرتبطة بسمو الوزير'!$G$2:$G$151,$G426,'المرتبطة بسمو الوزير'!$I$2:$I$151,$I426)+SUMIFS('الشؤون التنفيذية'!$N$2:$N$421,'الشؤون التنفيذية'!$B$2:$B$421,$B426,'الشؤون التنفيذية'!$G$2:$G$421,$G426,'الشؤون التنفيذية'!$I$2:$I$421,$I426)+SUMIFS('الجهاز العسكري'!$M$2:$M$631,'الجهاز العسكري'!$B$2:$B$631,$B426,'الجهاز العسكري'!$G$2:$G$631,$G426,'الجهاز العسكري'!$I$2:$I$631,$I426))/$L426,0))</f>
        <v>74</v>
      </c>
      <c r="O426" s="18"/>
      <c r="P426" s="15">
        <f>SUMIFS(المرجع!$G$2:$G$19,المرجع!$B$2:$B$19,$G426,المرجع!$E$2:$E$19,$I426)</f>
        <v>25</v>
      </c>
      <c r="Q426" s="20">
        <f t="shared" si="7"/>
        <v>18.5</v>
      </c>
      <c r="R426" s="21" t="str">
        <f>IF($N426&gt;المرجع!$K$3,"متقدم",IF($N426&lt;=المرجع!$K$2,"أولي","جزئي"))</f>
        <v>متقدم</v>
      </c>
    </row>
    <row r="427" spans="1:18">
      <c r="A427" s="16" t="s">
        <v>1867</v>
      </c>
      <c r="B427" s="16" t="s">
        <v>198</v>
      </c>
      <c r="C427" s="15" t="str">
        <f>IFERROR(INDEX('قائمة الوحدات'!$B$2:$B$41,MATCH($B427,'قائمة الوحدات'!$A$2:$A$41,0)),"")</f>
        <v>MIL</v>
      </c>
      <c r="D427" s="14" t="str">
        <f>IFERROR(INDEX('قائمة الوحدات'!$C$2:$C$41,MATCH($B427,'قائمة الوحدات'!$A$2:$A$41,0)),"")</f>
        <v>الجهاز العسكري</v>
      </c>
      <c r="E427" s="14" t="str">
        <f>IFERROR(INDEX('قائمة الوحدات'!$D$2:$D$41,MATCH($B427,'قائمة الوحدات'!$A$2:$A$41,0)),"")</f>
        <v>قيادة قوات الدفاع الجوي</v>
      </c>
      <c r="F427" s="14" t="str">
        <f>IFERROR(INDEX('قائمة الوحدات'!$F$2:$F$41,MATCH($B427,'قائمة الوحدات'!$A$2:$A$41,0)),"")</f>
        <v>قيادة قوات الدفاع الجوي</v>
      </c>
      <c r="G427" s="16" t="s">
        <v>61</v>
      </c>
      <c r="H427" s="14" t="str">
        <f>IFERROR(INDEX(المرجع!$A$2:$A$19,MATCH($G427,المرجع!$B$2:$B$19,0)),"")</f>
        <v>البناء المؤسسي</v>
      </c>
      <c r="I427" s="16" t="s">
        <v>59</v>
      </c>
      <c r="J427" s="14" t="str">
        <f>IFERROR(INDEX(المرجع!$D$2:$D$19,MATCH($I427,المرجع!$E$2:$E$19,0)),"")</f>
        <v>الإجراءات</v>
      </c>
      <c r="K427" s="15">
        <f>IFERROR(INDEX(المرجع!$F$2:$F$19,MATCH($I427,المرجع!$E$2:$E$19,0)),"")</f>
        <v>6</v>
      </c>
      <c r="L427" s="15">
        <f>SUMIFS(المرجع!$H$2:$H$19,المرجع!$B$2:$B$19,$G427,المرجع!$E$2:$E$19,$I427)</f>
        <v>1</v>
      </c>
      <c r="M427" s="15">
        <f>COUNTIFS('المرتبطة بسمو الوزير'!$B$2:$B$151,$B427,'المرتبطة بسمو الوزير'!$G$2:$G$151,$G427,'المرتبطة بسمو الوزير'!$I$2:$I$151,$I427,'المرتبطة بسمو الوزير'!$M$2:$M$151,"&lt;&gt;")+COUNTIFS('الشؤون التنفيذية'!$B$2:$B$421,$B427,'الشؤون التنفيذية'!$G$2:$G$421,$G427,'الشؤون التنفيذية'!$I$2:$I$421,$I427,'الشؤون التنفيذية'!$N$2:$N$421,"&lt;&gt;")+COUNTIFS('الجهاز العسكري'!$B$2:$B$631,$B427,'الجهاز العسكري'!$G$2:$G$631,$G427,'الجهاز العسكري'!$I$2:$I$631,$I427,'الجهاز العسكري'!$M$2:$M$631,"&lt;&gt;")</f>
        <v>1</v>
      </c>
      <c r="N427" s="19">
        <f>IF($L427=0,0,ROUND((SUMIFS('المرتبطة بسمو الوزير'!$M$2:$M$151,'المرتبطة بسمو الوزير'!$B$2:$B$151,$B427,'المرتبطة بسمو الوزير'!$G$2:$G$151,$G427,'المرتبطة بسمو الوزير'!$I$2:$I$151,$I427)+SUMIFS('الشؤون التنفيذية'!$N$2:$N$421,'الشؤون التنفيذية'!$B$2:$B$421,$B427,'الشؤون التنفيذية'!$G$2:$G$421,$G427,'الشؤون التنفيذية'!$I$2:$I$421,$I427)+SUMIFS('الجهاز العسكري'!$M$2:$M$631,'الجهاز العسكري'!$B$2:$B$631,$B427,'الجهاز العسكري'!$G$2:$G$631,$G427,'الجهاز العسكري'!$I$2:$I$631,$I427))/$L427,0))</f>
        <v>80</v>
      </c>
      <c r="O427" s="18"/>
      <c r="P427" s="15">
        <f>SUMIFS(المرجع!$G$2:$G$19,المرجع!$B$2:$B$19,$G427,المرجع!$E$2:$E$19,$I427)</f>
        <v>5</v>
      </c>
      <c r="Q427" s="20">
        <f t="shared" si="7"/>
        <v>4</v>
      </c>
      <c r="R427" s="21" t="str">
        <f>IF($N427&gt;المرجع!$K$3,"متقدم",IF($N427&lt;=المرجع!$K$2,"أولي","جزئي"))</f>
        <v>متقدم</v>
      </c>
    </row>
    <row r="428" spans="1:18">
      <c r="A428" s="16" t="s">
        <v>1868</v>
      </c>
      <c r="B428" s="16" t="s">
        <v>198</v>
      </c>
      <c r="C428" s="15" t="str">
        <f>IFERROR(INDEX('قائمة الوحدات'!$B$2:$B$41,MATCH($B428,'قائمة الوحدات'!$A$2:$A$41,0)),"")</f>
        <v>MIL</v>
      </c>
      <c r="D428" s="14" t="str">
        <f>IFERROR(INDEX('قائمة الوحدات'!$C$2:$C$41,MATCH($B428,'قائمة الوحدات'!$A$2:$A$41,0)),"")</f>
        <v>الجهاز العسكري</v>
      </c>
      <c r="E428" s="14" t="str">
        <f>IFERROR(INDEX('قائمة الوحدات'!$D$2:$D$41,MATCH($B428,'قائمة الوحدات'!$A$2:$A$41,0)),"")</f>
        <v>قيادة قوات الدفاع الجوي</v>
      </c>
      <c r="F428" s="14" t="str">
        <f>IFERROR(INDEX('قائمة الوحدات'!$F$2:$F$41,MATCH($B428,'قائمة الوحدات'!$A$2:$A$41,0)),"")</f>
        <v>قيادة قوات الدفاع الجوي</v>
      </c>
      <c r="G428" s="16" t="s">
        <v>61</v>
      </c>
      <c r="H428" s="14" t="str">
        <f>IFERROR(INDEX(المرجع!$A$2:$A$19,MATCH($G428,المرجع!$B$2:$B$19,0)),"")</f>
        <v>البناء المؤسسي</v>
      </c>
      <c r="I428" s="16" t="s">
        <v>63</v>
      </c>
      <c r="J428" s="14" t="str">
        <f>IFERROR(INDEX(المرجع!$D$2:$D$19,MATCH($I428,المرجع!$E$2:$E$19,0)),"")</f>
        <v>إنتاج المخرج الأول</v>
      </c>
      <c r="K428" s="15">
        <f>IFERROR(INDEX(المرجع!$F$2:$F$19,MATCH($I428,المرجع!$E$2:$E$19,0)),"")</f>
        <v>7</v>
      </c>
      <c r="L428" s="15">
        <f>SUMIFS(المرجع!$H$2:$H$19,المرجع!$B$2:$B$19,$G428,المرجع!$E$2:$E$19,$I428)</f>
        <v>1</v>
      </c>
      <c r="M428" s="15">
        <f>COUNTIFS('المرتبطة بسمو الوزير'!$B$2:$B$151,$B428,'المرتبطة بسمو الوزير'!$G$2:$G$151,$G428,'المرتبطة بسمو الوزير'!$I$2:$I$151,$I428,'المرتبطة بسمو الوزير'!$M$2:$M$151,"&lt;&gt;")+COUNTIFS('الشؤون التنفيذية'!$B$2:$B$421,$B428,'الشؤون التنفيذية'!$G$2:$G$421,$G428,'الشؤون التنفيذية'!$I$2:$I$421,$I428,'الشؤون التنفيذية'!$N$2:$N$421,"&lt;&gt;")+COUNTIFS('الجهاز العسكري'!$B$2:$B$631,$B428,'الجهاز العسكري'!$G$2:$G$631,$G428,'الجهاز العسكري'!$I$2:$I$631,$I428,'الجهاز العسكري'!$M$2:$M$631,"&lt;&gt;")</f>
        <v>1</v>
      </c>
      <c r="N428" s="19">
        <f>IF($L428=0,0,ROUND((SUMIFS('المرتبطة بسمو الوزير'!$M$2:$M$151,'المرتبطة بسمو الوزير'!$B$2:$B$151,$B428,'المرتبطة بسمو الوزير'!$G$2:$G$151,$G428,'المرتبطة بسمو الوزير'!$I$2:$I$151,$I428)+SUMIFS('الشؤون التنفيذية'!$N$2:$N$421,'الشؤون التنفيذية'!$B$2:$B$421,$B428,'الشؤون التنفيذية'!$G$2:$G$421,$G428,'الشؤون التنفيذية'!$I$2:$I$421,$I428)+SUMIFS('الجهاز العسكري'!$M$2:$M$631,'الجهاز العسكري'!$B$2:$B$631,$B428,'الجهاز العسكري'!$G$2:$G$631,$G428,'الجهاز العسكري'!$I$2:$I$631,$I428))/$L428,0))</f>
        <v>84</v>
      </c>
      <c r="O428" s="18"/>
      <c r="P428" s="15">
        <f>SUMIFS(المرجع!$G$2:$G$19,المرجع!$B$2:$B$19,$G428,المرجع!$E$2:$E$19,$I428)</f>
        <v>5</v>
      </c>
      <c r="Q428" s="20">
        <f t="shared" si="7"/>
        <v>4.2</v>
      </c>
      <c r="R428" s="21" t="str">
        <f>IF($N428&gt;المرجع!$K$3,"متقدم",IF($N428&lt;=المرجع!$K$2,"أولي","جزئي"))</f>
        <v>متقدم</v>
      </c>
    </row>
    <row r="429" spans="1:18">
      <c r="A429" s="16" t="s">
        <v>1869</v>
      </c>
      <c r="B429" s="16" t="s">
        <v>198</v>
      </c>
      <c r="C429" s="15" t="str">
        <f>IFERROR(INDEX('قائمة الوحدات'!$B$2:$B$41,MATCH($B429,'قائمة الوحدات'!$A$2:$A$41,0)),"")</f>
        <v>MIL</v>
      </c>
      <c r="D429" s="14" t="str">
        <f>IFERROR(INDEX('قائمة الوحدات'!$C$2:$C$41,MATCH($B429,'قائمة الوحدات'!$A$2:$A$41,0)),"")</f>
        <v>الجهاز العسكري</v>
      </c>
      <c r="E429" s="14" t="str">
        <f>IFERROR(INDEX('قائمة الوحدات'!$D$2:$D$41,MATCH($B429,'قائمة الوحدات'!$A$2:$A$41,0)),"")</f>
        <v>قيادة قوات الدفاع الجوي</v>
      </c>
      <c r="F429" s="14" t="str">
        <f>IFERROR(INDEX('قائمة الوحدات'!$F$2:$F$41,MATCH($B429,'قائمة الوحدات'!$A$2:$A$41,0)),"")</f>
        <v>قيادة قوات الدفاع الجوي</v>
      </c>
      <c r="G429" s="16" t="s">
        <v>65</v>
      </c>
      <c r="H429" s="14" t="str">
        <f>IFERROR(INDEX(المرجع!$A$2:$A$19,MATCH($G429,المرجع!$B$2:$B$19,0)),"")</f>
        <v>التشغيل</v>
      </c>
      <c r="I429" s="16" t="s">
        <v>48</v>
      </c>
      <c r="J429" s="14" t="str">
        <f>IFERROR(INDEX(المرجع!$D$2:$D$19,MATCH($I429,المرجع!$E$2:$E$19,0)),"")</f>
        <v>الأهداف ومؤشرات الأداء</v>
      </c>
      <c r="K429" s="15">
        <f>IFERROR(INDEX(المرجع!$F$2:$F$19,MATCH($I429,المرجع!$E$2:$E$19,0)),"")</f>
        <v>2</v>
      </c>
      <c r="L429" s="15">
        <f>SUMIFS(المرجع!$H$2:$H$19,المرجع!$B$2:$B$19,$G429,المرجع!$E$2:$E$19,$I429)</f>
        <v>2</v>
      </c>
      <c r="M429" s="15">
        <f>COUNTIFS('المرتبطة بسمو الوزير'!$B$2:$B$151,$B429,'المرتبطة بسمو الوزير'!$G$2:$G$151,$G429,'المرتبطة بسمو الوزير'!$I$2:$I$151,$I429,'المرتبطة بسمو الوزير'!$M$2:$M$151,"&lt;&gt;")+COUNTIFS('الشؤون التنفيذية'!$B$2:$B$421,$B429,'الشؤون التنفيذية'!$G$2:$G$421,$G429,'الشؤون التنفيذية'!$I$2:$I$421,$I429,'الشؤون التنفيذية'!$N$2:$N$421,"&lt;&gt;")+COUNTIFS('الجهاز العسكري'!$B$2:$B$631,$B429,'الجهاز العسكري'!$G$2:$G$631,$G429,'الجهاز العسكري'!$I$2:$I$631,$I429,'الجهاز العسكري'!$M$2:$M$631,"&lt;&gt;")</f>
        <v>2</v>
      </c>
      <c r="N429" s="19">
        <f>IF($L429=0,0,ROUND((SUMIFS('المرتبطة بسمو الوزير'!$M$2:$M$151,'المرتبطة بسمو الوزير'!$B$2:$B$151,$B429,'المرتبطة بسمو الوزير'!$G$2:$G$151,$G429,'المرتبطة بسمو الوزير'!$I$2:$I$151,$I429)+SUMIFS('الشؤون التنفيذية'!$N$2:$N$421,'الشؤون التنفيذية'!$B$2:$B$421,$B429,'الشؤون التنفيذية'!$G$2:$G$421,$G429,'الشؤون التنفيذية'!$I$2:$I$421,$I429)+SUMIFS('الجهاز العسكري'!$M$2:$M$631,'الجهاز العسكري'!$B$2:$B$631,$B429,'الجهاز العسكري'!$G$2:$G$631,$G429,'الجهاز العسكري'!$I$2:$I$631,$I429))/$L429,0))</f>
        <v>28</v>
      </c>
      <c r="O429" s="18"/>
      <c r="P429" s="15">
        <f>SUMIFS(المرجع!$G$2:$G$19,المرجع!$B$2:$B$19,$G429,المرجع!$E$2:$E$19,$I429)</f>
        <v>25</v>
      </c>
      <c r="Q429" s="20">
        <f t="shared" si="7"/>
        <v>7</v>
      </c>
      <c r="R429" s="21" t="str">
        <f>IF($N429&gt;المرجع!$K$3,"متقدم",IF($N429&lt;=المرجع!$K$2,"أولي","جزئي"))</f>
        <v>أولي</v>
      </c>
    </row>
    <row r="430" spans="1:18">
      <c r="A430" s="16" t="s">
        <v>1870</v>
      </c>
      <c r="B430" s="16" t="s">
        <v>198</v>
      </c>
      <c r="C430" s="15" t="str">
        <f>IFERROR(INDEX('قائمة الوحدات'!$B$2:$B$41,MATCH($B430,'قائمة الوحدات'!$A$2:$A$41,0)),"")</f>
        <v>MIL</v>
      </c>
      <c r="D430" s="14" t="str">
        <f>IFERROR(INDEX('قائمة الوحدات'!$C$2:$C$41,MATCH($B430,'قائمة الوحدات'!$A$2:$A$41,0)),"")</f>
        <v>الجهاز العسكري</v>
      </c>
      <c r="E430" s="14" t="str">
        <f>IFERROR(INDEX('قائمة الوحدات'!$D$2:$D$41,MATCH($B430,'قائمة الوحدات'!$A$2:$A$41,0)),"")</f>
        <v>قيادة قوات الدفاع الجوي</v>
      </c>
      <c r="F430" s="14" t="str">
        <f>IFERROR(INDEX('قائمة الوحدات'!$F$2:$F$41,MATCH($B430,'قائمة الوحدات'!$A$2:$A$41,0)),"")</f>
        <v>قيادة قوات الدفاع الجوي</v>
      </c>
      <c r="G430" s="16" t="s">
        <v>65</v>
      </c>
      <c r="H430" s="14" t="str">
        <f>IFERROR(INDEX(المرجع!$A$2:$A$19,MATCH($G430,المرجع!$B$2:$B$19,0)),"")</f>
        <v>التشغيل</v>
      </c>
      <c r="I430" s="16" t="s">
        <v>51</v>
      </c>
      <c r="J430" s="14" t="str">
        <f>IFERROR(INDEX(المرجع!$D$2:$D$19,MATCH($I430,المرجع!$E$2:$E$19,0)),"")</f>
        <v>الحوكمة</v>
      </c>
      <c r="K430" s="15">
        <f>IFERROR(INDEX(المرجع!$F$2:$F$19,MATCH($I430,المرجع!$E$2:$E$19,0)),"")</f>
        <v>3</v>
      </c>
      <c r="L430" s="15">
        <f>SUMIFS(المرجع!$H$2:$H$19,المرجع!$B$2:$B$19,$G430,المرجع!$E$2:$E$19,$I430)</f>
        <v>3</v>
      </c>
      <c r="M430" s="15">
        <f>COUNTIFS('المرتبطة بسمو الوزير'!$B$2:$B$151,$B430,'المرتبطة بسمو الوزير'!$G$2:$G$151,$G430,'المرتبطة بسمو الوزير'!$I$2:$I$151,$I430,'المرتبطة بسمو الوزير'!$M$2:$M$151,"&lt;&gt;")+COUNTIFS('الشؤون التنفيذية'!$B$2:$B$421,$B430,'الشؤون التنفيذية'!$G$2:$G$421,$G430,'الشؤون التنفيذية'!$I$2:$I$421,$I430,'الشؤون التنفيذية'!$N$2:$N$421,"&lt;&gt;")+COUNTIFS('الجهاز العسكري'!$B$2:$B$631,$B430,'الجهاز العسكري'!$G$2:$G$631,$G430,'الجهاز العسكري'!$I$2:$I$631,$I430,'الجهاز العسكري'!$M$2:$M$631,"&lt;&gt;")</f>
        <v>3</v>
      </c>
      <c r="N430" s="19">
        <f>IF($L430=0,0,ROUND((SUMIFS('المرتبطة بسمو الوزير'!$M$2:$M$151,'المرتبطة بسمو الوزير'!$B$2:$B$151,$B430,'المرتبطة بسمو الوزير'!$G$2:$G$151,$G430,'المرتبطة بسمو الوزير'!$I$2:$I$151,$I430)+SUMIFS('الشؤون التنفيذية'!$N$2:$N$421,'الشؤون التنفيذية'!$B$2:$B$421,$B430,'الشؤون التنفيذية'!$G$2:$G$421,$G430,'الشؤون التنفيذية'!$I$2:$I$421,$I430)+SUMIFS('الجهاز العسكري'!$M$2:$M$631,'الجهاز العسكري'!$B$2:$B$631,$B430,'الجهاز العسكري'!$G$2:$G$631,$G430,'الجهاز العسكري'!$I$2:$I$631,$I430))/$L430,0))</f>
        <v>18</v>
      </c>
      <c r="O430" s="18"/>
      <c r="P430" s="15">
        <f>SUMIFS(المرجع!$G$2:$G$19,المرجع!$B$2:$B$19,$G430,المرجع!$E$2:$E$19,$I430)</f>
        <v>15</v>
      </c>
      <c r="Q430" s="20">
        <f t="shared" si="7"/>
        <v>2.7</v>
      </c>
      <c r="R430" s="21" t="str">
        <f>IF($N430&gt;المرجع!$K$3,"متقدم",IF($N430&lt;=المرجع!$K$2,"أولي","جزئي"))</f>
        <v>أولي</v>
      </c>
    </row>
    <row r="431" spans="1:18">
      <c r="A431" s="16" t="s">
        <v>1871</v>
      </c>
      <c r="B431" s="16" t="s">
        <v>198</v>
      </c>
      <c r="C431" s="15" t="str">
        <f>IFERROR(INDEX('قائمة الوحدات'!$B$2:$B$41,MATCH($B431,'قائمة الوحدات'!$A$2:$A$41,0)),"")</f>
        <v>MIL</v>
      </c>
      <c r="D431" s="14" t="str">
        <f>IFERROR(INDEX('قائمة الوحدات'!$C$2:$C$41,MATCH($B431,'قائمة الوحدات'!$A$2:$A$41,0)),"")</f>
        <v>الجهاز العسكري</v>
      </c>
      <c r="E431" s="14" t="str">
        <f>IFERROR(INDEX('قائمة الوحدات'!$D$2:$D$41,MATCH($B431,'قائمة الوحدات'!$A$2:$A$41,0)),"")</f>
        <v>قيادة قوات الدفاع الجوي</v>
      </c>
      <c r="F431" s="14" t="str">
        <f>IFERROR(INDEX('قائمة الوحدات'!$F$2:$F$41,MATCH($B431,'قائمة الوحدات'!$A$2:$A$41,0)),"")</f>
        <v>قيادة قوات الدفاع الجوي</v>
      </c>
      <c r="G431" s="16" t="s">
        <v>65</v>
      </c>
      <c r="H431" s="14" t="str">
        <f>IFERROR(INDEX(المرجع!$A$2:$A$19,MATCH($G431,المرجع!$B$2:$B$19,0)),"")</f>
        <v>التشغيل</v>
      </c>
      <c r="I431" s="16" t="s">
        <v>56</v>
      </c>
      <c r="J431" s="14" t="str">
        <f>IFERROR(INDEX(المرجع!$D$2:$D$19,MATCH($I431,المرجع!$E$2:$E$19,0)),"")</f>
        <v>الموارد</v>
      </c>
      <c r="K431" s="15">
        <f>IFERROR(INDEX(المرجع!$F$2:$F$19,MATCH($I431,المرجع!$E$2:$E$19,0)),"")</f>
        <v>5</v>
      </c>
      <c r="L431" s="15">
        <f>SUMIFS(المرجع!$H$2:$H$19,المرجع!$B$2:$B$19,$G431,المرجع!$E$2:$E$19,$I431)</f>
        <v>1</v>
      </c>
      <c r="M431" s="15">
        <f>COUNTIFS('المرتبطة بسمو الوزير'!$B$2:$B$151,$B431,'المرتبطة بسمو الوزير'!$G$2:$G$151,$G431,'المرتبطة بسمو الوزير'!$I$2:$I$151,$I431,'المرتبطة بسمو الوزير'!$M$2:$M$151,"&lt;&gt;")+COUNTIFS('الشؤون التنفيذية'!$B$2:$B$421,$B431,'الشؤون التنفيذية'!$G$2:$G$421,$G431,'الشؤون التنفيذية'!$I$2:$I$421,$I431,'الشؤون التنفيذية'!$N$2:$N$421,"&lt;&gt;")+COUNTIFS('الجهاز العسكري'!$B$2:$B$631,$B431,'الجهاز العسكري'!$G$2:$G$631,$G431,'الجهاز العسكري'!$I$2:$I$631,$I431,'الجهاز العسكري'!$M$2:$M$631,"&lt;&gt;")</f>
        <v>1</v>
      </c>
      <c r="N431" s="19">
        <f>IF($L431=0,0,ROUND((SUMIFS('المرتبطة بسمو الوزير'!$M$2:$M$151,'المرتبطة بسمو الوزير'!$B$2:$B$151,$B431,'المرتبطة بسمو الوزير'!$G$2:$G$151,$G431,'المرتبطة بسمو الوزير'!$I$2:$I$151,$I431)+SUMIFS('الشؤون التنفيذية'!$N$2:$N$421,'الشؤون التنفيذية'!$B$2:$B$421,$B431,'الشؤون التنفيذية'!$G$2:$G$421,$G431,'الشؤون التنفيذية'!$I$2:$I$421,$I431)+SUMIFS('الجهاز العسكري'!$M$2:$M$631,'الجهاز العسكري'!$B$2:$B$631,$B431,'الجهاز العسكري'!$G$2:$G$631,$G431,'الجهاز العسكري'!$I$2:$I$631,$I431))/$L431,0))</f>
        <v>49</v>
      </c>
      <c r="O431" s="18"/>
      <c r="P431" s="15">
        <f>SUMIFS(المرجع!$G$2:$G$19,المرجع!$B$2:$B$19,$G431,المرجع!$E$2:$E$19,$I431)</f>
        <v>15</v>
      </c>
      <c r="Q431" s="20">
        <f t="shared" si="7"/>
        <v>7.35</v>
      </c>
      <c r="R431" s="21" t="str">
        <f>IF($N431&gt;المرجع!$K$3,"متقدم",IF($N431&lt;=المرجع!$K$2,"أولي","جزئي"))</f>
        <v>جزئي</v>
      </c>
    </row>
    <row r="432" spans="1:18">
      <c r="A432" s="16" t="s">
        <v>1872</v>
      </c>
      <c r="B432" s="16" t="s">
        <v>198</v>
      </c>
      <c r="C432" s="15" t="str">
        <f>IFERROR(INDEX('قائمة الوحدات'!$B$2:$B$41,MATCH($B432,'قائمة الوحدات'!$A$2:$A$41,0)),"")</f>
        <v>MIL</v>
      </c>
      <c r="D432" s="14" t="str">
        <f>IFERROR(INDEX('قائمة الوحدات'!$C$2:$C$41,MATCH($B432,'قائمة الوحدات'!$A$2:$A$41,0)),"")</f>
        <v>الجهاز العسكري</v>
      </c>
      <c r="E432" s="14" t="str">
        <f>IFERROR(INDEX('قائمة الوحدات'!$D$2:$D$41,MATCH($B432,'قائمة الوحدات'!$A$2:$A$41,0)),"")</f>
        <v>قيادة قوات الدفاع الجوي</v>
      </c>
      <c r="F432" s="14" t="str">
        <f>IFERROR(INDEX('قائمة الوحدات'!$F$2:$F$41,MATCH($B432,'قائمة الوحدات'!$A$2:$A$41,0)),"")</f>
        <v>قيادة قوات الدفاع الجوي</v>
      </c>
      <c r="G432" s="16" t="s">
        <v>65</v>
      </c>
      <c r="H432" s="14" t="str">
        <f>IFERROR(INDEX(المرجع!$A$2:$A$19,MATCH($G432,المرجع!$B$2:$B$19,0)),"")</f>
        <v>التشغيل</v>
      </c>
      <c r="I432" s="16" t="s">
        <v>59</v>
      </c>
      <c r="J432" s="14" t="str">
        <f>IFERROR(INDEX(المرجع!$D$2:$D$19,MATCH($I432,المرجع!$E$2:$E$19,0)),"")</f>
        <v>الإجراءات</v>
      </c>
      <c r="K432" s="15">
        <f>IFERROR(INDEX(المرجع!$F$2:$F$19,MATCH($I432,المرجع!$E$2:$E$19,0)),"")</f>
        <v>6</v>
      </c>
      <c r="L432" s="15">
        <f>SUMIFS(المرجع!$H$2:$H$19,المرجع!$B$2:$B$19,$G432,المرجع!$E$2:$E$19,$I432)</f>
        <v>1</v>
      </c>
      <c r="M432" s="15">
        <f>COUNTIFS('المرتبطة بسمو الوزير'!$B$2:$B$151,$B432,'المرتبطة بسمو الوزير'!$G$2:$G$151,$G432,'المرتبطة بسمو الوزير'!$I$2:$I$151,$I432,'المرتبطة بسمو الوزير'!$M$2:$M$151,"&lt;&gt;")+COUNTIFS('الشؤون التنفيذية'!$B$2:$B$421,$B432,'الشؤون التنفيذية'!$G$2:$G$421,$G432,'الشؤون التنفيذية'!$I$2:$I$421,$I432,'الشؤون التنفيذية'!$N$2:$N$421,"&lt;&gt;")+COUNTIFS('الجهاز العسكري'!$B$2:$B$631,$B432,'الجهاز العسكري'!$G$2:$G$631,$G432,'الجهاز العسكري'!$I$2:$I$631,$I432,'الجهاز العسكري'!$M$2:$M$631,"&lt;&gt;")</f>
        <v>1</v>
      </c>
      <c r="N432" s="19">
        <f>IF($L432=0,0,ROUND((SUMIFS('المرتبطة بسمو الوزير'!$M$2:$M$151,'المرتبطة بسمو الوزير'!$B$2:$B$151,$B432,'المرتبطة بسمو الوزير'!$G$2:$G$151,$G432,'المرتبطة بسمو الوزير'!$I$2:$I$151,$I432)+SUMIFS('الشؤون التنفيذية'!$N$2:$N$421,'الشؤون التنفيذية'!$B$2:$B$421,$B432,'الشؤون التنفيذية'!$G$2:$G$421,$G432,'الشؤون التنفيذية'!$I$2:$I$421,$I432)+SUMIFS('الجهاز العسكري'!$M$2:$M$631,'الجهاز العسكري'!$B$2:$B$631,$B432,'الجهاز العسكري'!$G$2:$G$631,$G432,'الجهاز العسكري'!$I$2:$I$631,$I432))/$L432,0))</f>
        <v>24</v>
      </c>
      <c r="O432" s="18"/>
      <c r="P432" s="15">
        <f>SUMIFS(المرجع!$G$2:$G$19,المرجع!$B$2:$B$19,$G432,المرجع!$E$2:$E$19,$I432)</f>
        <v>15</v>
      </c>
      <c r="Q432" s="20">
        <f t="shared" si="7"/>
        <v>3.6</v>
      </c>
      <c r="R432" s="21" t="str">
        <f>IF($N432&gt;المرجع!$K$3,"متقدم",IF($N432&lt;=المرجع!$K$2,"أولي","جزئي"))</f>
        <v>أولي</v>
      </c>
    </row>
    <row r="433" spans="1:18">
      <c r="A433" s="16" t="s">
        <v>1873</v>
      </c>
      <c r="B433" s="16" t="s">
        <v>198</v>
      </c>
      <c r="C433" s="15" t="str">
        <f>IFERROR(INDEX('قائمة الوحدات'!$B$2:$B$41,MATCH($B433,'قائمة الوحدات'!$A$2:$A$41,0)),"")</f>
        <v>MIL</v>
      </c>
      <c r="D433" s="14" t="str">
        <f>IFERROR(INDEX('قائمة الوحدات'!$C$2:$C$41,MATCH($B433,'قائمة الوحدات'!$A$2:$A$41,0)),"")</f>
        <v>الجهاز العسكري</v>
      </c>
      <c r="E433" s="14" t="str">
        <f>IFERROR(INDEX('قائمة الوحدات'!$D$2:$D$41,MATCH($B433,'قائمة الوحدات'!$A$2:$A$41,0)),"")</f>
        <v>قيادة قوات الدفاع الجوي</v>
      </c>
      <c r="F433" s="14" t="str">
        <f>IFERROR(INDEX('قائمة الوحدات'!$F$2:$F$41,MATCH($B433,'قائمة الوحدات'!$A$2:$A$41,0)),"")</f>
        <v>قيادة قوات الدفاع الجوي</v>
      </c>
      <c r="G433" s="16" t="s">
        <v>65</v>
      </c>
      <c r="H433" s="14" t="str">
        <f>IFERROR(INDEX(المرجع!$A$2:$A$19,MATCH($G433,المرجع!$B$2:$B$19,0)),"")</f>
        <v>التشغيل</v>
      </c>
      <c r="I433" s="16" t="s">
        <v>67</v>
      </c>
      <c r="J433" s="14" t="str">
        <f>IFERROR(INDEX(المرجع!$D$2:$D$19,MATCH($I433,المرجع!$E$2:$E$19,0)),"")</f>
        <v>اكتمال المخرجات المستهدفة</v>
      </c>
      <c r="K433" s="15">
        <f>IFERROR(INDEX(المرجع!$F$2:$F$19,MATCH($I433,المرجع!$E$2:$E$19,0)),"")</f>
        <v>8</v>
      </c>
      <c r="L433" s="15">
        <f>SUMIFS(المرجع!$H$2:$H$19,المرجع!$B$2:$B$19,$G433,المرجع!$E$2:$E$19,$I433)</f>
        <v>1</v>
      </c>
      <c r="M433" s="15">
        <f>COUNTIFS('المرتبطة بسمو الوزير'!$B$2:$B$151,$B433,'المرتبطة بسمو الوزير'!$G$2:$G$151,$G433,'المرتبطة بسمو الوزير'!$I$2:$I$151,$I433,'المرتبطة بسمو الوزير'!$M$2:$M$151,"&lt;&gt;")+COUNTIFS('الشؤون التنفيذية'!$B$2:$B$421,$B433,'الشؤون التنفيذية'!$G$2:$G$421,$G433,'الشؤون التنفيذية'!$I$2:$I$421,$I433,'الشؤون التنفيذية'!$N$2:$N$421,"&lt;&gt;")+COUNTIFS('الجهاز العسكري'!$B$2:$B$631,$B433,'الجهاز العسكري'!$G$2:$G$631,$G433,'الجهاز العسكري'!$I$2:$I$631,$I433,'الجهاز العسكري'!$M$2:$M$631,"&lt;&gt;")</f>
        <v>1</v>
      </c>
      <c r="N433" s="19">
        <f>IF($L433=0,0,ROUND((SUMIFS('المرتبطة بسمو الوزير'!$M$2:$M$151,'المرتبطة بسمو الوزير'!$B$2:$B$151,$B433,'المرتبطة بسمو الوزير'!$G$2:$G$151,$G433,'المرتبطة بسمو الوزير'!$I$2:$I$151,$I433)+SUMIFS('الشؤون التنفيذية'!$N$2:$N$421,'الشؤون التنفيذية'!$B$2:$B$421,$B433,'الشؤون التنفيذية'!$G$2:$G$421,$G433,'الشؤون التنفيذية'!$I$2:$I$421,$I433)+SUMIFS('الجهاز العسكري'!$M$2:$M$631,'الجهاز العسكري'!$B$2:$B$631,$B433,'الجهاز العسكري'!$G$2:$G$631,$G433,'الجهاز العسكري'!$I$2:$I$631,$I433))/$L433,0))</f>
        <v>59</v>
      </c>
      <c r="O433" s="18"/>
      <c r="P433" s="15">
        <f>SUMIFS(المرجع!$G$2:$G$19,المرجع!$B$2:$B$19,$G433,المرجع!$E$2:$E$19,$I433)</f>
        <v>30</v>
      </c>
      <c r="Q433" s="20">
        <f t="shared" si="7"/>
        <v>17.7</v>
      </c>
      <c r="R433" s="21" t="str">
        <f>IF($N433&gt;المرجع!$K$3,"متقدم",IF($N433&lt;=المرجع!$K$2,"أولي","جزئي"))</f>
        <v>جزئي</v>
      </c>
    </row>
    <row r="434" spans="1:18">
      <c r="A434" s="16" t="s">
        <v>1874</v>
      </c>
      <c r="B434" s="16" t="s">
        <v>200</v>
      </c>
      <c r="C434" s="15" t="str">
        <f>IFERROR(INDEX('قائمة الوحدات'!$B$2:$B$41,MATCH($B434,'قائمة الوحدات'!$A$2:$A$41,0)),"")</f>
        <v>MIL</v>
      </c>
      <c r="D434" s="14" t="str">
        <f>IFERROR(INDEX('قائمة الوحدات'!$C$2:$C$41,MATCH($B434,'قائمة الوحدات'!$A$2:$A$41,0)),"")</f>
        <v>الجهاز العسكري</v>
      </c>
      <c r="E434" s="14" t="str">
        <f>IFERROR(INDEX('قائمة الوحدات'!$D$2:$D$41,MATCH($B434,'قائمة الوحدات'!$A$2:$A$41,0)),"")</f>
        <v>قيادة القوات الاستراتيجية</v>
      </c>
      <c r="F434" s="14" t="str">
        <f>IFERROR(INDEX('قائمة الوحدات'!$F$2:$F$41,MATCH($B434,'قائمة الوحدات'!$A$2:$A$41,0)),"")</f>
        <v>قيادة القوات الاستراتيجية</v>
      </c>
      <c r="G434" s="16" t="s">
        <v>43</v>
      </c>
      <c r="H434" s="14" t="str">
        <f>IFERROR(INDEX(المرجع!$A$2:$A$19,MATCH($G434,المرجع!$B$2:$B$19,0)),"")</f>
        <v>التصميم</v>
      </c>
      <c r="I434" s="16" t="s">
        <v>45</v>
      </c>
      <c r="J434" s="14" t="str">
        <f>IFERROR(INDEX(المرجع!$D$2:$D$19,MATCH($I434,المرجع!$E$2:$E$19,0)),"")</f>
        <v>الدور</v>
      </c>
      <c r="K434" s="15">
        <f>IFERROR(INDEX(المرجع!$F$2:$F$19,MATCH($I434,المرجع!$E$2:$E$19,0)),"")</f>
        <v>1</v>
      </c>
      <c r="L434" s="15">
        <f>SUMIFS(المرجع!$H$2:$H$19,المرجع!$B$2:$B$19,$G434,المرجع!$E$2:$E$19,$I434)</f>
        <v>1</v>
      </c>
      <c r="M434" s="15">
        <f>COUNTIFS('المرتبطة بسمو الوزير'!$B$2:$B$151,$B434,'المرتبطة بسمو الوزير'!$G$2:$G$151,$G434,'المرتبطة بسمو الوزير'!$I$2:$I$151,$I434,'المرتبطة بسمو الوزير'!$M$2:$M$151,"&lt;&gt;")+COUNTIFS('الشؤون التنفيذية'!$B$2:$B$421,$B434,'الشؤون التنفيذية'!$G$2:$G$421,$G434,'الشؤون التنفيذية'!$I$2:$I$421,$I434,'الشؤون التنفيذية'!$N$2:$N$421,"&lt;&gt;")+COUNTIFS('الجهاز العسكري'!$B$2:$B$631,$B434,'الجهاز العسكري'!$G$2:$G$631,$G434,'الجهاز العسكري'!$I$2:$I$631,$I434,'الجهاز العسكري'!$M$2:$M$631,"&lt;&gt;")</f>
        <v>1</v>
      </c>
      <c r="N434" s="19">
        <f>IF($L434=0,0,ROUND((SUMIFS('المرتبطة بسمو الوزير'!$M$2:$M$151,'المرتبطة بسمو الوزير'!$B$2:$B$151,$B434,'المرتبطة بسمو الوزير'!$G$2:$G$151,$G434,'المرتبطة بسمو الوزير'!$I$2:$I$151,$I434)+SUMIFS('الشؤون التنفيذية'!$N$2:$N$421,'الشؤون التنفيذية'!$B$2:$B$421,$B434,'الشؤون التنفيذية'!$G$2:$G$421,$G434,'الشؤون التنفيذية'!$I$2:$I$421,$I434)+SUMIFS('الجهاز العسكري'!$M$2:$M$631,'الجهاز العسكري'!$B$2:$B$631,$B434,'الجهاز العسكري'!$G$2:$G$631,$G434,'الجهاز العسكري'!$I$2:$I$631,$I434))/$L434,0))</f>
        <v>87</v>
      </c>
      <c r="O434" s="18"/>
      <c r="P434" s="15">
        <f>SUMIFS(المرجع!$G$2:$G$19,المرجع!$B$2:$B$19,$G434,المرجع!$E$2:$E$19,$I434)</f>
        <v>25</v>
      </c>
      <c r="Q434" s="20">
        <f t="shared" si="7"/>
        <v>21.75</v>
      </c>
      <c r="R434" s="21" t="str">
        <f>IF($N434&gt;المرجع!$K$3,"متقدم",IF($N434&lt;=المرجع!$K$2,"أولي","جزئي"))</f>
        <v>متقدم</v>
      </c>
    </row>
    <row r="435" spans="1:18">
      <c r="A435" s="16" t="s">
        <v>1875</v>
      </c>
      <c r="B435" s="16" t="s">
        <v>200</v>
      </c>
      <c r="C435" s="15" t="str">
        <f>IFERROR(INDEX('قائمة الوحدات'!$B$2:$B$41,MATCH($B435,'قائمة الوحدات'!$A$2:$A$41,0)),"")</f>
        <v>MIL</v>
      </c>
      <c r="D435" s="14" t="str">
        <f>IFERROR(INDEX('قائمة الوحدات'!$C$2:$C$41,MATCH($B435,'قائمة الوحدات'!$A$2:$A$41,0)),"")</f>
        <v>الجهاز العسكري</v>
      </c>
      <c r="E435" s="14" t="str">
        <f>IFERROR(INDEX('قائمة الوحدات'!$D$2:$D$41,MATCH($B435,'قائمة الوحدات'!$A$2:$A$41,0)),"")</f>
        <v>قيادة القوات الاستراتيجية</v>
      </c>
      <c r="F435" s="14" t="str">
        <f>IFERROR(INDEX('قائمة الوحدات'!$F$2:$F$41,MATCH($B435,'قائمة الوحدات'!$A$2:$A$41,0)),"")</f>
        <v>قيادة القوات الاستراتيجية</v>
      </c>
      <c r="G435" s="16" t="s">
        <v>43</v>
      </c>
      <c r="H435" s="14" t="str">
        <f>IFERROR(INDEX(المرجع!$A$2:$A$19,MATCH($G435,المرجع!$B$2:$B$19,0)),"")</f>
        <v>التصميم</v>
      </c>
      <c r="I435" s="16" t="s">
        <v>48</v>
      </c>
      <c r="J435" s="14" t="str">
        <f>IFERROR(INDEX(المرجع!$D$2:$D$19,MATCH($I435,المرجع!$E$2:$E$19,0)),"")</f>
        <v>الأهداف ومؤشرات الأداء</v>
      </c>
      <c r="K435" s="15">
        <f>IFERROR(INDEX(المرجع!$F$2:$F$19,MATCH($I435,المرجع!$E$2:$E$19,0)),"")</f>
        <v>2</v>
      </c>
      <c r="L435" s="15">
        <f>SUMIFS(المرجع!$H$2:$H$19,المرجع!$B$2:$B$19,$G435,المرجع!$E$2:$E$19,$I435)</f>
        <v>2</v>
      </c>
      <c r="M435" s="15">
        <f>COUNTIFS('المرتبطة بسمو الوزير'!$B$2:$B$151,$B435,'المرتبطة بسمو الوزير'!$G$2:$G$151,$G435,'المرتبطة بسمو الوزير'!$I$2:$I$151,$I435,'المرتبطة بسمو الوزير'!$M$2:$M$151,"&lt;&gt;")+COUNTIFS('الشؤون التنفيذية'!$B$2:$B$421,$B435,'الشؤون التنفيذية'!$G$2:$G$421,$G435,'الشؤون التنفيذية'!$I$2:$I$421,$I435,'الشؤون التنفيذية'!$N$2:$N$421,"&lt;&gt;")+COUNTIFS('الجهاز العسكري'!$B$2:$B$631,$B435,'الجهاز العسكري'!$G$2:$G$631,$G435,'الجهاز العسكري'!$I$2:$I$631,$I435,'الجهاز العسكري'!$M$2:$M$631,"&lt;&gt;")</f>
        <v>2</v>
      </c>
      <c r="N435" s="19">
        <f>IF($L435=0,0,ROUND((SUMIFS('المرتبطة بسمو الوزير'!$M$2:$M$151,'المرتبطة بسمو الوزير'!$B$2:$B$151,$B435,'المرتبطة بسمو الوزير'!$G$2:$G$151,$G435,'المرتبطة بسمو الوزير'!$I$2:$I$151,$I435)+SUMIFS('الشؤون التنفيذية'!$N$2:$N$421,'الشؤون التنفيذية'!$B$2:$B$421,$B435,'الشؤون التنفيذية'!$G$2:$G$421,$G435,'الشؤون التنفيذية'!$I$2:$I$421,$I435)+SUMIFS('الجهاز العسكري'!$M$2:$M$631,'الجهاز العسكري'!$B$2:$B$631,$B435,'الجهاز العسكري'!$G$2:$G$631,$G435,'الجهاز العسكري'!$I$2:$I$631,$I435))/$L435,0))</f>
        <v>83</v>
      </c>
      <c r="O435" s="18"/>
      <c r="P435" s="15">
        <f>SUMIFS(المرجع!$G$2:$G$19,المرجع!$B$2:$B$19,$G435,المرجع!$E$2:$E$19,$I435)</f>
        <v>15</v>
      </c>
      <c r="Q435" s="20">
        <f t="shared" si="7"/>
        <v>12.45</v>
      </c>
      <c r="R435" s="21" t="str">
        <f>IF($N435&gt;المرجع!$K$3,"متقدم",IF($N435&lt;=المرجع!$K$2,"أولي","جزئي"))</f>
        <v>متقدم</v>
      </c>
    </row>
    <row r="436" spans="1:18">
      <c r="A436" s="16" t="s">
        <v>1876</v>
      </c>
      <c r="B436" s="16" t="s">
        <v>200</v>
      </c>
      <c r="C436" s="15" t="str">
        <f>IFERROR(INDEX('قائمة الوحدات'!$B$2:$B$41,MATCH($B436,'قائمة الوحدات'!$A$2:$A$41,0)),"")</f>
        <v>MIL</v>
      </c>
      <c r="D436" s="14" t="str">
        <f>IFERROR(INDEX('قائمة الوحدات'!$C$2:$C$41,MATCH($B436,'قائمة الوحدات'!$A$2:$A$41,0)),"")</f>
        <v>الجهاز العسكري</v>
      </c>
      <c r="E436" s="14" t="str">
        <f>IFERROR(INDEX('قائمة الوحدات'!$D$2:$D$41,MATCH($B436,'قائمة الوحدات'!$A$2:$A$41,0)),"")</f>
        <v>قيادة القوات الاستراتيجية</v>
      </c>
      <c r="F436" s="14" t="str">
        <f>IFERROR(INDEX('قائمة الوحدات'!$F$2:$F$41,MATCH($B436,'قائمة الوحدات'!$A$2:$A$41,0)),"")</f>
        <v>قيادة القوات الاستراتيجية</v>
      </c>
      <c r="G436" s="16" t="s">
        <v>43</v>
      </c>
      <c r="H436" s="14" t="str">
        <f>IFERROR(INDEX(المرجع!$A$2:$A$19,MATCH($G436,المرجع!$B$2:$B$19,0)),"")</f>
        <v>التصميم</v>
      </c>
      <c r="I436" s="16" t="s">
        <v>51</v>
      </c>
      <c r="J436" s="14" t="str">
        <f>IFERROR(INDEX(المرجع!$D$2:$D$19,MATCH($I436,المرجع!$E$2:$E$19,0)),"")</f>
        <v>الحوكمة</v>
      </c>
      <c r="K436" s="15">
        <f>IFERROR(INDEX(المرجع!$F$2:$F$19,MATCH($I436,المرجع!$E$2:$E$19,0)),"")</f>
        <v>3</v>
      </c>
      <c r="L436" s="15">
        <f>SUMIFS(المرجع!$H$2:$H$19,المرجع!$B$2:$B$19,$G436,المرجع!$E$2:$E$19,$I436)</f>
        <v>1</v>
      </c>
      <c r="M436" s="15">
        <f>COUNTIFS('المرتبطة بسمو الوزير'!$B$2:$B$151,$B436,'المرتبطة بسمو الوزير'!$G$2:$G$151,$G436,'المرتبطة بسمو الوزير'!$I$2:$I$151,$I436,'المرتبطة بسمو الوزير'!$M$2:$M$151,"&lt;&gt;")+COUNTIFS('الشؤون التنفيذية'!$B$2:$B$421,$B436,'الشؤون التنفيذية'!$G$2:$G$421,$G436,'الشؤون التنفيذية'!$I$2:$I$421,$I436,'الشؤون التنفيذية'!$N$2:$N$421,"&lt;&gt;")+COUNTIFS('الجهاز العسكري'!$B$2:$B$631,$B436,'الجهاز العسكري'!$G$2:$G$631,$G436,'الجهاز العسكري'!$I$2:$I$631,$I436,'الجهاز العسكري'!$M$2:$M$631,"&lt;&gt;")</f>
        <v>1</v>
      </c>
      <c r="N436" s="19">
        <f>IF($L436=0,0,ROUND((SUMIFS('المرتبطة بسمو الوزير'!$M$2:$M$151,'المرتبطة بسمو الوزير'!$B$2:$B$151,$B436,'المرتبطة بسمو الوزير'!$G$2:$G$151,$G436,'المرتبطة بسمو الوزير'!$I$2:$I$151,$I436)+SUMIFS('الشؤون التنفيذية'!$N$2:$N$421,'الشؤون التنفيذية'!$B$2:$B$421,$B436,'الشؤون التنفيذية'!$G$2:$G$421,$G436,'الشؤون التنفيذية'!$I$2:$I$421,$I436)+SUMIFS('الجهاز العسكري'!$M$2:$M$631,'الجهاز العسكري'!$B$2:$B$631,$B436,'الجهاز العسكري'!$G$2:$G$631,$G436,'الجهاز العسكري'!$I$2:$I$631,$I436))/$L436,0))</f>
        <v>90</v>
      </c>
      <c r="O436" s="18"/>
      <c r="P436" s="15">
        <f>SUMIFS(المرجع!$G$2:$G$19,المرجع!$B$2:$B$19,$G436,المرجع!$E$2:$E$19,$I436)</f>
        <v>15</v>
      </c>
      <c r="Q436" s="20">
        <f t="shared" si="7"/>
        <v>13.5</v>
      </c>
      <c r="R436" s="21" t="str">
        <f>IF($N436&gt;المرجع!$K$3,"متقدم",IF($N436&lt;=المرجع!$K$2,"أولي","جزئي"))</f>
        <v>متقدم</v>
      </c>
    </row>
    <row r="437" spans="1:18">
      <c r="A437" s="16" t="s">
        <v>1877</v>
      </c>
      <c r="B437" s="16" t="s">
        <v>200</v>
      </c>
      <c r="C437" s="15" t="str">
        <f>IFERROR(INDEX('قائمة الوحدات'!$B$2:$B$41,MATCH($B437,'قائمة الوحدات'!$A$2:$A$41,0)),"")</f>
        <v>MIL</v>
      </c>
      <c r="D437" s="14" t="str">
        <f>IFERROR(INDEX('قائمة الوحدات'!$C$2:$C$41,MATCH($B437,'قائمة الوحدات'!$A$2:$A$41,0)),"")</f>
        <v>الجهاز العسكري</v>
      </c>
      <c r="E437" s="14" t="str">
        <f>IFERROR(INDEX('قائمة الوحدات'!$D$2:$D$41,MATCH($B437,'قائمة الوحدات'!$A$2:$A$41,0)),"")</f>
        <v>قيادة القوات الاستراتيجية</v>
      </c>
      <c r="F437" s="14" t="str">
        <f>IFERROR(INDEX('قائمة الوحدات'!$F$2:$F$41,MATCH($B437,'قائمة الوحدات'!$A$2:$A$41,0)),"")</f>
        <v>قيادة القوات الاستراتيجية</v>
      </c>
      <c r="G437" s="16" t="s">
        <v>43</v>
      </c>
      <c r="H437" s="14" t="str">
        <f>IFERROR(INDEX(المرجع!$A$2:$A$19,MATCH($G437,المرجع!$B$2:$B$19,0)),"")</f>
        <v>التصميم</v>
      </c>
      <c r="I437" s="16" t="s">
        <v>54</v>
      </c>
      <c r="J437" s="14" t="str">
        <f>IFERROR(INDEX(المرجع!$D$2:$D$19,MATCH($I437,المرجع!$E$2:$E$19,0)),"")</f>
        <v>التنظيم</v>
      </c>
      <c r="K437" s="15">
        <f>IFERROR(INDEX(المرجع!$F$2:$F$19,MATCH($I437,المرجع!$E$2:$E$19,0)),"")</f>
        <v>4</v>
      </c>
      <c r="L437" s="15">
        <f>SUMIFS(المرجع!$H$2:$H$19,المرجع!$B$2:$B$19,$G437,المرجع!$E$2:$E$19,$I437)</f>
        <v>1</v>
      </c>
      <c r="M437" s="15">
        <f>COUNTIFS('المرتبطة بسمو الوزير'!$B$2:$B$151,$B437,'المرتبطة بسمو الوزير'!$G$2:$G$151,$G437,'المرتبطة بسمو الوزير'!$I$2:$I$151,$I437,'المرتبطة بسمو الوزير'!$M$2:$M$151,"&lt;&gt;")+COUNTIFS('الشؤون التنفيذية'!$B$2:$B$421,$B437,'الشؤون التنفيذية'!$G$2:$G$421,$G437,'الشؤون التنفيذية'!$I$2:$I$421,$I437,'الشؤون التنفيذية'!$N$2:$N$421,"&lt;&gt;")+COUNTIFS('الجهاز العسكري'!$B$2:$B$631,$B437,'الجهاز العسكري'!$G$2:$G$631,$G437,'الجهاز العسكري'!$I$2:$I$631,$I437,'الجهاز العسكري'!$M$2:$M$631,"&lt;&gt;")</f>
        <v>1</v>
      </c>
      <c r="N437" s="19">
        <f>IF($L437=0,0,ROUND((SUMIFS('المرتبطة بسمو الوزير'!$M$2:$M$151,'المرتبطة بسمو الوزير'!$B$2:$B$151,$B437,'المرتبطة بسمو الوزير'!$G$2:$G$151,$G437,'المرتبطة بسمو الوزير'!$I$2:$I$151,$I437)+SUMIFS('الشؤون التنفيذية'!$N$2:$N$421,'الشؤون التنفيذية'!$B$2:$B$421,$B437,'الشؤون التنفيذية'!$G$2:$G$421,$G437,'الشؤون التنفيذية'!$I$2:$I$421,$I437)+SUMIFS('الجهاز العسكري'!$M$2:$M$631,'الجهاز العسكري'!$B$2:$B$631,$B437,'الجهاز العسكري'!$G$2:$G$631,$G437,'الجهاز العسكري'!$I$2:$I$631,$I437))/$L437,0))</f>
        <v>79</v>
      </c>
      <c r="O437" s="18"/>
      <c r="P437" s="15">
        <f>SUMIFS(المرجع!$G$2:$G$19,المرجع!$B$2:$B$19,$G437,المرجع!$E$2:$E$19,$I437)</f>
        <v>20</v>
      </c>
      <c r="Q437" s="20">
        <f t="shared" si="7"/>
        <v>15.8</v>
      </c>
      <c r="R437" s="21" t="str">
        <f>IF($N437&gt;المرجع!$K$3,"متقدم",IF($N437&lt;=المرجع!$K$2,"أولي","جزئي"))</f>
        <v>متقدم</v>
      </c>
    </row>
    <row r="438" spans="1:18">
      <c r="A438" s="16" t="s">
        <v>1878</v>
      </c>
      <c r="B438" s="16" t="s">
        <v>200</v>
      </c>
      <c r="C438" s="15" t="str">
        <f>IFERROR(INDEX('قائمة الوحدات'!$B$2:$B$41,MATCH($B438,'قائمة الوحدات'!$A$2:$A$41,0)),"")</f>
        <v>MIL</v>
      </c>
      <c r="D438" s="14" t="str">
        <f>IFERROR(INDEX('قائمة الوحدات'!$C$2:$C$41,MATCH($B438,'قائمة الوحدات'!$A$2:$A$41,0)),"")</f>
        <v>الجهاز العسكري</v>
      </c>
      <c r="E438" s="14" t="str">
        <f>IFERROR(INDEX('قائمة الوحدات'!$D$2:$D$41,MATCH($B438,'قائمة الوحدات'!$A$2:$A$41,0)),"")</f>
        <v>قيادة القوات الاستراتيجية</v>
      </c>
      <c r="F438" s="14" t="str">
        <f>IFERROR(INDEX('قائمة الوحدات'!$F$2:$F$41,MATCH($B438,'قائمة الوحدات'!$A$2:$A$41,0)),"")</f>
        <v>قيادة القوات الاستراتيجية</v>
      </c>
      <c r="G438" s="16" t="s">
        <v>43</v>
      </c>
      <c r="H438" s="14" t="str">
        <f>IFERROR(INDEX(المرجع!$A$2:$A$19,MATCH($G438,المرجع!$B$2:$B$19,0)),"")</f>
        <v>التصميم</v>
      </c>
      <c r="I438" s="16" t="s">
        <v>56</v>
      </c>
      <c r="J438" s="14" t="str">
        <f>IFERROR(INDEX(المرجع!$D$2:$D$19,MATCH($I438,المرجع!$E$2:$E$19,0)),"")</f>
        <v>الموارد</v>
      </c>
      <c r="K438" s="15">
        <f>IFERROR(INDEX(المرجع!$F$2:$F$19,MATCH($I438,المرجع!$E$2:$E$19,0)),"")</f>
        <v>5</v>
      </c>
      <c r="L438" s="15">
        <f>SUMIFS(المرجع!$H$2:$H$19,المرجع!$B$2:$B$19,$G438,المرجع!$E$2:$E$19,$I438)</f>
        <v>1</v>
      </c>
      <c r="M438" s="15">
        <f>COUNTIFS('المرتبطة بسمو الوزير'!$B$2:$B$151,$B438,'المرتبطة بسمو الوزير'!$G$2:$G$151,$G438,'المرتبطة بسمو الوزير'!$I$2:$I$151,$I438,'المرتبطة بسمو الوزير'!$M$2:$M$151,"&lt;&gt;")+COUNTIFS('الشؤون التنفيذية'!$B$2:$B$421,$B438,'الشؤون التنفيذية'!$G$2:$G$421,$G438,'الشؤون التنفيذية'!$I$2:$I$421,$I438,'الشؤون التنفيذية'!$N$2:$N$421,"&lt;&gt;")+COUNTIFS('الجهاز العسكري'!$B$2:$B$631,$B438,'الجهاز العسكري'!$G$2:$G$631,$G438,'الجهاز العسكري'!$I$2:$I$631,$I438,'الجهاز العسكري'!$M$2:$M$631,"&lt;&gt;")</f>
        <v>1</v>
      </c>
      <c r="N438" s="19">
        <f>IF($L438=0,0,ROUND((SUMIFS('المرتبطة بسمو الوزير'!$M$2:$M$151,'المرتبطة بسمو الوزير'!$B$2:$B$151,$B438,'المرتبطة بسمو الوزير'!$G$2:$G$151,$G438,'المرتبطة بسمو الوزير'!$I$2:$I$151,$I438)+SUMIFS('الشؤون التنفيذية'!$N$2:$N$421,'الشؤون التنفيذية'!$B$2:$B$421,$B438,'الشؤون التنفيذية'!$G$2:$G$421,$G438,'الشؤون التنفيذية'!$I$2:$I$421,$I438)+SUMIFS('الجهاز العسكري'!$M$2:$M$631,'الجهاز العسكري'!$B$2:$B$631,$B438,'الجهاز العسكري'!$G$2:$G$631,$G438,'الجهاز العسكري'!$I$2:$I$631,$I438))/$L438,0))</f>
        <v>88</v>
      </c>
      <c r="O438" s="18"/>
      <c r="P438" s="15">
        <f>SUMIFS(المرجع!$G$2:$G$19,المرجع!$B$2:$B$19,$G438,المرجع!$E$2:$E$19,$I438)</f>
        <v>20</v>
      </c>
      <c r="Q438" s="20">
        <f t="shared" si="7"/>
        <v>17.600000000000001</v>
      </c>
      <c r="R438" s="21" t="str">
        <f>IF($N438&gt;المرجع!$K$3,"متقدم",IF($N438&lt;=المرجع!$K$2,"أولي","جزئي"))</f>
        <v>متقدم</v>
      </c>
    </row>
    <row r="439" spans="1:18">
      <c r="A439" s="16" t="s">
        <v>1879</v>
      </c>
      <c r="B439" s="16" t="s">
        <v>200</v>
      </c>
      <c r="C439" s="15" t="str">
        <f>IFERROR(INDEX('قائمة الوحدات'!$B$2:$B$41,MATCH($B439,'قائمة الوحدات'!$A$2:$A$41,0)),"")</f>
        <v>MIL</v>
      </c>
      <c r="D439" s="14" t="str">
        <f>IFERROR(INDEX('قائمة الوحدات'!$C$2:$C$41,MATCH($B439,'قائمة الوحدات'!$A$2:$A$41,0)),"")</f>
        <v>الجهاز العسكري</v>
      </c>
      <c r="E439" s="14" t="str">
        <f>IFERROR(INDEX('قائمة الوحدات'!$D$2:$D$41,MATCH($B439,'قائمة الوحدات'!$A$2:$A$41,0)),"")</f>
        <v>قيادة القوات الاستراتيجية</v>
      </c>
      <c r="F439" s="14" t="str">
        <f>IFERROR(INDEX('قائمة الوحدات'!$F$2:$F$41,MATCH($B439,'قائمة الوحدات'!$A$2:$A$41,0)),"")</f>
        <v>قيادة القوات الاستراتيجية</v>
      </c>
      <c r="G439" s="16" t="s">
        <v>43</v>
      </c>
      <c r="H439" s="14" t="str">
        <f>IFERROR(INDEX(المرجع!$A$2:$A$19,MATCH($G439,المرجع!$B$2:$B$19,0)),"")</f>
        <v>التصميم</v>
      </c>
      <c r="I439" s="16" t="s">
        <v>59</v>
      </c>
      <c r="J439" s="14" t="str">
        <f>IFERROR(INDEX(المرجع!$D$2:$D$19,MATCH($I439,المرجع!$E$2:$E$19,0)),"")</f>
        <v>الإجراءات</v>
      </c>
      <c r="K439" s="15">
        <f>IFERROR(INDEX(المرجع!$F$2:$F$19,MATCH($I439,المرجع!$E$2:$E$19,0)),"")</f>
        <v>6</v>
      </c>
      <c r="L439" s="15">
        <f>SUMIFS(المرجع!$H$2:$H$19,المرجع!$B$2:$B$19,$G439,المرجع!$E$2:$E$19,$I439)</f>
        <v>1</v>
      </c>
      <c r="M439" s="15">
        <f>COUNTIFS('المرتبطة بسمو الوزير'!$B$2:$B$151,$B439,'المرتبطة بسمو الوزير'!$G$2:$G$151,$G439,'المرتبطة بسمو الوزير'!$I$2:$I$151,$I439,'المرتبطة بسمو الوزير'!$M$2:$M$151,"&lt;&gt;")+COUNTIFS('الشؤون التنفيذية'!$B$2:$B$421,$B439,'الشؤون التنفيذية'!$G$2:$G$421,$G439,'الشؤون التنفيذية'!$I$2:$I$421,$I439,'الشؤون التنفيذية'!$N$2:$N$421,"&lt;&gt;")+COUNTIFS('الجهاز العسكري'!$B$2:$B$631,$B439,'الجهاز العسكري'!$G$2:$G$631,$G439,'الجهاز العسكري'!$I$2:$I$631,$I439,'الجهاز العسكري'!$M$2:$M$631,"&lt;&gt;")</f>
        <v>1</v>
      </c>
      <c r="N439" s="19">
        <f>IF($L439=0,0,ROUND((SUMIFS('المرتبطة بسمو الوزير'!$M$2:$M$151,'المرتبطة بسمو الوزير'!$B$2:$B$151,$B439,'المرتبطة بسمو الوزير'!$G$2:$G$151,$G439,'المرتبطة بسمو الوزير'!$I$2:$I$151,$I439)+SUMIFS('الشؤون التنفيذية'!$N$2:$N$421,'الشؤون التنفيذية'!$B$2:$B$421,$B439,'الشؤون التنفيذية'!$G$2:$G$421,$G439,'الشؤون التنفيذية'!$I$2:$I$421,$I439)+SUMIFS('الجهاز العسكري'!$M$2:$M$631,'الجهاز العسكري'!$B$2:$B$631,$B439,'الجهاز العسكري'!$G$2:$G$631,$G439,'الجهاز العسكري'!$I$2:$I$631,$I439))/$L439,0))</f>
        <v>73</v>
      </c>
      <c r="O439" s="18"/>
      <c r="P439" s="15">
        <f>SUMIFS(المرجع!$G$2:$G$19,المرجع!$B$2:$B$19,$G439,المرجع!$E$2:$E$19,$I439)</f>
        <v>5</v>
      </c>
      <c r="Q439" s="20">
        <f t="shared" si="7"/>
        <v>3.65</v>
      </c>
      <c r="R439" s="21" t="str">
        <f>IF($N439&gt;المرجع!$K$3,"متقدم",IF($N439&lt;=المرجع!$K$2,"أولي","جزئي"))</f>
        <v>متقدم</v>
      </c>
    </row>
    <row r="440" spans="1:18">
      <c r="A440" s="16" t="s">
        <v>1880</v>
      </c>
      <c r="B440" s="16" t="s">
        <v>200</v>
      </c>
      <c r="C440" s="15" t="str">
        <f>IFERROR(INDEX('قائمة الوحدات'!$B$2:$B$41,MATCH($B440,'قائمة الوحدات'!$A$2:$A$41,0)),"")</f>
        <v>MIL</v>
      </c>
      <c r="D440" s="14" t="str">
        <f>IFERROR(INDEX('قائمة الوحدات'!$C$2:$C$41,MATCH($B440,'قائمة الوحدات'!$A$2:$A$41,0)),"")</f>
        <v>الجهاز العسكري</v>
      </c>
      <c r="E440" s="14" t="str">
        <f>IFERROR(INDEX('قائمة الوحدات'!$D$2:$D$41,MATCH($B440,'قائمة الوحدات'!$A$2:$A$41,0)),"")</f>
        <v>قيادة القوات الاستراتيجية</v>
      </c>
      <c r="F440" s="14" t="str">
        <f>IFERROR(INDEX('قائمة الوحدات'!$F$2:$F$41,MATCH($B440,'قائمة الوحدات'!$A$2:$A$41,0)),"")</f>
        <v>قيادة القوات الاستراتيجية</v>
      </c>
      <c r="G440" s="16" t="s">
        <v>61</v>
      </c>
      <c r="H440" s="14" t="str">
        <f>IFERROR(INDEX(المرجع!$A$2:$A$19,MATCH($G440,المرجع!$B$2:$B$19,0)),"")</f>
        <v>البناء المؤسسي</v>
      </c>
      <c r="I440" s="16" t="s">
        <v>45</v>
      </c>
      <c r="J440" s="14" t="str">
        <f>IFERROR(INDEX(المرجع!$D$2:$D$19,MATCH($I440,المرجع!$E$2:$E$19,0)),"")</f>
        <v>الدور</v>
      </c>
      <c r="K440" s="15">
        <f>IFERROR(INDEX(المرجع!$F$2:$F$19,MATCH($I440,المرجع!$E$2:$E$19,0)),"")</f>
        <v>1</v>
      </c>
      <c r="L440" s="15">
        <f>SUMIFS(المرجع!$H$2:$H$19,المرجع!$B$2:$B$19,$G440,المرجع!$E$2:$E$19,$I440)</f>
        <v>1</v>
      </c>
      <c r="M440" s="15">
        <f>COUNTIFS('المرتبطة بسمو الوزير'!$B$2:$B$151,$B440,'المرتبطة بسمو الوزير'!$G$2:$G$151,$G440,'المرتبطة بسمو الوزير'!$I$2:$I$151,$I440,'المرتبطة بسمو الوزير'!$M$2:$M$151,"&lt;&gt;")+COUNTIFS('الشؤون التنفيذية'!$B$2:$B$421,$B440,'الشؤون التنفيذية'!$G$2:$G$421,$G440,'الشؤون التنفيذية'!$I$2:$I$421,$I440,'الشؤون التنفيذية'!$N$2:$N$421,"&lt;&gt;")+COUNTIFS('الجهاز العسكري'!$B$2:$B$631,$B440,'الجهاز العسكري'!$G$2:$G$631,$G440,'الجهاز العسكري'!$I$2:$I$631,$I440,'الجهاز العسكري'!$M$2:$M$631,"&lt;&gt;")</f>
        <v>1</v>
      </c>
      <c r="N440" s="19">
        <f>IF($L440=0,0,ROUND((SUMIFS('المرتبطة بسمو الوزير'!$M$2:$M$151,'المرتبطة بسمو الوزير'!$B$2:$B$151,$B440,'المرتبطة بسمو الوزير'!$G$2:$G$151,$G440,'المرتبطة بسمو الوزير'!$I$2:$I$151,$I440)+SUMIFS('الشؤون التنفيذية'!$N$2:$N$421,'الشؤون التنفيذية'!$B$2:$B$421,$B440,'الشؤون التنفيذية'!$G$2:$G$421,$G440,'الشؤون التنفيذية'!$I$2:$I$421,$I440)+SUMIFS('الجهاز العسكري'!$M$2:$M$631,'الجهاز العسكري'!$B$2:$B$631,$B440,'الجهاز العسكري'!$G$2:$G$631,$G440,'الجهاز العسكري'!$I$2:$I$631,$I440))/$L440,0))</f>
        <v>77</v>
      </c>
      <c r="O440" s="18"/>
      <c r="P440" s="15">
        <f>SUMIFS(المرجع!$G$2:$G$19,المرجع!$B$2:$B$19,$G440,المرجع!$E$2:$E$19,$I440)</f>
        <v>15</v>
      </c>
      <c r="Q440" s="20">
        <f t="shared" si="7"/>
        <v>11.55</v>
      </c>
      <c r="R440" s="21" t="str">
        <f>IF($N440&gt;المرجع!$K$3,"متقدم",IF($N440&lt;=المرجع!$K$2,"أولي","جزئي"))</f>
        <v>متقدم</v>
      </c>
    </row>
    <row r="441" spans="1:18">
      <c r="A441" s="16" t="s">
        <v>1881</v>
      </c>
      <c r="B441" s="16" t="s">
        <v>200</v>
      </c>
      <c r="C441" s="15" t="str">
        <f>IFERROR(INDEX('قائمة الوحدات'!$B$2:$B$41,MATCH($B441,'قائمة الوحدات'!$A$2:$A$41,0)),"")</f>
        <v>MIL</v>
      </c>
      <c r="D441" s="14" t="str">
        <f>IFERROR(INDEX('قائمة الوحدات'!$C$2:$C$41,MATCH($B441,'قائمة الوحدات'!$A$2:$A$41,0)),"")</f>
        <v>الجهاز العسكري</v>
      </c>
      <c r="E441" s="14" t="str">
        <f>IFERROR(INDEX('قائمة الوحدات'!$D$2:$D$41,MATCH($B441,'قائمة الوحدات'!$A$2:$A$41,0)),"")</f>
        <v>قيادة القوات الاستراتيجية</v>
      </c>
      <c r="F441" s="14" t="str">
        <f>IFERROR(INDEX('قائمة الوحدات'!$F$2:$F$41,MATCH($B441,'قائمة الوحدات'!$A$2:$A$41,0)),"")</f>
        <v>قيادة القوات الاستراتيجية</v>
      </c>
      <c r="G441" s="16" t="s">
        <v>61</v>
      </c>
      <c r="H441" s="14" t="str">
        <f>IFERROR(INDEX(المرجع!$A$2:$A$19,MATCH($G441,المرجع!$B$2:$B$19,0)),"")</f>
        <v>البناء المؤسسي</v>
      </c>
      <c r="I441" s="16" t="s">
        <v>48</v>
      </c>
      <c r="J441" s="14" t="str">
        <f>IFERROR(INDEX(المرجع!$D$2:$D$19,MATCH($I441,المرجع!$E$2:$E$19,0)),"")</f>
        <v>الأهداف ومؤشرات الأداء</v>
      </c>
      <c r="K441" s="15">
        <f>IFERROR(INDEX(المرجع!$F$2:$F$19,MATCH($I441,المرجع!$E$2:$E$19,0)),"")</f>
        <v>2</v>
      </c>
      <c r="L441" s="15">
        <f>SUMIFS(المرجع!$H$2:$H$19,المرجع!$B$2:$B$19,$G441,المرجع!$E$2:$E$19,$I441)</f>
        <v>2</v>
      </c>
      <c r="M441" s="15">
        <f>COUNTIFS('المرتبطة بسمو الوزير'!$B$2:$B$151,$B441,'المرتبطة بسمو الوزير'!$G$2:$G$151,$G441,'المرتبطة بسمو الوزير'!$I$2:$I$151,$I441,'المرتبطة بسمو الوزير'!$M$2:$M$151,"&lt;&gt;")+COUNTIFS('الشؤون التنفيذية'!$B$2:$B$421,$B441,'الشؤون التنفيذية'!$G$2:$G$421,$G441,'الشؤون التنفيذية'!$I$2:$I$421,$I441,'الشؤون التنفيذية'!$N$2:$N$421,"&lt;&gt;")+COUNTIFS('الجهاز العسكري'!$B$2:$B$631,$B441,'الجهاز العسكري'!$G$2:$G$631,$G441,'الجهاز العسكري'!$I$2:$I$631,$I441,'الجهاز العسكري'!$M$2:$M$631,"&lt;&gt;")</f>
        <v>2</v>
      </c>
      <c r="N441" s="19">
        <f>IF($L441=0,0,ROUND((SUMIFS('المرتبطة بسمو الوزير'!$M$2:$M$151,'المرتبطة بسمو الوزير'!$B$2:$B$151,$B441,'المرتبطة بسمو الوزير'!$G$2:$G$151,$G441,'المرتبطة بسمو الوزير'!$I$2:$I$151,$I441)+SUMIFS('الشؤون التنفيذية'!$N$2:$N$421,'الشؤون التنفيذية'!$B$2:$B$421,$B441,'الشؤون التنفيذية'!$G$2:$G$421,$G441,'الشؤون التنفيذية'!$I$2:$I$421,$I441)+SUMIFS('الجهاز العسكري'!$M$2:$M$631,'الجهاز العسكري'!$B$2:$B$631,$B441,'الجهاز العسكري'!$G$2:$G$631,$G441,'الجهاز العسكري'!$I$2:$I$631,$I441))/$L441,0))</f>
        <v>73</v>
      </c>
      <c r="O441" s="18"/>
      <c r="P441" s="15">
        <f>SUMIFS(المرجع!$G$2:$G$19,المرجع!$B$2:$B$19,$G441,المرجع!$E$2:$E$19,$I441)</f>
        <v>15</v>
      </c>
      <c r="Q441" s="20">
        <f t="shared" si="7"/>
        <v>10.95</v>
      </c>
      <c r="R441" s="21" t="str">
        <f>IF($N441&gt;المرجع!$K$3,"متقدم",IF($N441&lt;=المرجع!$K$2,"أولي","جزئي"))</f>
        <v>متقدم</v>
      </c>
    </row>
    <row r="442" spans="1:18">
      <c r="A442" s="16" t="s">
        <v>1882</v>
      </c>
      <c r="B442" s="16" t="s">
        <v>200</v>
      </c>
      <c r="C442" s="15" t="str">
        <f>IFERROR(INDEX('قائمة الوحدات'!$B$2:$B$41,MATCH($B442,'قائمة الوحدات'!$A$2:$A$41,0)),"")</f>
        <v>MIL</v>
      </c>
      <c r="D442" s="14" t="str">
        <f>IFERROR(INDEX('قائمة الوحدات'!$C$2:$C$41,MATCH($B442,'قائمة الوحدات'!$A$2:$A$41,0)),"")</f>
        <v>الجهاز العسكري</v>
      </c>
      <c r="E442" s="14" t="str">
        <f>IFERROR(INDEX('قائمة الوحدات'!$D$2:$D$41,MATCH($B442,'قائمة الوحدات'!$A$2:$A$41,0)),"")</f>
        <v>قيادة القوات الاستراتيجية</v>
      </c>
      <c r="F442" s="14" t="str">
        <f>IFERROR(INDEX('قائمة الوحدات'!$F$2:$F$41,MATCH($B442,'قائمة الوحدات'!$A$2:$A$41,0)),"")</f>
        <v>قيادة القوات الاستراتيجية</v>
      </c>
      <c r="G442" s="16" t="s">
        <v>61</v>
      </c>
      <c r="H442" s="14" t="str">
        <f>IFERROR(INDEX(المرجع!$A$2:$A$19,MATCH($G442,المرجع!$B$2:$B$19,0)),"")</f>
        <v>البناء المؤسسي</v>
      </c>
      <c r="I442" s="16" t="s">
        <v>51</v>
      </c>
      <c r="J442" s="14" t="str">
        <f>IFERROR(INDEX(المرجع!$D$2:$D$19,MATCH($I442,المرجع!$E$2:$E$19,0)),"")</f>
        <v>الحوكمة</v>
      </c>
      <c r="K442" s="15">
        <f>IFERROR(INDEX(المرجع!$F$2:$F$19,MATCH($I442,المرجع!$E$2:$E$19,0)),"")</f>
        <v>3</v>
      </c>
      <c r="L442" s="15">
        <f>SUMIFS(المرجع!$H$2:$H$19,المرجع!$B$2:$B$19,$G442,المرجع!$E$2:$E$19,$I442)</f>
        <v>3</v>
      </c>
      <c r="M442" s="15">
        <f>COUNTIFS('المرتبطة بسمو الوزير'!$B$2:$B$151,$B442,'المرتبطة بسمو الوزير'!$G$2:$G$151,$G442,'المرتبطة بسمو الوزير'!$I$2:$I$151,$I442,'المرتبطة بسمو الوزير'!$M$2:$M$151,"&lt;&gt;")+COUNTIFS('الشؤون التنفيذية'!$B$2:$B$421,$B442,'الشؤون التنفيذية'!$G$2:$G$421,$G442,'الشؤون التنفيذية'!$I$2:$I$421,$I442,'الشؤون التنفيذية'!$N$2:$N$421,"&lt;&gt;")+COUNTIFS('الجهاز العسكري'!$B$2:$B$631,$B442,'الجهاز العسكري'!$G$2:$G$631,$G442,'الجهاز العسكري'!$I$2:$I$631,$I442,'الجهاز العسكري'!$M$2:$M$631,"&lt;&gt;")</f>
        <v>3</v>
      </c>
      <c r="N442" s="19">
        <f>IF($L442=0,0,ROUND((SUMIFS('المرتبطة بسمو الوزير'!$M$2:$M$151,'المرتبطة بسمو الوزير'!$B$2:$B$151,$B442,'المرتبطة بسمو الوزير'!$G$2:$G$151,$G442,'المرتبطة بسمو الوزير'!$I$2:$I$151,$I442)+SUMIFS('الشؤون التنفيذية'!$N$2:$N$421,'الشؤون التنفيذية'!$B$2:$B$421,$B442,'الشؤون التنفيذية'!$G$2:$G$421,$G442,'الشؤون التنفيذية'!$I$2:$I$421,$I442)+SUMIFS('الجهاز العسكري'!$M$2:$M$631,'الجهاز العسكري'!$B$2:$B$631,$B442,'الجهاز العسكري'!$G$2:$G$631,$G442,'الجهاز العسكري'!$I$2:$I$631,$I442))/$L442,0))</f>
        <v>43</v>
      </c>
      <c r="O442" s="18"/>
      <c r="P442" s="15">
        <f>SUMIFS(المرجع!$G$2:$G$19,المرجع!$B$2:$B$19,$G442,المرجع!$E$2:$E$19,$I442)</f>
        <v>15</v>
      </c>
      <c r="Q442" s="20">
        <f t="shared" si="7"/>
        <v>6.45</v>
      </c>
      <c r="R442" s="21" t="str">
        <f>IF($N442&gt;المرجع!$K$3,"متقدم",IF($N442&lt;=المرجع!$K$2,"أولي","جزئي"))</f>
        <v>جزئي</v>
      </c>
    </row>
    <row r="443" spans="1:18">
      <c r="A443" s="16" t="s">
        <v>1883</v>
      </c>
      <c r="B443" s="16" t="s">
        <v>200</v>
      </c>
      <c r="C443" s="15" t="str">
        <f>IFERROR(INDEX('قائمة الوحدات'!$B$2:$B$41,MATCH($B443,'قائمة الوحدات'!$A$2:$A$41,0)),"")</f>
        <v>MIL</v>
      </c>
      <c r="D443" s="14" t="str">
        <f>IFERROR(INDEX('قائمة الوحدات'!$C$2:$C$41,MATCH($B443,'قائمة الوحدات'!$A$2:$A$41,0)),"")</f>
        <v>الجهاز العسكري</v>
      </c>
      <c r="E443" s="14" t="str">
        <f>IFERROR(INDEX('قائمة الوحدات'!$D$2:$D$41,MATCH($B443,'قائمة الوحدات'!$A$2:$A$41,0)),"")</f>
        <v>قيادة القوات الاستراتيجية</v>
      </c>
      <c r="F443" s="14" t="str">
        <f>IFERROR(INDEX('قائمة الوحدات'!$F$2:$F$41,MATCH($B443,'قائمة الوحدات'!$A$2:$A$41,0)),"")</f>
        <v>قيادة القوات الاستراتيجية</v>
      </c>
      <c r="G443" s="16" t="s">
        <v>61</v>
      </c>
      <c r="H443" s="14" t="str">
        <f>IFERROR(INDEX(المرجع!$A$2:$A$19,MATCH($G443,المرجع!$B$2:$B$19,0)),"")</f>
        <v>البناء المؤسسي</v>
      </c>
      <c r="I443" s="16" t="s">
        <v>54</v>
      </c>
      <c r="J443" s="14" t="str">
        <f>IFERROR(INDEX(المرجع!$D$2:$D$19,MATCH($I443,المرجع!$E$2:$E$19,0)),"")</f>
        <v>التنظيم</v>
      </c>
      <c r="K443" s="15">
        <f>IFERROR(INDEX(المرجع!$F$2:$F$19,MATCH($I443,المرجع!$E$2:$E$19,0)),"")</f>
        <v>4</v>
      </c>
      <c r="L443" s="15">
        <f>SUMIFS(المرجع!$H$2:$H$19,المرجع!$B$2:$B$19,$G443,المرجع!$E$2:$E$19,$I443)</f>
        <v>3</v>
      </c>
      <c r="M443" s="15">
        <f>COUNTIFS('المرتبطة بسمو الوزير'!$B$2:$B$151,$B443,'المرتبطة بسمو الوزير'!$G$2:$G$151,$G443,'المرتبطة بسمو الوزير'!$I$2:$I$151,$I443,'المرتبطة بسمو الوزير'!$M$2:$M$151,"&lt;&gt;")+COUNTIFS('الشؤون التنفيذية'!$B$2:$B$421,$B443,'الشؤون التنفيذية'!$G$2:$G$421,$G443,'الشؤون التنفيذية'!$I$2:$I$421,$I443,'الشؤون التنفيذية'!$N$2:$N$421,"&lt;&gt;")+COUNTIFS('الجهاز العسكري'!$B$2:$B$631,$B443,'الجهاز العسكري'!$G$2:$G$631,$G443,'الجهاز العسكري'!$I$2:$I$631,$I443,'الجهاز العسكري'!$M$2:$M$631,"&lt;&gt;")</f>
        <v>3</v>
      </c>
      <c r="N443" s="19">
        <f>IF($L443=0,0,ROUND((SUMIFS('المرتبطة بسمو الوزير'!$M$2:$M$151,'المرتبطة بسمو الوزير'!$B$2:$B$151,$B443,'المرتبطة بسمو الوزير'!$G$2:$G$151,$G443,'المرتبطة بسمو الوزير'!$I$2:$I$151,$I443)+SUMIFS('الشؤون التنفيذية'!$N$2:$N$421,'الشؤون التنفيذية'!$B$2:$B$421,$B443,'الشؤون التنفيذية'!$G$2:$G$421,$G443,'الشؤون التنفيذية'!$I$2:$I$421,$I443)+SUMIFS('الجهاز العسكري'!$M$2:$M$631,'الجهاز العسكري'!$B$2:$B$631,$B443,'الجهاز العسكري'!$G$2:$G$631,$G443,'الجهاز العسكري'!$I$2:$I$631,$I443))/$L443,0))</f>
        <v>62</v>
      </c>
      <c r="O443" s="18"/>
      <c r="P443" s="15">
        <f>SUMIFS(المرجع!$G$2:$G$19,المرجع!$B$2:$B$19,$G443,المرجع!$E$2:$E$19,$I443)</f>
        <v>20</v>
      </c>
      <c r="Q443" s="20">
        <f t="shared" si="7"/>
        <v>12.4</v>
      </c>
      <c r="R443" s="21" t="str">
        <f>IF($N443&gt;المرجع!$K$3,"متقدم",IF($N443&lt;=المرجع!$K$2,"أولي","جزئي"))</f>
        <v>جزئي</v>
      </c>
    </row>
    <row r="444" spans="1:18">
      <c r="A444" s="16" t="s">
        <v>1884</v>
      </c>
      <c r="B444" s="16" t="s">
        <v>200</v>
      </c>
      <c r="C444" s="15" t="str">
        <f>IFERROR(INDEX('قائمة الوحدات'!$B$2:$B$41,MATCH($B444,'قائمة الوحدات'!$A$2:$A$41,0)),"")</f>
        <v>MIL</v>
      </c>
      <c r="D444" s="14" t="str">
        <f>IFERROR(INDEX('قائمة الوحدات'!$C$2:$C$41,MATCH($B444,'قائمة الوحدات'!$A$2:$A$41,0)),"")</f>
        <v>الجهاز العسكري</v>
      </c>
      <c r="E444" s="14" t="str">
        <f>IFERROR(INDEX('قائمة الوحدات'!$D$2:$D$41,MATCH($B444,'قائمة الوحدات'!$A$2:$A$41,0)),"")</f>
        <v>قيادة القوات الاستراتيجية</v>
      </c>
      <c r="F444" s="14" t="str">
        <f>IFERROR(INDEX('قائمة الوحدات'!$F$2:$F$41,MATCH($B444,'قائمة الوحدات'!$A$2:$A$41,0)),"")</f>
        <v>قيادة القوات الاستراتيجية</v>
      </c>
      <c r="G444" s="16" t="s">
        <v>61</v>
      </c>
      <c r="H444" s="14" t="str">
        <f>IFERROR(INDEX(المرجع!$A$2:$A$19,MATCH($G444,المرجع!$B$2:$B$19,0)),"")</f>
        <v>البناء المؤسسي</v>
      </c>
      <c r="I444" s="16" t="s">
        <v>56</v>
      </c>
      <c r="J444" s="14" t="str">
        <f>IFERROR(INDEX(المرجع!$D$2:$D$19,MATCH($I444,المرجع!$E$2:$E$19,0)),"")</f>
        <v>الموارد</v>
      </c>
      <c r="K444" s="15">
        <f>IFERROR(INDEX(المرجع!$F$2:$F$19,MATCH($I444,المرجع!$E$2:$E$19,0)),"")</f>
        <v>5</v>
      </c>
      <c r="L444" s="15">
        <f>SUMIFS(المرجع!$H$2:$H$19,المرجع!$B$2:$B$19,$G444,المرجع!$E$2:$E$19,$I444)</f>
        <v>4</v>
      </c>
      <c r="M444" s="15">
        <f>COUNTIFS('المرتبطة بسمو الوزير'!$B$2:$B$151,$B444,'المرتبطة بسمو الوزير'!$G$2:$G$151,$G444,'المرتبطة بسمو الوزير'!$I$2:$I$151,$I444,'المرتبطة بسمو الوزير'!$M$2:$M$151,"&lt;&gt;")+COUNTIFS('الشؤون التنفيذية'!$B$2:$B$421,$B444,'الشؤون التنفيذية'!$G$2:$G$421,$G444,'الشؤون التنفيذية'!$I$2:$I$421,$I444,'الشؤون التنفيذية'!$N$2:$N$421,"&lt;&gt;")+COUNTIFS('الجهاز العسكري'!$B$2:$B$631,$B444,'الجهاز العسكري'!$G$2:$G$631,$G444,'الجهاز العسكري'!$I$2:$I$631,$I444,'الجهاز العسكري'!$M$2:$M$631,"&lt;&gt;")</f>
        <v>4</v>
      </c>
      <c r="N444" s="19">
        <f>IF($L444=0,0,ROUND((SUMIFS('المرتبطة بسمو الوزير'!$M$2:$M$151,'المرتبطة بسمو الوزير'!$B$2:$B$151,$B444,'المرتبطة بسمو الوزير'!$G$2:$G$151,$G444,'المرتبطة بسمو الوزير'!$I$2:$I$151,$I444)+SUMIFS('الشؤون التنفيذية'!$N$2:$N$421,'الشؤون التنفيذية'!$B$2:$B$421,$B444,'الشؤون التنفيذية'!$G$2:$G$421,$G444,'الشؤون التنفيذية'!$I$2:$I$421,$I444)+SUMIFS('الجهاز العسكري'!$M$2:$M$631,'الجهاز العسكري'!$B$2:$B$631,$B444,'الجهاز العسكري'!$G$2:$G$631,$G444,'الجهاز العسكري'!$I$2:$I$631,$I444))/$L444,0))</f>
        <v>59</v>
      </c>
      <c r="O444" s="18"/>
      <c r="P444" s="15">
        <f>SUMIFS(المرجع!$G$2:$G$19,المرجع!$B$2:$B$19,$G444,المرجع!$E$2:$E$19,$I444)</f>
        <v>25</v>
      </c>
      <c r="Q444" s="20">
        <f t="shared" si="7"/>
        <v>14.75</v>
      </c>
      <c r="R444" s="21" t="str">
        <f>IF($N444&gt;المرجع!$K$3,"متقدم",IF($N444&lt;=المرجع!$K$2,"أولي","جزئي"))</f>
        <v>جزئي</v>
      </c>
    </row>
    <row r="445" spans="1:18">
      <c r="A445" s="16" t="s">
        <v>1885</v>
      </c>
      <c r="B445" s="16" t="s">
        <v>200</v>
      </c>
      <c r="C445" s="15" t="str">
        <f>IFERROR(INDEX('قائمة الوحدات'!$B$2:$B$41,MATCH($B445,'قائمة الوحدات'!$A$2:$A$41,0)),"")</f>
        <v>MIL</v>
      </c>
      <c r="D445" s="14" t="str">
        <f>IFERROR(INDEX('قائمة الوحدات'!$C$2:$C$41,MATCH($B445,'قائمة الوحدات'!$A$2:$A$41,0)),"")</f>
        <v>الجهاز العسكري</v>
      </c>
      <c r="E445" s="14" t="str">
        <f>IFERROR(INDEX('قائمة الوحدات'!$D$2:$D$41,MATCH($B445,'قائمة الوحدات'!$A$2:$A$41,0)),"")</f>
        <v>قيادة القوات الاستراتيجية</v>
      </c>
      <c r="F445" s="14" t="str">
        <f>IFERROR(INDEX('قائمة الوحدات'!$F$2:$F$41,MATCH($B445,'قائمة الوحدات'!$A$2:$A$41,0)),"")</f>
        <v>قيادة القوات الاستراتيجية</v>
      </c>
      <c r="G445" s="16" t="s">
        <v>61</v>
      </c>
      <c r="H445" s="14" t="str">
        <f>IFERROR(INDEX(المرجع!$A$2:$A$19,MATCH($G445,المرجع!$B$2:$B$19,0)),"")</f>
        <v>البناء المؤسسي</v>
      </c>
      <c r="I445" s="16" t="s">
        <v>59</v>
      </c>
      <c r="J445" s="14" t="str">
        <f>IFERROR(INDEX(المرجع!$D$2:$D$19,MATCH($I445,المرجع!$E$2:$E$19,0)),"")</f>
        <v>الإجراءات</v>
      </c>
      <c r="K445" s="15">
        <f>IFERROR(INDEX(المرجع!$F$2:$F$19,MATCH($I445,المرجع!$E$2:$E$19,0)),"")</f>
        <v>6</v>
      </c>
      <c r="L445" s="15">
        <f>SUMIFS(المرجع!$H$2:$H$19,المرجع!$B$2:$B$19,$G445,المرجع!$E$2:$E$19,$I445)</f>
        <v>1</v>
      </c>
      <c r="M445" s="15">
        <f>COUNTIFS('المرتبطة بسمو الوزير'!$B$2:$B$151,$B445,'المرتبطة بسمو الوزير'!$G$2:$G$151,$G445,'المرتبطة بسمو الوزير'!$I$2:$I$151,$I445,'المرتبطة بسمو الوزير'!$M$2:$M$151,"&lt;&gt;")+COUNTIFS('الشؤون التنفيذية'!$B$2:$B$421,$B445,'الشؤون التنفيذية'!$G$2:$G$421,$G445,'الشؤون التنفيذية'!$I$2:$I$421,$I445,'الشؤون التنفيذية'!$N$2:$N$421,"&lt;&gt;")+COUNTIFS('الجهاز العسكري'!$B$2:$B$631,$B445,'الجهاز العسكري'!$G$2:$G$631,$G445,'الجهاز العسكري'!$I$2:$I$631,$I445,'الجهاز العسكري'!$M$2:$M$631,"&lt;&gt;")</f>
        <v>1</v>
      </c>
      <c r="N445" s="19">
        <f>IF($L445=0,0,ROUND((SUMIFS('المرتبطة بسمو الوزير'!$M$2:$M$151,'المرتبطة بسمو الوزير'!$B$2:$B$151,$B445,'المرتبطة بسمو الوزير'!$G$2:$G$151,$G445,'المرتبطة بسمو الوزير'!$I$2:$I$151,$I445)+SUMIFS('الشؤون التنفيذية'!$N$2:$N$421,'الشؤون التنفيذية'!$B$2:$B$421,$B445,'الشؤون التنفيذية'!$G$2:$G$421,$G445,'الشؤون التنفيذية'!$I$2:$I$421,$I445)+SUMIFS('الجهاز العسكري'!$M$2:$M$631,'الجهاز العسكري'!$B$2:$B$631,$B445,'الجهاز العسكري'!$G$2:$G$631,$G445,'الجهاز العسكري'!$I$2:$I$631,$I445))/$L445,0))</f>
        <v>45</v>
      </c>
      <c r="O445" s="18"/>
      <c r="P445" s="15">
        <f>SUMIFS(المرجع!$G$2:$G$19,المرجع!$B$2:$B$19,$G445,المرجع!$E$2:$E$19,$I445)</f>
        <v>5</v>
      </c>
      <c r="Q445" s="20">
        <f t="shared" si="7"/>
        <v>2.25</v>
      </c>
      <c r="R445" s="21" t="str">
        <f>IF($N445&gt;المرجع!$K$3,"متقدم",IF($N445&lt;=المرجع!$K$2,"أولي","جزئي"))</f>
        <v>جزئي</v>
      </c>
    </row>
    <row r="446" spans="1:18">
      <c r="A446" s="16" t="s">
        <v>1886</v>
      </c>
      <c r="B446" s="16" t="s">
        <v>200</v>
      </c>
      <c r="C446" s="15" t="str">
        <f>IFERROR(INDEX('قائمة الوحدات'!$B$2:$B$41,MATCH($B446,'قائمة الوحدات'!$A$2:$A$41,0)),"")</f>
        <v>MIL</v>
      </c>
      <c r="D446" s="14" t="str">
        <f>IFERROR(INDEX('قائمة الوحدات'!$C$2:$C$41,MATCH($B446,'قائمة الوحدات'!$A$2:$A$41,0)),"")</f>
        <v>الجهاز العسكري</v>
      </c>
      <c r="E446" s="14" t="str">
        <f>IFERROR(INDEX('قائمة الوحدات'!$D$2:$D$41,MATCH($B446,'قائمة الوحدات'!$A$2:$A$41,0)),"")</f>
        <v>قيادة القوات الاستراتيجية</v>
      </c>
      <c r="F446" s="14" t="str">
        <f>IFERROR(INDEX('قائمة الوحدات'!$F$2:$F$41,MATCH($B446,'قائمة الوحدات'!$A$2:$A$41,0)),"")</f>
        <v>قيادة القوات الاستراتيجية</v>
      </c>
      <c r="G446" s="16" t="s">
        <v>61</v>
      </c>
      <c r="H446" s="14" t="str">
        <f>IFERROR(INDEX(المرجع!$A$2:$A$19,MATCH($G446,المرجع!$B$2:$B$19,0)),"")</f>
        <v>البناء المؤسسي</v>
      </c>
      <c r="I446" s="16" t="s">
        <v>63</v>
      </c>
      <c r="J446" s="14" t="str">
        <f>IFERROR(INDEX(المرجع!$D$2:$D$19,MATCH($I446,المرجع!$E$2:$E$19,0)),"")</f>
        <v>إنتاج المخرج الأول</v>
      </c>
      <c r="K446" s="15">
        <f>IFERROR(INDEX(المرجع!$F$2:$F$19,MATCH($I446,المرجع!$E$2:$E$19,0)),"")</f>
        <v>7</v>
      </c>
      <c r="L446" s="15">
        <f>SUMIFS(المرجع!$H$2:$H$19,المرجع!$B$2:$B$19,$G446,المرجع!$E$2:$E$19,$I446)</f>
        <v>1</v>
      </c>
      <c r="M446" s="15">
        <f>COUNTIFS('المرتبطة بسمو الوزير'!$B$2:$B$151,$B446,'المرتبطة بسمو الوزير'!$G$2:$G$151,$G446,'المرتبطة بسمو الوزير'!$I$2:$I$151,$I446,'المرتبطة بسمو الوزير'!$M$2:$M$151,"&lt;&gt;")+COUNTIFS('الشؤون التنفيذية'!$B$2:$B$421,$B446,'الشؤون التنفيذية'!$G$2:$G$421,$G446,'الشؤون التنفيذية'!$I$2:$I$421,$I446,'الشؤون التنفيذية'!$N$2:$N$421,"&lt;&gt;")+COUNTIFS('الجهاز العسكري'!$B$2:$B$631,$B446,'الجهاز العسكري'!$G$2:$G$631,$G446,'الجهاز العسكري'!$I$2:$I$631,$I446,'الجهاز العسكري'!$M$2:$M$631,"&lt;&gt;")</f>
        <v>1</v>
      </c>
      <c r="N446" s="19">
        <f>IF($L446=0,0,ROUND((SUMIFS('المرتبطة بسمو الوزير'!$M$2:$M$151,'المرتبطة بسمو الوزير'!$B$2:$B$151,$B446,'المرتبطة بسمو الوزير'!$G$2:$G$151,$G446,'المرتبطة بسمو الوزير'!$I$2:$I$151,$I446)+SUMIFS('الشؤون التنفيذية'!$N$2:$N$421,'الشؤون التنفيذية'!$B$2:$B$421,$B446,'الشؤون التنفيذية'!$G$2:$G$421,$G446,'الشؤون التنفيذية'!$I$2:$I$421,$I446)+SUMIFS('الجهاز العسكري'!$M$2:$M$631,'الجهاز العسكري'!$B$2:$B$631,$B446,'الجهاز العسكري'!$G$2:$G$631,$G446,'الجهاز العسكري'!$I$2:$I$631,$I446))/$L446,0))</f>
        <v>82</v>
      </c>
      <c r="O446" s="18"/>
      <c r="P446" s="15">
        <f>SUMIFS(المرجع!$G$2:$G$19,المرجع!$B$2:$B$19,$G446,المرجع!$E$2:$E$19,$I446)</f>
        <v>5</v>
      </c>
      <c r="Q446" s="20">
        <f t="shared" si="7"/>
        <v>4.0999999999999996</v>
      </c>
      <c r="R446" s="21" t="str">
        <f>IF($N446&gt;المرجع!$K$3,"متقدم",IF($N446&lt;=المرجع!$K$2,"أولي","جزئي"))</f>
        <v>متقدم</v>
      </c>
    </row>
    <row r="447" spans="1:18">
      <c r="A447" s="16" t="s">
        <v>1887</v>
      </c>
      <c r="B447" s="16" t="s">
        <v>200</v>
      </c>
      <c r="C447" s="15" t="str">
        <f>IFERROR(INDEX('قائمة الوحدات'!$B$2:$B$41,MATCH($B447,'قائمة الوحدات'!$A$2:$A$41,0)),"")</f>
        <v>MIL</v>
      </c>
      <c r="D447" s="14" t="str">
        <f>IFERROR(INDEX('قائمة الوحدات'!$C$2:$C$41,MATCH($B447,'قائمة الوحدات'!$A$2:$A$41,0)),"")</f>
        <v>الجهاز العسكري</v>
      </c>
      <c r="E447" s="14" t="str">
        <f>IFERROR(INDEX('قائمة الوحدات'!$D$2:$D$41,MATCH($B447,'قائمة الوحدات'!$A$2:$A$41,0)),"")</f>
        <v>قيادة القوات الاستراتيجية</v>
      </c>
      <c r="F447" s="14" t="str">
        <f>IFERROR(INDEX('قائمة الوحدات'!$F$2:$F$41,MATCH($B447,'قائمة الوحدات'!$A$2:$A$41,0)),"")</f>
        <v>قيادة القوات الاستراتيجية</v>
      </c>
      <c r="G447" s="16" t="s">
        <v>65</v>
      </c>
      <c r="H447" s="14" t="str">
        <f>IFERROR(INDEX(المرجع!$A$2:$A$19,MATCH($G447,المرجع!$B$2:$B$19,0)),"")</f>
        <v>التشغيل</v>
      </c>
      <c r="I447" s="16" t="s">
        <v>48</v>
      </c>
      <c r="J447" s="14" t="str">
        <f>IFERROR(INDEX(المرجع!$D$2:$D$19,MATCH($I447,المرجع!$E$2:$E$19,0)),"")</f>
        <v>الأهداف ومؤشرات الأداء</v>
      </c>
      <c r="K447" s="15">
        <f>IFERROR(INDEX(المرجع!$F$2:$F$19,MATCH($I447,المرجع!$E$2:$E$19,0)),"")</f>
        <v>2</v>
      </c>
      <c r="L447" s="15">
        <f>SUMIFS(المرجع!$H$2:$H$19,المرجع!$B$2:$B$19,$G447,المرجع!$E$2:$E$19,$I447)</f>
        <v>2</v>
      </c>
      <c r="M447" s="15">
        <f>COUNTIFS('المرتبطة بسمو الوزير'!$B$2:$B$151,$B447,'المرتبطة بسمو الوزير'!$G$2:$G$151,$G447,'المرتبطة بسمو الوزير'!$I$2:$I$151,$I447,'المرتبطة بسمو الوزير'!$M$2:$M$151,"&lt;&gt;")+COUNTIFS('الشؤون التنفيذية'!$B$2:$B$421,$B447,'الشؤون التنفيذية'!$G$2:$G$421,$G447,'الشؤون التنفيذية'!$I$2:$I$421,$I447,'الشؤون التنفيذية'!$N$2:$N$421,"&lt;&gt;")+COUNTIFS('الجهاز العسكري'!$B$2:$B$631,$B447,'الجهاز العسكري'!$G$2:$G$631,$G447,'الجهاز العسكري'!$I$2:$I$631,$I447,'الجهاز العسكري'!$M$2:$M$631,"&lt;&gt;")</f>
        <v>2</v>
      </c>
      <c r="N447" s="19">
        <f>IF($L447=0,0,ROUND((SUMIFS('المرتبطة بسمو الوزير'!$M$2:$M$151,'المرتبطة بسمو الوزير'!$B$2:$B$151,$B447,'المرتبطة بسمو الوزير'!$G$2:$G$151,$G447,'المرتبطة بسمو الوزير'!$I$2:$I$151,$I447)+SUMIFS('الشؤون التنفيذية'!$N$2:$N$421,'الشؤون التنفيذية'!$B$2:$B$421,$B447,'الشؤون التنفيذية'!$G$2:$G$421,$G447,'الشؤون التنفيذية'!$I$2:$I$421,$I447)+SUMIFS('الجهاز العسكري'!$M$2:$M$631,'الجهاز العسكري'!$B$2:$B$631,$B447,'الجهاز العسكري'!$G$2:$G$631,$G447,'الجهاز العسكري'!$I$2:$I$631,$I447))/$L447,0))</f>
        <v>33</v>
      </c>
      <c r="O447" s="18"/>
      <c r="P447" s="15">
        <f>SUMIFS(المرجع!$G$2:$G$19,المرجع!$B$2:$B$19,$G447,المرجع!$E$2:$E$19,$I447)</f>
        <v>25</v>
      </c>
      <c r="Q447" s="20">
        <f t="shared" si="7"/>
        <v>8.25</v>
      </c>
      <c r="R447" s="21" t="str">
        <f>IF($N447&gt;المرجع!$K$3,"متقدم",IF($N447&lt;=المرجع!$K$2,"أولي","جزئي"))</f>
        <v>جزئي</v>
      </c>
    </row>
    <row r="448" spans="1:18">
      <c r="A448" s="16" t="s">
        <v>1888</v>
      </c>
      <c r="B448" s="16" t="s">
        <v>200</v>
      </c>
      <c r="C448" s="15" t="str">
        <f>IFERROR(INDEX('قائمة الوحدات'!$B$2:$B$41,MATCH($B448,'قائمة الوحدات'!$A$2:$A$41,0)),"")</f>
        <v>MIL</v>
      </c>
      <c r="D448" s="14" t="str">
        <f>IFERROR(INDEX('قائمة الوحدات'!$C$2:$C$41,MATCH($B448,'قائمة الوحدات'!$A$2:$A$41,0)),"")</f>
        <v>الجهاز العسكري</v>
      </c>
      <c r="E448" s="14" t="str">
        <f>IFERROR(INDEX('قائمة الوحدات'!$D$2:$D$41,MATCH($B448,'قائمة الوحدات'!$A$2:$A$41,0)),"")</f>
        <v>قيادة القوات الاستراتيجية</v>
      </c>
      <c r="F448" s="14" t="str">
        <f>IFERROR(INDEX('قائمة الوحدات'!$F$2:$F$41,MATCH($B448,'قائمة الوحدات'!$A$2:$A$41,0)),"")</f>
        <v>قيادة القوات الاستراتيجية</v>
      </c>
      <c r="G448" s="16" t="s">
        <v>65</v>
      </c>
      <c r="H448" s="14" t="str">
        <f>IFERROR(INDEX(المرجع!$A$2:$A$19,MATCH($G448,المرجع!$B$2:$B$19,0)),"")</f>
        <v>التشغيل</v>
      </c>
      <c r="I448" s="16" t="s">
        <v>51</v>
      </c>
      <c r="J448" s="14" t="str">
        <f>IFERROR(INDEX(المرجع!$D$2:$D$19,MATCH($I448,المرجع!$E$2:$E$19,0)),"")</f>
        <v>الحوكمة</v>
      </c>
      <c r="K448" s="15">
        <f>IFERROR(INDEX(المرجع!$F$2:$F$19,MATCH($I448,المرجع!$E$2:$E$19,0)),"")</f>
        <v>3</v>
      </c>
      <c r="L448" s="15">
        <f>SUMIFS(المرجع!$H$2:$H$19,المرجع!$B$2:$B$19,$G448,المرجع!$E$2:$E$19,$I448)</f>
        <v>3</v>
      </c>
      <c r="M448" s="15">
        <f>COUNTIFS('المرتبطة بسمو الوزير'!$B$2:$B$151,$B448,'المرتبطة بسمو الوزير'!$G$2:$G$151,$G448,'المرتبطة بسمو الوزير'!$I$2:$I$151,$I448,'المرتبطة بسمو الوزير'!$M$2:$M$151,"&lt;&gt;")+COUNTIFS('الشؤون التنفيذية'!$B$2:$B$421,$B448,'الشؤون التنفيذية'!$G$2:$G$421,$G448,'الشؤون التنفيذية'!$I$2:$I$421,$I448,'الشؤون التنفيذية'!$N$2:$N$421,"&lt;&gt;")+COUNTIFS('الجهاز العسكري'!$B$2:$B$631,$B448,'الجهاز العسكري'!$G$2:$G$631,$G448,'الجهاز العسكري'!$I$2:$I$631,$I448,'الجهاز العسكري'!$M$2:$M$631,"&lt;&gt;")</f>
        <v>3</v>
      </c>
      <c r="N448" s="19">
        <f>IF($L448=0,0,ROUND((SUMIFS('المرتبطة بسمو الوزير'!$M$2:$M$151,'المرتبطة بسمو الوزير'!$B$2:$B$151,$B448,'المرتبطة بسمو الوزير'!$G$2:$G$151,$G448,'المرتبطة بسمو الوزير'!$I$2:$I$151,$I448)+SUMIFS('الشؤون التنفيذية'!$N$2:$N$421,'الشؤون التنفيذية'!$B$2:$B$421,$B448,'الشؤون التنفيذية'!$G$2:$G$421,$G448,'الشؤون التنفيذية'!$I$2:$I$421,$I448)+SUMIFS('الجهاز العسكري'!$M$2:$M$631,'الجهاز العسكري'!$B$2:$B$631,$B448,'الجهاز العسكري'!$G$2:$G$631,$G448,'الجهاز العسكري'!$I$2:$I$631,$I448))/$L448,0))</f>
        <v>30</v>
      </c>
      <c r="O448" s="18"/>
      <c r="P448" s="15">
        <f>SUMIFS(المرجع!$G$2:$G$19,المرجع!$B$2:$B$19,$G448,المرجع!$E$2:$E$19,$I448)</f>
        <v>15</v>
      </c>
      <c r="Q448" s="20">
        <f t="shared" si="7"/>
        <v>4.5</v>
      </c>
      <c r="R448" s="21" t="str">
        <f>IF($N448&gt;المرجع!$K$3,"متقدم",IF($N448&lt;=المرجع!$K$2,"أولي","جزئي"))</f>
        <v>أولي</v>
      </c>
    </row>
    <row r="449" spans="1:18">
      <c r="A449" s="16" t="s">
        <v>1889</v>
      </c>
      <c r="B449" s="16" t="s">
        <v>200</v>
      </c>
      <c r="C449" s="15" t="str">
        <f>IFERROR(INDEX('قائمة الوحدات'!$B$2:$B$41,MATCH($B449,'قائمة الوحدات'!$A$2:$A$41,0)),"")</f>
        <v>MIL</v>
      </c>
      <c r="D449" s="14" t="str">
        <f>IFERROR(INDEX('قائمة الوحدات'!$C$2:$C$41,MATCH($B449,'قائمة الوحدات'!$A$2:$A$41,0)),"")</f>
        <v>الجهاز العسكري</v>
      </c>
      <c r="E449" s="14" t="str">
        <f>IFERROR(INDEX('قائمة الوحدات'!$D$2:$D$41,MATCH($B449,'قائمة الوحدات'!$A$2:$A$41,0)),"")</f>
        <v>قيادة القوات الاستراتيجية</v>
      </c>
      <c r="F449" s="14" t="str">
        <f>IFERROR(INDEX('قائمة الوحدات'!$F$2:$F$41,MATCH($B449,'قائمة الوحدات'!$A$2:$A$41,0)),"")</f>
        <v>قيادة القوات الاستراتيجية</v>
      </c>
      <c r="G449" s="16" t="s">
        <v>65</v>
      </c>
      <c r="H449" s="14" t="str">
        <f>IFERROR(INDEX(المرجع!$A$2:$A$19,MATCH($G449,المرجع!$B$2:$B$19,0)),"")</f>
        <v>التشغيل</v>
      </c>
      <c r="I449" s="16" t="s">
        <v>56</v>
      </c>
      <c r="J449" s="14" t="str">
        <f>IFERROR(INDEX(المرجع!$D$2:$D$19,MATCH($I449,المرجع!$E$2:$E$19,0)),"")</f>
        <v>الموارد</v>
      </c>
      <c r="K449" s="15">
        <f>IFERROR(INDEX(المرجع!$F$2:$F$19,MATCH($I449,المرجع!$E$2:$E$19,0)),"")</f>
        <v>5</v>
      </c>
      <c r="L449" s="15">
        <f>SUMIFS(المرجع!$H$2:$H$19,المرجع!$B$2:$B$19,$G449,المرجع!$E$2:$E$19,$I449)</f>
        <v>1</v>
      </c>
      <c r="M449" s="15">
        <f>COUNTIFS('المرتبطة بسمو الوزير'!$B$2:$B$151,$B449,'المرتبطة بسمو الوزير'!$G$2:$G$151,$G449,'المرتبطة بسمو الوزير'!$I$2:$I$151,$I449,'المرتبطة بسمو الوزير'!$M$2:$M$151,"&lt;&gt;")+COUNTIFS('الشؤون التنفيذية'!$B$2:$B$421,$B449,'الشؤون التنفيذية'!$G$2:$G$421,$G449,'الشؤون التنفيذية'!$I$2:$I$421,$I449,'الشؤون التنفيذية'!$N$2:$N$421,"&lt;&gt;")+COUNTIFS('الجهاز العسكري'!$B$2:$B$631,$B449,'الجهاز العسكري'!$G$2:$G$631,$G449,'الجهاز العسكري'!$I$2:$I$631,$I449,'الجهاز العسكري'!$M$2:$M$631,"&lt;&gt;")</f>
        <v>1</v>
      </c>
      <c r="N449" s="19">
        <f>IF($L449=0,0,ROUND((SUMIFS('المرتبطة بسمو الوزير'!$M$2:$M$151,'المرتبطة بسمو الوزير'!$B$2:$B$151,$B449,'المرتبطة بسمو الوزير'!$G$2:$G$151,$G449,'المرتبطة بسمو الوزير'!$I$2:$I$151,$I449)+SUMIFS('الشؤون التنفيذية'!$N$2:$N$421,'الشؤون التنفيذية'!$B$2:$B$421,$B449,'الشؤون التنفيذية'!$G$2:$G$421,$G449,'الشؤون التنفيذية'!$I$2:$I$421,$I449)+SUMIFS('الجهاز العسكري'!$M$2:$M$631,'الجهاز العسكري'!$B$2:$B$631,$B449,'الجهاز العسكري'!$G$2:$G$631,$G449,'الجهاز العسكري'!$I$2:$I$631,$I449))/$L449,0))</f>
        <v>44</v>
      </c>
      <c r="O449" s="18"/>
      <c r="P449" s="15">
        <f>SUMIFS(المرجع!$G$2:$G$19,المرجع!$B$2:$B$19,$G449,المرجع!$E$2:$E$19,$I449)</f>
        <v>15</v>
      </c>
      <c r="Q449" s="20">
        <f t="shared" si="7"/>
        <v>6.6</v>
      </c>
      <c r="R449" s="21" t="str">
        <f>IF($N449&gt;المرجع!$K$3,"متقدم",IF($N449&lt;=المرجع!$K$2,"أولي","جزئي"))</f>
        <v>جزئي</v>
      </c>
    </row>
    <row r="450" spans="1:18">
      <c r="A450" s="16" t="s">
        <v>1890</v>
      </c>
      <c r="B450" s="16" t="s">
        <v>200</v>
      </c>
      <c r="C450" s="15" t="str">
        <f>IFERROR(INDEX('قائمة الوحدات'!$B$2:$B$41,MATCH($B450,'قائمة الوحدات'!$A$2:$A$41,0)),"")</f>
        <v>MIL</v>
      </c>
      <c r="D450" s="14" t="str">
        <f>IFERROR(INDEX('قائمة الوحدات'!$C$2:$C$41,MATCH($B450,'قائمة الوحدات'!$A$2:$A$41,0)),"")</f>
        <v>الجهاز العسكري</v>
      </c>
      <c r="E450" s="14" t="str">
        <f>IFERROR(INDEX('قائمة الوحدات'!$D$2:$D$41,MATCH($B450,'قائمة الوحدات'!$A$2:$A$41,0)),"")</f>
        <v>قيادة القوات الاستراتيجية</v>
      </c>
      <c r="F450" s="14" t="str">
        <f>IFERROR(INDEX('قائمة الوحدات'!$F$2:$F$41,MATCH($B450,'قائمة الوحدات'!$A$2:$A$41,0)),"")</f>
        <v>قيادة القوات الاستراتيجية</v>
      </c>
      <c r="G450" s="16" t="s">
        <v>65</v>
      </c>
      <c r="H450" s="14" t="str">
        <f>IFERROR(INDEX(المرجع!$A$2:$A$19,MATCH($G450,المرجع!$B$2:$B$19,0)),"")</f>
        <v>التشغيل</v>
      </c>
      <c r="I450" s="16" t="s">
        <v>59</v>
      </c>
      <c r="J450" s="14" t="str">
        <f>IFERROR(INDEX(المرجع!$D$2:$D$19,MATCH($I450,المرجع!$E$2:$E$19,0)),"")</f>
        <v>الإجراءات</v>
      </c>
      <c r="K450" s="15">
        <f>IFERROR(INDEX(المرجع!$F$2:$F$19,MATCH($I450,المرجع!$E$2:$E$19,0)),"")</f>
        <v>6</v>
      </c>
      <c r="L450" s="15">
        <f>SUMIFS(المرجع!$H$2:$H$19,المرجع!$B$2:$B$19,$G450,المرجع!$E$2:$E$19,$I450)</f>
        <v>1</v>
      </c>
      <c r="M450" s="15">
        <f>COUNTIFS('المرتبطة بسمو الوزير'!$B$2:$B$151,$B450,'المرتبطة بسمو الوزير'!$G$2:$G$151,$G450,'المرتبطة بسمو الوزير'!$I$2:$I$151,$I450,'المرتبطة بسمو الوزير'!$M$2:$M$151,"&lt;&gt;")+COUNTIFS('الشؤون التنفيذية'!$B$2:$B$421,$B450,'الشؤون التنفيذية'!$G$2:$G$421,$G450,'الشؤون التنفيذية'!$I$2:$I$421,$I450,'الشؤون التنفيذية'!$N$2:$N$421,"&lt;&gt;")+COUNTIFS('الجهاز العسكري'!$B$2:$B$631,$B450,'الجهاز العسكري'!$G$2:$G$631,$G450,'الجهاز العسكري'!$I$2:$I$631,$I450,'الجهاز العسكري'!$M$2:$M$631,"&lt;&gt;")</f>
        <v>1</v>
      </c>
      <c r="N450" s="19">
        <f>IF($L450=0,0,ROUND((SUMIFS('المرتبطة بسمو الوزير'!$M$2:$M$151,'المرتبطة بسمو الوزير'!$B$2:$B$151,$B450,'المرتبطة بسمو الوزير'!$G$2:$G$151,$G450,'المرتبطة بسمو الوزير'!$I$2:$I$151,$I450)+SUMIFS('الشؤون التنفيذية'!$N$2:$N$421,'الشؤون التنفيذية'!$B$2:$B$421,$B450,'الشؤون التنفيذية'!$G$2:$G$421,$G450,'الشؤون التنفيذية'!$I$2:$I$421,$I450)+SUMIFS('الجهاز العسكري'!$M$2:$M$631,'الجهاز العسكري'!$B$2:$B$631,$B450,'الجهاز العسكري'!$G$2:$G$631,$G450,'الجهاز العسكري'!$I$2:$I$631,$I450))/$L450,0))</f>
        <v>61</v>
      </c>
      <c r="O450" s="18"/>
      <c r="P450" s="15">
        <f>SUMIFS(المرجع!$G$2:$G$19,المرجع!$B$2:$B$19,$G450,المرجع!$E$2:$E$19,$I450)</f>
        <v>15</v>
      </c>
      <c r="Q450" s="20">
        <f t="shared" ref="Q450:Q513" si="8">ROUND($P450*$N450/100,2)</f>
        <v>9.15</v>
      </c>
      <c r="R450" s="21" t="str">
        <f>IF($N450&gt;المرجع!$K$3,"متقدم",IF($N450&lt;=المرجع!$K$2,"أولي","جزئي"))</f>
        <v>جزئي</v>
      </c>
    </row>
    <row r="451" spans="1:18">
      <c r="A451" s="16" t="s">
        <v>1891</v>
      </c>
      <c r="B451" s="16" t="s">
        <v>200</v>
      </c>
      <c r="C451" s="15" t="str">
        <f>IFERROR(INDEX('قائمة الوحدات'!$B$2:$B$41,MATCH($B451,'قائمة الوحدات'!$A$2:$A$41,0)),"")</f>
        <v>MIL</v>
      </c>
      <c r="D451" s="14" t="str">
        <f>IFERROR(INDEX('قائمة الوحدات'!$C$2:$C$41,MATCH($B451,'قائمة الوحدات'!$A$2:$A$41,0)),"")</f>
        <v>الجهاز العسكري</v>
      </c>
      <c r="E451" s="14" t="str">
        <f>IFERROR(INDEX('قائمة الوحدات'!$D$2:$D$41,MATCH($B451,'قائمة الوحدات'!$A$2:$A$41,0)),"")</f>
        <v>قيادة القوات الاستراتيجية</v>
      </c>
      <c r="F451" s="14" t="str">
        <f>IFERROR(INDEX('قائمة الوحدات'!$F$2:$F$41,MATCH($B451,'قائمة الوحدات'!$A$2:$A$41,0)),"")</f>
        <v>قيادة القوات الاستراتيجية</v>
      </c>
      <c r="G451" s="16" t="s">
        <v>65</v>
      </c>
      <c r="H451" s="14" t="str">
        <f>IFERROR(INDEX(المرجع!$A$2:$A$19,MATCH($G451,المرجع!$B$2:$B$19,0)),"")</f>
        <v>التشغيل</v>
      </c>
      <c r="I451" s="16" t="s">
        <v>67</v>
      </c>
      <c r="J451" s="14" t="str">
        <f>IFERROR(INDEX(المرجع!$D$2:$D$19,MATCH($I451,المرجع!$E$2:$E$19,0)),"")</f>
        <v>اكتمال المخرجات المستهدفة</v>
      </c>
      <c r="K451" s="15">
        <f>IFERROR(INDEX(المرجع!$F$2:$F$19,MATCH($I451,المرجع!$E$2:$E$19,0)),"")</f>
        <v>8</v>
      </c>
      <c r="L451" s="15">
        <f>SUMIFS(المرجع!$H$2:$H$19,المرجع!$B$2:$B$19,$G451,المرجع!$E$2:$E$19,$I451)</f>
        <v>1</v>
      </c>
      <c r="M451" s="15">
        <f>COUNTIFS('المرتبطة بسمو الوزير'!$B$2:$B$151,$B451,'المرتبطة بسمو الوزير'!$G$2:$G$151,$G451,'المرتبطة بسمو الوزير'!$I$2:$I$151,$I451,'المرتبطة بسمو الوزير'!$M$2:$M$151,"&lt;&gt;")+COUNTIFS('الشؤون التنفيذية'!$B$2:$B$421,$B451,'الشؤون التنفيذية'!$G$2:$G$421,$G451,'الشؤون التنفيذية'!$I$2:$I$421,$I451,'الشؤون التنفيذية'!$N$2:$N$421,"&lt;&gt;")+COUNTIFS('الجهاز العسكري'!$B$2:$B$631,$B451,'الجهاز العسكري'!$G$2:$G$631,$G451,'الجهاز العسكري'!$I$2:$I$631,$I451,'الجهاز العسكري'!$M$2:$M$631,"&lt;&gt;")</f>
        <v>1</v>
      </c>
      <c r="N451" s="19">
        <f>IF($L451=0,0,ROUND((SUMIFS('المرتبطة بسمو الوزير'!$M$2:$M$151,'المرتبطة بسمو الوزير'!$B$2:$B$151,$B451,'المرتبطة بسمو الوزير'!$G$2:$G$151,$G451,'المرتبطة بسمو الوزير'!$I$2:$I$151,$I451)+SUMIFS('الشؤون التنفيذية'!$N$2:$N$421,'الشؤون التنفيذية'!$B$2:$B$421,$B451,'الشؤون التنفيذية'!$G$2:$G$421,$G451,'الشؤون التنفيذية'!$I$2:$I$421,$I451)+SUMIFS('الجهاز العسكري'!$M$2:$M$631,'الجهاز العسكري'!$B$2:$B$631,$B451,'الجهاز العسكري'!$G$2:$G$631,$G451,'الجهاز العسكري'!$I$2:$I$631,$I451))/$L451,0))</f>
        <v>27</v>
      </c>
      <c r="O451" s="18"/>
      <c r="P451" s="15">
        <f>SUMIFS(المرجع!$G$2:$G$19,المرجع!$B$2:$B$19,$G451,المرجع!$E$2:$E$19,$I451)</f>
        <v>30</v>
      </c>
      <c r="Q451" s="20">
        <f t="shared" si="8"/>
        <v>8.1</v>
      </c>
      <c r="R451" s="21" t="str">
        <f>IF($N451&gt;المرجع!$K$3,"متقدم",IF($N451&lt;=المرجع!$K$2,"أولي","جزئي"))</f>
        <v>أولي</v>
      </c>
    </row>
    <row r="452" spans="1:18">
      <c r="A452" s="16" t="s">
        <v>1892</v>
      </c>
      <c r="B452" s="16" t="s">
        <v>202</v>
      </c>
      <c r="C452" s="15" t="str">
        <f>IFERROR(INDEX('قائمة الوحدات'!$B$2:$B$41,MATCH($B452,'قائمة الوحدات'!$A$2:$A$41,0)),"")</f>
        <v>MIL</v>
      </c>
      <c r="D452" s="14" t="str">
        <f>IFERROR(INDEX('قائمة الوحدات'!$C$2:$C$41,MATCH($B452,'قائمة الوحدات'!$A$2:$A$41,0)),"")</f>
        <v>الجهاز العسكري</v>
      </c>
      <c r="E452" s="14" t="str">
        <f>IFERROR(INDEX('قائمة الوحدات'!$D$2:$D$41,MATCH($B452,'قائمة الوحدات'!$A$2:$A$41,0)),"")</f>
        <v>الإدارة العامة للاستخبارات العسكرية</v>
      </c>
      <c r="F452" s="14" t="str">
        <f>IFERROR(INDEX('قائمة الوحدات'!$F$2:$F$41,MATCH($B452,'قائمة الوحدات'!$A$2:$A$41,0)),"")</f>
        <v>الإدارة العامة للاستخبارات العسكرية</v>
      </c>
      <c r="G452" s="16" t="s">
        <v>43</v>
      </c>
      <c r="H452" s="14" t="str">
        <f>IFERROR(INDEX(المرجع!$A$2:$A$19,MATCH($G452,المرجع!$B$2:$B$19,0)),"")</f>
        <v>التصميم</v>
      </c>
      <c r="I452" s="16" t="s">
        <v>45</v>
      </c>
      <c r="J452" s="14" t="str">
        <f>IFERROR(INDEX(المرجع!$D$2:$D$19,MATCH($I452,المرجع!$E$2:$E$19,0)),"")</f>
        <v>الدور</v>
      </c>
      <c r="K452" s="15">
        <f>IFERROR(INDEX(المرجع!$F$2:$F$19,MATCH($I452,المرجع!$E$2:$E$19,0)),"")</f>
        <v>1</v>
      </c>
      <c r="L452" s="15">
        <f>SUMIFS(المرجع!$H$2:$H$19,المرجع!$B$2:$B$19,$G452,المرجع!$E$2:$E$19,$I452)</f>
        <v>1</v>
      </c>
      <c r="M452" s="15">
        <f>COUNTIFS('المرتبطة بسمو الوزير'!$B$2:$B$151,$B452,'المرتبطة بسمو الوزير'!$G$2:$G$151,$G452,'المرتبطة بسمو الوزير'!$I$2:$I$151,$I452,'المرتبطة بسمو الوزير'!$M$2:$M$151,"&lt;&gt;")+COUNTIFS('الشؤون التنفيذية'!$B$2:$B$421,$B452,'الشؤون التنفيذية'!$G$2:$G$421,$G452,'الشؤون التنفيذية'!$I$2:$I$421,$I452,'الشؤون التنفيذية'!$N$2:$N$421,"&lt;&gt;")+COUNTIFS('الجهاز العسكري'!$B$2:$B$631,$B452,'الجهاز العسكري'!$G$2:$G$631,$G452,'الجهاز العسكري'!$I$2:$I$631,$I452,'الجهاز العسكري'!$M$2:$M$631,"&lt;&gt;")</f>
        <v>1</v>
      </c>
      <c r="N452" s="19">
        <f>IF($L452=0,0,ROUND((SUMIFS('المرتبطة بسمو الوزير'!$M$2:$M$151,'المرتبطة بسمو الوزير'!$B$2:$B$151,$B452,'المرتبطة بسمو الوزير'!$G$2:$G$151,$G452,'المرتبطة بسمو الوزير'!$I$2:$I$151,$I452)+SUMIFS('الشؤون التنفيذية'!$N$2:$N$421,'الشؤون التنفيذية'!$B$2:$B$421,$B452,'الشؤون التنفيذية'!$G$2:$G$421,$G452,'الشؤون التنفيذية'!$I$2:$I$421,$I452)+SUMIFS('الجهاز العسكري'!$M$2:$M$631,'الجهاز العسكري'!$B$2:$B$631,$B452,'الجهاز العسكري'!$G$2:$G$631,$G452,'الجهاز العسكري'!$I$2:$I$631,$I452))/$L452,0))</f>
        <v>95</v>
      </c>
      <c r="O452" s="18"/>
      <c r="P452" s="15">
        <f>SUMIFS(المرجع!$G$2:$G$19,المرجع!$B$2:$B$19,$G452,المرجع!$E$2:$E$19,$I452)</f>
        <v>25</v>
      </c>
      <c r="Q452" s="20">
        <f t="shared" si="8"/>
        <v>23.75</v>
      </c>
      <c r="R452" s="21" t="str">
        <f>IF($N452&gt;المرجع!$K$3,"متقدم",IF($N452&lt;=المرجع!$K$2,"أولي","جزئي"))</f>
        <v>متقدم</v>
      </c>
    </row>
    <row r="453" spans="1:18">
      <c r="A453" s="16" t="s">
        <v>1893</v>
      </c>
      <c r="B453" s="16" t="s">
        <v>202</v>
      </c>
      <c r="C453" s="15" t="str">
        <f>IFERROR(INDEX('قائمة الوحدات'!$B$2:$B$41,MATCH($B453,'قائمة الوحدات'!$A$2:$A$41,0)),"")</f>
        <v>MIL</v>
      </c>
      <c r="D453" s="14" t="str">
        <f>IFERROR(INDEX('قائمة الوحدات'!$C$2:$C$41,MATCH($B453,'قائمة الوحدات'!$A$2:$A$41,0)),"")</f>
        <v>الجهاز العسكري</v>
      </c>
      <c r="E453" s="14" t="str">
        <f>IFERROR(INDEX('قائمة الوحدات'!$D$2:$D$41,MATCH($B453,'قائمة الوحدات'!$A$2:$A$41,0)),"")</f>
        <v>الإدارة العامة للاستخبارات العسكرية</v>
      </c>
      <c r="F453" s="14" t="str">
        <f>IFERROR(INDEX('قائمة الوحدات'!$F$2:$F$41,MATCH($B453,'قائمة الوحدات'!$A$2:$A$41,0)),"")</f>
        <v>الإدارة العامة للاستخبارات العسكرية</v>
      </c>
      <c r="G453" s="16" t="s">
        <v>43</v>
      </c>
      <c r="H453" s="14" t="str">
        <f>IFERROR(INDEX(المرجع!$A$2:$A$19,MATCH($G453,المرجع!$B$2:$B$19,0)),"")</f>
        <v>التصميم</v>
      </c>
      <c r="I453" s="16" t="s">
        <v>48</v>
      </c>
      <c r="J453" s="14" t="str">
        <f>IFERROR(INDEX(المرجع!$D$2:$D$19,MATCH($I453,المرجع!$E$2:$E$19,0)),"")</f>
        <v>الأهداف ومؤشرات الأداء</v>
      </c>
      <c r="K453" s="15">
        <f>IFERROR(INDEX(المرجع!$F$2:$F$19,MATCH($I453,المرجع!$E$2:$E$19,0)),"")</f>
        <v>2</v>
      </c>
      <c r="L453" s="15">
        <f>SUMIFS(المرجع!$H$2:$H$19,المرجع!$B$2:$B$19,$G453,المرجع!$E$2:$E$19,$I453)</f>
        <v>2</v>
      </c>
      <c r="M453" s="15">
        <f>COUNTIFS('المرتبطة بسمو الوزير'!$B$2:$B$151,$B453,'المرتبطة بسمو الوزير'!$G$2:$G$151,$G453,'المرتبطة بسمو الوزير'!$I$2:$I$151,$I453,'المرتبطة بسمو الوزير'!$M$2:$M$151,"&lt;&gt;")+COUNTIFS('الشؤون التنفيذية'!$B$2:$B$421,$B453,'الشؤون التنفيذية'!$G$2:$G$421,$G453,'الشؤون التنفيذية'!$I$2:$I$421,$I453,'الشؤون التنفيذية'!$N$2:$N$421,"&lt;&gt;")+COUNTIFS('الجهاز العسكري'!$B$2:$B$631,$B453,'الجهاز العسكري'!$G$2:$G$631,$G453,'الجهاز العسكري'!$I$2:$I$631,$I453,'الجهاز العسكري'!$M$2:$M$631,"&lt;&gt;")</f>
        <v>2</v>
      </c>
      <c r="N453" s="19">
        <f>IF($L453=0,0,ROUND((SUMIFS('المرتبطة بسمو الوزير'!$M$2:$M$151,'المرتبطة بسمو الوزير'!$B$2:$B$151,$B453,'المرتبطة بسمو الوزير'!$G$2:$G$151,$G453,'المرتبطة بسمو الوزير'!$I$2:$I$151,$I453)+SUMIFS('الشؤون التنفيذية'!$N$2:$N$421,'الشؤون التنفيذية'!$B$2:$B$421,$B453,'الشؤون التنفيذية'!$G$2:$G$421,$G453,'الشؤون التنفيذية'!$I$2:$I$421,$I453)+SUMIFS('الجهاز العسكري'!$M$2:$M$631,'الجهاز العسكري'!$B$2:$B$631,$B453,'الجهاز العسكري'!$G$2:$G$631,$G453,'الجهاز العسكري'!$I$2:$I$631,$I453))/$L453,0))</f>
        <v>93</v>
      </c>
      <c r="O453" s="18"/>
      <c r="P453" s="15">
        <f>SUMIFS(المرجع!$G$2:$G$19,المرجع!$B$2:$B$19,$G453,المرجع!$E$2:$E$19,$I453)</f>
        <v>15</v>
      </c>
      <c r="Q453" s="20">
        <f t="shared" si="8"/>
        <v>13.95</v>
      </c>
      <c r="R453" s="21" t="str">
        <f>IF($N453&gt;المرجع!$K$3,"متقدم",IF($N453&lt;=المرجع!$K$2,"أولي","جزئي"))</f>
        <v>متقدم</v>
      </c>
    </row>
    <row r="454" spans="1:18">
      <c r="A454" s="16" t="s">
        <v>1894</v>
      </c>
      <c r="B454" s="16" t="s">
        <v>202</v>
      </c>
      <c r="C454" s="15" t="str">
        <f>IFERROR(INDEX('قائمة الوحدات'!$B$2:$B$41,MATCH($B454,'قائمة الوحدات'!$A$2:$A$41,0)),"")</f>
        <v>MIL</v>
      </c>
      <c r="D454" s="14" t="str">
        <f>IFERROR(INDEX('قائمة الوحدات'!$C$2:$C$41,MATCH($B454,'قائمة الوحدات'!$A$2:$A$41,0)),"")</f>
        <v>الجهاز العسكري</v>
      </c>
      <c r="E454" s="14" t="str">
        <f>IFERROR(INDEX('قائمة الوحدات'!$D$2:$D$41,MATCH($B454,'قائمة الوحدات'!$A$2:$A$41,0)),"")</f>
        <v>الإدارة العامة للاستخبارات العسكرية</v>
      </c>
      <c r="F454" s="14" t="str">
        <f>IFERROR(INDEX('قائمة الوحدات'!$F$2:$F$41,MATCH($B454,'قائمة الوحدات'!$A$2:$A$41,0)),"")</f>
        <v>الإدارة العامة للاستخبارات العسكرية</v>
      </c>
      <c r="G454" s="16" t="s">
        <v>43</v>
      </c>
      <c r="H454" s="14" t="str">
        <f>IFERROR(INDEX(المرجع!$A$2:$A$19,MATCH($G454,المرجع!$B$2:$B$19,0)),"")</f>
        <v>التصميم</v>
      </c>
      <c r="I454" s="16" t="s">
        <v>51</v>
      </c>
      <c r="J454" s="14" t="str">
        <f>IFERROR(INDEX(المرجع!$D$2:$D$19,MATCH($I454,المرجع!$E$2:$E$19,0)),"")</f>
        <v>الحوكمة</v>
      </c>
      <c r="K454" s="15">
        <f>IFERROR(INDEX(المرجع!$F$2:$F$19,MATCH($I454,المرجع!$E$2:$E$19,0)),"")</f>
        <v>3</v>
      </c>
      <c r="L454" s="15">
        <f>SUMIFS(المرجع!$H$2:$H$19,المرجع!$B$2:$B$19,$G454,المرجع!$E$2:$E$19,$I454)</f>
        <v>1</v>
      </c>
      <c r="M454" s="15">
        <f>COUNTIFS('المرتبطة بسمو الوزير'!$B$2:$B$151,$B454,'المرتبطة بسمو الوزير'!$G$2:$G$151,$G454,'المرتبطة بسمو الوزير'!$I$2:$I$151,$I454,'المرتبطة بسمو الوزير'!$M$2:$M$151,"&lt;&gt;")+COUNTIFS('الشؤون التنفيذية'!$B$2:$B$421,$B454,'الشؤون التنفيذية'!$G$2:$G$421,$G454,'الشؤون التنفيذية'!$I$2:$I$421,$I454,'الشؤون التنفيذية'!$N$2:$N$421,"&lt;&gt;")+COUNTIFS('الجهاز العسكري'!$B$2:$B$631,$B454,'الجهاز العسكري'!$G$2:$G$631,$G454,'الجهاز العسكري'!$I$2:$I$631,$I454,'الجهاز العسكري'!$M$2:$M$631,"&lt;&gt;")</f>
        <v>1</v>
      </c>
      <c r="N454" s="19">
        <f>IF($L454=0,0,ROUND((SUMIFS('المرتبطة بسمو الوزير'!$M$2:$M$151,'المرتبطة بسمو الوزير'!$B$2:$B$151,$B454,'المرتبطة بسمو الوزير'!$G$2:$G$151,$G454,'المرتبطة بسمو الوزير'!$I$2:$I$151,$I454)+SUMIFS('الشؤون التنفيذية'!$N$2:$N$421,'الشؤون التنفيذية'!$B$2:$B$421,$B454,'الشؤون التنفيذية'!$G$2:$G$421,$G454,'الشؤون التنفيذية'!$I$2:$I$421,$I454)+SUMIFS('الجهاز العسكري'!$M$2:$M$631,'الجهاز العسكري'!$B$2:$B$631,$B454,'الجهاز العسكري'!$G$2:$G$631,$G454,'الجهاز العسكري'!$I$2:$I$631,$I454))/$L454,0))</f>
        <v>70</v>
      </c>
      <c r="O454" s="18"/>
      <c r="P454" s="15">
        <f>SUMIFS(المرجع!$G$2:$G$19,المرجع!$B$2:$B$19,$G454,المرجع!$E$2:$E$19,$I454)</f>
        <v>15</v>
      </c>
      <c r="Q454" s="20">
        <f t="shared" si="8"/>
        <v>10.5</v>
      </c>
      <c r="R454" s="21" t="str">
        <f>IF($N454&gt;المرجع!$K$3,"متقدم",IF($N454&lt;=المرجع!$K$2,"أولي","جزئي"))</f>
        <v>جزئي</v>
      </c>
    </row>
    <row r="455" spans="1:18">
      <c r="A455" s="16" t="s">
        <v>1895</v>
      </c>
      <c r="B455" s="16" t="s">
        <v>202</v>
      </c>
      <c r="C455" s="15" t="str">
        <f>IFERROR(INDEX('قائمة الوحدات'!$B$2:$B$41,MATCH($B455,'قائمة الوحدات'!$A$2:$A$41,0)),"")</f>
        <v>MIL</v>
      </c>
      <c r="D455" s="14" t="str">
        <f>IFERROR(INDEX('قائمة الوحدات'!$C$2:$C$41,MATCH($B455,'قائمة الوحدات'!$A$2:$A$41,0)),"")</f>
        <v>الجهاز العسكري</v>
      </c>
      <c r="E455" s="14" t="str">
        <f>IFERROR(INDEX('قائمة الوحدات'!$D$2:$D$41,MATCH($B455,'قائمة الوحدات'!$A$2:$A$41,0)),"")</f>
        <v>الإدارة العامة للاستخبارات العسكرية</v>
      </c>
      <c r="F455" s="14" t="str">
        <f>IFERROR(INDEX('قائمة الوحدات'!$F$2:$F$41,MATCH($B455,'قائمة الوحدات'!$A$2:$A$41,0)),"")</f>
        <v>الإدارة العامة للاستخبارات العسكرية</v>
      </c>
      <c r="G455" s="16" t="s">
        <v>43</v>
      </c>
      <c r="H455" s="14" t="str">
        <f>IFERROR(INDEX(المرجع!$A$2:$A$19,MATCH($G455,المرجع!$B$2:$B$19,0)),"")</f>
        <v>التصميم</v>
      </c>
      <c r="I455" s="16" t="s">
        <v>54</v>
      </c>
      <c r="J455" s="14" t="str">
        <f>IFERROR(INDEX(المرجع!$D$2:$D$19,MATCH($I455,المرجع!$E$2:$E$19,0)),"")</f>
        <v>التنظيم</v>
      </c>
      <c r="K455" s="15">
        <f>IFERROR(INDEX(المرجع!$F$2:$F$19,MATCH($I455,المرجع!$E$2:$E$19,0)),"")</f>
        <v>4</v>
      </c>
      <c r="L455" s="15">
        <f>SUMIFS(المرجع!$H$2:$H$19,المرجع!$B$2:$B$19,$G455,المرجع!$E$2:$E$19,$I455)</f>
        <v>1</v>
      </c>
      <c r="M455" s="15">
        <f>COUNTIFS('المرتبطة بسمو الوزير'!$B$2:$B$151,$B455,'المرتبطة بسمو الوزير'!$G$2:$G$151,$G455,'المرتبطة بسمو الوزير'!$I$2:$I$151,$I455,'المرتبطة بسمو الوزير'!$M$2:$M$151,"&lt;&gt;")+COUNTIFS('الشؤون التنفيذية'!$B$2:$B$421,$B455,'الشؤون التنفيذية'!$G$2:$G$421,$G455,'الشؤون التنفيذية'!$I$2:$I$421,$I455,'الشؤون التنفيذية'!$N$2:$N$421,"&lt;&gt;")+COUNTIFS('الجهاز العسكري'!$B$2:$B$631,$B455,'الجهاز العسكري'!$G$2:$G$631,$G455,'الجهاز العسكري'!$I$2:$I$631,$I455,'الجهاز العسكري'!$M$2:$M$631,"&lt;&gt;")</f>
        <v>1</v>
      </c>
      <c r="N455" s="19">
        <f>IF($L455=0,0,ROUND((SUMIFS('المرتبطة بسمو الوزير'!$M$2:$M$151,'المرتبطة بسمو الوزير'!$B$2:$B$151,$B455,'المرتبطة بسمو الوزير'!$G$2:$G$151,$G455,'المرتبطة بسمو الوزير'!$I$2:$I$151,$I455)+SUMIFS('الشؤون التنفيذية'!$N$2:$N$421,'الشؤون التنفيذية'!$B$2:$B$421,$B455,'الشؤون التنفيذية'!$G$2:$G$421,$G455,'الشؤون التنفيذية'!$I$2:$I$421,$I455)+SUMIFS('الجهاز العسكري'!$M$2:$M$631,'الجهاز العسكري'!$B$2:$B$631,$B455,'الجهاز العسكري'!$G$2:$G$631,$G455,'الجهاز العسكري'!$I$2:$I$631,$I455))/$L455,0))</f>
        <v>85</v>
      </c>
      <c r="O455" s="18"/>
      <c r="P455" s="15">
        <f>SUMIFS(المرجع!$G$2:$G$19,المرجع!$B$2:$B$19,$G455,المرجع!$E$2:$E$19,$I455)</f>
        <v>20</v>
      </c>
      <c r="Q455" s="20">
        <f t="shared" si="8"/>
        <v>17</v>
      </c>
      <c r="R455" s="21" t="str">
        <f>IF($N455&gt;المرجع!$K$3,"متقدم",IF($N455&lt;=المرجع!$K$2,"أولي","جزئي"))</f>
        <v>متقدم</v>
      </c>
    </row>
    <row r="456" spans="1:18">
      <c r="A456" s="16" t="s">
        <v>1896</v>
      </c>
      <c r="B456" s="16" t="s">
        <v>202</v>
      </c>
      <c r="C456" s="15" t="str">
        <f>IFERROR(INDEX('قائمة الوحدات'!$B$2:$B$41,MATCH($B456,'قائمة الوحدات'!$A$2:$A$41,0)),"")</f>
        <v>MIL</v>
      </c>
      <c r="D456" s="14" t="str">
        <f>IFERROR(INDEX('قائمة الوحدات'!$C$2:$C$41,MATCH($B456,'قائمة الوحدات'!$A$2:$A$41,0)),"")</f>
        <v>الجهاز العسكري</v>
      </c>
      <c r="E456" s="14" t="str">
        <f>IFERROR(INDEX('قائمة الوحدات'!$D$2:$D$41,MATCH($B456,'قائمة الوحدات'!$A$2:$A$41,0)),"")</f>
        <v>الإدارة العامة للاستخبارات العسكرية</v>
      </c>
      <c r="F456" s="14" t="str">
        <f>IFERROR(INDEX('قائمة الوحدات'!$F$2:$F$41,MATCH($B456,'قائمة الوحدات'!$A$2:$A$41,0)),"")</f>
        <v>الإدارة العامة للاستخبارات العسكرية</v>
      </c>
      <c r="G456" s="16" t="s">
        <v>43</v>
      </c>
      <c r="H456" s="14" t="str">
        <f>IFERROR(INDEX(المرجع!$A$2:$A$19,MATCH($G456,المرجع!$B$2:$B$19,0)),"")</f>
        <v>التصميم</v>
      </c>
      <c r="I456" s="16" t="s">
        <v>56</v>
      </c>
      <c r="J456" s="14" t="str">
        <f>IFERROR(INDEX(المرجع!$D$2:$D$19,MATCH($I456,المرجع!$E$2:$E$19,0)),"")</f>
        <v>الموارد</v>
      </c>
      <c r="K456" s="15">
        <f>IFERROR(INDEX(المرجع!$F$2:$F$19,MATCH($I456,المرجع!$E$2:$E$19,0)),"")</f>
        <v>5</v>
      </c>
      <c r="L456" s="15">
        <f>SUMIFS(المرجع!$H$2:$H$19,المرجع!$B$2:$B$19,$G456,المرجع!$E$2:$E$19,$I456)</f>
        <v>1</v>
      </c>
      <c r="M456" s="15">
        <f>COUNTIFS('المرتبطة بسمو الوزير'!$B$2:$B$151,$B456,'المرتبطة بسمو الوزير'!$G$2:$G$151,$G456,'المرتبطة بسمو الوزير'!$I$2:$I$151,$I456,'المرتبطة بسمو الوزير'!$M$2:$M$151,"&lt;&gt;")+COUNTIFS('الشؤون التنفيذية'!$B$2:$B$421,$B456,'الشؤون التنفيذية'!$G$2:$G$421,$G456,'الشؤون التنفيذية'!$I$2:$I$421,$I456,'الشؤون التنفيذية'!$N$2:$N$421,"&lt;&gt;")+COUNTIFS('الجهاز العسكري'!$B$2:$B$631,$B456,'الجهاز العسكري'!$G$2:$G$631,$G456,'الجهاز العسكري'!$I$2:$I$631,$I456,'الجهاز العسكري'!$M$2:$M$631,"&lt;&gt;")</f>
        <v>1</v>
      </c>
      <c r="N456" s="19">
        <f>IF($L456=0,0,ROUND((SUMIFS('المرتبطة بسمو الوزير'!$M$2:$M$151,'المرتبطة بسمو الوزير'!$B$2:$B$151,$B456,'المرتبطة بسمو الوزير'!$G$2:$G$151,$G456,'المرتبطة بسمو الوزير'!$I$2:$I$151,$I456)+SUMIFS('الشؤون التنفيذية'!$N$2:$N$421,'الشؤون التنفيذية'!$B$2:$B$421,$B456,'الشؤون التنفيذية'!$G$2:$G$421,$G456,'الشؤون التنفيذية'!$I$2:$I$421,$I456)+SUMIFS('الجهاز العسكري'!$M$2:$M$631,'الجهاز العسكري'!$B$2:$B$631,$B456,'الجهاز العسكري'!$G$2:$G$631,$G456,'الجهاز العسكري'!$I$2:$I$631,$I456))/$L456,0))</f>
        <v>69</v>
      </c>
      <c r="O456" s="18"/>
      <c r="P456" s="15">
        <f>SUMIFS(المرجع!$G$2:$G$19,المرجع!$B$2:$B$19,$G456,المرجع!$E$2:$E$19,$I456)</f>
        <v>20</v>
      </c>
      <c r="Q456" s="20">
        <f t="shared" si="8"/>
        <v>13.8</v>
      </c>
      <c r="R456" s="21" t="str">
        <f>IF($N456&gt;المرجع!$K$3,"متقدم",IF($N456&lt;=المرجع!$K$2,"أولي","جزئي"))</f>
        <v>جزئي</v>
      </c>
    </row>
    <row r="457" spans="1:18">
      <c r="A457" s="16" t="s">
        <v>1897</v>
      </c>
      <c r="B457" s="16" t="s">
        <v>202</v>
      </c>
      <c r="C457" s="15" t="str">
        <f>IFERROR(INDEX('قائمة الوحدات'!$B$2:$B$41,MATCH($B457,'قائمة الوحدات'!$A$2:$A$41,0)),"")</f>
        <v>MIL</v>
      </c>
      <c r="D457" s="14" t="str">
        <f>IFERROR(INDEX('قائمة الوحدات'!$C$2:$C$41,MATCH($B457,'قائمة الوحدات'!$A$2:$A$41,0)),"")</f>
        <v>الجهاز العسكري</v>
      </c>
      <c r="E457" s="14" t="str">
        <f>IFERROR(INDEX('قائمة الوحدات'!$D$2:$D$41,MATCH($B457,'قائمة الوحدات'!$A$2:$A$41,0)),"")</f>
        <v>الإدارة العامة للاستخبارات العسكرية</v>
      </c>
      <c r="F457" s="14" t="str">
        <f>IFERROR(INDEX('قائمة الوحدات'!$F$2:$F$41,MATCH($B457,'قائمة الوحدات'!$A$2:$A$41,0)),"")</f>
        <v>الإدارة العامة للاستخبارات العسكرية</v>
      </c>
      <c r="G457" s="16" t="s">
        <v>43</v>
      </c>
      <c r="H457" s="14" t="str">
        <f>IFERROR(INDEX(المرجع!$A$2:$A$19,MATCH($G457,المرجع!$B$2:$B$19,0)),"")</f>
        <v>التصميم</v>
      </c>
      <c r="I457" s="16" t="s">
        <v>59</v>
      </c>
      <c r="J457" s="14" t="str">
        <f>IFERROR(INDEX(المرجع!$D$2:$D$19,MATCH($I457,المرجع!$E$2:$E$19,0)),"")</f>
        <v>الإجراءات</v>
      </c>
      <c r="K457" s="15">
        <f>IFERROR(INDEX(المرجع!$F$2:$F$19,MATCH($I457,المرجع!$E$2:$E$19,0)),"")</f>
        <v>6</v>
      </c>
      <c r="L457" s="15">
        <f>SUMIFS(المرجع!$H$2:$H$19,المرجع!$B$2:$B$19,$G457,المرجع!$E$2:$E$19,$I457)</f>
        <v>1</v>
      </c>
      <c r="M457" s="15">
        <f>COUNTIFS('المرتبطة بسمو الوزير'!$B$2:$B$151,$B457,'المرتبطة بسمو الوزير'!$G$2:$G$151,$G457,'المرتبطة بسمو الوزير'!$I$2:$I$151,$I457,'المرتبطة بسمو الوزير'!$M$2:$M$151,"&lt;&gt;")+COUNTIFS('الشؤون التنفيذية'!$B$2:$B$421,$B457,'الشؤون التنفيذية'!$G$2:$G$421,$G457,'الشؤون التنفيذية'!$I$2:$I$421,$I457,'الشؤون التنفيذية'!$N$2:$N$421,"&lt;&gt;")+COUNTIFS('الجهاز العسكري'!$B$2:$B$631,$B457,'الجهاز العسكري'!$G$2:$G$631,$G457,'الجهاز العسكري'!$I$2:$I$631,$I457,'الجهاز العسكري'!$M$2:$M$631,"&lt;&gt;")</f>
        <v>1</v>
      </c>
      <c r="N457" s="19">
        <f>IF($L457=0,0,ROUND((SUMIFS('المرتبطة بسمو الوزير'!$M$2:$M$151,'المرتبطة بسمو الوزير'!$B$2:$B$151,$B457,'المرتبطة بسمو الوزير'!$G$2:$G$151,$G457,'المرتبطة بسمو الوزير'!$I$2:$I$151,$I457)+SUMIFS('الشؤون التنفيذية'!$N$2:$N$421,'الشؤون التنفيذية'!$B$2:$B$421,$B457,'الشؤون التنفيذية'!$G$2:$G$421,$G457,'الشؤون التنفيذية'!$I$2:$I$421,$I457)+SUMIFS('الجهاز العسكري'!$M$2:$M$631,'الجهاز العسكري'!$B$2:$B$631,$B457,'الجهاز العسكري'!$G$2:$G$631,$G457,'الجهاز العسكري'!$I$2:$I$631,$I457))/$L457,0))</f>
        <v>79</v>
      </c>
      <c r="O457" s="18"/>
      <c r="P457" s="15">
        <f>SUMIFS(المرجع!$G$2:$G$19,المرجع!$B$2:$B$19,$G457,المرجع!$E$2:$E$19,$I457)</f>
        <v>5</v>
      </c>
      <c r="Q457" s="20">
        <f t="shared" si="8"/>
        <v>3.95</v>
      </c>
      <c r="R457" s="21" t="str">
        <f>IF($N457&gt;المرجع!$K$3,"متقدم",IF($N457&lt;=المرجع!$K$2,"أولي","جزئي"))</f>
        <v>متقدم</v>
      </c>
    </row>
    <row r="458" spans="1:18">
      <c r="A458" s="16" t="s">
        <v>1898</v>
      </c>
      <c r="B458" s="16" t="s">
        <v>202</v>
      </c>
      <c r="C458" s="15" t="str">
        <f>IFERROR(INDEX('قائمة الوحدات'!$B$2:$B$41,MATCH($B458,'قائمة الوحدات'!$A$2:$A$41,0)),"")</f>
        <v>MIL</v>
      </c>
      <c r="D458" s="14" t="str">
        <f>IFERROR(INDEX('قائمة الوحدات'!$C$2:$C$41,MATCH($B458,'قائمة الوحدات'!$A$2:$A$41,0)),"")</f>
        <v>الجهاز العسكري</v>
      </c>
      <c r="E458" s="14" t="str">
        <f>IFERROR(INDEX('قائمة الوحدات'!$D$2:$D$41,MATCH($B458,'قائمة الوحدات'!$A$2:$A$41,0)),"")</f>
        <v>الإدارة العامة للاستخبارات العسكرية</v>
      </c>
      <c r="F458" s="14" t="str">
        <f>IFERROR(INDEX('قائمة الوحدات'!$F$2:$F$41,MATCH($B458,'قائمة الوحدات'!$A$2:$A$41,0)),"")</f>
        <v>الإدارة العامة للاستخبارات العسكرية</v>
      </c>
      <c r="G458" s="16" t="s">
        <v>61</v>
      </c>
      <c r="H458" s="14" t="str">
        <f>IFERROR(INDEX(المرجع!$A$2:$A$19,MATCH($G458,المرجع!$B$2:$B$19,0)),"")</f>
        <v>البناء المؤسسي</v>
      </c>
      <c r="I458" s="16" t="s">
        <v>45</v>
      </c>
      <c r="J458" s="14" t="str">
        <f>IFERROR(INDEX(المرجع!$D$2:$D$19,MATCH($I458,المرجع!$E$2:$E$19,0)),"")</f>
        <v>الدور</v>
      </c>
      <c r="K458" s="15">
        <f>IFERROR(INDEX(المرجع!$F$2:$F$19,MATCH($I458,المرجع!$E$2:$E$19,0)),"")</f>
        <v>1</v>
      </c>
      <c r="L458" s="15">
        <f>SUMIFS(المرجع!$H$2:$H$19,المرجع!$B$2:$B$19,$G458,المرجع!$E$2:$E$19,$I458)</f>
        <v>1</v>
      </c>
      <c r="M458" s="15">
        <f>COUNTIFS('المرتبطة بسمو الوزير'!$B$2:$B$151,$B458,'المرتبطة بسمو الوزير'!$G$2:$G$151,$G458,'المرتبطة بسمو الوزير'!$I$2:$I$151,$I458,'المرتبطة بسمو الوزير'!$M$2:$M$151,"&lt;&gt;")+COUNTIFS('الشؤون التنفيذية'!$B$2:$B$421,$B458,'الشؤون التنفيذية'!$G$2:$G$421,$G458,'الشؤون التنفيذية'!$I$2:$I$421,$I458,'الشؤون التنفيذية'!$N$2:$N$421,"&lt;&gt;")+COUNTIFS('الجهاز العسكري'!$B$2:$B$631,$B458,'الجهاز العسكري'!$G$2:$G$631,$G458,'الجهاز العسكري'!$I$2:$I$631,$I458,'الجهاز العسكري'!$M$2:$M$631,"&lt;&gt;")</f>
        <v>1</v>
      </c>
      <c r="N458" s="19">
        <f>IF($L458=0,0,ROUND((SUMIFS('المرتبطة بسمو الوزير'!$M$2:$M$151,'المرتبطة بسمو الوزير'!$B$2:$B$151,$B458,'المرتبطة بسمو الوزير'!$G$2:$G$151,$G458,'المرتبطة بسمو الوزير'!$I$2:$I$151,$I458)+SUMIFS('الشؤون التنفيذية'!$N$2:$N$421,'الشؤون التنفيذية'!$B$2:$B$421,$B458,'الشؤون التنفيذية'!$G$2:$G$421,$G458,'الشؤون التنفيذية'!$I$2:$I$421,$I458)+SUMIFS('الجهاز العسكري'!$M$2:$M$631,'الجهاز العسكري'!$B$2:$B$631,$B458,'الجهاز العسكري'!$G$2:$G$631,$G458,'الجهاز العسكري'!$I$2:$I$631,$I458))/$L458,0))</f>
        <v>77</v>
      </c>
      <c r="O458" s="18"/>
      <c r="P458" s="15">
        <f>SUMIFS(المرجع!$G$2:$G$19,المرجع!$B$2:$B$19,$G458,المرجع!$E$2:$E$19,$I458)</f>
        <v>15</v>
      </c>
      <c r="Q458" s="20">
        <f t="shared" si="8"/>
        <v>11.55</v>
      </c>
      <c r="R458" s="21" t="str">
        <f>IF($N458&gt;المرجع!$K$3,"متقدم",IF($N458&lt;=المرجع!$K$2,"أولي","جزئي"))</f>
        <v>متقدم</v>
      </c>
    </row>
    <row r="459" spans="1:18">
      <c r="A459" s="16" t="s">
        <v>1899</v>
      </c>
      <c r="B459" s="16" t="s">
        <v>202</v>
      </c>
      <c r="C459" s="15" t="str">
        <f>IFERROR(INDEX('قائمة الوحدات'!$B$2:$B$41,MATCH($B459,'قائمة الوحدات'!$A$2:$A$41,0)),"")</f>
        <v>MIL</v>
      </c>
      <c r="D459" s="14" t="str">
        <f>IFERROR(INDEX('قائمة الوحدات'!$C$2:$C$41,MATCH($B459,'قائمة الوحدات'!$A$2:$A$41,0)),"")</f>
        <v>الجهاز العسكري</v>
      </c>
      <c r="E459" s="14" t="str">
        <f>IFERROR(INDEX('قائمة الوحدات'!$D$2:$D$41,MATCH($B459,'قائمة الوحدات'!$A$2:$A$41,0)),"")</f>
        <v>الإدارة العامة للاستخبارات العسكرية</v>
      </c>
      <c r="F459" s="14" t="str">
        <f>IFERROR(INDEX('قائمة الوحدات'!$F$2:$F$41,MATCH($B459,'قائمة الوحدات'!$A$2:$A$41,0)),"")</f>
        <v>الإدارة العامة للاستخبارات العسكرية</v>
      </c>
      <c r="G459" s="16" t="s">
        <v>61</v>
      </c>
      <c r="H459" s="14" t="str">
        <f>IFERROR(INDEX(المرجع!$A$2:$A$19,MATCH($G459,المرجع!$B$2:$B$19,0)),"")</f>
        <v>البناء المؤسسي</v>
      </c>
      <c r="I459" s="16" t="s">
        <v>48</v>
      </c>
      <c r="J459" s="14" t="str">
        <f>IFERROR(INDEX(المرجع!$D$2:$D$19,MATCH($I459,المرجع!$E$2:$E$19,0)),"")</f>
        <v>الأهداف ومؤشرات الأداء</v>
      </c>
      <c r="K459" s="15">
        <f>IFERROR(INDEX(المرجع!$F$2:$F$19,MATCH($I459,المرجع!$E$2:$E$19,0)),"")</f>
        <v>2</v>
      </c>
      <c r="L459" s="15">
        <f>SUMIFS(المرجع!$H$2:$H$19,المرجع!$B$2:$B$19,$G459,المرجع!$E$2:$E$19,$I459)</f>
        <v>2</v>
      </c>
      <c r="M459" s="15">
        <f>COUNTIFS('المرتبطة بسمو الوزير'!$B$2:$B$151,$B459,'المرتبطة بسمو الوزير'!$G$2:$G$151,$G459,'المرتبطة بسمو الوزير'!$I$2:$I$151,$I459,'المرتبطة بسمو الوزير'!$M$2:$M$151,"&lt;&gt;")+COUNTIFS('الشؤون التنفيذية'!$B$2:$B$421,$B459,'الشؤون التنفيذية'!$G$2:$G$421,$G459,'الشؤون التنفيذية'!$I$2:$I$421,$I459,'الشؤون التنفيذية'!$N$2:$N$421,"&lt;&gt;")+COUNTIFS('الجهاز العسكري'!$B$2:$B$631,$B459,'الجهاز العسكري'!$G$2:$G$631,$G459,'الجهاز العسكري'!$I$2:$I$631,$I459,'الجهاز العسكري'!$M$2:$M$631,"&lt;&gt;")</f>
        <v>2</v>
      </c>
      <c r="N459" s="19">
        <f>IF($L459=0,0,ROUND((SUMIFS('المرتبطة بسمو الوزير'!$M$2:$M$151,'المرتبطة بسمو الوزير'!$B$2:$B$151,$B459,'المرتبطة بسمو الوزير'!$G$2:$G$151,$G459,'المرتبطة بسمو الوزير'!$I$2:$I$151,$I459)+SUMIFS('الشؤون التنفيذية'!$N$2:$N$421,'الشؤون التنفيذية'!$B$2:$B$421,$B459,'الشؤون التنفيذية'!$G$2:$G$421,$G459,'الشؤون التنفيذية'!$I$2:$I$421,$I459)+SUMIFS('الجهاز العسكري'!$M$2:$M$631,'الجهاز العسكري'!$B$2:$B$631,$B459,'الجهاز العسكري'!$G$2:$G$631,$G459,'الجهاز العسكري'!$I$2:$I$631,$I459))/$L459,0))</f>
        <v>55</v>
      </c>
      <c r="O459" s="18"/>
      <c r="P459" s="15">
        <f>SUMIFS(المرجع!$G$2:$G$19,المرجع!$B$2:$B$19,$G459,المرجع!$E$2:$E$19,$I459)</f>
        <v>15</v>
      </c>
      <c r="Q459" s="20">
        <f t="shared" si="8"/>
        <v>8.25</v>
      </c>
      <c r="R459" s="21" t="str">
        <f>IF($N459&gt;المرجع!$K$3,"متقدم",IF($N459&lt;=المرجع!$K$2,"أولي","جزئي"))</f>
        <v>جزئي</v>
      </c>
    </row>
    <row r="460" spans="1:18">
      <c r="A460" s="16" t="s">
        <v>1900</v>
      </c>
      <c r="B460" s="16" t="s">
        <v>202</v>
      </c>
      <c r="C460" s="15" t="str">
        <f>IFERROR(INDEX('قائمة الوحدات'!$B$2:$B$41,MATCH($B460,'قائمة الوحدات'!$A$2:$A$41,0)),"")</f>
        <v>MIL</v>
      </c>
      <c r="D460" s="14" t="str">
        <f>IFERROR(INDEX('قائمة الوحدات'!$C$2:$C$41,MATCH($B460,'قائمة الوحدات'!$A$2:$A$41,0)),"")</f>
        <v>الجهاز العسكري</v>
      </c>
      <c r="E460" s="14" t="str">
        <f>IFERROR(INDEX('قائمة الوحدات'!$D$2:$D$41,MATCH($B460,'قائمة الوحدات'!$A$2:$A$41,0)),"")</f>
        <v>الإدارة العامة للاستخبارات العسكرية</v>
      </c>
      <c r="F460" s="14" t="str">
        <f>IFERROR(INDEX('قائمة الوحدات'!$F$2:$F$41,MATCH($B460,'قائمة الوحدات'!$A$2:$A$41,0)),"")</f>
        <v>الإدارة العامة للاستخبارات العسكرية</v>
      </c>
      <c r="G460" s="16" t="s">
        <v>61</v>
      </c>
      <c r="H460" s="14" t="str">
        <f>IFERROR(INDEX(المرجع!$A$2:$A$19,MATCH($G460,المرجع!$B$2:$B$19,0)),"")</f>
        <v>البناء المؤسسي</v>
      </c>
      <c r="I460" s="16" t="s">
        <v>51</v>
      </c>
      <c r="J460" s="14" t="str">
        <f>IFERROR(INDEX(المرجع!$D$2:$D$19,MATCH($I460,المرجع!$E$2:$E$19,0)),"")</f>
        <v>الحوكمة</v>
      </c>
      <c r="K460" s="15">
        <f>IFERROR(INDEX(المرجع!$F$2:$F$19,MATCH($I460,المرجع!$E$2:$E$19,0)),"")</f>
        <v>3</v>
      </c>
      <c r="L460" s="15">
        <f>SUMIFS(المرجع!$H$2:$H$19,المرجع!$B$2:$B$19,$G460,المرجع!$E$2:$E$19,$I460)</f>
        <v>3</v>
      </c>
      <c r="M460" s="15">
        <f>COUNTIFS('المرتبطة بسمو الوزير'!$B$2:$B$151,$B460,'المرتبطة بسمو الوزير'!$G$2:$G$151,$G460,'المرتبطة بسمو الوزير'!$I$2:$I$151,$I460,'المرتبطة بسمو الوزير'!$M$2:$M$151,"&lt;&gt;")+COUNTIFS('الشؤون التنفيذية'!$B$2:$B$421,$B460,'الشؤون التنفيذية'!$G$2:$G$421,$G460,'الشؤون التنفيذية'!$I$2:$I$421,$I460,'الشؤون التنفيذية'!$N$2:$N$421,"&lt;&gt;")+COUNTIFS('الجهاز العسكري'!$B$2:$B$631,$B460,'الجهاز العسكري'!$G$2:$G$631,$G460,'الجهاز العسكري'!$I$2:$I$631,$I460,'الجهاز العسكري'!$M$2:$M$631,"&lt;&gt;")</f>
        <v>3</v>
      </c>
      <c r="N460" s="19">
        <f>IF($L460=0,0,ROUND((SUMIFS('المرتبطة بسمو الوزير'!$M$2:$M$151,'المرتبطة بسمو الوزير'!$B$2:$B$151,$B460,'المرتبطة بسمو الوزير'!$G$2:$G$151,$G460,'المرتبطة بسمو الوزير'!$I$2:$I$151,$I460)+SUMIFS('الشؤون التنفيذية'!$N$2:$N$421,'الشؤون التنفيذية'!$B$2:$B$421,$B460,'الشؤون التنفيذية'!$G$2:$G$421,$G460,'الشؤون التنفيذية'!$I$2:$I$421,$I460)+SUMIFS('الجهاز العسكري'!$M$2:$M$631,'الجهاز العسكري'!$B$2:$B$631,$B460,'الجهاز العسكري'!$G$2:$G$631,$G460,'الجهاز العسكري'!$I$2:$I$631,$I460))/$L460,0))</f>
        <v>60</v>
      </c>
      <c r="O460" s="18"/>
      <c r="P460" s="15">
        <f>SUMIFS(المرجع!$G$2:$G$19,المرجع!$B$2:$B$19,$G460,المرجع!$E$2:$E$19,$I460)</f>
        <v>15</v>
      </c>
      <c r="Q460" s="20">
        <f t="shared" si="8"/>
        <v>9</v>
      </c>
      <c r="R460" s="21" t="str">
        <f>IF($N460&gt;المرجع!$K$3,"متقدم",IF($N460&lt;=المرجع!$K$2,"أولي","جزئي"))</f>
        <v>جزئي</v>
      </c>
    </row>
    <row r="461" spans="1:18">
      <c r="A461" s="16" t="s">
        <v>1901</v>
      </c>
      <c r="B461" s="16" t="s">
        <v>202</v>
      </c>
      <c r="C461" s="15" t="str">
        <f>IFERROR(INDEX('قائمة الوحدات'!$B$2:$B$41,MATCH($B461,'قائمة الوحدات'!$A$2:$A$41,0)),"")</f>
        <v>MIL</v>
      </c>
      <c r="D461" s="14" t="str">
        <f>IFERROR(INDEX('قائمة الوحدات'!$C$2:$C$41,MATCH($B461,'قائمة الوحدات'!$A$2:$A$41,0)),"")</f>
        <v>الجهاز العسكري</v>
      </c>
      <c r="E461" s="14" t="str">
        <f>IFERROR(INDEX('قائمة الوحدات'!$D$2:$D$41,MATCH($B461,'قائمة الوحدات'!$A$2:$A$41,0)),"")</f>
        <v>الإدارة العامة للاستخبارات العسكرية</v>
      </c>
      <c r="F461" s="14" t="str">
        <f>IFERROR(INDEX('قائمة الوحدات'!$F$2:$F$41,MATCH($B461,'قائمة الوحدات'!$A$2:$A$41,0)),"")</f>
        <v>الإدارة العامة للاستخبارات العسكرية</v>
      </c>
      <c r="G461" s="16" t="s">
        <v>61</v>
      </c>
      <c r="H461" s="14" t="str">
        <f>IFERROR(INDEX(المرجع!$A$2:$A$19,MATCH($G461,المرجع!$B$2:$B$19,0)),"")</f>
        <v>البناء المؤسسي</v>
      </c>
      <c r="I461" s="16" t="s">
        <v>54</v>
      </c>
      <c r="J461" s="14" t="str">
        <f>IFERROR(INDEX(المرجع!$D$2:$D$19,MATCH($I461,المرجع!$E$2:$E$19,0)),"")</f>
        <v>التنظيم</v>
      </c>
      <c r="K461" s="15">
        <f>IFERROR(INDEX(المرجع!$F$2:$F$19,MATCH($I461,المرجع!$E$2:$E$19,0)),"")</f>
        <v>4</v>
      </c>
      <c r="L461" s="15">
        <f>SUMIFS(المرجع!$H$2:$H$19,المرجع!$B$2:$B$19,$G461,المرجع!$E$2:$E$19,$I461)</f>
        <v>3</v>
      </c>
      <c r="M461" s="15">
        <f>COUNTIFS('المرتبطة بسمو الوزير'!$B$2:$B$151,$B461,'المرتبطة بسمو الوزير'!$G$2:$G$151,$G461,'المرتبطة بسمو الوزير'!$I$2:$I$151,$I461,'المرتبطة بسمو الوزير'!$M$2:$M$151,"&lt;&gt;")+COUNTIFS('الشؤون التنفيذية'!$B$2:$B$421,$B461,'الشؤون التنفيذية'!$G$2:$G$421,$G461,'الشؤون التنفيذية'!$I$2:$I$421,$I461,'الشؤون التنفيذية'!$N$2:$N$421,"&lt;&gt;")+COUNTIFS('الجهاز العسكري'!$B$2:$B$631,$B461,'الجهاز العسكري'!$G$2:$G$631,$G461,'الجهاز العسكري'!$I$2:$I$631,$I461,'الجهاز العسكري'!$M$2:$M$631,"&lt;&gt;")</f>
        <v>3</v>
      </c>
      <c r="N461" s="19">
        <f>IF($L461=0,0,ROUND((SUMIFS('المرتبطة بسمو الوزير'!$M$2:$M$151,'المرتبطة بسمو الوزير'!$B$2:$B$151,$B461,'المرتبطة بسمو الوزير'!$G$2:$G$151,$G461,'المرتبطة بسمو الوزير'!$I$2:$I$151,$I461)+SUMIFS('الشؤون التنفيذية'!$N$2:$N$421,'الشؤون التنفيذية'!$B$2:$B$421,$B461,'الشؤون التنفيذية'!$G$2:$G$421,$G461,'الشؤون التنفيذية'!$I$2:$I$421,$I461)+SUMIFS('الجهاز العسكري'!$M$2:$M$631,'الجهاز العسكري'!$B$2:$B$631,$B461,'الجهاز العسكري'!$G$2:$G$631,$G461,'الجهاز العسكري'!$I$2:$I$631,$I461))/$L461,0))</f>
        <v>85</v>
      </c>
      <c r="O461" s="18"/>
      <c r="P461" s="15">
        <f>SUMIFS(المرجع!$G$2:$G$19,المرجع!$B$2:$B$19,$G461,المرجع!$E$2:$E$19,$I461)</f>
        <v>20</v>
      </c>
      <c r="Q461" s="20">
        <f t="shared" si="8"/>
        <v>17</v>
      </c>
      <c r="R461" s="21" t="str">
        <f>IF($N461&gt;المرجع!$K$3,"متقدم",IF($N461&lt;=المرجع!$K$2,"أولي","جزئي"))</f>
        <v>متقدم</v>
      </c>
    </row>
    <row r="462" spans="1:18">
      <c r="A462" s="16" t="s">
        <v>1902</v>
      </c>
      <c r="B462" s="16" t="s">
        <v>202</v>
      </c>
      <c r="C462" s="15" t="str">
        <f>IFERROR(INDEX('قائمة الوحدات'!$B$2:$B$41,MATCH($B462,'قائمة الوحدات'!$A$2:$A$41,0)),"")</f>
        <v>MIL</v>
      </c>
      <c r="D462" s="14" t="str">
        <f>IFERROR(INDEX('قائمة الوحدات'!$C$2:$C$41,MATCH($B462,'قائمة الوحدات'!$A$2:$A$41,0)),"")</f>
        <v>الجهاز العسكري</v>
      </c>
      <c r="E462" s="14" t="str">
        <f>IFERROR(INDEX('قائمة الوحدات'!$D$2:$D$41,MATCH($B462,'قائمة الوحدات'!$A$2:$A$41,0)),"")</f>
        <v>الإدارة العامة للاستخبارات العسكرية</v>
      </c>
      <c r="F462" s="14" t="str">
        <f>IFERROR(INDEX('قائمة الوحدات'!$F$2:$F$41,MATCH($B462,'قائمة الوحدات'!$A$2:$A$41,0)),"")</f>
        <v>الإدارة العامة للاستخبارات العسكرية</v>
      </c>
      <c r="G462" s="16" t="s">
        <v>61</v>
      </c>
      <c r="H462" s="14" t="str">
        <f>IFERROR(INDEX(المرجع!$A$2:$A$19,MATCH($G462,المرجع!$B$2:$B$19,0)),"")</f>
        <v>البناء المؤسسي</v>
      </c>
      <c r="I462" s="16" t="s">
        <v>56</v>
      </c>
      <c r="J462" s="14" t="str">
        <f>IFERROR(INDEX(المرجع!$D$2:$D$19,MATCH($I462,المرجع!$E$2:$E$19,0)),"")</f>
        <v>الموارد</v>
      </c>
      <c r="K462" s="15">
        <f>IFERROR(INDEX(المرجع!$F$2:$F$19,MATCH($I462,المرجع!$E$2:$E$19,0)),"")</f>
        <v>5</v>
      </c>
      <c r="L462" s="15">
        <f>SUMIFS(المرجع!$H$2:$H$19,المرجع!$B$2:$B$19,$G462,المرجع!$E$2:$E$19,$I462)</f>
        <v>4</v>
      </c>
      <c r="M462" s="15">
        <f>COUNTIFS('المرتبطة بسمو الوزير'!$B$2:$B$151,$B462,'المرتبطة بسمو الوزير'!$G$2:$G$151,$G462,'المرتبطة بسمو الوزير'!$I$2:$I$151,$I462,'المرتبطة بسمو الوزير'!$M$2:$M$151,"&lt;&gt;")+COUNTIFS('الشؤون التنفيذية'!$B$2:$B$421,$B462,'الشؤون التنفيذية'!$G$2:$G$421,$G462,'الشؤون التنفيذية'!$I$2:$I$421,$I462,'الشؤون التنفيذية'!$N$2:$N$421,"&lt;&gt;")+COUNTIFS('الجهاز العسكري'!$B$2:$B$631,$B462,'الجهاز العسكري'!$G$2:$G$631,$G462,'الجهاز العسكري'!$I$2:$I$631,$I462,'الجهاز العسكري'!$M$2:$M$631,"&lt;&gt;")</f>
        <v>4</v>
      </c>
      <c r="N462" s="19">
        <f>IF($L462=0,0,ROUND((SUMIFS('المرتبطة بسمو الوزير'!$M$2:$M$151,'المرتبطة بسمو الوزير'!$B$2:$B$151,$B462,'المرتبطة بسمو الوزير'!$G$2:$G$151,$G462,'المرتبطة بسمو الوزير'!$I$2:$I$151,$I462)+SUMIFS('الشؤون التنفيذية'!$N$2:$N$421,'الشؤون التنفيذية'!$B$2:$B$421,$B462,'الشؤون التنفيذية'!$G$2:$G$421,$G462,'الشؤون التنفيذية'!$I$2:$I$421,$I462)+SUMIFS('الجهاز العسكري'!$M$2:$M$631,'الجهاز العسكري'!$B$2:$B$631,$B462,'الجهاز العسكري'!$G$2:$G$631,$G462,'الجهاز العسكري'!$I$2:$I$631,$I462))/$L462,0))</f>
        <v>79</v>
      </c>
      <c r="O462" s="18"/>
      <c r="P462" s="15">
        <f>SUMIFS(المرجع!$G$2:$G$19,المرجع!$B$2:$B$19,$G462,المرجع!$E$2:$E$19,$I462)</f>
        <v>25</v>
      </c>
      <c r="Q462" s="20">
        <f t="shared" si="8"/>
        <v>19.75</v>
      </c>
      <c r="R462" s="21" t="str">
        <f>IF($N462&gt;المرجع!$K$3,"متقدم",IF($N462&lt;=المرجع!$K$2,"أولي","جزئي"))</f>
        <v>متقدم</v>
      </c>
    </row>
    <row r="463" spans="1:18">
      <c r="A463" s="16" t="s">
        <v>1903</v>
      </c>
      <c r="B463" s="16" t="s">
        <v>202</v>
      </c>
      <c r="C463" s="15" t="str">
        <f>IFERROR(INDEX('قائمة الوحدات'!$B$2:$B$41,MATCH($B463,'قائمة الوحدات'!$A$2:$A$41,0)),"")</f>
        <v>MIL</v>
      </c>
      <c r="D463" s="14" t="str">
        <f>IFERROR(INDEX('قائمة الوحدات'!$C$2:$C$41,MATCH($B463,'قائمة الوحدات'!$A$2:$A$41,0)),"")</f>
        <v>الجهاز العسكري</v>
      </c>
      <c r="E463" s="14" t="str">
        <f>IFERROR(INDEX('قائمة الوحدات'!$D$2:$D$41,MATCH($B463,'قائمة الوحدات'!$A$2:$A$41,0)),"")</f>
        <v>الإدارة العامة للاستخبارات العسكرية</v>
      </c>
      <c r="F463" s="14" t="str">
        <f>IFERROR(INDEX('قائمة الوحدات'!$F$2:$F$41,MATCH($B463,'قائمة الوحدات'!$A$2:$A$41,0)),"")</f>
        <v>الإدارة العامة للاستخبارات العسكرية</v>
      </c>
      <c r="G463" s="16" t="s">
        <v>61</v>
      </c>
      <c r="H463" s="14" t="str">
        <f>IFERROR(INDEX(المرجع!$A$2:$A$19,MATCH($G463,المرجع!$B$2:$B$19,0)),"")</f>
        <v>البناء المؤسسي</v>
      </c>
      <c r="I463" s="16" t="s">
        <v>59</v>
      </c>
      <c r="J463" s="14" t="str">
        <f>IFERROR(INDEX(المرجع!$D$2:$D$19,MATCH($I463,المرجع!$E$2:$E$19,0)),"")</f>
        <v>الإجراءات</v>
      </c>
      <c r="K463" s="15">
        <f>IFERROR(INDEX(المرجع!$F$2:$F$19,MATCH($I463,المرجع!$E$2:$E$19,0)),"")</f>
        <v>6</v>
      </c>
      <c r="L463" s="15">
        <f>SUMIFS(المرجع!$H$2:$H$19,المرجع!$B$2:$B$19,$G463,المرجع!$E$2:$E$19,$I463)</f>
        <v>1</v>
      </c>
      <c r="M463" s="15">
        <f>COUNTIFS('المرتبطة بسمو الوزير'!$B$2:$B$151,$B463,'المرتبطة بسمو الوزير'!$G$2:$G$151,$G463,'المرتبطة بسمو الوزير'!$I$2:$I$151,$I463,'المرتبطة بسمو الوزير'!$M$2:$M$151,"&lt;&gt;")+COUNTIFS('الشؤون التنفيذية'!$B$2:$B$421,$B463,'الشؤون التنفيذية'!$G$2:$G$421,$G463,'الشؤون التنفيذية'!$I$2:$I$421,$I463,'الشؤون التنفيذية'!$N$2:$N$421,"&lt;&gt;")+COUNTIFS('الجهاز العسكري'!$B$2:$B$631,$B463,'الجهاز العسكري'!$G$2:$G$631,$G463,'الجهاز العسكري'!$I$2:$I$631,$I463,'الجهاز العسكري'!$M$2:$M$631,"&lt;&gt;")</f>
        <v>1</v>
      </c>
      <c r="N463" s="19">
        <f>IF($L463=0,0,ROUND((SUMIFS('المرتبطة بسمو الوزير'!$M$2:$M$151,'المرتبطة بسمو الوزير'!$B$2:$B$151,$B463,'المرتبطة بسمو الوزير'!$G$2:$G$151,$G463,'المرتبطة بسمو الوزير'!$I$2:$I$151,$I463)+SUMIFS('الشؤون التنفيذية'!$N$2:$N$421,'الشؤون التنفيذية'!$B$2:$B$421,$B463,'الشؤون التنفيذية'!$G$2:$G$421,$G463,'الشؤون التنفيذية'!$I$2:$I$421,$I463)+SUMIFS('الجهاز العسكري'!$M$2:$M$631,'الجهاز العسكري'!$B$2:$B$631,$B463,'الجهاز العسكري'!$G$2:$G$631,$G463,'الجهاز العسكري'!$I$2:$I$631,$I463))/$L463,0))</f>
        <v>87</v>
      </c>
      <c r="O463" s="18"/>
      <c r="P463" s="15">
        <f>SUMIFS(المرجع!$G$2:$G$19,المرجع!$B$2:$B$19,$G463,المرجع!$E$2:$E$19,$I463)</f>
        <v>5</v>
      </c>
      <c r="Q463" s="20">
        <f t="shared" si="8"/>
        <v>4.3499999999999996</v>
      </c>
      <c r="R463" s="21" t="str">
        <f>IF($N463&gt;المرجع!$K$3,"متقدم",IF($N463&lt;=المرجع!$K$2,"أولي","جزئي"))</f>
        <v>متقدم</v>
      </c>
    </row>
    <row r="464" spans="1:18">
      <c r="A464" s="16" t="s">
        <v>1904</v>
      </c>
      <c r="B464" s="16" t="s">
        <v>202</v>
      </c>
      <c r="C464" s="15" t="str">
        <f>IFERROR(INDEX('قائمة الوحدات'!$B$2:$B$41,MATCH($B464,'قائمة الوحدات'!$A$2:$A$41,0)),"")</f>
        <v>MIL</v>
      </c>
      <c r="D464" s="14" t="str">
        <f>IFERROR(INDEX('قائمة الوحدات'!$C$2:$C$41,MATCH($B464,'قائمة الوحدات'!$A$2:$A$41,0)),"")</f>
        <v>الجهاز العسكري</v>
      </c>
      <c r="E464" s="14" t="str">
        <f>IFERROR(INDEX('قائمة الوحدات'!$D$2:$D$41,MATCH($B464,'قائمة الوحدات'!$A$2:$A$41,0)),"")</f>
        <v>الإدارة العامة للاستخبارات العسكرية</v>
      </c>
      <c r="F464" s="14" t="str">
        <f>IFERROR(INDEX('قائمة الوحدات'!$F$2:$F$41,MATCH($B464,'قائمة الوحدات'!$A$2:$A$41,0)),"")</f>
        <v>الإدارة العامة للاستخبارات العسكرية</v>
      </c>
      <c r="G464" s="16" t="s">
        <v>61</v>
      </c>
      <c r="H464" s="14" t="str">
        <f>IFERROR(INDEX(المرجع!$A$2:$A$19,MATCH($G464,المرجع!$B$2:$B$19,0)),"")</f>
        <v>البناء المؤسسي</v>
      </c>
      <c r="I464" s="16" t="s">
        <v>63</v>
      </c>
      <c r="J464" s="14" t="str">
        <f>IFERROR(INDEX(المرجع!$D$2:$D$19,MATCH($I464,المرجع!$E$2:$E$19,0)),"")</f>
        <v>إنتاج المخرج الأول</v>
      </c>
      <c r="K464" s="15">
        <f>IFERROR(INDEX(المرجع!$F$2:$F$19,MATCH($I464,المرجع!$E$2:$E$19,0)),"")</f>
        <v>7</v>
      </c>
      <c r="L464" s="15">
        <f>SUMIFS(المرجع!$H$2:$H$19,المرجع!$B$2:$B$19,$G464,المرجع!$E$2:$E$19,$I464)</f>
        <v>1</v>
      </c>
      <c r="M464" s="15">
        <f>COUNTIFS('المرتبطة بسمو الوزير'!$B$2:$B$151,$B464,'المرتبطة بسمو الوزير'!$G$2:$G$151,$G464,'المرتبطة بسمو الوزير'!$I$2:$I$151,$I464,'المرتبطة بسمو الوزير'!$M$2:$M$151,"&lt;&gt;")+COUNTIFS('الشؤون التنفيذية'!$B$2:$B$421,$B464,'الشؤون التنفيذية'!$G$2:$G$421,$G464,'الشؤون التنفيذية'!$I$2:$I$421,$I464,'الشؤون التنفيذية'!$N$2:$N$421,"&lt;&gt;")+COUNTIFS('الجهاز العسكري'!$B$2:$B$631,$B464,'الجهاز العسكري'!$G$2:$G$631,$G464,'الجهاز العسكري'!$I$2:$I$631,$I464,'الجهاز العسكري'!$M$2:$M$631,"&lt;&gt;")</f>
        <v>1</v>
      </c>
      <c r="N464" s="19">
        <f>IF($L464=0,0,ROUND((SUMIFS('المرتبطة بسمو الوزير'!$M$2:$M$151,'المرتبطة بسمو الوزير'!$B$2:$B$151,$B464,'المرتبطة بسمو الوزير'!$G$2:$G$151,$G464,'المرتبطة بسمو الوزير'!$I$2:$I$151,$I464)+SUMIFS('الشؤون التنفيذية'!$N$2:$N$421,'الشؤون التنفيذية'!$B$2:$B$421,$B464,'الشؤون التنفيذية'!$G$2:$G$421,$G464,'الشؤون التنفيذية'!$I$2:$I$421,$I464)+SUMIFS('الجهاز العسكري'!$M$2:$M$631,'الجهاز العسكري'!$B$2:$B$631,$B464,'الجهاز العسكري'!$G$2:$G$631,$G464,'الجهاز العسكري'!$I$2:$I$631,$I464))/$L464,0))</f>
        <v>86</v>
      </c>
      <c r="O464" s="18"/>
      <c r="P464" s="15">
        <f>SUMIFS(المرجع!$G$2:$G$19,المرجع!$B$2:$B$19,$G464,المرجع!$E$2:$E$19,$I464)</f>
        <v>5</v>
      </c>
      <c r="Q464" s="20">
        <f t="shared" si="8"/>
        <v>4.3</v>
      </c>
      <c r="R464" s="21" t="str">
        <f>IF($N464&gt;المرجع!$K$3,"متقدم",IF($N464&lt;=المرجع!$K$2,"أولي","جزئي"))</f>
        <v>متقدم</v>
      </c>
    </row>
    <row r="465" spans="1:18">
      <c r="A465" s="16" t="s">
        <v>1905</v>
      </c>
      <c r="B465" s="16" t="s">
        <v>202</v>
      </c>
      <c r="C465" s="15" t="str">
        <f>IFERROR(INDEX('قائمة الوحدات'!$B$2:$B$41,MATCH($B465,'قائمة الوحدات'!$A$2:$A$41,0)),"")</f>
        <v>MIL</v>
      </c>
      <c r="D465" s="14" t="str">
        <f>IFERROR(INDEX('قائمة الوحدات'!$C$2:$C$41,MATCH($B465,'قائمة الوحدات'!$A$2:$A$41,0)),"")</f>
        <v>الجهاز العسكري</v>
      </c>
      <c r="E465" s="14" t="str">
        <f>IFERROR(INDEX('قائمة الوحدات'!$D$2:$D$41,MATCH($B465,'قائمة الوحدات'!$A$2:$A$41,0)),"")</f>
        <v>الإدارة العامة للاستخبارات العسكرية</v>
      </c>
      <c r="F465" s="14" t="str">
        <f>IFERROR(INDEX('قائمة الوحدات'!$F$2:$F$41,MATCH($B465,'قائمة الوحدات'!$A$2:$A$41,0)),"")</f>
        <v>الإدارة العامة للاستخبارات العسكرية</v>
      </c>
      <c r="G465" s="16" t="s">
        <v>65</v>
      </c>
      <c r="H465" s="14" t="str">
        <f>IFERROR(INDEX(المرجع!$A$2:$A$19,MATCH($G465,المرجع!$B$2:$B$19,0)),"")</f>
        <v>التشغيل</v>
      </c>
      <c r="I465" s="16" t="s">
        <v>48</v>
      </c>
      <c r="J465" s="14" t="str">
        <f>IFERROR(INDEX(المرجع!$D$2:$D$19,MATCH($I465,المرجع!$E$2:$E$19,0)),"")</f>
        <v>الأهداف ومؤشرات الأداء</v>
      </c>
      <c r="K465" s="15">
        <f>IFERROR(INDEX(المرجع!$F$2:$F$19,MATCH($I465,المرجع!$E$2:$E$19,0)),"")</f>
        <v>2</v>
      </c>
      <c r="L465" s="15">
        <f>SUMIFS(المرجع!$H$2:$H$19,المرجع!$B$2:$B$19,$G465,المرجع!$E$2:$E$19,$I465)</f>
        <v>2</v>
      </c>
      <c r="M465" s="15">
        <f>COUNTIFS('المرتبطة بسمو الوزير'!$B$2:$B$151,$B465,'المرتبطة بسمو الوزير'!$G$2:$G$151,$G465,'المرتبطة بسمو الوزير'!$I$2:$I$151,$I465,'المرتبطة بسمو الوزير'!$M$2:$M$151,"&lt;&gt;")+COUNTIFS('الشؤون التنفيذية'!$B$2:$B$421,$B465,'الشؤون التنفيذية'!$G$2:$G$421,$G465,'الشؤون التنفيذية'!$I$2:$I$421,$I465,'الشؤون التنفيذية'!$N$2:$N$421,"&lt;&gt;")+COUNTIFS('الجهاز العسكري'!$B$2:$B$631,$B465,'الجهاز العسكري'!$G$2:$G$631,$G465,'الجهاز العسكري'!$I$2:$I$631,$I465,'الجهاز العسكري'!$M$2:$M$631,"&lt;&gt;")</f>
        <v>2</v>
      </c>
      <c r="N465" s="19">
        <f>IF($L465=0,0,ROUND((SUMIFS('المرتبطة بسمو الوزير'!$M$2:$M$151,'المرتبطة بسمو الوزير'!$B$2:$B$151,$B465,'المرتبطة بسمو الوزير'!$G$2:$G$151,$G465,'المرتبطة بسمو الوزير'!$I$2:$I$151,$I465)+SUMIFS('الشؤون التنفيذية'!$N$2:$N$421,'الشؤون التنفيذية'!$B$2:$B$421,$B465,'الشؤون التنفيذية'!$G$2:$G$421,$G465,'الشؤون التنفيذية'!$I$2:$I$421,$I465)+SUMIFS('الجهاز العسكري'!$M$2:$M$631,'الجهاز العسكري'!$B$2:$B$631,$B465,'الجهاز العسكري'!$G$2:$G$631,$G465,'الجهاز العسكري'!$I$2:$I$631,$I465))/$L465,0))</f>
        <v>43</v>
      </c>
      <c r="O465" s="18"/>
      <c r="P465" s="15">
        <f>SUMIFS(المرجع!$G$2:$G$19,المرجع!$B$2:$B$19,$G465,المرجع!$E$2:$E$19,$I465)</f>
        <v>25</v>
      </c>
      <c r="Q465" s="20">
        <f t="shared" si="8"/>
        <v>10.75</v>
      </c>
      <c r="R465" s="21" t="str">
        <f>IF($N465&gt;المرجع!$K$3,"متقدم",IF($N465&lt;=المرجع!$K$2,"أولي","جزئي"))</f>
        <v>جزئي</v>
      </c>
    </row>
    <row r="466" spans="1:18">
      <c r="A466" s="16" t="s">
        <v>1906</v>
      </c>
      <c r="B466" s="16" t="s">
        <v>202</v>
      </c>
      <c r="C466" s="15" t="str">
        <f>IFERROR(INDEX('قائمة الوحدات'!$B$2:$B$41,MATCH($B466,'قائمة الوحدات'!$A$2:$A$41,0)),"")</f>
        <v>MIL</v>
      </c>
      <c r="D466" s="14" t="str">
        <f>IFERROR(INDEX('قائمة الوحدات'!$C$2:$C$41,MATCH($B466,'قائمة الوحدات'!$A$2:$A$41,0)),"")</f>
        <v>الجهاز العسكري</v>
      </c>
      <c r="E466" s="14" t="str">
        <f>IFERROR(INDEX('قائمة الوحدات'!$D$2:$D$41,MATCH($B466,'قائمة الوحدات'!$A$2:$A$41,0)),"")</f>
        <v>الإدارة العامة للاستخبارات العسكرية</v>
      </c>
      <c r="F466" s="14" t="str">
        <f>IFERROR(INDEX('قائمة الوحدات'!$F$2:$F$41,MATCH($B466,'قائمة الوحدات'!$A$2:$A$41,0)),"")</f>
        <v>الإدارة العامة للاستخبارات العسكرية</v>
      </c>
      <c r="G466" s="16" t="s">
        <v>65</v>
      </c>
      <c r="H466" s="14" t="str">
        <f>IFERROR(INDEX(المرجع!$A$2:$A$19,MATCH($G466,المرجع!$B$2:$B$19,0)),"")</f>
        <v>التشغيل</v>
      </c>
      <c r="I466" s="16" t="s">
        <v>51</v>
      </c>
      <c r="J466" s="14" t="str">
        <f>IFERROR(INDEX(المرجع!$D$2:$D$19,MATCH($I466,المرجع!$E$2:$E$19,0)),"")</f>
        <v>الحوكمة</v>
      </c>
      <c r="K466" s="15">
        <f>IFERROR(INDEX(المرجع!$F$2:$F$19,MATCH($I466,المرجع!$E$2:$E$19,0)),"")</f>
        <v>3</v>
      </c>
      <c r="L466" s="15">
        <f>SUMIFS(المرجع!$H$2:$H$19,المرجع!$B$2:$B$19,$G466,المرجع!$E$2:$E$19,$I466)</f>
        <v>3</v>
      </c>
      <c r="M466" s="15">
        <f>COUNTIFS('المرتبطة بسمو الوزير'!$B$2:$B$151,$B466,'المرتبطة بسمو الوزير'!$G$2:$G$151,$G466,'المرتبطة بسمو الوزير'!$I$2:$I$151,$I466,'المرتبطة بسمو الوزير'!$M$2:$M$151,"&lt;&gt;")+COUNTIFS('الشؤون التنفيذية'!$B$2:$B$421,$B466,'الشؤون التنفيذية'!$G$2:$G$421,$G466,'الشؤون التنفيذية'!$I$2:$I$421,$I466,'الشؤون التنفيذية'!$N$2:$N$421,"&lt;&gt;")+COUNTIFS('الجهاز العسكري'!$B$2:$B$631,$B466,'الجهاز العسكري'!$G$2:$G$631,$G466,'الجهاز العسكري'!$I$2:$I$631,$I466,'الجهاز العسكري'!$M$2:$M$631,"&lt;&gt;")</f>
        <v>3</v>
      </c>
      <c r="N466" s="19">
        <f>IF($L466=0,0,ROUND((SUMIFS('المرتبطة بسمو الوزير'!$M$2:$M$151,'المرتبطة بسمو الوزير'!$B$2:$B$151,$B466,'المرتبطة بسمو الوزير'!$G$2:$G$151,$G466,'المرتبطة بسمو الوزير'!$I$2:$I$151,$I466)+SUMIFS('الشؤون التنفيذية'!$N$2:$N$421,'الشؤون التنفيذية'!$B$2:$B$421,$B466,'الشؤون التنفيذية'!$G$2:$G$421,$G466,'الشؤون التنفيذية'!$I$2:$I$421,$I466)+SUMIFS('الجهاز العسكري'!$M$2:$M$631,'الجهاز العسكري'!$B$2:$B$631,$B466,'الجهاز العسكري'!$G$2:$G$631,$G466,'الجهاز العسكري'!$I$2:$I$631,$I466))/$L466,0))</f>
        <v>45</v>
      </c>
      <c r="O466" s="18"/>
      <c r="P466" s="15">
        <f>SUMIFS(المرجع!$G$2:$G$19,المرجع!$B$2:$B$19,$G466,المرجع!$E$2:$E$19,$I466)</f>
        <v>15</v>
      </c>
      <c r="Q466" s="20">
        <f t="shared" si="8"/>
        <v>6.75</v>
      </c>
      <c r="R466" s="21" t="str">
        <f>IF($N466&gt;المرجع!$K$3,"متقدم",IF($N466&lt;=المرجع!$K$2,"أولي","جزئي"))</f>
        <v>جزئي</v>
      </c>
    </row>
    <row r="467" spans="1:18">
      <c r="A467" s="16" t="s">
        <v>1907</v>
      </c>
      <c r="B467" s="16" t="s">
        <v>202</v>
      </c>
      <c r="C467" s="15" t="str">
        <f>IFERROR(INDEX('قائمة الوحدات'!$B$2:$B$41,MATCH($B467,'قائمة الوحدات'!$A$2:$A$41,0)),"")</f>
        <v>MIL</v>
      </c>
      <c r="D467" s="14" t="str">
        <f>IFERROR(INDEX('قائمة الوحدات'!$C$2:$C$41,MATCH($B467,'قائمة الوحدات'!$A$2:$A$41,0)),"")</f>
        <v>الجهاز العسكري</v>
      </c>
      <c r="E467" s="14" t="str">
        <f>IFERROR(INDEX('قائمة الوحدات'!$D$2:$D$41,MATCH($B467,'قائمة الوحدات'!$A$2:$A$41,0)),"")</f>
        <v>الإدارة العامة للاستخبارات العسكرية</v>
      </c>
      <c r="F467" s="14" t="str">
        <f>IFERROR(INDEX('قائمة الوحدات'!$F$2:$F$41,MATCH($B467,'قائمة الوحدات'!$A$2:$A$41,0)),"")</f>
        <v>الإدارة العامة للاستخبارات العسكرية</v>
      </c>
      <c r="G467" s="16" t="s">
        <v>65</v>
      </c>
      <c r="H467" s="14" t="str">
        <f>IFERROR(INDEX(المرجع!$A$2:$A$19,MATCH($G467,المرجع!$B$2:$B$19,0)),"")</f>
        <v>التشغيل</v>
      </c>
      <c r="I467" s="16" t="s">
        <v>56</v>
      </c>
      <c r="J467" s="14" t="str">
        <f>IFERROR(INDEX(المرجع!$D$2:$D$19,MATCH($I467,المرجع!$E$2:$E$19,0)),"")</f>
        <v>الموارد</v>
      </c>
      <c r="K467" s="15">
        <f>IFERROR(INDEX(المرجع!$F$2:$F$19,MATCH($I467,المرجع!$E$2:$E$19,0)),"")</f>
        <v>5</v>
      </c>
      <c r="L467" s="15">
        <f>SUMIFS(المرجع!$H$2:$H$19,المرجع!$B$2:$B$19,$G467,المرجع!$E$2:$E$19,$I467)</f>
        <v>1</v>
      </c>
      <c r="M467" s="15">
        <f>COUNTIFS('المرتبطة بسمو الوزير'!$B$2:$B$151,$B467,'المرتبطة بسمو الوزير'!$G$2:$G$151,$G467,'المرتبطة بسمو الوزير'!$I$2:$I$151,$I467,'المرتبطة بسمو الوزير'!$M$2:$M$151,"&lt;&gt;")+COUNTIFS('الشؤون التنفيذية'!$B$2:$B$421,$B467,'الشؤون التنفيذية'!$G$2:$G$421,$G467,'الشؤون التنفيذية'!$I$2:$I$421,$I467,'الشؤون التنفيذية'!$N$2:$N$421,"&lt;&gt;")+COUNTIFS('الجهاز العسكري'!$B$2:$B$631,$B467,'الجهاز العسكري'!$G$2:$G$631,$G467,'الجهاز العسكري'!$I$2:$I$631,$I467,'الجهاز العسكري'!$M$2:$M$631,"&lt;&gt;")</f>
        <v>1</v>
      </c>
      <c r="N467" s="19">
        <f>IF($L467=0,0,ROUND((SUMIFS('المرتبطة بسمو الوزير'!$M$2:$M$151,'المرتبطة بسمو الوزير'!$B$2:$B$151,$B467,'المرتبطة بسمو الوزير'!$G$2:$G$151,$G467,'المرتبطة بسمو الوزير'!$I$2:$I$151,$I467)+SUMIFS('الشؤون التنفيذية'!$N$2:$N$421,'الشؤون التنفيذية'!$B$2:$B$421,$B467,'الشؤون التنفيذية'!$G$2:$G$421,$G467,'الشؤون التنفيذية'!$I$2:$I$421,$I467)+SUMIFS('الجهاز العسكري'!$M$2:$M$631,'الجهاز العسكري'!$B$2:$B$631,$B467,'الجهاز العسكري'!$G$2:$G$631,$G467,'الجهاز العسكري'!$I$2:$I$631,$I467))/$L467,0))</f>
        <v>52</v>
      </c>
      <c r="O467" s="18"/>
      <c r="P467" s="15">
        <f>SUMIFS(المرجع!$G$2:$G$19,المرجع!$B$2:$B$19,$G467,المرجع!$E$2:$E$19,$I467)</f>
        <v>15</v>
      </c>
      <c r="Q467" s="20">
        <f t="shared" si="8"/>
        <v>7.8</v>
      </c>
      <c r="R467" s="21" t="str">
        <f>IF($N467&gt;المرجع!$K$3,"متقدم",IF($N467&lt;=المرجع!$K$2,"أولي","جزئي"))</f>
        <v>جزئي</v>
      </c>
    </row>
    <row r="468" spans="1:18">
      <c r="A468" s="16" t="s">
        <v>1908</v>
      </c>
      <c r="B468" s="16" t="s">
        <v>202</v>
      </c>
      <c r="C468" s="15" t="str">
        <f>IFERROR(INDEX('قائمة الوحدات'!$B$2:$B$41,MATCH($B468,'قائمة الوحدات'!$A$2:$A$41,0)),"")</f>
        <v>MIL</v>
      </c>
      <c r="D468" s="14" t="str">
        <f>IFERROR(INDEX('قائمة الوحدات'!$C$2:$C$41,MATCH($B468,'قائمة الوحدات'!$A$2:$A$41,0)),"")</f>
        <v>الجهاز العسكري</v>
      </c>
      <c r="E468" s="14" t="str">
        <f>IFERROR(INDEX('قائمة الوحدات'!$D$2:$D$41,MATCH($B468,'قائمة الوحدات'!$A$2:$A$41,0)),"")</f>
        <v>الإدارة العامة للاستخبارات العسكرية</v>
      </c>
      <c r="F468" s="14" t="str">
        <f>IFERROR(INDEX('قائمة الوحدات'!$F$2:$F$41,MATCH($B468,'قائمة الوحدات'!$A$2:$A$41,0)),"")</f>
        <v>الإدارة العامة للاستخبارات العسكرية</v>
      </c>
      <c r="G468" s="16" t="s">
        <v>65</v>
      </c>
      <c r="H468" s="14" t="str">
        <f>IFERROR(INDEX(المرجع!$A$2:$A$19,MATCH($G468,المرجع!$B$2:$B$19,0)),"")</f>
        <v>التشغيل</v>
      </c>
      <c r="I468" s="16" t="s">
        <v>59</v>
      </c>
      <c r="J468" s="14" t="str">
        <f>IFERROR(INDEX(المرجع!$D$2:$D$19,MATCH($I468,المرجع!$E$2:$E$19,0)),"")</f>
        <v>الإجراءات</v>
      </c>
      <c r="K468" s="15">
        <f>IFERROR(INDEX(المرجع!$F$2:$F$19,MATCH($I468,المرجع!$E$2:$E$19,0)),"")</f>
        <v>6</v>
      </c>
      <c r="L468" s="15">
        <f>SUMIFS(المرجع!$H$2:$H$19,المرجع!$B$2:$B$19,$G468,المرجع!$E$2:$E$19,$I468)</f>
        <v>1</v>
      </c>
      <c r="M468" s="15">
        <f>COUNTIFS('المرتبطة بسمو الوزير'!$B$2:$B$151,$B468,'المرتبطة بسمو الوزير'!$G$2:$G$151,$G468,'المرتبطة بسمو الوزير'!$I$2:$I$151,$I468,'المرتبطة بسمو الوزير'!$M$2:$M$151,"&lt;&gt;")+COUNTIFS('الشؤون التنفيذية'!$B$2:$B$421,$B468,'الشؤون التنفيذية'!$G$2:$G$421,$G468,'الشؤون التنفيذية'!$I$2:$I$421,$I468,'الشؤون التنفيذية'!$N$2:$N$421,"&lt;&gt;")+COUNTIFS('الجهاز العسكري'!$B$2:$B$631,$B468,'الجهاز العسكري'!$G$2:$G$631,$G468,'الجهاز العسكري'!$I$2:$I$631,$I468,'الجهاز العسكري'!$M$2:$M$631,"&lt;&gt;")</f>
        <v>1</v>
      </c>
      <c r="N468" s="19">
        <f>IF($L468=0,0,ROUND((SUMIFS('المرتبطة بسمو الوزير'!$M$2:$M$151,'المرتبطة بسمو الوزير'!$B$2:$B$151,$B468,'المرتبطة بسمو الوزير'!$G$2:$G$151,$G468,'المرتبطة بسمو الوزير'!$I$2:$I$151,$I468)+SUMIFS('الشؤون التنفيذية'!$N$2:$N$421,'الشؤون التنفيذية'!$B$2:$B$421,$B468,'الشؤون التنفيذية'!$G$2:$G$421,$G468,'الشؤون التنفيذية'!$I$2:$I$421,$I468)+SUMIFS('الجهاز العسكري'!$M$2:$M$631,'الجهاز العسكري'!$B$2:$B$631,$B468,'الجهاز العسكري'!$G$2:$G$631,$G468,'الجهاز العسكري'!$I$2:$I$631,$I468))/$L468,0))</f>
        <v>27</v>
      </c>
      <c r="O468" s="18"/>
      <c r="P468" s="15">
        <f>SUMIFS(المرجع!$G$2:$G$19,المرجع!$B$2:$B$19,$G468,المرجع!$E$2:$E$19,$I468)</f>
        <v>15</v>
      </c>
      <c r="Q468" s="20">
        <f t="shared" si="8"/>
        <v>4.05</v>
      </c>
      <c r="R468" s="21" t="str">
        <f>IF($N468&gt;المرجع!$K$3,"متقدم",IF($N468&lt;=المرجع!$K$2,"أولي","جزئي"))</f>
        <v>أولي</v>
      </c>
    </row>
    <row r="469" spans="1:18">
      <c r="A469" s="16" t="s">
        <v>1909</v>
      </c>
      <c r="B469" s="16" t="s">
        <v>202</v>
      </c>
      <c r="C469" s="15" t="str">
        <f>IFERROR(INDEX('قائمة الوحدات'!$B$2:$B$41,MATCH($B469,'قائمة الوحدات'!$A$2:$A$41,0)),"")</f>
        <v>MIL</v>
      </c>
      <c r="D469" s="14" t="str">
        <f>IFERROR(INDEX('قائمة الوحدات'!$C$2:$C$41,MATCH($B469,'قائمة الوحدات'!$A$2:$A$41,0)),"")</f>
        <v>الجهاز العسكري</v>
      </c>
      <c r="E469" s="14" t="str">
        <f>IFERROR(INDEX('قائمة الوحدات'!$D$2:$D$41,MATCH($B469,'قائمة الوحدات'!$A$2:$A$41,0)),"")</f>
        <v>الإدارة العامة للاستخبارات العسكرية</v>
      </c>
      <c r="F469" s="14" t="str">
        <f>IFERROR(INDEX('قائمة الوحدات'!$F$2:$F$41,MATCH($B469,'قائمة الوحدات'!$A$2:$A$41,0)),"")</f>
        <v>الإدارة العامة للاستخبارات العسكرية</v>
      </c>
      <c r="G469" s="16" t="s">
        <v>65</v>
      </c>
      <c r="H469" s="14" t="str">
        <f>IFERROR(INDEX(المرجع!$A$2:$A$19,MATCH($G469,المرجع!$B$2:$B$19,0)),"")</f>
        <v>التشغيل</v>
      </c>
      <c r="I469" s="16" t="s">
        <v>67</v>
      </c>
      <c r="J469" s="14" t="str">
        <f>IFERROR(INDEX(المرجع!$D$2:$D$19,MATCH($I469,المرجع!$E$2:$E$19,0)),"")</f>
        <v>اكتمال المخرجات المستهدفة</v>
      </c>
      <c r="K469" s="15">
        <f>IFERROR(INDEX(المرجع!$F$2:$F$19,MATCH($I469,المرجع!$E$2:$E$19,0)),"")</f>
        <v>8</v>
      </c>
      <c r="L469" s="15">
        <f>SUMIFS(المرجع!$H$2:$H$19,المرجع!$B$2:$B$19,$G469,المرجع!$E$2:$E$19,$I469)</f>
        <v>1</v>
      </c>
      <c r="M469" s="15">
        <f>COUNTIFS('المرتبطة بسمو الوزير'!$B$2:$B$151,$B469,'المرتبطة بسمو الوزير'!$G$2:$G$151,$G469,'المرتبطة بسمو الوزير'!$I$2:$I$151,$I469,'المرتبطة بسمو الوزير'!$M$2:$M$151,"&lt;&gt;")+COUNTIFS('الشؤون التنفيذية'!$B$2:$B$421,$B469,'الشؤون التنفيذية'!$G$2:$G$421,$G469,'الشؤون التنفيذية'!$I$2:$I$421,$I469,'الشؤون التنفيذية'!$N$2:$N$421,"&lt;&gt;")+COUNTIFS('الجهاز العسكري'!$B$2:$B$631,$B469,'الجهاز العسكري'!$G$2:$G$631,$G469,'الجهاز العسكري'!$I$2:$I$631,$I469,'الجهاز العسكري'!$M$2:$M$631,"&lt;&gt;")</f>
        <v>1</v>
      </c>
      <c r="N469" s="19">
        <f>IF($L469=0,0,ROUND((SUMIFS('المرتبطة بسمو الوزير'!$M$2:$M$151,'المرتبطة بسمو الوزير'!$B$2:$B$151,$B469,'المرتبطة بسمو الوزير'!$G$2:$G$151,$G469,'المرتبطة بسمو الوزير'!$I$2:$I$151,$I469)+SUMIFS('الشؤون التنفيذية'!$N$2:$N$421,'الشؤون التنفيذية'!$B$2:$B$421,$B469,'الشؤون التنفيذية'!$G$2:$G$421,$G469,'الشؤون التنفيذية'!$I$2:$I$421,$I469)+SUMIFS('الجهاز العسكري'!$M$2:$M$631,'الجهاز العسكري'!$B$2:$B$631,$B469,'الجهاز العسكري'!$G$2:$G$631,$G469,'الجهاز العسكري'!$I$2:$I$631,$I469))/$L469,0))</f>
        <v>27</v>
      </c>
      <c r="O469" s="18"/>
      <c r="P469" s="15">
        <f>SUMIFS(المرجع!$G$2:$G$19,المرجع!$B$2:$B$19,$G469,المرجع!$E$2:$E$19,$I469)</f>
        <v>30</v>
      </c>
      <c r="Q469" s="20">
        <f t="shared" si="8"/>
        <v>8.1</v>
      </c>
      <c r="R469" s="21" t="str">
        <f>IF($N469&gt;المرجع!$K$3,"متقدم",IF($N469&lt;=المرجع!$K$2,"أولي","جزئي"))</f>
        <v>أولي</v>
      </c>
    </row>
    <row r="470" spans="1:18">
      <c r="A470" s="16" t="s">
        <v>1910</v>
      </c>
      <c r="B470" s="16" t="s">
        <v>204</v>
      </c>
      <c r="C470" s="15" t="str">
        <f>IFERROR(INDEX('قائمة الوحدات'!$B$2:$B$41,MATCH($B470,'قائمة الوحدات'!$A$2:$A$41,0)),"")</f>
        <v>MIL</v>
      </c>
      <c r="D470" s="14" t="str">
        <f>IFERROR(INDEX('قائمة الوحدات'!$C$2:$C$41,MATCH($B470,'قائمة الوحدات'!$A$2:$A$41,0)),"")</f>
        <v>الجهاز العسكري</v>
      </c>
      <c r="E470" s="14" t="str">
        <f>IFERROR(INDEX('قائمة الوحدات'!$D$2:$D$41,MATCH($B470,'قائمة الوحدات'!$A$2:$A$41,0)),"")</f>
        <v>الإدارة العامة للعمليات المشتركة</v>
      </c>
      <c r="F470" s="14" t="str">
        <f>IFERROR(INDEX('قائمة الوحدات'!$F$2:$F$41,MATCH($B470,'قائمة الوحدات'!$A$2:$A$41,0)),"")</f>
        <v>الإدارة العامة للعمليات المشتركة</v>
      </c>
      <c r="G470" s="16" t="s">
        <v>43</v>
      </c>
      <c r="H470" s="14" t="str">
        <f>IFERROR(INDEX(المرجع!$A$2:$A$19,MATCH($G470,المرجع!$B$2:$B$19,0)),"")</f>
        <v>التصميم</v>
      </c>
      <c r="I470" s="16" t="s">
        <v>45</v>
      </c>
      <c r="J470" s="14" t="str">
        <f>IFERROR(INDEX(المرجع!$D$2:$D$19,MATCH($I470,المرجع!$E$2:$E$19,0)),"")</f>
        <v>الدور</v>
      </c>
      <c r="K470" s="15">
        <f>IFERROR(INDEX(المرجع!$F$2:$F$19,MATCH($I470,المرجع!$E$2:$E$19,0)),"")</f>
        <v>1</v>
      </c>
      <c r="L470" s="15">
        <f>SUMIFS(المرجع!$H$2:$H$19,المرجع!$B$2:$B$19,$G470,المرجع!$E$2:$E$19,$I470)</f>
        <v>1</v>
      </c>
      <c r="M470" s="15">
        <f>COUNTIFS('المرتبطة بسمو الوزير'!$B$2:$B$151,$B470,'المرتبطة بسمو الوزير'!$G$2:$G$151,$G470,'المرتبطة بسمو الوزير'!$I$2:$I$151,$I470,'المرتبطة بسمو الوزير'!$M$2:$M$151,"&lt;&gt;")+COUNTIFS('الشؤون التنفيذية'!$B$2:$B$421,$B470,'الشؤون التنفيذية'!$G$2:$G$421,$G470,'الشؤون التنفيذية'!$I$2:$I$421,$I470,'الشؤون التنفيذية'!$N$2:$N$421,"&lt;&gt;")+COUNTIFS('الجهاز العسكري'!$B$2:$B$631,$B470,'الجهاز العسكري'!$G$2:$G$631,$G470,'الجهاز العسكري'!$I$2:$I$631,$I470,'الجهاز العسكري'!$M$2:$M$631,"&lt;&gt;")</f>
        <v>1</v>
      </c>
      <c r="N470" s="19">
        <f>IF($L470=0,0,ROUND((SUMIFS('المرتبطة بسمو الوزير'!$M$2:$M$151,'المرتبطة بسمو الوزير'!$B$2:$B$151,$B470,'المرتبطة بسمو الوزير'!$G$2:$G$151,$G470,'المرتبطة بسمو الوزير'!$I$2:$I$151,$I470)+SUMIFS('الشؤون التنفيذية'!$N$2:$N$421,'الشؤون التنفيذية'!$B$2:$B$421,$B470,'الشؤون التنفيذية'!$G$2:$G$421,$G470,'الشؤون التنفيذية'!$I$2:$I$421,$I470)+SUMIFS('الجهاز العسكري'!$M$2:$M$631,'الجهاز العسكري'!$B$2:$B$631,$B470,'الجهاز العسكري'!$G$2:$G$631,$G470,'الجهاز العسكري'!$I$2:$I$631,$I470))/$L470,0))</f>
        <v>72</v>
      </c>
      <c r="O470" s="18"/>
      <c r="P470" s="15">
        <f>SUMIFS(المرجع!$G$2:$G$19,المرجع!$B$2:$B$19,$G470,المرجع!$E$2:$E$19,$I470)</f>
        <v>25</v>
      </c>
      <c r="Q470" s="20">
        <f t="shared" si="8"/>
        <v>18</v>
      </c>
      <c r="R470" s="21" t="str">
        <f>IF($N470&gt;المرجع!$K$3,"متقدم",IF($N470&lt;=المرجع!$K$2,"أولي","جزئي"))</f>
        <v>متقدم</v>
      </c>
    </row>
    <row r="471" spans="1:18">
      <c r="A471" s="16" t="s">
        <v>1911</v>
      </c>
      <c r="B471" s="16" t="s">
        <v>204</v>
      </c>
      <c r="C471" s="15" t="str">
        <f>IFERROR(INDEX('قائمة الوحدات'!$B$2:$B$41,MATCH($B471,'قائمة الوحدات'!$A$2:$A$41,0)),"")</f>
        <v>MIL</v>
      </c>
      <c r="D471" s="14" t="str">
        <f>IFERROR(INDEX('قائمة الوحدات'!$C$2:$C$41,MATCH($B471,'قائمة الوحدات'!$A$2:$A$41,0)),"")</f>
        <v>الجهاز العسكري</v>
      </c>
      <c r="E471" s="14" t="str">
        <f>IFERROR(INDEX('قائمة الوحدات'!$D$2:$D$41,MATCH($B471,'قائمة الوحدات'!$A$2:$A$41,0)),"")</f>
        <v>الإدارة العامة للعمليات المشتركة</v>
      </c>
      <c r="F471" s="14" t="str">
        <f>IFERROR(INDEX('قائمة الوحدات'!$F$2:$F$41,MATCH($B471,'قائمة الوحدات'!$A$2:$A$41,0)),"")</f>
        <v>الإدارة العامة للعمليات المشتركة</v>
      </c>
      <c r="G471" s="16" t="s">
        <v>43</v>
      </c>
      <c r="H471" s="14" t="str">
        <f>IFERROR(INDEX(المرجع!$A$2:$A$19,MATCH($G471,المرجع!$B$2:$B$19,0)),"")</f>
        <v>التصميم</v>
      </c>
      <c r="I471" s="16" t="s">
        <v>48</v>
      </c>
      <c r="J471" s="14" t="str">
        <f>IFERROR(INDEX(المرجع!$D$2:$D$19,MATCH($I471,المرجع!$E$2:$E$19,0)),"")</f>
        <v>الأهداف ومؤشرات الأداء</v>
      </c>
      <c r="K471" s="15">
        <f>IFERROR(INDEX(المرجع!$F$2:$F$19,MATCH($I471,المرجع!$E$2:$E$19,0)),"")</f>
        <v>2</v>
      </c>
      <c r="L471" s="15">
        <f>SUMIFS(المرجع!$H$2:$H$19,المرجع!$B$2:$B$19,$G471,المرجع!$E$2:$E$19,$I471)</f>
        <v>2</v>
      </c>
      <c r="M471" s="15">
        <f>COUNTIFS('المرتبطة بسمو الوزير'!$B$2:$B$151,$B471,'المرتبطة بسمو الوزير'!$G$2:$G$151,$G471,'المرتبطة بسمو الوزير'!$I$2:$I$151,$I471,'المرتبطة بسمو الوزير'!$M$2:$M$151,"&lt;&gt;")+COUNTIFS('الشؤون التنفيذية'!$B$2:$B$421,$B471,'الشؤون التنفيذية'!$G$2:$G$421,$G471,'الشؤون التنفيذية'!$I$2:$I$421,$I471,'الشؤون التنفيذية'!$N$2:$N$421,"&lt;&gt;")+COUNTIFS('الجهاز العسكري'!$B$2:$B$631,$B471,'الجهاز العسكري'!$G$2:$G$631,$G471,'الجهاز العسكري'!$I$2:$I$631,$I471,'الجهاز العسكري'!$M$2:$M$631,"&lt;&gt;")</f>
        <v>2</v>
      </c>
      <c r="N471" s="19">
        <f>IF($L471=0,0,ROUND((SUMIFS('المرتبطة بسمو الوزير'!$M$2:$M$151,'المرتبطة بسمو الوزير'!$B$2:$B$151,$B471,'المرتبطة بسمو الوزير'!$G$2:$G$151,$G471,'المرتبطة بسمو الوزير'!$I$2:$I$151,$I471)+SUMIFS('الشؤون التنفيذية'!$N$2:$N$421,'الشؤون التنفيذية'!$B$2:$B$421,$B471,'الشؤون التنفيذية'!$G$2:$G$421,$G471,'الشؤون التنفيذية'!$I$2:$I$421,$I471)+SUMIFS('الجهاز العسكري'!$M$2:$M$631,'الجهاز العسكري'!$B$2:$B$631,$B471,'الجهاز العسكري'!$G$2:$G$631,$G471,'الجهاز العسكري'!$I$2:$I$631,$I471))/$L471,0))</f>
        <v>88</v>
      </c>
      <c r="O471" s="18"/>
      <c r="P471" s="15">
        <f>SUMIFS(المرجع!$G$2:$G$19,المرجع!$B$2:$B$19,$G471,المرجع!$E$2:$E$19,$I471)</f>
        <v>15</v>
      </c>
      <c r="Q471" s="20">
        <f t="shared" si="8"/>
        <v>13.2</v>
      </c>
      <c r="R471" s="21" t="str">
        <f>IF($N471&gt;المرجع!$K$3,"متقدم",IF($N471&lt;=المرجع!$K$2,"أولي","جزئي"))</f>
        <v>متقدم</v>
      </c>
    </row>
    <row r="472" spans="1:18">
      <c r="A472" s="16" t="s">
        <v>1912</v>
      </c>
      <c r="B472" s="16" t="s">
        <v>204</v>
      </c>
      <c r="C472" s="15" t="str">
        <f>IFERROR(INDEX('قائمة الوحدات'!$B$2:$B$41,MATCH($B472,'قائمة الوحدات'!$A$2:$A$41,0)),"")</f>
        <v>MIL</v>
      </c>
      <c r="D472" s="14" t="str">
        <f>IFERROR(INDEX('قائمة الوحدات'!$C$2:$C$41,MATCH($B472,'قائمة الوحدات'!$A$2:$A$41,0)),"")</f>
        <v>الجهاز العسكري</v>
      </c>
      <c r="E472" s="14" t="str">
        <f>IFERROR(INDEX('قائمة الوحدات'!$D$2:$D$41,MATCH($B472,'قائمة الوحدات'!$A$2:$A$41,0)),"")</f>
        <v>الإدارة العامة للعمليات المشتركة</v>
      </c>
      <c r="F472" s="14" t="str">
        <f>IFERROR(INDEX('قائمة الوحدات'!$F$2:$F$41,MATCH($B472,'قائمة الوحدات'!$A$2:$A$41,0)),"")</f>
        <v>الإدارة العامة للعمليات المشتركة</v>
      </c>
      <c r="G472" s="16" t="s">
        <v>43</v>
      </c>
      <c r="H472" s="14" t="str">
        <f>IFERROR(INDEX(المرجع!$A$2:$A$19,MATCH($G472,المرجع!$B$2:$B$19,0)),"")</f>
        <v>التصميم</v>
      </c>
      <c r="I472" s="16" t="s">
        <v>51</v>
      </c>
      <c r="J472" s="14" t="str">
        <f>IFERROR(INDEX(المرجع!$D$2:$D$19,MATCH($I472,المرجع!$E$2:$E$19,0)),"")</f>
        <v>الحوكمة</v>
      </c>
      <c r="K472" s="15">
        <f>IFERROR(INDEX(المرجع!$F$2:$F$19,MATCH($I472,المرجع!$E$2:$E$19,0)),"")</f>
        <v>3</v>
      </c>
      <c r="L472" s="15">
        <f>SUMIFS(المرجع!$H$2:$H$19,المرجع!$B$2:$B$19,$G472,المرجع!$E$2:$E$19,$I472)</f>
        <v>1</v>
      </c>
      <c r="M472" s="15">
        <f>COUNTIFS('المرتبطة بسمو الوزير'!$B$2:$B$151,$B472,'المرتبطة بسمو الوزير'!$G$2:$G$151,$G472,'المرتبطة بسمو الوزير'!$I$2:$I$151,$I472,'المرتبطة بسمو الوزير'!$M$2:$M$151,"&lt;&gt;")+COUNTIFS('الشؤون التنفيذية'!$B$2:$B$421,$B472,'الشؤون التنفيذية'!$G$2:$G$421,$G472,'الشؤون التنفيذية'!$I$2:$I$421,$I472,'الشؤون التنفيذية'!$N$2:$N$421,"&lt;&gt;")+COUNTIFS('الجهاز العسكري'!$B$2:$B$631,$B472,'الجهاز العسكري'!$G$2:$G$631,$G472,'الجهاز العسكري'!$I$2:$I$631,$I472,'الجهاز العسكري'!$M$2:$M$631,"&lt;&gt;")</f>
        <v>1</v>
      </c>
      <c r="N472" s="19">
        <f>IF($L472=0,0,ROUND((SUMIFS('المرتبطة بسمو الوزير'!$M$2:$M$151,'المرتبطة بسمو الوزير'!$B$2:$B$151,$B472,'المرتبطة بسمو الوزير'!$G$2:$G$151,$G472,'المرتبطة بسمو الوزير'!$I$2:$I$151,$I472)+SUMIFS('الشؤون التنفيذية'!$N$2:$N$421,'الشؤون التنفيذية'!$B$2:$B$421,$B472,'الشؤون التنفيذية'!$G$2:$G$421,$G472,'الشؤون التنفيذية'!$I$2:$I$421,$I472)+SUMIFS('الجهاز العسكري'!$M$2:$M$631,'الجهاز العسكري'!$B$2:$B$631,$B472,'الجهاز العسكري'!$G$2:$G$631,$G472,'الجهاز العسكري'!$I$2:$I$631,$I472))/$L472,0))</f>
        <v>68</v>
      </c>
      <c r="O472" s="18"/>
      <c r="P472" s="15">
        <f>SUMIFS(المرجع!$G$2:$G$19,المرجع!$B$2:$B$19,$G472,المرجع!$E$2:$E$19,$I472)</f>
        <v>15</v>
      </c>
      <c r="Q472" s="20">
        <f t="shared" si="8"/>
        <v>10.199999999999999</v>
      </c>
      <c r="R472" s="21" t="str">
        <f>IF($N472&gt;المرجع!$K$3,"متقدم",IF($N472&lt;=المرجع!$K$2,"أولي","جزئي"))</f>
        <v>جزئي</v>
      </c>
    </row>
    <row r="473" spans="1:18">
      <c r="A473" s="16" t="s">
        <v>1913</v>
      </c>
      <c r="B473" s="16" t="s">
        <v>204</v>
      </c>
      <c r="C473" s="15" t="str">
        <f>IFERROR(INDEX('قائمة الوحدات'!$B$2:$B$41,MATCH($B473,'قائمة الوحدات'!$A$2:$A$41,0)),"")</f>
        <v>MIL</v>
      </c>
      <c r="D473" s="14" t="str">
        <f>IFERROR(INDEX('قائمة الوحدات'!$C$2:$C$41,MATCH($B473,'قائمة الوحدات'!$A$2:$A$41,0)),"")</f>
        <v>الجهاز العسكري</v>
      </c>
      <c r="E473" s="14" t="str">
        <f>IFERROR(INDEX('قائمة الوحدات'!$D$2:$D$41,MATCH($B473,'قائمة الوحدات'!$A$2:$A$41,0)),"")</f>
        <v>الإدارة العامة للعمليات المشتركة</v>
      </c>
      <c r="F473" s="14" t="str">
        <f>IFERROR(INDEX('قائمة الوحدات'!$F$2:$F$41,MATCH($B473,'قائمة الوحدات'!$A$2:$A$41,0)),"")</f>
        <v>الإدارة العامة للعمليات المشتركة</v>
      </c>
      <c r="G473" s="16" t="s">
        <v>43</v>
      </c>
      <c r="H473" s="14" t="str">
        <f>IFERROR(INDEX(المرجع!$A$2:$A$19,MATCH($G473,المرجع!$B$2:$B$19,0)),"")</f>
        <v>التصميم</v>
      </c>
      <c r="I473" s="16" t="s">
        <v>54</v>
      </c>
      <c r="J473" s="14" t="str">
        <f>IFERROR(INDEX(المرجع!$D$2:$D$19,MATCH($I473,المرجع!$E$2:$E$19,0)),"")</f>
        <v>التنظيم</v>
      </c>
      <c r="K473" s="15">
        <f>IFERROR(INDEX(المرجع!$F$2:$F$19,MATCH($I473,المرجع!$E$2:$E$19,0)),"")</f>
        <v>4</v>
      </c>
      <c r="L473" s="15">
        <f>SUMIFS(المرجع!$H$2:$H$19,المرجع!$B$2:$B$19,$G473,المرجع!$E$2:$E$19,$I473)</f>
        <v>1</v>
      </c>
      <c r="M473" s="15">
        <f>COUNTIFS('المرتبطة بسمو الوزير'!$B$2:$B$151,$B473,'المرتبطة بسمو الوزير'!$G$2:$G$151,$G473,'المرتبطة بسمو الوزير'!$I$2:$I$151,$I473,'المرتبطة بسمو الوزير'!$M$2:$M$151,"&lt;&gt;")+COUNTIFS('الشؤون التنفيذية'!$B$2:$B$421,$B473,'الشؤون التنفيذية'!$G$2:$G$421,$G473,'الشؤون التنفيذية'!$I$2:$I$421,$I473,'الشؤون التنفيذية'!$N$2:$N$421,"&lt;&gt;")+COUNTIFS('الجهاز العسكري'!$B$2:$B$631,$B473,'الجهاز العسكري'!$G$2:$G$631,$G473,'الجهاز العسكري'!$I$2:$I$631,$I473,'الجهاز العسكري'!$M$2:$M$631,"&lt;&gt;")</f>
        <v>1</v>
      </c>
      <c r="N473" s="19">
        <f>IF($L473=0,0,ROUND((SUMIFS('المرتبطة بسمو الوزير'!$M$2:$M$151,'المرتبطة بسمو الوزير'!$B$2:$B$151,$B473,'المرتبطة بسمو الوزير'!$G$2:$G$151,$G473,'المرتبطة بسمو الوزير'!$I$2:$I$151,$I473)+SUMIFS('الشؤون التنفيذية'!$N$2:$N$421,'الشؤون التنفيذية'!$B$2:$B$421,$B473,'الشؤون التنفيذية'!$G$2:$G$421,$G473,'الشؤون التنفيذية'!$I$2:$I$421,$I473)+SUMIFS('الجهاز العسكري'!$M$2:$M$631,'الجهاز العسكري'!$B$2:$B$631,$B473,'الجهاز العسكري'!$G$2:$G$631,$G473,'الجهاز العسكري'!$I$2:$I$631,$I473))/$L473,0))</f>
        <v>84</v>
      </c>
      <c r="O473" s="18"/>
      <c r="P473" s="15">
        <f>SUMIFS(المرجع!$G$2:$G$19,المرجع!$B$2:$B$19,$G473,المرجع!$E$2:$E$19,$I473)</f>
        <v>20</v>
      </c>
      <c r="Q473" s="20">
        <f t="shared" si="8"/>
        <v>16.8</v>
      </c>
      <c r="R473" s="21" t="str">
        <f>IF($N473&gt;المرجع!$K$3,"متقدم",IF($N473&lt;=المرجع!$K$2,"أولي","جزئي"))</f>
        <v>متقدم</v>
      </c>
    </row>
    <row r="474" spans="1:18">
      <c r="A474" s="16" t="s">
        <v>1914</v>
      </c>
      <c r="B474" s="16" t="s">
        <v>204</v>
      </c>
      <c r="C474" s="15" t="str">
        <f>IFERROR(INDEX('قائمة الوحدات'!$B$2:$B$41,MATCH($B474,'قائمة الوحدات'!$A$2:$A$41,0)),"")</f>
        <v>MIL</v>
      </c>
      <c r="D474" s="14" t="str">
        <f>IFERROR(INDEX('قائمة الوحدات'!$C$2:$C$41,MATCH($B474,'قائمة الوحدات'!$A$2:$A$41,0)),"")</f>
        <v>الجهاز العسكري</v>
      </c>
      <c r="E474" s="14" t="str">
        <f>IFERROR(INDEX('قائمة الوحدات'!$D$2:$D$41,MATCH($B474,'قائمة الوحدات'!$A$2:$A$41,0)),"")</f>
        <v>الإدارة العامة للعمليات المشتركة</v>
      </c>
      <c r="F474" s="14" t="str">
        <f>IFERROR(INDEX('قائمة الوحدات'!$F$2:$F$41,MATCH($B474,'قائمة الوحدات'!$A$2:$A$41,0)),"")</f>
        <v>الإدارة العامة للعمليات المشتركة</v>
      </c>
      <c r="G474" s="16" t="s">
        <v>43</v>
      </c>
      <c r="H474" s="14" t="str">
        <f>IFERROR(INDEX(المرجع!$A$2:$A$19,MATCH($G474,المرجع!$B$2:$B$19,0)),"")</f>
        <v>التصميم</v>
      </c>
      <c r="I474" s="16" t="s">
        <v>56</v>
      </c>
      <c r="J474" s="14" t="str">
        <f>IFERROR(INDEX(المرجع!$D$2:$D$19,MATCH($I474,المرجع!$E$2:$E$19,0)),"")</f>
        <v>الموارد</v>
      </c>
      <c r="K474" s="15">
        <f>IFERROR(INDEX(المرجع!$F$2:$F$19,MATCH($I474,المرجع!$E$2:$E$19,0)),"")</f>
        <v>5</v>
      </c>
      <c r="L474" s="15">
        <f>SUMIFS(المرجع!$H$2:$H$19,المرجع!$B$2:$B$19,$G474,المرجع!$E$2:$E$19,$I474)</f>
        <v>1</v>
      </c>
      <c r="M474" s="15">
        <f>COUNTIFS('المرتبطة بسمو الوزير'!$B$2:$B$151,$B474,'المرتبطة بسمو الوزير'!$G$2:$G$151,$G474,'المرتبطة بسمو الوزير'!$I$2:$I$151,$I474,'المرتبطة بسمو الوزير'!$M$2:$M$151,"&lt;&gt;")+COUNTIFS('الشؤون التنفيذية'!$B$2:$B$421,$B474,'الشؤون التنفيذية'!$G$2:$G$421,$G474,'الشؤون التنفيذية'!$I$2:$I$421,$I474,'الشؤون التنفيذية'!$N$2:$N$421,"&lt;&gt;")+COUNTIFS('الجهاز العسكري'!$B$2:$B$631,$B474,'الجهاز العسكري'!$G$2:$G$631,$G474,'الجهاز العسكري'!$I$2:$I$631,$I474,'الجهاز العسكري'!$M$2:$M$631,"&lt;&gt;")</f>
        <v>1</v>
      </c>
      <c r="N474" s="19">
        <f>IF($L474=0,0,ROUND((SUMIFS('المرتبطة بسمو الوزير'!$M$2:$M$151,'المرتبطة بسمو الوزير'!$B$2:$B$151,$B474,'المرتبطة بسمو الوزير'!$G$2:$G$151,$G474,'المرتبطة بسمو الوزير'!$I$2:$I$151,$I474)+SUMIFS('الشؤون التنفيذية'!$N$2:$N$421,'الشؤون التنفيذية'!$B$2:$B$421,$B474,'الشؤون التنفيذية'!$G$2:$G$421,$G474,'الشؤون التنفيذية'!$I$2:$I$421,$I474)+SUMIFS('الجهاز العسكري'!$M$2:$M$631,'الجهاز العسكري'!$B$2:$B$631,$B474,'الجهاز العسكري'!$G$2:$G$631,$G474,'الجهاز العسكري'!$I$2:$I$631,$I474))/$L474,0))</f>
        <v>90</v>
      </c>
      <c r="O474" s="18"/>
      <c r="P474" s="15">
        <f>SUMIFS(المرجع!$G$2:$G$19,المرجع!$B$2:$B$19,$G474,المرجع!$E$2:$E$19,$I474)</f>
        <v>20</v>
      </c>
      <c r="Q474" s="20">
        <f t="shared" si="8"/>
        <v>18</v>
      </c>
      <c r="R474" s="21" t="str">
        <f>IF($N474&gt;المرجع!$K$3,"متقدم",IF($N474&lt;=المرجع!$K$2,"أولي","جزئي"))</f>
        <v>متقدم</v>
      </c>
    </row>
    <row r="475" spans="1:18">
      <c r="A475" s="16" t="s">
        <v>1915</v>
      </c>
      <c r="B475" s="16" t="s">
        <v>204</v>
      </c>
      <c r="C475" s="15" t="str">
        <f>IFERROR(INDEX('قائمة الوحدات'!$B$2:$B$41,MATCH($B475,'قائمة الوحدات'!$A$2:$A$41,0)),"")</f>
        <v>MIL</v>
      </c>
      <c r="D475" s="14" t="str">
        <f>IFERROR(INDEX('قائمة الوحدات'!$C$2:$C$41,MATCH($B475,'قائمة الوحدات'!$A$2:$A$41,0)),"")</f>
        <v>الجهاز العسكري</v>
      </c>
      <c r="E475" s="14" t="str">
        <f>IFERROR(INDEX('قائمة الوحدات'!$D$2:$D$41,MATCH($B475,'قائمة الوحدات'!$A$2:$A$41,0)),"")</f>
        <v>الإدارة العامة للعمليات المشتركة</v>
      </c>
      <c r="F475" s="14" t="str">
        <f>IFERROR(INDEX('قائمة الوحدات'!$F$2:$F$41,MATCH($B475,'قائمة الوحدات'!$A$2:$A$41,0)),"")</f>
        <v>الإدارة العامة للعمليات المشتركة</v>
      </c>
      <c r="G475" s="16" t="s">
        <v>43</v>
      </c>
      <c r="H475" s="14" t="str">
        <f>IFERROR(INDEX(المرجع!$A$2:$A$19,MATCH($G475,المرجع!$B$2:$B$19,0)),"")</f>
        <v>التصميم</v>
      </c>
      <c r="I475" s="16" t="s">
        <v>59</v>
      </c>
      <c r="J475" s="14" t="str">
        <f>IFERROR(INDEX(المرجع!$D$2:$D$19,MATCH($I475,المرجع!$E$2:$E$19,0)),"")</f>
        <v>الإجراءات</v>
      </c>
      <c r="K475" s="15">
        <f>IFERROR(INDEX(المرجع!$F$2:$F$19,MATCH($I475,المرجع!$E$2:$E$19,0)),"")</f>
        <v>6</v>
      </c>
      <c r="L475" s="15">
        <f>SUMIFS(المرجع!$H$2:$H$19,المرجع!$B$2:$B$19,$G475,المرجع!$E$2:$E$19,$I475)</f>
        <v>1</v>
      </c>
      <c r="M475" s="15">
        <f>COUNTIFS('المرتبطة بسمو الوزير'!$B$2:$B$151,$B475,'المرتبطة بسمو الوزير'!$G$2:$G$151,$G475,'المرتبطة بسمو الوزير'!$I$2:$I$151,$I475,'المرتبطة بسمو الوزير'!$M$2:$M$151,"&lt;&gt;")+COUNTIFS('الشؤون التنفيذية'!$B$2:$B$421,$B475,'الشؤون التنفيذية'!$G$2:$G$421,$G475,'الشؤون التنفيذية'!$I$2:$I$421,$I475,'الشؤون التنفيذية'!$N$2:$N$421,"&lt;&gt;")+COUNTIFS('الجهاز العسكري'!$B$2:$B$631,$B475,'الجهاز العسكري'!$G$2:$G$631,$G475,'الجهاز العسكري'!$I$2:$I$631,$I475,'الجهاز العسكري'!$M$2:$M$631,"&lt;&gt;")</f>
        <v>1</v>
      </c>
      <c r="N475" s="19">
        <f>IF($L475=0,0,ROUND((SUMIFS('المرتبطة بسمو الوزير'!$M$2:$M$151,'المرتبطة بسمو الوزير'!$B$2:$B$151,$B475,'المرتبطة بسمو الوزير'!$G$2:$G$151,$G475,'المرتبطة بسمو الوزير'!$I$2:$I$151,$I475)+SUMIFS('الشؤون التنفيذية'!$N$2:$N$421,'الشؤون التنفيذية'!$B$2:$B$421,$B475,'الشؤون التنفيذية'!$G$2:$G$421,$G475,'الشؤون التنفيذية'!$I$2:$I$421,$I475)+SUMIFS('الجهاز العسكري'!$M$2:$M$631,'الجهاز العسكري'!$B$2:$B$631,$B475,'الجهاز العسكري'!$G$2:$G$631,$G475,'الجهاز العسكري'!$I$2:$I$631,$I475))/$L475,0))</f>
        <v>89</v>
      </c>
      <c r="O475" s="18"/>
      <c r="P475" s="15">
        <f>SUMIFS(المرجع!$G$2:$G$19,المرجع!$B$2:$B$19,$G475,المرجع!$E$2:$E$19,$I475)</f>
        <v>5</v>
      </c>
      <c r="Q475" s="20">
        <f t="shared" si="8"/>
        <v>4.45</v>
      </c>
      <c r="R475" s="21" t="str">
        <f>IF($N475&gt;المرجع!$K$3,"متقدم",IF($N475&lt;=المرجع!$K$2,"أولي","جزئي"))</f>
        <v>متقدم</v>
      </c>
    </row>
    <row r="476" spans="1:18">
      <c r="A476" s="16" t="s">
        <v>1916</v>
      </c>
      <c r="B476" s="16" t="s">
        <v>204</v>
      </c>
      <c r="C476" s="15" t="str">
        <f>IFERROR(INDEX('قائمة الوحدات'!$B$2:$B$41,MATCH($B476,'قائمة الوحدات'!$A$2:$A$41,0)),"")</f>
        <v>MIL</v>
      </c>
      <c r="D476" s="14" t="str">
        <f>IFERROR(INDEX('قائمة الوحدات'!$C$2:$C$41,MATCH($B476,'قائمة الوحدات'!$A$2:$A$41,0)),"")</f>
        <v>الجهاز العسكري</v>
      </c>
      <c r="E476" s="14" t="str">
        <f>IFERROR(INDEX('قائمة الوحدات'!$D$2:$D$41,MATCH($B476,'قائمة الوحدات'!$A$2:$A$41,0)),"")</f>
        <v>الإدارة العامة للعمليات المشتركة</v>
      </c>
      <c r="F476" s="14" t="str">
        <f>IFERROR(INDEX('قائمة الوحدات'!$F$2:$F$41,MATCH($B476,'قائمة الوحدات'!$A$2:$A$41,0)),"")</f>
        <v>الإدارة العامة للعمليات المشتركة</v>
      </c>
      <c r="G476" s="16" t="s">
        <v>61</v>
      </c>
      <c r="H476" s="14" t="str">
        <f>IFERROR(INDEX(المرجع!$A$2:$A$19,MATCH($G476,المرجع!$B$2:$B$19,0)),"")</f>
        <v>البناء المؤسسي</v>
      </c>
      <c r="I476" s="16" t="s">
        <v>45</v>
      </c>
      <c r="J476" s="14" t="str">
        <f>IFERROR(INDEX(المرجع!$D$2:$D$19,MATCH($I476,المرجع!$E$2:$E$19,0)),"")</f>
        <v>الدور</v>
      </c>
      <c r="K476" s="15">
        <f>IFERROR(INDEX(المرجع!$F$2:$F$19,MATCH($I476,المرجع!$E$2:$E$19,0)),"")</f>
        <v>1</v>
      </c>
      <c r="L476" s="15">
        <f>SUMIFS(المرجع!$H$2:$H$19,المرجع!$B$2:$B$19,$G476,المرجع!$E$2:$E$19,$I476)</f>
        <v>1</v>
      </c>
      <c r="M476" s="15">
        <f>COUNTIFS('المرتبطة بسمو الوزير'!$B$2:$B$151,$B476,'المرتبطة بسمو الوزير'!$G$2:$G$151,$G476,'المرتبطة بسمو الوزير'!$I$2:$I$151,$I476,'المرتبطة بسمو الوزير'!$M$2:$M$151,"&lt;&gt;")+COUNTIFS('الشؤون التنفيذية'!$B$2:$B$421,$B476,'الشؤون التنفيذية'!$G$2:$G$421,$G476,'الشؤون التنفيذية'!$I$2:$I$421,$I476,'الشؤون التنفيذية'!$N$2:$N$421,"&lt;&gt;")+COUNTIFS('الجهاز العسكري'!$B$2:$B$631,$B476,'الجهاز العسكري'!$G$2:$G$631,$G476,'الجهاز العسكري'!$I$2:$I$631,$I476,'الجهاز العسكري'!$M$2:$M$631,"&lt;&gt;")</f>
        <v>1</v>
      </c>
      <c r="N476" s="19">
        <f>IF($L476=0,0,ROUND((SUMIFS('المرتبطة بسمو الوزير'!$M$2:$M$151,'المرتبطة بسمو الوزير'!$B$2:$B$151,$B476,'المرتبطة بسمو الوزير'!$G$2:$G$151,$G476,'المرتبطة بسمو الوزير'!$I$2:$I$151,$I476)+SUMIFS('الشؤون التنفيذية'!$N$2:$N$421,'الشؤون التنفيذية'!$B$2:$B$421,$B476,'الشؤون التنفيذية'!$G$2:$G$421,$G476,'الشؤون التنفيذية'!$I$2:$I$421,$I476)+SUMIFS('الجهاز العسكري'!$M$2:$M$631,'الجهاز العسكري'!$B$2:$B$631,$B476,'الجهاز العسكري'!$G$2:$G$631,$G476,'الجهاز العسكري'!$I$2:$I$631,$I476))/$L476,0))</f>
        <v>70</v>
      </c>
      <c r="O476" s="18"/>
      <c r="P476" s="15">
        <f>SUMIFS(المرجع!$G$2:$G$19,المرجع!$B$2:$B$19,$G476,المرجع!$E$2:$E$19,$I476)</f>
        <v>15</v>
      </c>
      <c r="Q476" s="20">
        <f t="shared" si="8"/>
        <v>10.5</v>
      </c>
      <c r="R476" s="21" t="str">
        <f>IF($N476&gt;المرجع!$K$3,"متقدم",IF($N476&lt;=المرجع!$K$2,"أولي","جزئي"))</f>
        <v>جزئي</v>
      </c>
    </row>
    <row r="477" spans="1:18">
      <c r="A477" s="16" t="s">
        <v>1917</v>
      </c>
      <c r="B477" s="16" t="s">
        <v>204</v>
      </c>
      <c r="C477" s="15" t="str">
        <f>IFERROR(INDEX('قائمة الوحدات'!$B$2:$B$41,MATCH($B477,'قائمة الوحدات'!$A$2:$A$41,0)),"")</f>
        <v>MIL</v>
      </c>
      <c r="D477" s="14" t="str">
        <f>IFERROR(INDEX('قائمة الوحدات'!$C$2:$C$41,MATCH($B477,'قائمة الوحدات'!$A$2:$A$41,0)),"")</f>
        <v>الجهاز العسكري</v>
      </c>
      <c r="E477" s="14" t="str">
        <f>IFERROR(INDEX('قائمة الوحدات'!$D$2:$D$41,MATCH($B477,'قائمة الوحدات'!$A$2:$A$41,0)),"")</f>
        <v>الإدارة العامة للعمليات المشتركة</v>
      </c>
      <c r="F477" s="14" t="str">
        <f>IFERROR(INDEX('قائمة الوحدات'!$F$2:$F$41,MATCH($B477,'قائمة الوحدات'!$A$2:$A$41,0)),"")</f>
        <v>الإدارة العامة للعمليات المشتركة</v>
      </c>
      <c r="G477" s="16" t="s">
        <v>61</v>
      </c>
      <c r="H477" s="14" t="str">
        <f>IFERROR(INDEX(المرجع!$A$2:$A$19,MATCH($G477,المرجع!$B$2:$B$19,0)),"")</f>
        <v>البناء المؤسسي</v>
      </c>
      <c r="I477" s="16" t="s">
        <v>48</v>
      </c>
      <c r="J477" s="14" t="str">
        <f>IFERROR(INDEX(المرجع!$D$2:$D$19,MATCH($I477,المرجع!$E$2:$E$19,0)),"")</f>
        <v>الأهداف ومؤشرات الأداء</v>
      </c>
      <c r="K477" s="15">
        <f>IFERROR(INDEX(المرجع!$F$2:$F$19,MATCH($I477,المرجع!$E$2:$E$19,0)),"")</f>
        <v>2</v>
      </c>
      <c r="L477" s="15">
        <f>SUMIFS(المرجع!$H$2:$H$19,المرجع!$B$2:$B$19,$G477,المرجع!$E$2:$E$19,$I477)</f>
        <v>2</v>
      </c>
      <c r="M477" s="15">
        <f>COUNTIFS('المرتبطة بسمو الوزير'!$B$2:$B$151,$B477,'المرتبطة بسمو الوزير'!$G$2:$G$151,$G477,'المرتبطة بسمو الوزير'!$I$2:$I$151,$I477,'المرتبطة بسمو الوزير'!$M$2:$M$151,"&lt;&gt;")+COUNTIFS('الشؤون التنفيذية'!$B$2:$B$421,$B477,'الشؤون التنفيذية'!$G$2:$G$421,$G477,'الشؤون التنفيذية'!$I$2:$I$421,$I477,'الشؤون التنفيذية'!$N$2:$N$421,"&lt;&gt;")+COUNTIFS('الجهاز العسكري'!$B$2:$B$631,$B477,'الجهاز العسكري'!$G$2:$G$631,$G477,'الجهاز العسكري'!$I$2:$I$631,$I477,'الجهاز العسكري'!$M$2:$M$631,"&lt;&gt;")</f>
        <v>2</v>
      </c>
      <c r="N477" s="19">
        <f>IF($L477=0,0,ROUND((SUMIFS('المرتبطة بسمو الوزير'!$M$2:$M$151,'المرتبطة بسمو الوزير'!$B$2:$B$151,$B477,'المرتبطة بسمو الوزير'!$G$2:$G$151,$G477,'المرتبطة بسمو الوزير'!$I$2:$I$151,$I477)+SUMIFS('الشؤون التنفيذية'!$N$2:$N$421,'الشؤون التنفيذية'!$B$2:$B$421,$B477,'الشؤون التنفيذية'!$G$2:$G$421,$G477,'الشؤون التنفيذية'!$I$2:$I$421,$I477)+SUMIFS('الجهاز العسكري'!$M$2:$M$631,'الجهاز العسكري'!$B$2:$B$631,$B477,'الجهاز العسكري'!$G$2:$G$631,$G477,'الجهاز العسكري'!$I$2:$I$631,$I477))/$L477,0))</f>
        <v>70</v>
      </c>
      <c r="O477" s="18"/>
      <c r="P477" s="15">
        <f>SUMIFS(المرجع!$G$2:$G$19,المرجع!$B$2:$B$19,$G477,المرجع!$E$2:$E$19,$I477)</f>
        <v>15</v>
      </c>
      <c r="Q477" s="20">
        <f t="shared" si="8"/>
        <v>10.5</v>
      </c>
      <c r="R477" s="21" t="str">
        <f>IF($N477&gt;المرجع!$K$3,"متقدم",IF($N477&lt;=المرجع!$K$2,"أولي","جزئي"))</f>
        <v>جزئي</v>
      </c>
    </row>
    <row r="478" spans="1:18">
      <c r="A478" s="16" t="s">
        <v>1918</v>
      </c>
      <c r="B478" s="16" t="s">
        <v>204</v>
      </c>
      <c r="C478" s="15" t="str">
        <f>IFERROR(INDEX('قائمة الوحدات'!$B$2:$B$41,MATCH($B478,'قائمة الوحدات'!$A$2:$A$41,0)),"")</f>
        <v>MIL</v>
      </c>
      <c r="D478" s="14" t="str">
        <f>IFERROR(INDEX('قائمة الوحدات'!$C$2:$C$41,MATCH($B478,'قائمة الوحدات'!$A$2:$A$41,0)),"")</f>
        <v>الجهاز العسكري</v>
      </c>
      <c r="E478" s="14" t="str">
        <f>IFERROR(INDEX('قائمة الوحدات'!$D$2:$D$41,MATCH($B478,'قائمة الوحدات'!$A$2:$A$41,0)),"")</f>
        <v>الإدارة العامة للعمليات المشتركة</v>
      </c>
      <c r="F478" s="14" t="str">
        <f>IFERROR(INDEX('قائمة الوحدات'!$F$2:$F$41,MATCH($B478,'قائمة الوحدات'!$A$2:$A$41,0)),"")</f>
        <v>الإدارة العامة للعمليات المشتركة</v>
      </c>
      <c r="G478" s="16" t="s">
        <v>61</v>
      </c>
      <c r="H478" s="14" t="str">
        <f>IFERROR(INDEX(المرجع!$A$2:$A$19,MATCH($G478,المرجع!$B$2:$B$19,0)),"")</f>
        <v>البناء المؤسسي</v>
      </c>
      <c r="I478" s="16" t="s">
        <v>51</v>
      </c>
      <c r="J478" s="14" t="str">
        <f>IFERROR(INDEX(المرجع!$D$2:$D$19,MATCH($I478,المرجع!$E$2:$E$19,0)),"")</f>
        <v>الحوكمة</v>
      </c>
      <c r="K478" s="15">
        <f>IFERROR(INDEX(المرجع!$F$2:$F$19,MATCH($I478,المرجع!$E$2:$E$19,0)),"")</f>
        <v>3</v>
      </c>
      <c r="L478" s="15">
        <f>SUMIFS(المرجع!$H$2:$H$19,المرجع!$B$2:$B$19,$G478,المرجع!$E$2:$E$19,$I478)</f>
        <v>3</v>
      </c>
      <c r="M478" s="15">
        <f>COUNTIFS('المرتبطة بسمو الوزير'!$B$2:$B$151,$B478,'المرتبطة بسمو الوزير'!$G$2:$G$151,$G478,'المرتبطة بسمو الوزير'!$I$2:$I$151,$I478,'المرتبطة بسمو الوزير'!$M$2:$M$151,"&lt;&gt;")+COUNTIFS('الشؤون التنفيذية'!$B$2:$B$421,$B478,'الشؤون التنفيذية'!$G$2:$G$421,$G478,'الشؤون التنفيذية'!$I$2:$I$421,$I478,'الشؤون التنفيذية'!$N$2:$N$421,"&lt;&gt;")+COUNTIFS('الجهاز العسكري'!$B$2:$B$631,$B478,'الجهاز العسكري'!$G$2:$G$631,$G478,'الجهاز العسكري'!$I$2:$I$631,$I478,'الجهاز العسكري'!$M$2:$M$631,"&lt;&gt;")</f>
        <v>3</v>
      </c>
      <c r="N478" s="19">
        <f>IF($L478=0,0,ROUND((SUMIFS('المرتبطة بسمو الوزير'!$M$2:$M$151,'المرتبطة بسمو الوزير'!$B$2:$B$151,$B478,'المرتبطة بسمو الوزير'!$G$2:$G$151,$G478,'المرتبطة بسمو الوزير'!$I$2:$I$151,$I478)+SUMIFS('الشؤون التنفيذية'!$N$2:$N$421,'الشؤون التنفيذية'!$B$2:$B$421,$B478,'الشؤون التنفيذية'!$G$2:$G$421,$G478,'الشؤون التنفيذية'!$I$2:$I$421,$I478)+SUMIFS('الجهاز العسكري'!$M$2:$M$631,'الجهاز العسكري'!$B$2:$B$631,$B478,'الجهاز العسكري'!$G$2:$G$631,$G478,'الجهاز العسكري'!$I$2:$I$631,$I478))/$L478,0))</f>
        <v>75</v>
      </c>
      <c r="O478" s="18"/>
      <c r="P478" s="15">
        <f>SUMIFS(المرجع!$G$2:$G$19,المرجع!$B$2:$B$19,$G478,المرجع!$E$2:$E$19,$I478)</f>
        <v>15</v>
      </c>
      <c r="Q478" s="20">
        <f t="shared" si="8"/>
        <v>11.25</v>
      </c>
      <c r="R478" s="21" t="str">
        <f>IF($N478&gt;المرجع!$K$3,"متقدم",IF($N478&lt;=المرجع!$K$2,"أولي","جزئي"))</f>
        <v>متقدم</v>
      </c>
    </row>
    <row r="479" spans="1:18">
      <c r="A479" s="16" t="s">
        <v>1919</v>
      </c>
      <c r="B479" s="16" t="s">
        <v>204</v>
      </c>
      <c r="C479" s="15" t="str">
        <f>IFERROR(INDEX('قائمة الوحدات'!$B$2:$B$41,MATCH($B479,'قائمة الوحدات'!$A$2:$A$41,0)),"")</f>
        <v>MIL</v>
      </c>
      <c r="D479" s="14" t="str">
        <f>IFERROR(INDEX('قائمة الوحدات'!$C$2:$C$41,MATCH($B479,'قائمة الوحدات'!$A$2:$A$41,0)),"")</f>
        <v>الجهاز العسكري</v>
      </c>
      <c r="E479" s="14" t="str">
        <f>IFERROR(INDEX('قائمة الوحدات'!$D$2:$D$41,MATCH($B479,'قائمة الوحدات'!$A$2:$A$41,0)),"")</f>
        <v>الإدارة العامة للعمليات المشتركة</v>
      </c>
      <c r="F479" s="14" t="str">
        <f>IFERROR(INDEX('قائمة الوحدات'!$F$2:$F$41,MATCH($B479,'قائمة الوحدات'!$A$2:$A$41,0)),"")</f>
        <v>الإدارة العامة للعمليات المشتركة</v>
      </c>
      <c r="G479" s="16" t="s">
        <v>61</v>
      </c>
      <c r="H479" s="14" t="str">
        <f>IFERROR(INDEX(المرجع!$A$2:$A$19,MATCH($G479,المرجع!$B$2:$B$19,0)),"")</f>
        <v>البناء المؤسسي</v>
      </c>
      <c r="I479" s="16" t="s">
        <v>54</v>
      </c>
      <c r="J479" s="14" t="str">
        <f>IFERROR(INDEX(المرجع!$D$2:$D$19,MATCH($I479,المرجع!$E$2:$E$19,0)),"")</f>
        <v>التنظيم</v>
      </c>
      <c r="K479" s="15">
        <f>IFERROR(INDEX(المرجع!$F$2:$F$19,MATCH($I479,المرجع!$E$2:$E$19,0)),"")</f>
        <v>4</v>
      </c>
      <c r="L479" s="15">
        <f>SUMIFS(المرجع!$H$2:$H$19,المرجع!$B$2:$B$19,$G479,المرجع!$E$2:$E$19,$I479)</f>
        <v>3</v>
      </c>
      <c r="M479" s="15">
        <f>COUNTIFS('المرتبطة بسمو الوزير'!$B$2:$B$151,$B479,'المرتبطة بسمو الوزير'!$G$2:$G$151,$G479,'المرتبطة بسمو الوزير'!$I$2:$I$151,$I479,'المرتبطة بسمو الوزير'!$M$2:$M$151,"&lt;&gt;")+COUNTIFS('الشؤون التنفيذية'!$B$2:$B$421,$B479,'الشؤون التنفيذية'!$G$2:$G$421,$G479,'الشؤون التنفيذية'!$I$2:$I$421,$I479,'الشؤون التنفيذية'!$N$2:$N$421,"&lt;&gt;")+COUNTIFS('الجهاز العسكري'!$B$2:$B$631,$B479,'الجهاز العسكري'!$G$2:$G$631,$G479,'الجهاز العسكري'!$I$2:$I$631,$I479,'الجهاز العسكري'!$M$2:$M$631,"&lt;&gt;")</f>
        <v>3</v>
      </c>
      <c r="N479" s="19">
        <f>IF($L479=0,0,ROUND((SUMIFS('المرتبطة بسمو الوزير'!$M$2:$M$151,'المرتبطة بسمو الوزير'!$B$2:$B$151,$B479,'المرتبطة بسمو الوزير'!$G$2:$G$151,$G479,'المرتبطة بسمو الوزير'!$I$2:$I$151,$I479)+SUMIFS('الشؤون التنفيذية'!$N$2:$N$421,'الشؤون التنفيذية'!$B$2:$B$421,$B479,'الشؤون التنفيذية'!$G$2:$G$421,$G479,'الشؤون التنفيذية'!$I$2:$I$421,$I479)+SUMIFS('الجهاز العسكري'!$M$2:$M$631,'الجهاز العسكري'!$B$2:$B$631,$B479,'الجهاز العسكري'!$G$2:$G$631,$G479,'الجهاز العسكري'!$I$2:$I$631,$I479))/$L479,0))</f>
        <v>73</v>
      </c>
      <c r="O479" s="18"/>
      <c r="P479" s="15">
        <f>SUMIFS(المرجع!$G$2:$G$19,المرجع!$B$2:$B$19,$G479,المرجع!$E$2:$E$19,$I479)</f>
        <v>20</v>
      </c>
      <c r="Q479" s="20">
        <f t="shared" si="8"/>
        <v>14.6</v>
      </c>
      <c r="R479" s="21" t="str">
        <f>IF($N479&gt;المرجع!$K$3,"متقدم",IF($N479&lt;=المرجع!$K$2,"أولي","جزئي"))</f>
        <v>متقدم</v>
      </c>
    </row>
    <row r="480" spans="1:18">
      <c r="A480" s="16" t="s">
        <v>1920</v>
      </c>
      <c r="B480" s="16" t="s">
        <v>204</v>
      </c>
      <c r="C480" s="15" t="str">
        <f>IFERROR(INDEX('قائمة الوحدات'!$B$2:$B$41,MATCH($B480,'قائمة الوحدات'!$A$2:$A$41,0)),"")</f>
        <v>MIL</v>
      </c>
      <c r="D480" s="14" t="str">
        <f>IFERROR(INDEX('قائمة الوحدات'!$C$2:$C$41,MATCH($B480,'قائمة الوحدات'!$A$2:$A$41,0)),"")</f>
        <v>الجهاز العسكري</v>
      </c>
      <c r="E480" s="14" t="str">
        <f>IFERROR(INDEX('قائمة الوحدات'!$D$2:$D$41,MATCH($B480,'قائمة الوحدات'!$A$2:$A$41,0)),"")</f>
        <v>الإدارة العامة للعمليات المشتركة</v>
      </c>
      <c r="F480" s="14" t="str">
        <f>IFERROR(INDEX('قائمة الوحدات'!$F$2:$F$41,MATCH($B480,'قائمة الوحدات'!$A$2:$A$41,0)),"")</f>
        <v>الإدارة العامة للعمليات المشتركة</v>
      </c>
      <c r="G480" s="16" t="s">
        <v>61</v>
      </c>
      <c r="H480" s="14" t="str">
        <f>IFERROR(INDEX(المرجع!$A$2:$A$19,MATCH($G480,المرجع!$B$2:$B$19,0)),"")</f>
        <v>البناء المؤسسي</v>
      </c>
      <c r="I480" s="16" t="s">
        <v>56</v>
      </c>
      <c r="J480" s="14" t="str">
        <f>IFERROR(INDEX(المرجع!$D$2:$D$19,MATCH($I480,المرجع!$E$2:$E$19,0)),"")</f>
        <v>الموارد</v>
      </c>
      <c r="K480" s="15">
        <f>IFERROR(INDEX(المرجع!$F$2:$F$19,MATCH($I480,المرجع!$E$2:$E$19,0)),"")</f>
        <v>5</v>
      </c>
      <c r="L480" s="15">
        <f>SUMIFS(المرجع!$H$2:$H$19,المرجع!$B$2:$B$19,$G480,المرجع!$E$2:$E$19,$I480)</f>
        <v>4</v>
      </c>
      <c r="M480" s="15">
        <f>COUNTIFS('المرتبطة بسمو الوزير'!$B$2:$B$151,$B480,'المرتبطة بسمو الوزير'!$G$2:$G$151,$G480,'المرتبطة بسمو الوزير'!$I$2:$I$151,$I480,'المرتبطة بسمو الوزير'!$M$2:$M$151,"&lt;&gt;")+COUNTIFS('الشؤون التنفيذية'!$B$2:$B$421,$B480,'الشؤون التنفيذية'!$G$2:$G$421,$G480,'الشؤون التنفيذية'!$I$2:$I$421,$I480,'الشؤون التنفيذية'!$N$2:$N$421,"&lt;&gt;")+COUNTIFS('الجهاز العسكري'!$B$2:$B$631,$B480,'الجهاز العسكري'!$G$2:$G$631,$G480,'الجهاز العسكري'!$I$2:$I$631,$I480,'الجهاز العسكري'!$M$2:$M$631,"&lt;&gt;")</f>
        <v>4</v>
      </c>
      <c r="N480" s="19">
        <f>IF($L480=0,0,ROUND((SUMIFS('المرتبطة بسمو الوزير'!$M$2:$M$151,'المرتبطة بسمو الوزير'!$B$2:$B$151,$B480,'المرتبطة بسمو الوزير'!$G$2:$G$151,$G480,'المرتبطة بسمو الوزير'!$I$2:$I$151,$I480)+SUMIFS('الشؤون التنفيذية'!$N$2:$N$421,'الشؤون التنفيذية'!$B$2:$B$421,$B480,'الشؤون التنفيذية'!$G$2:$G$421,$G480,'الشؤون التنفيذية'!$I$2:$I$421,$I480)+SUMIFS('الجهاز العسكري'!$M$2:$M$631,'الجهاز العسكري'!$B$2:$B$631,$B480,'الجهاز العسكري'!$G$2:$G$631,$G480,'الجهاز العسكري'!$I$2:$I$631,$I480))/$L480,0))</f>
        <v>89</v>
      </c>
      <c r="O480" s="18"/>
      <c r="P480" s="15">
        <f>SUMIFS(المرجع!$G$2:$G$19,المرجع!$B$2:$B$19,$G480,المرجع!$E$2:$E$19,$I480)</f>
        <v>25</v>
      </c>
      <c r="Q480" s="20">
        <f t="shared" si="8"/>
        <v>22.25</v>
      </c>
      <c r="R480" s="21" t="str">
        <f>IF($N480&gt;المرجع!$K$3,"متقدم",IF($N480&lt;=المرجع!$K$2,"أولي","جزئي"))</f>
        <v>متقدم</v>
      </c>
    </row>
    <row r="481" spans="1:18">
      <c r="A481" s="16" t="s">
        <v>1921</v>
      </c>
      <c r="B481" s="16" t="s">
        <v>204</v>
      </c>
      <c r="C481" s="15" t="str">
        <f>IFERROR(INDEX('قائمة الوحدات'!$B$2:$B$41,MATCH($B481,'قائمة الوحدات'!$A$2:$A$41,0)),"")</f>
        <v>MIL</v>
      </c>
      <c r="D481" s="14" t="str">
        <f>IFERROR(INDEX('قائمة الوحدات'!$C$2:$C$41,MATCH($B481,'قائمة الوحدات'!$A$2:$A$41,0)),"")</f>
        <v>الجهاز العسكري</v>
      </c>
      <c r="E481" s="14" t="str">
        <f>IFERROR(INDEX('قائمة الوحدات'!$D$2:$D$41,MATCH($B481,'قائمة الوحدات'!$A$2:$A$41,0)),"")</f>
        <v>الإدارة العامة للعمليات المشتركة</v>
      </c>
      <c r="F481" s="14" t="str">
        <f>IFERROR(INDEX('قائمة الوحدات'!$F$2:$F$41,MATCH($B481,'قائمة الوحدات'!$A$2:$A$41,0)),"")</f>
        <v>الإدارة العامة للعمليات المشتركة</v>
      </c>
      <c r="G481" s="16" t="s">
        <v>61</v>
      </c>
      <c r="H481" s="14" t="str">
        <f>IFERROR(INDEX(المرجع!$A$2:$A$19,MATCH($G481,المرجع!$B$2:$B$19,0)),"")</f>
        <v>البناء المؤسسي</v>
      </c>
      <c r="I481" s="16" t="s">
        <v>59</v>
      </c>
      <c r="J481" s="14" t="str">
        <f>IFERROR(INDEX(المرجع!$D$2:$D$19,MATCH($I481,المرجع!$E$2:$E$19,0)),"")</f>
        <v>الإجراءات</v>
      </c>
      <c r="K481" s="15">
        <f>IFERROR(INDEX(المرجع!$F$2:$F$19,MATCH($I481,المرجع!$E$2:$E$19,0)),"")</f>
        <v>6</v>
      </c>
      <c r="L481" s="15">
        <f>SUMIFS(المرجع!$H$2:$H$19,المرجع!$B$2:$B$19,$G481,المرجع!$E$2:$E$19,$I481)</f>
        <v>1</v>
      </c>
      <c r="M481" s="15">
        <f>COUNTIFS('المرتبطة بسمو الوزير'!$B$2:$B$151,$B481,'المرتبطة بسمو الوزير'!$G$2:$G$151,$G481,'المرتبطة بسمو الوزير'!$I$2:$I$151,$I481,'المرتبطة بسمو الوزير'!$M$2:$M$151,"&lt;&gt;")+COUNTIFS('الشؤون التنفيذية'!$B$2:$B$421,$B481,'الشؤون التنفيذية'!$G$2:$G$421,$G481,'الشؤون التنفيذية'!$I$2:$I$421,$I481,'الشؤون التنفيذية'!$N$2:$N$421,"&lt;&gt;")+COUNTIFS('الجهاز العسكري'!$B$2:$B$631,$B481,'الجهاز العسكري'!$G$2:$G$631,$G481,'الجهاز العسكري'!$I$2:$I$631,$I481,'الجهاز العسكري'!$M$2:$M$631,"&lt;&gt;")</f>
        <v>1</v>
      </c>
      <c r="N481" s="19">
        <f>IF($L481=0,0,ROUND((SUMIFS('المرتبطة بسمو الوزير'!$M$2:$M$151,'المرتبطة بسمو الوزير'!$B$2:$B$151,$B481,'المرتبطة بسمو الوزير'!$G$2:$G$151,$G481,'المرتبطة بسمو الوزير'!$I$2:$I$151,$I481)+SUMIFS('الشؤون التنفيذية'!$N$2:$N$421,'الشؤون التنفيذية'!$B$2:$B$421,$B481,'الشؤون التنفيذية'!$G$2:$G$421,$G481,'الشؤون التنفيذية'!$I$2:$I$421,$I481)+SUMIFS('الجهاز العسكري'!$M$2:$M$631,'الجهاز العسكري'!$B$2:$B$631,$B481,'الجهاز العسكري'!$G$2:$G$631,$G481,'الجهاز العسكري'!$I$2:$I$631,$I481))/$L481,0))</f>
        <v>62</v>
      </c>
      <c r="O481" s="18"/>
      <c r="P481" s="15">
        <f>SUMIFS(المرجع!$G$2:$G$19,المرجع!$B$2:$B$19,$G481,المرجع!$E$2:$E$19,$I481)</f>
        <v>5</v>
      </c>
      <c r="Q481" s="20">
        <f t="shared" si="8"/>
        <v>3.1</v>
      </c>
      <c r="R481" s="21" t="str">
        <f>IF($N481&gt;المرجع!$K$3,"متقدم",IF($N481&lt;=المرجع!$K$2,"أولي","جزئي"))</f>
        <v>جزئي</v>
      </c>
    </row>
    <row r="482" spans="1:18">
      <c r="A482" s="16" t="s">
        <v>1922</v>
      </c>
      <c r="B482" s="16" t="s">
        <v>204</v>
      </c>
      <c r="C482" s="15" t="str">
        <f>IFERROR(INDEX('قائمة الوحدات'!$B$2:$B$41,MATCH($B482,'قائمة الوحدات'!$A$2:$A$41,0)),"")</f>
        <v>MIL</v>
      </c>
      <c r="D482" s="14" t="str">
        <f>IFERROR(INDEX('قائمة الوحدات'!$C$2:$C$41,MATCH($B482,'قائمة الوحدات'!$A$2:$A$41,0)),"")</f>
        <v>الجهاز العسكري</v>
      </c>
      <c r="E482" s="14" t="str">
        <f>IFERROR(INDEX('قائمة الوحدات'!$D$2:$D$41,MATCH($B482,'قائمة الوحدات'!$A$2:$A$41,0)),"")</f>
        <v>الإدارة العامة للعمليات المشتركة</v>
      </c>
      <c r="F482" s="14" t="str">
        <f>IFERROR(INDEX('قائمة الوحدات'!$F$2:$F$41,MATCH($B482,'قائمة الوحدات'!$A$2:$A$41,0)),"")</f>
        <v>الإدارة العامة للعمليات المشتركة</v>
      </c>
      <c r="G482" s="16" t="s">
        <v>61</v>
      </c>
      <c r="H482" s="14" t="str">
        <f>IFERROR(INDEX(المرجع!$A$2:$A$19,MATCH($G482,المرجع!$B$2:$B$19,0)),"")</f>
        <v>البناء المؤسسي</v>
      </c>
      <c r="I482" s="16" t="s">
        <v>63</v>
      </c>
      <c r="J482" s="14" t="str">
        <f>IFERROR(INDEX(المرجع!$D$2:$D$19,MATCH($I482,المرجع!$E$2:$E$19,0)),"")</f>
        <v>إنتاج المخرج الأول</v>
      </c>
      <c r="K482" s="15">
        <f>IFERROR(INDEX(المرجع!$F$2:$F$19,MATCH($I482,المرجع!$E$2:$E$19,0)),"")</f>
        <v>7</v>
      </c>
      <c r="L482" s="15">
        <f>SUMIFS(المرجع!$H$2:$H$19,المرجع!$B$2:$B$19,$G482,المرجع!$E$2:$E$19,$I482)</f>
        <v>1</v>
      </c>
      <c r="M482" s="15">
        <f>COUNTIFS('المرتبطة بسمو الوزير'!$B$2:$B$151,$B482,'المرتبطة بسمو الوزير'!$G$2:$G$151,$G482,'المرتبطة بسمو الوزير'!$I$2:$I$151,$I482,'المرتبطة بسمو الوزير'!$M$2:$M$151,"&lt;&gt;")+COUNTIFS('الشؤون التنفيذية'!$B$2:$B$421,$B482,'الشؤون التنفيذية'!$G$2:$G$421,$G482,'الشؤون التنفيذية'!$I$2:$I$421,$I482,'الشؤون التنفيذية'!$N$2:$N$421,"&lt;&gt;")+COUNTIFS('الجهاز العسكري'!$B$2:$B$631,$B482,'الجهاز العسكري'!$G$2:$G$631,$G482,'الجهاز العسكري'!$I$2:$I$631,$I482,'الجهاز العسكري'!$M$2:$M$631,"&lt;&gt;")</f>
        <v>1</v>
      </c>
      <c r="N482" s="19">
        <f>IF($L482=0,0,ROUND((SUMIFS('المرتبطة بسمو الوزير'!$M$2:$M$151,'المرتبطة بسمو الوزير'!$B$2:$B$151,$B482,'المرتبطة بسمو الوزير'!$G$2:$G$151,$G482,'المرتبطة بسمو الوزير'!$I$2:$I$151,$I482)+SUMIFS('الشؤون التنفيذية'!$N$2:$N$421,'الشؤون التنفيذية'!$B$2:$B$421,$B482,'الشؤون التنفيذية'!$G$2:$G$421,$G482,'الشؤون التنفيذية'!$I$2:$I$421,$I482)+SUMIFS('الجهاز العسكري'!$M$2:$M$631,'الجهاز العسكري'!$B$2:$B$631,$B482,'الجهاز العسكري'!$G$2:$G$631,$G482,'الجهاز العسكري'!$I$2:$I$631,$I482))/$L482,0))</f>
        <v>55</v>
      </c>
      <c r="O482" s="18"/>
      <c r="P482" s="15">
        <f>SUMIFS(المرجع!$G$2:$G$19,المرجع!$B$2:$B$19,$G482,المرجع!$E$2:$E$19,$I482)</f>
        <v>5</v>
      </c>
      <c r="Q482" s="20">
        <f t="shared" si="8"/>
        <v>2.75</v>
      </c>
      <c r="R482" s="21" t="str">
        <f>IF($N482&gt;المرجع!$K$3,"متقدم",IF($N482&lt;=المرجع!$K$2,"أولي","جزئي"))</f>
        <v>جزئي</v>
      </c>
    </row>
    <row r="483" spans="1:18">
      <c r="A483" s="16" t="s">
        <v>1923</v>
      </c>
      <c r="B483" s="16" t="s">
        <v>204</v>
      </c>
      <c r="C483" s="15" t="str">
        <f>IFERROR(INDEX('قائمة الوحدات'!$B$2:$B$41,MATCH($B483,'قائمة الوحدات'!$A$2:$A$41,0)),"")</f>
        <v>MIL</v>
      </c>
      <c r="D483" s="14" t="str">
        <f>IFERROR(INDEX('قائمة الوحدات'!$C$2:$C$41,MATCH($B483,'قائمة الوحدات'!$A$2:$A$41,0)),"")</f>
        <v>الجهاز العسكري</v>
      </c>
      <c r="E483" s="14" t="str">
        <f>IFERROR(INDEX('قائمة الوحدات'!$D$2:$D$41,MATCH($B483,'قائمة الوحدات'!$A$2:$A$41,0)),"")</f>
        <v>الإدارة العامة للعمليات المشتركة</v>
      </c>
      <c r="F483" s="14" t="str">
        <f>IFERROR(INDEX('قائمة الوحدات'!$F$2:$F$41,MATCH($B483,'قائمة الوحدات'!$A$2:$A$41,0)),"")</f>
        <v>الإدارة العامة للعمليات المشتركة</v>
      </c>
      <c r="G483" s="16" t="s">
        <v>65</v>
      </c>
      <c r="H483" s="14" t="str">
        <f>IFERROR(INDEX(المرجع!$A$2:$A$19,MATCH($G483,المرجع!$B$2:$B$19,0)),"")</f>
        <v>التشغيل</v>
      </c>
      <c r="I483" s="16" t="s">
        <v>48</v>
      </c>
      <c r="J483" s="14" t="str">
        <f>IFERROR(INDEX(المرجع!$D$2:$D$19,MATCH($I483,المرجع!$E$2:$E$19,0)),"")</f>
        <v>الأهداف ومؤشرات الأداء</v>
      </c>
      <c r="K483" s="15">
        <f>IFERROR(INDEX(المرجع!$F$2:$F$19,MATCH($I483,المرجع!$E$2:$E$19,0)),"")</f>
        <v>2</v>
      </c>
      <c r="L483" s="15">
        <f>SUMIFS(المرجع!$H$2:$H$19,المرجع!$B$2:$B$19,$G483,المرجع!$E$2:$E$19,$I483)</f>
        <v>2</v>
      </c>
      <c r="M483" s="15">
        <f>COUNTIFS('المرتبطة بسمو الوزير'!$B$2:$B$151,$B483,'المرتبطة بسمو الوزير'!$G$2:$G$151,$G483,'المرتبطة بسمو الوزير'!$I$2:$I$151,$I483,'المرتبطة بسمو الوزير'!$M$2:$M$151,"&lt;&gt;")+COUNTIFS('الشؤون التنفيذية'!$B$2:$B$421,$B483,'الشؤون التنفيذية'!$G$2:$G$421,$G483,'الشؤون التنفيذية'!$I$2:$I$421,$I483,'الشؤون التنفيذية'!$N$2:$N$421,"&lt;&gt;")+COUNTIFS('الجهاز العسكري'!$B$2:$B$631,$B483,'الجهاز العسكري'!$G$2:$G$631,$G483,'الجهاز العسكري'!$I$2:$I$631,$I483,'الجهاز العسكري'!$M$2:$M$631,"&lt;&gt;")</f>
        <v>2</v>
      </c>
      <c r="N483" s="19">
        <f>IF($L483=0,0,ROUND((SUMIFS('المرتبطة بسمو الوزير'!$M$2:$M$151,'المرتبطة بسمو الوزير'!$B$2:$B$151,$B483,'المرتبطة بسمو الوزير'!$G$2:$G$151,$G483,'المرتبطة بسمو الوزير'!$I$2:$I$151,$I483)+SUMIFS('الشؤون التنفيذية'!$N$2:$N$421,'الشؤون التنفيذية'!$B$2:$B$421,$B483,'الشؤون التنفيذية'!$G$2:$G$421,$G483,'الشؤون التنفيذية'!$I$2:$I$421,$I483)+SUMIFS('الجهاز العسكري'!$M$2:$M$631,'الجهاز العسكري'!$B$2:$B$631,$B483,'الجهاز العسكري'!$G$2:$G$631,$G483,'الجهاز العسكري'!$I$2:$I$631,$I483))/$L483,0))</f>
        <v>33</v>
      </c>
      <c r="O483" s="18"/>
      <c r="P483" s="15">
        <f>SUMIFS(المرجع!$G$2:$G$19,المرجع!$B$2:$B$19,$G483,المرجع!$E$2:$E$19,$I483)</f>
        <v>25</v>
      </c>
      <c r="Q483" s="20">
        <f t="shared" si="8"/>
        <v>8.25</v>
      </c>
      <c r="R483" s="21" t="str">
        <f>IF($N483&gt;المرجع!$K$3,"متقدم",IF($N483&lt;=المرجع!$K$2,"أولي","جزئي"))</f>
        <v>جزئي</v>
      </c>
    </row>
    <row r="484" spans="1:18">
      <c r="A484" s="16" t="s">
        <v>1924</v>
      </c>
      <c r="B484" s="16" t="s">
        <v>204</v>
      </c>
      <c r="C484" s="15" t="str">
        <f>IFERROR(INDEX('قائمة الوحدات'!$B$2:$B$41,MATCH($B484,'قائمة الوحدات'!$A$2:$A$41,0)),"")</f>
        <v>MIL</v>
      </c>
      <c r="D484" s="14" t="str">
        <f>IFERROR(INDEX('قائمة الوحدات'!$C$2:$C$41,MATCH($B484,'قائمة الوحدات'!$A$2:$A$41,0)),"")</f>
        <v>الجهاز العسكري</v>
      </c>
      <c r="E484" s="14" t="str">
        <f>IFERROR(INDEX('قائمة الوحدات'!$D$2:$D$41,MATCH($B484,'قائمة الوحدات'!$A$2:$A$41,0)),"")</f>
        <v>الإدارة العامة للعمليات المشتركة</v>
      </c>
      <c r="F484" s="14" t="str">
        <f>IFERROR(INDEX('قائمة الوحدات'!$F$2:$F$41,MATCH($B484,'قائمة الوحدات'!$A$2:$A$41,0)),"")</f>
        <v>الإدارة العامة للعمليات المشتركة</v>
      </c>
      <c r="G484" s="16" t="s">
        <v>65</v>
      </c>
      <c r="H484" s="14" t="str">
        <f>IFERROR(INDEX(المرجع!$A$2:$A$19,MATCH($G484,المرجع!$B$2:$B$19,0)),"")</f>
        <v>التشغيل</v>
      </c>
      <c r="I484" s="16" t="s">
        <v>51</v>
      </c>
      <c r="J484" s="14" t="str">
        <f>IFERROR(INDEX(المرجع!$D$2:$D$19,MATCH($I484,المرجع!$E$2:$E$19,0)),"")</f>
        <v>الحوكمة</v>
      </c>
      <c r="K484" s="15">
        <f>IFERROR(INDEX(المرجع!$F$2:$F$19,MATCH($I484,المرجع!$E$2:$E$19,0)),"")</f>
        <v>3</v>
      </c>
      <c r="L484" s="15">
        <f>SUMIFS(المرجع!$H$2:$H$19,المرجع!$B$2:$B$19,$G484,المرجع!$E$2:$E$19,$I484)</f>
        <v>3</v>
      </c>
      <c r="M484" s="15">
        <f>COUNTIFS('المرتبطة بسمو الوزير'!$B$2:$B$151,$B484,'المرتبطة بسمو الوزير'!$G$2:$G$151,$G484,'المرتبطة بسمو الوزير'!$I$2:$I$151,$I484,'المرتبطة بسمو الوزير'!$M$2:$M$151,"&lt;&gt;")+COUNTIFS('الشؤون التنفيذية'!$B$2:$B$421,$B484,'الشؤون التنفيذية'!$G$2:$G$421,$G484,'الشؤون التنفيذية'!$I$2:$I$421,$I484,'الشؤون التنفيذية'!$N$2:$N$421,"&lt;&gt;")+COUNTIFS('الجهاز العسكري'!$B$2:$B$631,$B484,'الجهاز العسكري'!$G$2:$G$631,$G484,'الجهاز العسكري'!$I$2:$I$631,$I484,'الجهاز العسكري'!$M$2:$M$631,"&lt;&gt;")</f>
        <v>3</v>
      </c>
      <c r="N484" s="19">
        <f>IF($L484=0,0,ROUND((SUMIFS('المرتبطة بسمو الوزير'!$M$2:$M$151,'المرتبطة بسمو الوزير'!$B$2:$B$151,$B484,'المرتبطة بسمو الوزير'!$G$2:$G$151,$G484,'المرتبطة بسمو الوزير'!$I$2:$I$151,$I484)+SUMIFS('الشؤون التنفيذية'!$N$2:$N$421,'الشؤون التنفيذية'!$B$2:$B$421,$B484,'الشؤون التنفيذية'!$G$2:$G$421,$G484,'الشؤون التنفيذية'!$I$2:$I$421,$I484)+SUMIFS('الجهاز العسكري'!$M$2:$M$631,'الجهاز العسكري'!$B$2:$B$631,$B484,'الجهاز العسكري'!$G$2:$G$631,$G484,'الجهاز العسكري'!$I$2:$I$631,$I484))/$L484,0))</f>
        <v>43</v>
      </c>
      <c r="O484" s="18"/>
      <c r="P484" s="15">
        <f>SUMIFS(المرجع!$G$2:$G$19,المرجع!$B$2:$B$19,$G484,المرجع!$E$2:$E$19,$I484)</f>
        <v>15</v>
      </c>
      <c r="Q484" s="20">
        <f t="shared" si="8"/>
        <v>6.45</v>
      </c>
      <c r="R484" s="21" t="str">
        <f>IF($N484&gt;المرجع!$K$3,"متقدم",IF($N484&lt;=المرجع!$K$2,"أولي","جزئي"))</f>
        <v>جزئي</v>
      </c>
    </row>
    <row r="485" spans="1:18">
      <c r="A485" s="16" t="s">
        <v>1925</v>
      </c>
      <c r="B485" s="16" t="s">
        <v>204</v>
      </c>
      <c r="C485" s="15" t="str">
        <f>IFERROR(INDEX('قائمة الوحدات'!$B$2:$B$41,MATCH($B485,'قائمة الوحدات'!$A$2:$A$41,0)),"")</f>
        <v>MIL</v>
      </c>
      <c r="D485" s="14" t="str">
        <f>IFERROR(INDEX('قائمة الوحدات'!$C$2:$C$41,MATCH($B485,'قائمة الوحدات'!$A$2:$A$41,0)),"")</f>
        <v>الجهاز العسكري</v>
      </c>
      <c r="E485" s="14" t="str">
        <f>IFERROR(INDEX('قائمة الوحدات'!$D$2:$D$41,MATCH($B485,'قائمة الوحدات'!$A$2:$A$41,0)),"")</f>
        <v>الإدارة العامة للعمليات المشتركة</v>
      </c>
      <c r="F485" s="14" t="str">
        <f>IFERROR(INDEX('قائمة الوحدات'!$F$2:$F$41,MATCH($B485,'قائمة الوحدات'!$A$2:$A$41,0)),"")</f>
        <v>الإدارة العامة للعمليات المشتركة</v>
      </c>
      <c r="G485" s="16" t="s">
        <v>65</v>
      </c>
      <c r="H485" s="14" t="str">
        <f>IFERROR(INDEX(المرجع!$A$2:$A$19,MATCH($G485,المرجع!$B$2:$B$19,0)),"")</f>
        <v>التشغيل</v>
      </c>
      <c r="I485" s="16" t="s">
        <v>56</v>
      </c>
      <c r="J485" s="14" t="str">
        <f>IFERROR(INDEX(المرجع!$D$2:$D$19,MATCH($I485,المرجع!$E$2:$E$19,0)),"")</f>
        <v>الموارد</v>
      </c>
      <c r="K485" s="15">
        <f>IFERROR(INDEX(المرجع!$F$2:$F$19,MATCH($I485,المرجع!$E$2:$E$19,0)),"")</f>
        <v>5</v>
      </c>
      <c r="L485" s="15">
        <f>SUMIFS(المرجع!$H$2:$H$19,المرجع!$B$2:$B$19,$G485,المرجع!$E$2:$E$19,$I485)</f>
        <v>1</v>
      </c>
      <c r="M485" s="15">
        <f>COUNTIFS('المرتبطة بسمو الوزير'!$B$2:$B$151,$B485,'المرتبطة بسمو الوزير'!$G$2:$G$151,$G485,'المرتبطة بسمو الوزير'!$I$2:$I$151,$I485,'المرتبطة بسمو الوزير'!$M$2:$M$151,"&lt;&gt;")+COUNTIFS('الشؤون التنفيذية'!$B$2:$B$421,$B485,'الشؤون التنفيذية'!$G$2:$G$421,$G485,'الشؤون التنفيذية'!$I$2:$I$421,$I485,'الشؤون التنفيذية'!$N$2:$N$421,"&lt;&gt;")+COUNTIFS('الجهاز العسكري'!$B$2:$B$631,$B485,'الجهاز العسكري'!$G$2:$G$631,$G485,'الجهاز العسكري'!$I$2:$I$631,$I485,'الجهاز العسكري'!$M$2:$M$631,"&lt;&gt;")</f>
        <v>1</v>
      </c>
      <c r="N485" s="19">
        <f>IF($L485=0,0,ROUND((SUMIFS('المرتبطة بسمو الوزير'!$M$2:$M$151,'المرتبطة بسمو الوزير'!$B$2:$B$151,$B485,'المرتبطة بسمو الوزير'!$G$2:$G$151,$G485,'المرتبطة بسمو الوزير'!$I$2:$I$151,$I485)+SUMIFS('الشؤون التنفيذية'!$N$2:$N$421,'الشؤون التنفيذية'!$B$2:$B$421,$B485,'الشؤون التنفيذية'!$G$2:$G$421,$G485,'الشؤون التنفيذية'!$I$2:$I$421,$I485)+SUMIFS('الجهاز العسكري'!$M$2:$M$631,'الجهاز العسكري'!$B$2:$B$631,$B485,'الجهاز العسكري'!$G$2:$G$631,$G485,'الجهاز العسكري'!$I$2:$I$631,$I485))/$L485,0))</f>
        <v>29</v>
      </c>
      <c r="O485" s="18"/>
      <c r="P485" s="15">
        <f>SUMIFS(المرجع!$G$2:$G$19,المرجع!$B$2:$B$19,$G485,المرجع!$E$2:$E$19,$I485)</f>
        <v>15</v>
      </c>
      <c r="Q485" s="20">
        <f t="shared" si="8"/>
        <v>4.3499999999999996</v>
      </c>
      <c r="R485" s="21" t="str">
        <f>IF($N485&gt;المرجع!$K$3,"متقدم",IF($N485&lt;=المرجع!$K$2,"أولي","جزئي"))</f>
        <v>أولي</v>
      </c>
    </row>
    <row r="486" spans="1:18">
      <c r="A486" s="16" t="s">
        <v>1926</v>
      </c>
      <c r="B486" s="16" t="s">
        <v>204</v>
      </c>
      <c r="C486" s="15" t="str">
        <f>IFERROR(INDEX('قائمة الوحدات'!$B$2:$B$41,MATCH($B486,'قائمة الوحدات'!$A$2:$A$41,0)),"")</f>
        <v>MIL</v>
      </c>
      <c r="D486" s="14" t="str">
        <f>IFERROR(INDEX('قائمة الوحدات'!$C$2:$C$41,MATCH($B486,'قائمة الوحدات'!$A$2:$A$41,0)),"")</f>
        <v>الجهاز العسكري</v>
      </c>
      <c r="E486" s="14" t="str">
        <f>IFERROR(INDEX('قائمة الوحدات'!$D$2:$D$41,MATCH($B486,'قائمة الوحدات'!$A$2:$A$41,0)),"")</f>
        <v>الإدارة العامة للعمليات المشتركة</v>
      </c>
      <c r="F486" s="14" t="str">
        <f>IFERROR(INDEX('قائمة الوحدات'!$F$2:$F$41,MATCH($B486,'قائمة الوحدات'!$A$2:$A$41,0)),"")</f>
        <v>الإدارة العامة للعمليات المشتركة</v>
      </c>
      <c r="G486" s="16" t="s">
        <v>65</v>
      </c>
      <c r="H486" s="14" t="str">
        <f>IFERROR(INDEX(المرجع!$A$2:$A$19,MATCH($G486,المرجع!$B$2:$B$19,0)),"")</f>
        <v>التشغيل</v>
      </c>
      <c r="I486" s="16" t="s">
        <v>59</v>
      </c>
      <c r="J486" s="14" t="str">
        <f>IFERROR(INDEX(المرجع!$D$2:$D$19,MATCH($I486,المرجع!$E$2:$E$19,0)),"")</f>
        <v>الإجراءات</v>
      </c>
      <c r="K486" s="15">
        <f>IFERROR(INDEX(المرجع!$F$2:$F$19,MATCH($I486,المرجع!$E$2:$E$19,0)),"")</f>
        <v>6</v>
      </c>
      <c r="L486" s="15">
        <f>SUMIFS(المرجع!$H$2:$H$19,المرجع!$B$2:$B$19,$G486,المرجع!$E$2:$E$19,$I486)</f>
        <v>1</v>
      </c>
      <c r="M486" s="15">
        <f>COUNTIFS('المرتبطة بسمو الوزير'!$B$2:$B$151,$B486,'المرتبطة بسمو الوزير'!$G$2:$G$151,$G486,'المرتبطة بسمو الوزير'!$I$2:$I$151,$I486,'المرتبطة بسمو الوزير'!$M$2:$M$151,"&lt;&gt;")+COUNTIFS('الشؤون التنفيذية'!$B$2:$B$421,$B486,'الشؤون التنفيذية'!$G$2:$G$421,$G486,'الشؤون التنفيذية'!$I$2:$I$421,$I486,'الشؤون التنفيذية'!$N$2:$N$421,"&lt;&gt;")+COUNTIFS('الجهاز العسكري'!$B$2:$B$631,$B486,'الجهاز العسكري'!$G$2:$G$631,$G486,'الجهاز العسكري'!$I$2:$I$631,$I486,'الجهاز العسكري'!$M$2:$M$631,"&lt;&gt;")</f>
        <v>1</v>
      </c>
      <c r="N486" s="19">
        <f>IF($L486=0,0,ROUND((SUMIFS('المرتبطة بسمو الوزير'!$M$2:$M$151,'المرتبطة بسمو الوزير'!$B$2:$B$151,$B486,'المرتبطة بسمو الوزير'!$G$2:$G$151,$G486,'المرتبطة بسمو الوزير'!$I$2:$I$151,$I486)+SUMIFS('الشؤون التنفيذية'!$N$2:$N$421,'الشؤون التنفيذية'!$B$2:$B$421,$B486,'الشؤون التنفيذية'!$G$2:$G$421,$G486,'الشؤون التنفيذية'!$I$2:$I$421,$I486)+SUMIFS('الجهاز العسكري'!$M$2:$M$631,'الجهاز العسكري'!$B$2:$B$631,$B486,'الجهاز العسكري'!$G$2:$G$631,$G486,'الجهاز العسكري'!$I$2:$I$631,$I486))/$L486,0))</f>
        <v>44</v>
      </c>
      <c r="O486" s="18"/>
      <c r="P486" s="15">
        <f>SUMIFS(المرجع!$G$2:$G$19,المرجع!$B$2:$B$19,$G486,المرجع!$E$2:$E$19,$I486)</f>
        <v>15</v>
      </c>
      <c r="Q486" s="20">
        <f t="shared" si="8"/>
        <v>6.6</v>
      </c>
      <c r="R486" s="21" t="str">
        <f>IF($N486&gt;المرجع!$K$3,"متقدم",IF($N486&lt;=المرجع!$K$2,"أولي","جزئي"))</f>
        <v>جزئي</v>
      </c>
    </row>
    <row r="487" spans="1:18">
      <c r="A487" s="16" t="s">
        <v>1927</v>
      </c>
      <c r="B487" s="16" t="s">
        <v>204</v>
      </c>
      <c r="C487" s="15" t="str">
        <f>IFERROR(INDEX('قائمة الوحدات'!$B$2:$B$41,MATCH($B487,'قائمة الوحدات'!$A$2:$A$41,0)),"")</f>
        <v>MIL</v>
      </c>
      <c r="D487" s="14" t="str">
        <f>IFERROR(INDEX('قائمة الوحدات'!$C$2:$C$41,MATCH($B487,'قائمة الوحدات'!$A$2:$A$41,0)),"")</f>
        <v>الجهاز العسكري</v>
      </c>
      <c r="E487" s="14" t="str">
        <f>IFERROR(INDEX('قائمة الوحدات'!$D$2:$D$41,MATCH($B487,'قائمة الوحدات'!$A$2:$A$41,0)),"")</f>
        <v>الإدارة العامة للعمليات المشتركة</v>
      </c>
      <c r="F487" s="14" t="str">
        <f>IFERROR(INDEX('قائمة الوحدات'!$F$2:$F$41,MATCH($B487,'قائمة الوحدات'!$A$2:$A$41,0)),"")</f>
        <v>الإدارة العامة للعمليات المشتركة</v>
      </c>
      <c r="G487" s="16" t="s">
        <v>65</v>
      </c>
      <c r="H487" s="14" t="str">
        <f>IFERROR(INDEX(المرجع!$A$2:$A$19,MATCH($G487,المرجع!$B$2:$B$19,0)),"")</f>
        <v>التشغيل</v>
      </c>
      <c r="I487" s="16" t="s">
        <v>67</v>
      </c>
      <c r="J487" s="14" t="str">
        <f>IFERROR(INDEX(المرجع!$D$2:$D$19,MATCH($I487,المرجع!$E$2:$E$19,0)),"")</f>
        <v>اكتمال المخرجات المستهدفة</v>
      </c>
      <c r="K487" s="15">
        <f>IFERROR(INDEX(المرجع!$F$2:$F$19,MATCH($I487,المرجع!$E$2:$E$19,0)),"")</f>
        <v>8</v>
      </c>
      <c r="L487" s="15">
        <f>SUMIFS(المرجع!$H$2:$H$19,المرجع!$B$2:$B$19,$G487,المرجع!$E$2:$E$19,$I487)</f>
        <v>1</v>
      </c>
      <c r="M487" s="15">
        <f>COUNTIFS('المرتبطة بسمو الوزير'!$B$2:$B$151,$B487,'المرتبطة بسمو الوزير'!$G$2:$G$151,$G487,'المرتبطة بسمو الوزير'!$I$2:$I$151,$I487,'المرتبطة بسمو الوزير'!$M$2:$M$151,"&lt;&gt;")+COUNTIFS('الشؤون التنفيذية'!$B$2:$B$421,$B487,'الشؤون التنفيذية'!$G$2:$G$421,$G487,'الشؤون التنفيذية'!$I$2:$I$421,$I487,'الشؤون التنفيذية'!$N$2:$N$421,"&lt;&gt;")+COUNTIFS('الجهاز العسكري'!$B$2:$B$631,$B487,'الجهاز العسكري'!$G$2:$G$631,$G487,'الجهاز العسكري'!$I$2:$I$631,$I487,'الجهاز العسكري'!$M$2:$M$631,"&lt;&gt;")</f>
        <v>1</v>
      </c>
      <c r="N487" s="19">
        <f>IF($L487=0,0,ROUND((SUMIFS('المرتبطة بسمو الوزير'!$M$2:$M$151,'المرتبطة بسمو الوزير'!$B$2:$B$151,$B487,'المرتبطة بسمو الوزير'!$G$2:$G$151,$G487,'المرتبطة بسمو الوزير'!$I$2:$I$151,$I487)+SUMIFS('الشؤون التنفيذية'!$N$2:$N$421,'الشؤون التنفيذية'!$B$2:$B$421,$B487,'الشؤون التنفيذية'!$G$2:$G$421,$G487,'الشؤون التنفيذية'!$I$2:$I$421,$I487)+SUMIFS('الجهاز العسكري'!$M$2:$M$631,'الجهاز العسكري'!$B$2:$B$631,$B487,'الجهاز العسكري'!$G$2:$G$631,$G487,'الجهاز العسكري'!$I$2:$I$631,$I487))/$L487,0))</f>
        <v>56</v>
      </c>
      <c r="O487" s="18"/>
      <c r="P487" s="15">
        <f>SUMIFS(المرجع!$G$2:$G$19,المرجع!$B$2:$B$19,$G487,المرجع!$E$2:$E$19,$I487)</f>
        <v>30</v>
      </c>
      <c r="Q487" s="20">
        <f t="shared" si="8"/>
        <v>16.8</v>
      </c>
      <c r="R487" s="21" t="str">
        <f>IF($N487&gt;المرجع!$K$3,"متقدم",IF($N487&lt;=المرجع!$K$2,"أولي","جزئي"))</f>
        <v>جزئي</v>
      </c>
    </row>
    <row r="488" spans="1:18">
      <c r="A488" s="16" t="s">
        <v>1928</v>
      </c>
      <c r="B488" s="16" t="s">
        <v>206</v>
      </c>
      <c r="C488" s="15" t="str">
        <f>IFERROR(INDEX('قائمة الوحدات'!$B$2:$B$41,MATCH($B488,'قائمة الوحدات'!$A$2:$A$41,0)),"")</f>
        <v>MIL</v>
      </c>
      <c r="D488" s="14" t="str">
        <f>IFERROR(INDEX('قائمة الوحدات'!$C$2:$C$41,MATCH($B488,'قائمة الوحدات'!$A$2:$A$41,0)),"")</f>
        <v>الجهاز العسكري</v>
      </c>
      <c r="E488" s="14" t="str">
        <f>IFERROR(INDEX('قائمة الوحدات'!$D$2:$D$41,MATCH($B488,'قائمة الوحدات'!$A$2:$A$41,0)),"")</f>
        <v>الإدارة العامة للتخطيط والتنظيم العسكري</v>
      </c>
      <c r="F488" s="14" t="str">
        <f>IFERROR(INDEX('قائمة الوحدات'!$F$2:$F$41,MATCH($B488,'قائمة الوحدات'!$A$2:$A$41,0)),"")</f>
        <v>الإدارة العامة للتخطيط والتنظيم العسكري</v>
      </c>
      <c r="G488" s="16" t="s">
        <v>43</v>
      </c>
      <c r="H488" s="14" t="str">
        <f>IFERROR(INDEX(المرجع!$A$2:$A$19,MATCH($G488,المرجع!$B$2:$B$19,0)),"")</f>
        <v>التصميم</v>
      </c>
      <c r="I488" s="16" t="s">
        <v>45</v>
      </c>
      <c r="J488" s="14" t="str">
        <f>IFERROR(INDEX(المرجع!$D$2:$D$19,MATCH($I488,المرجع!$E$2:$E$19,0)),"")</f>
        <v>الدور</v>
      </c>
      <c r="K488" s="15">
        <f>IFERROR(INDEX(المرجع!$F$2:$F$19,MATCH($I488,المرجع!$E$2:$E$19,0)),"")</f>
        <v>1</v>
      </c>
      <c r="L488" s="15">
        <f>SUMIFS(المرجع!$H$2:$H$19,المرجع!$B$2:$B$19,$G488,المرجع!$E$2:$E$19,$I488)</f>
        <v>1</v>
      </c>
      <c r="M488" s="15">
        <f>COUNTIFS('المرتبطة بسمو الوزير'!$B$2:$B$151,$B488,'المرتبطة بسمو الوزير'!$G$2:$G$151,$G488,'المرتبطة بسمو الوزير'!$I$2:$I$151,$I488,'المرتبطة بسمو الوزير'!$M$2:$M$151,"&lt;&gt;")+COUNTIFS('الشؤون التنفيذية'!$B$2:$B$421,$B488,'الشؤون التنفيذية'!$G$2:$G$421,$G488,'الشؤون التنفيذية'!$I$2:$I$421,$I488,'الشؤون التنفيذية'!$N$2:$N$421,"&lt;&gt;")+COUNTIFS('الجهاز العسكري'!$B$2:$B$631,$B488,'الجهاز العسكري'!$G$2:$G$631,$G488,'الجهاز العسكري'!$I$2:$I$631,$I488,'الجهاز العسكري'!$M$2:$M$631,"&lt;&gt;")</f>
        <v>1</v>
      </c>
      <c r="N488" s="19">
        <f>IF($L488=0,0,ROUND((SUMIFS('المرتبطة بسمو الوزير'!$M$2:$M$151,'المرتبطة بسمو الوزير'!$B$2:$B$151,$B488,'المرتبطة بسمو الوزير'!$G$2:$G$151,$G488,'المرتبطة بسمو الوزير'!$I$2:$I$151,$I488)+SUMIFS('الشؤون التنفيذية'!$N$2:$N$421,'الشؤون التنفيذية'!$B$2:$B$421,$B488,'الشؤون التنفيذية'!$G$2:$G$421,$G488,'الشؤون التنفيذية'!$I$2:$I$421,$I488)+SUMIFS('الجهاز العسكري'!$M$2:$M$631,'الجهاز العسكري'!$B$2:$B$631,$B488,'الجهاز العسكري'!$G$2:$G$631,$G488,'الجهاز العسكري'!$I$2:$I$631,$I488))/$L488,0))</f>
        <v>80</v>
      </c>
      <c r="O488" s="18"/>
      <c r="P488" s="15">
        <f>SUMIFS(المرجع!$G$2:$G$19,المرجع!$B$2:$B$19,$G488,المرجع!$E$2:$E$19,$I488)</f>
        <v>25</v>
      </c>
      <c r="Q488" s="20">
        <f t="shared" si="8"/>
        <v>20</v>
      </c>
      <c r="R488" s="21" t="str">
        <f>IF($N488&gt;المرجع!$K$3,"متقدم",IF($N488&lt;=المرجع!$K$2,"أولي","جزئي"))</f>
        <v>متقدم</v>
      </c>
    </row>
    <row r="489" spans="1:18">
      <c r="A489" s="16" t="s">
        <v>1929</v>
      </c>
      <c r="B489" s="16" t="s">
        <v>206</v>
      </c>
      <c r="C489" s="15" t="str">
        <f>IFERROR(INDEX('قائمة الوحدات'!$B$2:$B$41,MATCH($B489,'قائمة الوحدات'!$A$2:$A$41,0)),"")</f>
        <v>MIL</v>
      </c>
      <c r="D489" s="14" t="str">
        <f>IFERROR(INDEX('قائمة الوحدات'!$C$2:$C$41,MATCH($B489,'قائمة الوحدات'!$A$2:$A$41,0)),"")</f>
        <v>الجهاز العسكري</v>
      </c>
      <c r="E489" s="14" t="str">
        <f>IFERROR(INDEX('قائمة الوحدات'!$D$2:$D$41,MATCH($B489,'قائمة الوحدات'!$A$2:$A$41,0)),"")</f>
        <v>الإدارة العامة للتخطيط والتنظيم العسكري</v>
      </c>
      <c r="F489" s="14" t="str">
        <f>IFERROR(INDEX('قائمة الوحدات'!$F$2:$F$41,MATCH($B489,'قائمة الوحدات'!$A$2:$A$41,0)),"")</f>
        <v>الإدارة العامة للتخطيط والتنظيم العسكري</v>
      </c>
      <c r="G489" s="16" t="s">
        <v>43</v>
      </c>
      <c r="H489" s="14" t="str">
        <f>IFERROR(INDEX(المرجع!$A$2:$A$19,MATCH($G489,المرجع!$B$2:$B$19,0)),"")</f>
        <v>التصميم</v>
      </c>
      <c r="I489" s="16" t="s">
        <v>48</v>
      </c>
      <c r="J489" s="14" t="str">
        <f>IFERROR(INDEX(المرجع!$D$2:$D$19,MATCH($I489,المرجع!$E$2:$E$19,0)),"")</f>
        <v>الأهداف ومؤشرات الأداء</v>
      </c>
      <c r="K489" s="15">
        <f>IFERROR(INDEX(المرجع!$F$2:$F$19,MATCH($I489,المرجع!$E$2:$E$19,0)),"")</f>
        <v>2</v>
      </c>
      <c r="L489" s="15">
        <f>SUMIFS(المرجع!$H$2:$H$19,المرجع!$B$2:$B$19,$G489,المرجع!$E$2:$E$19,$I489)</f>
        <v>2</v>
      </c>
      <c r="M489" s="15">
        <f>COUNTIFS('المرتبطة بسمو الوزير'!$B$2:$B$151,$B489,'المرتبطة بسمو الوزير'!$G$2:$G$151,$G489,'المرتبطة بسمو الوزير'!$I$2:$I$151,$I489,'المرتبطة بسمو الوزير'!$M$2:$M$151,"&lt;&gt;")+COUNTIFS('الشؤون التنفيذية'!$B$2:$B$421,$B489,'الشؤون التنفيذية'!$G$2:$G$421,$G489,'الشؤون التنفيذية'!$I$2:$I$421,$I489,'الشؤون التنفيذية'!$N$2:$N$421,"&lt;&gt;")+COUNTIFS('الجهاز العسكري'!$B$2:$B$631,$B489,'الجهاز العسكري'!$G$2:$G$631,$G489,'الجهاز العسكري'!$I$2:$I$631,$I489,'الجهاز العسكري'!$M$2:$M$631,"&lt;&gt;")</f>
        <v>2</v>
      </c>
      <c r="N489" s="19">
        <f>IF($L489=0,0,ROUND((SUMIFS('المرتبطة بسمو الوزير'!$M$2:$M$151,'المرتبطة بسمو الوزير'!$B$2:$B$151,$B489,'المرتبطة بسمو الوزير'!$G$2:$G$151,$G489,'المرتبطة بسمو الوزير'!$I$2:$I$151,$I489)+SUMIFS('الشؤون التنفيذية'!$N$2:$N$421,'الشؤون التنفيذية'!$B$2:$B$421,$B489,'الشؤون التنفيذية'!$G$2:$G$421,$G489,'الشؤون التنفيذية'!$I$2:$I$421,$I489)+SUMIFS('الجهاز العسكري'!$M$2:$M$631,'الجهاز العسكري'!$B$2:$B$631,$B489,'الجهاز العسكري'!$G$2:$G$631,$G489,'الجهاز العسكري'!$I$2:$I$631,$I489))/$L489,0))</f>
        <v>75</v>
      </c>
      <c r="O489" s="18"/>
      <c r="P489" s="15">
        <f>SUMIFS(المرجع!$G$2:$G$19,المرجع!$B$2:$B$19,$G489,المرجع!$E$2:$E$19,$I489)</f>
        <v>15</v>
      </c>
      <c r="Q489" s="20">
        <f t="shared" si="8"/>
        <v>11.25</v>
      </c>
      <c r="R489" s="21" t="str">
        <f>IF($N489&gt;المرجع!$K$3,"متقدم",IF($N489&lt;=المرجع!$K$2,"أولي","جزئي"))</f>
        <v>متقدم</v>
      </c>
    </row>
    <row r="490" spans="1:18">
      <c r="A490" s="16" t="s">
        <v>1930</v>
      </c>
      <c r="B490" s="16" t="s">
        <v>206</v>
      </c>
      <c r="C490" s="15" t="str">
        <f>IFERROR(INDEX('قائمة الوحدات'!$B$2:$B$41,MATCH($B490,'قائمة الوحدات'!$A$2:$A$41,0)),"")</f>
        <v>MIL</v>
      </c>
      <c r="D490" s="14" t="str">
        <f>IFERROR(INDEX('قائمة الوحدات'!$C$2:$C$41,MATCH($B490,'قائمة الوحدات'!$A$2:$A$41,0)),"")</f>
        <v>الجهاز العسكري</v>
      </c>
      <c r="E490" s="14" t="str">
        <f>IFERROR(INDEX('قائمة الوحدات'!$D$2:$D$41,MATCH($B490,'قائمة الوحدات'!$A$2:$A$41,0)),"")</f>
        <v>الإدارة العامة للتخطيط والتنظيم العسكري</v>
      </c>
      <c r="F490" s="14" t="str">
        <f>IFERROR(INDEX('قائمة الوحدات'!$F$2:$F$41,MATCH($B490,'قائمة الوحدات'!$A$2:$A$41,0)),"")</f>
        <v>الإدارة العامة للتخطيط والتنظيم العسكري</v>
      </c>
      <c r="G490" s="16" t="s">
        <v>43</v>
      </c>
      <c r="H490" s="14" t="str">
        <f>IFERROR(INDEX(المرجع!$A$2:$A$19,MATCH($G490,المرجع!$B$2:$B$19,0)),"")</f>
        <v>التصميم</v>
      </c>
      <c r="I490" s="16" t="s">
        <v>51</v>
      </c>
      <c r="J490" s="14" t="str">
        <f>IFERROR(INDEX(المرجع!$D$2:$D$19,MATCH($I490,المرجع!$E$2:$E$19,0)),"")</f>
        <v>الحوكمة</v>
      </c>
      <c r="K490" s="15">
        <f>IFERROR(INDEX(المرجع!$F$2:$F$19,MATCH($I490,المرجع!$E$2:$E$19,0)),"")</f>
        <v>3</v>
      </c>
      <c r="L490" s="15">
        <f>SUMIFS(المرجع!$H$2:$H$19,المرجع!$B$2:$B$19,$G490,المرجع!$E$2:$E$19,$I490)</f>
        <v>1</v>
      </c>
      <c r="M490" s="15">
        <f>COUNTIFS('المرتبطة بسمو الوزير'!$B$2:$B$151,$B490,'المرتبطة بسمو الوزير'!$G$2:$G$151,$G490,'المرتبطة بسمو الوزير'!$I$2:$I$151,$I490,'المرتبطة بسمو الوزير'!$M$2:$M$151,"&lt;&gt;")+COUNTIFS('الشؤون التنفيذية'!$B$2:$B$421,$B490,'الشؤون التنفيذية'!$G$2:$G$421,$G490,'الشؤون التنفيذية'!$I$2:$I$421,$I490,'الشؤون التنفيذية'!$N$2:$N$421,"&lt;&gt;")+COUNTIFS('الجهاز العسكري'!$B$2:$B$631,$B490,'الجهاز العسكري'!$G$2:$G$631,$G490,'الجهاز العسكري'!$I$2:$I$631,$I490,'الجهاز العسكري'!$M$2:$M$631,"&lt;&gt;")</f>
        <v>1</v>
      </c>
      <c r="N490" s="19">
        <f>IF($L490=0,0,ROUND((SUMIFS('المرتبطة بسمو الوزير'!$M$2:$M$151,'المرتبطة بسمو الوزير'!$B$2:$B$151,$B490,'المرتبطة بسمو الوزير'!$G$2:$G$151,$G490,'المرتبطة بسمو الوزير'!$I$2:$I$151,$I490)+SUMIFS('الشؤون التنفيذية'!$N$2:$N$421,'الشؤون التنفيذية'!$B$2:$B$421,$B490,'الشؤون التنفيذية'!$G$2:$G$421,$G490,'الشؤون التنفيذية'!$I$2:$I$421,$I490)+SUMIFS('الجهاز العسكري'!$M$2:$M$631,'الجهاز العسكري'!$B$2:$B$631,$B490,'الجهاز العسكري'!$G$2:$G$631,$G490,'الجهاز العسكري'!$I$2:$I$631,$I490))/$L490,0))</f>
        <v>80</v>
      </c>
      <c r="O490" s="18"/>
      <c r="P490" s="15">
        <f>SUMIFS(المرجع!$G$2:$G$19,المرجع!$B$2:$B$19,$G490,المرجع!$E$2:$E$19,$I490)</f>
        <v>15</v>
      </c>
      <c r="Q490" s="20">
        <f t="shared" si="8"/>
        <v>12</v>
      </c>
      <c r="R490" s="21" t="str">
        <f>IF($N490&gt;المرجع!$K$3,"متقدم",IF($N490&lt;=المرجع!$K$2,"أولي","جزئي"))</f>
        <v>متقدم</v>
      </c>
    </row>
    <row r="491" spans="1:18">
      <c r="A491" s="16" t="s">
        <v>1931</v>
      </c>
      <c r="B491" s="16" t="s">
        <v>206</v>
      </c>
      <c r="C491" s="15" t="str">
        <f>IFERROR(INDEX('قائمة الوحدات'!$B$2:$B$41,MATCH($B491,'قائمة الوحدات'!$A$2:$A$41,0)),"")</f>
        <v>MIL</v>
      </c>
      <c r="D491" s="14" t="str">
        <f>IFERROR(INDEX('قائمة الوحدات'!$C$2:$C$41,MATCH($B491,'قائمة الوحدات'!$A$2:$A$41,0)),"")</f>
        <v>الجهاز العسكري</v>
      </c>
      <c r="E491" s="14" t="str">
        <f>IFERROR(INDEX('قائمة الوحدات'!$D$2:$D$41,MATCH($B491,'قائمة الوحدات'!$A$2:$A$41,0)),"")</f>
        <v>الإدارة العامة للتخطيط والتنظيم العسكري</v>
      </c>
      <c r="F491" s="14" t="str">
        <f>IFERROR(INDEX('قائمة الوحدات'!$F$2:$F$41,MATCH($B491,'قائمة الوحدات'!$A$2:$A$41,0)),"")</f>
        <v>الإدارة العامة للتخطيط والتنظيم العسكري</v>
      </c>
      <c r="G491" s="16" t="s">
        <v>43</v>
      </c>
      <c r="H491" s="14" t="str">
        <f>IFERROR(INDEX(المرجع!$A$2:$A$19,MATCH($G491,المرجع!$B$2:$B$19,0)),"")</f>
        <v>التصميم</v>
      </c>
      <c r="I491" s="16" t="s">
        <v>54</v>
      </c>
      <c r="J491" s="14" t="str">
        <f>IFERROR(INDEX(المرجع!$D$2:$D$19,MATCH($I491,المرجع!$E$2:$E$19,0)),"")</f>
        <v>التنظيم</v>
      </c>
      <c r="K491" s="15">
        <f>IFERROR(INDEX(المرجع!$F$2:$F$19,MATCH($I491,المرجع!$E$2:$E$19,0)),"")</f>
        <v>4</v>
      </c>
      <c r="L491" s="15">
        <f>SUMIFS(المرجع!$H$2:$H$19,المرجع!$B$2:$B$19,$G491,المرجع!$E$2:$E$19,$I491)</f>
        <v>1</v>
      </c>
      <c r="M491" s="15">
        <f>COUNTIFS('المرتبطة بسمو الوزير'!$B$2:$B$151,$B491,'المرتبطة بسمو الوزير'!$G$2:$G$151,$G491,'المرتبطة بسمو الوزير'!$I$2:$I$151,$I491,'المرتبطة بسمو الوزير'!$M$2:$M$151,"&lt;&gt;")+COUNTIFS('الشؤون التنفيذية'!$B$2:$B$421,$B491,'الشؤون التنفيذية'!$G$2:$G$421,$G491,'الشؤون التنفيذية'!$I$2:$I$421,$I491,'الشؤون التنفيذية'!$N$2:$N$421,"&lt;&gt;")+COUNTIFS('الجهاز العسكري'!$B$2:$B$631,$B491,'الجهاز العسكري'!$G$2:$G$631,$G491,'الجهاز العسكري'!$I$2:$I$631,$I491,'الجهاز العسكري'!$M$2:$M$631,"&lt;&gt;")</f>
        <v>1</v>
      </c>
      <c r="N491" s="19">
        <f>IF($L491=0,0,ROUND((SUMIFS('المرتبطة بسمو الوزير'!$M$2:$M$151,'المرتبطة بسمو الوزير'!$B$2:$B$151,$B491,'المرتبطة بسمو الوزير'!$G$2:$G$151,$G491,'المرتبطة بسمو الوزير'!$I$2:$I$151,$I491)+SUMIFS('الشؤون التنفيذية'!$N$2:$N$421,'الشؤون التنفيذية'!$B$2:$B$421,$B491,'الشؤون التنفيذية'!$G$2:$G$421,$G491,'الشؤون التنفيذية'!$I$2:$I$421,$I491)+SUMIFS('الجهاز العسكري'!$M$2:$M$631,'الجهاز العسكري'!$B$2:$B$631,$B491,'الجهاز العسكري'!$G$2:$G$631,$G491,'الجهاز العسكري'!$I$2:$I$631,$I491))/$L491,0))</f>
        <v>68</v>
      </c>
      <c r="O491" s="18"/>
      <c r="P491" s="15">
        <f>SUMIFS(المرجع!$G$2:$G$19,المرجع!$B$2:$B$19,$G491,المرجع!$E$2:$E$19,$I491)</f>
        <v>20</v>
      </c>
      <c r="Q491" s="20">
        <f t="shared" si="8"/>
        <v>13.6</v>
      </c>
      <c r="R491" s="21" t="str">
        <f>IF($N491&gt;المرجع!$K$3,"متقدم",IF($N491&lt;=المرجع!$K$2,"أولي","جزئي"))</f>
        <v>جزئي</v>
      </c>
    </row>
    <row r="492" spans="1:18">
      <c r="A492" s="16" t="s">
        <v>1932</v>
      </c>
      <c r="B492" s="16" t="s">
        <v>206</v>
      </c>
      <c r="C492" s="15" t="str">
        <f>IFERROR(INDEX('قائمة الوحدات'!$B$2:$B$41,MATCH($B492,'قائمة الوحدات'!$A$2:$A$41,0)),"")</f>
        <v>MIL</v>
      </c>
      <c r="D492" s="14" t="str">
        <f>IFERROR(INDEX('قائمة الوحدات'!$C$2:$C$41,MATCH($B492,'قائمة الوحدات'!$A$2:$A$41,0)),"")</f>
        <v>الجهاز العسكري</v>
      </c>
      <c r="E492" s="14" t="str">
        <f>IFERROR(INDEX('قائمة الوحدات'!$D$2:$D$41,MATCH($B492,'قائمة الوحدات'!$A$2:$A$41,0)),"")</f>
        <v>الإدارة العامة للتخطيط والتنظيم العسكري</v>
      </c>
      <c r="F492" s="14" t="str">
        <f>IFERROR(INDEX('قائمة الوحدات'!$F$2:$F$41,MATCH($B492,'قائمة الوحدات'!$A$2:$A$41,0)),"")</f>
        <v>الإدارة العامة للتخطيط والتنظيم العسكري</v>
      </c>
      <c r="G492" s="16" t="s">
        <v>43</v>
      </c>
      <c r="H492" s="14" t="str">
        <f>IFERROR(INDEX(المرجع!$A$2:$A$19,MATCH($G492,المرجع!$B$2:$B$19,0)),"")</f>
        <v>التصميم</v>
      </c>
      <c r="I492" s="16" t="s">
        <v>56</v>
      </c>
      <c r="J492" s="14" t="str">
        <f>IFERROR(INDEX(المرجع!$D$2:$D$19,MATCH($I492,المرجع!$E$2:$E$19,0)),"")</f>
        <v>الموارد</v>
      </c>
      <c r="K492" s="15">
        <f>IFERROR(INDEX(المرجع!$F$2:$F$19,MATCH($I492,المرجع!$E$2:$E$19,0)),"")</f>
        <v>5</v>
      </c>
      <c r="L492" s="15">
        <f>SUMIFS(المرجع!$H$2:$H$19,المرجع!$B$2:$B$19,$G492,المرجع!$E$2:$E$19,$I492)</f>
        <v>1</v>
      </c>
      <c r="M492" s="15">
        <f>COUNTIFS('المرتبطة بسمو الوزير'!$B$2:$B$151,$B492,'المرتبطة بسمو الوزير'!$G$2:$G$151,$G492,'المرتبطة بسمو الوزير'!$I$2:$I$151,$I492,'المرتبطة بسمو الوزير'!$M$2:$M$151,"&lt;&gt;")+COUNTIFS('الشؤون التنفيذية'!$B$2:$B$421,$B492,'الشؤون التنفيذية'!$G$2:$G$421,$G492,'الشؤون التنفيذية'!$I$2:$I$421,$I492,'الشؤون التنفيذية'!$N$2:$N$421,"&lt;&gt;")+COUNTIFS('الجهاز العسكري'!$B$2:$B$631,$B492,'الجهاز العسكري'!$G$2:$G$631,$G492,'الجهاز العسكري'!$I$2:$I$631,$I492,'الجهاز العسكري'!$M$2:$M$631,"&lt;&gt;")</f>
        <v>1</v>
      </c>
      <c r="N492" s="19">
        <f>IF($L492=0,0,ROUND((SUMIFS('المرتبطة بسمو الوزير'!$M$2:$M$151,'المرتبطة بسمو الوزير'!$B$2:$B$151,$B492,'المرتبطة بسمو الوزير'!$G$2:$G$151,$G492,'المرتبطة بسمو الوزير'!$I$2:$I$151,$I492)+SUMIFS('الشؤون التنفيذية'!$N$2:$N$421,'الشؤون التنفيذية'!$B$2:$B$421,$B492,'الشؤون التنفيذية'!$G$2:$G$421,$G492,'الشؤون التنفيذية'!$I$2:$I$421,$I492)+SUMIFS('الجهاز العسكري'!$M$2:$M$631,'الجهاز العسكري'!$B$2:$B$631,$B492,'الجهاز العسكري'!$G$2:$G$631,$G492,'الجهاز العسكري'!$I$2:$I$631,$I492))/$L492,0))</f>
        <v>95</v>
      </c>
      <c r="O492" s="18"/>
      <c r="P492" s="15">
        <f>SUMIFS(المرجع!$G$2:$G$19,المرجع!$B$2:$B$19,$G492,المرجع!$E$2:$E$19,$I492)</f>
        <v>20</v>
      </c>
      <c r="Q492" s="20">
        <f t="shared" si="8"/>
        <v>19</v>
      </c>
      <c r="R492" s="21" t="str">
        <f>IF($N492&gt;المرجع!$K$3,"متقدم",IF($N492&lt;=المرجع!$K$2,"أولي","جزئي"))</f>
        <v>متقدم</v>
      </c>
    </row>
    <row r="493" spans="1:18">
      <c r="A493" s="16" t="s">
        <v>1933</v>
      </c>
      <c r="B493" s="16" t="s">
        <v>206</v>
      </c>
      <c r="C493" s="15" t="str">
        <f>IFERROR(INDEX('قائمة الوحدات'!$B$2:$B$41,MATCH($B493,'قائمة الوحدات'!$A$2:$A$41,0)),"")</f>
        <v>MIL</v>
      </c>
      <c r="D493" s="14" t="str">
        <f>IFERROR(INDEX('قائمة الوحدات'!$C$2:$C$41,MATCH($B493,'قائمة الوحدات'!$A$2:$A$41,0)),"")</f>
        <v>الجهاز العسكري</v>
      </c>
      <c r="E493" s="14" t="str">
        <f>IFERROR(INDEX('قائمة الوحدات'!$D$2:$D$41,MATCH($B493,'قائمة الوحدات'!$A$2:$A$41,0)),"")</f>
        <v>الإدارة العامة للتخطيط والتنظيم العسكري</v>
      </c>
      <c r="F493" s="14" t="str">
        <f>IFERROR(INDEX('قائمة الوحدات'!$F$2:$F$41,MATCH($B493,'قائمة الوحدات'!$A$2:$A$41,0)),"")</f>
        <v>الإدارة العامة للتخطيط والتنظيم العسكري</v>
      </c>
      <c r="G493" s="16" t="s">
        <v>43</v>
      </c>
      <c r="H493" s="14" t="str">
        <f>IFERROR(INDEX(المرجع!$A$2:$A$19,MATCH($G493,المرجع!$B$2:$B$19,0)),"")</f>
        <v>التصميم</v>
      </c>
      <c r="I493" s="16" t="s">
        <v>59</v>
      </c>
      <c r="J493" s="14" t="str">
        <f>IFERROR(INDEX(المرجع!$D$2:$D$19,MATCH($I493,المرجع!$E$2:$E$19,0)),"")</f>
        <v>الإجراءات</v>
      </c>
      <c r="K493" s="15">
        <f>IFERROR(INDEX(المرجع!$F$2:$F$19,MATCH($I493,المرجع!$E$2:$E$19,0)),"")</f>
        <v>6</v>
      </c>
      <c r="L493" s="15">
        <f>SUMIFS(المرجع!$H$2:$H$19,المرجع!$B$2:$B$19,$G493,المرجع!$E$2:$E$19,$I493)</f>
        <v>1</v>
      </c>
      <c r="M493" s="15">
        <f>COUNTIFS('المرتبطة بسمو الوزير'!$B$2:$B$151,$B493,'المرتبطة بسمو الوزير'!$G$2:$G$151,$G493,'المرتبطة بسمو الوزير'!$I$2:$I$151,$I493,'المرتبطة بسمو الوزير'!$M$2:$M$151,"&lt;&gt;")+COUNTIFS('الشؤون التنفيذية'!$B$2:$B$421,$B493,'الشؤون التنفيذية'!$G$2:$G$421,$G493,'الشؤون التنفيذية'!$I$2:$I$421,$I493,'الشؤون التنفيذية'!$N$2:$N$421,"&lt;&gt;")+COUNTIFS('الجهاز العسكري'!$B$2:$B$631,$B493,'الجهاز العسكري'!$G$2:$G$631,$G493,'الجهاز العسكري'!$I$2:$I$631,$I493,'الجهاز العسكري'!$M$2:$M$631,"&lt;&gt;")</f>
        <v>1</v>
      </c>
      <c r="N493" s="19">
        <f>IF($L493=0,0,ROUND((SUMIFS('المرتبطة بسمو الوزير'!$M$2:$M$151,'المرتبطة بسمو الوزير'!$B$2:$B$151,$B493,'المرتبطة بسمو الوزير'!$G$2:$G$151,$G493,'المرتبطة بسمو الوزير'!$I$2:$I$151,$I493)+SUMIFS('الشؤون التنفيذية'!$N$2:$N$421,'الشؤون التنفيذية'!$B$2:$B$421,$B493,'الشؤون التنفيذية'!$G$2:$G$421,$G493,'الشؤون التنفيذية'!$I$2:$I$421,$I493)+SUMIFS('الجهاز العسكري'!$M$2:$M$631,'الجهاز العسكري'!$B$2:$B$631,$B493,'الجهاز العسكري'!$G$2:$G$631,$G493,'الجهاز العسكري'!$I$2:$I$631,$I493))/$L493,0))</f>
        <v>88</v>
      </c>
      <c r="O493" s="18"/>
      <c r="P493" s="15">
        <f>SUMIFS(المرجع!$G$2:$G$19,المرجع!$B$2:$B$19,$G493,المرجع!$E$2:$E$19,$I493)</f>
        <v>5</v>
      </c>
      <c r="Q493" s="20">
        <f t="shared" si="8"/>
        <v>4.4000000000000004</v>
      </c>
      <c r="R493" s="21" t="str">
        <f>IF($N493&gt;المرجع!$K$3,"متقدم",IF($N493&lt;=المرجع!$K$2,"أولي","جزئي"))</f>
        <v>متقدم</v>
      </c>
    </row>
    <row r="494" spans="1:18">
      <c r="A494" s="16" t="s">
        <v>1934</v>
      </c>
      <c r="B494" s="16" t="s">
        <v>206</v>
      </c>
      <c r="C494" s="15" t="str">
        <f>IFERROR(INDEX('قائمة الوحدات'!$B$2:$B$41,MATCH($B494,'قائمة الوحدات'!$A$2:$A$41,0)),"")</f>
        <v>MIL</v>
      </c>
      <c r="D494" s="14" t="str">
        <f>IFERROR(INDEX('قائمة الوحدات'!$C$2:$C$41,MATCH($B494,'قائمة الوحدات'!$A$2:$A$41,0)),"")</f>
        <v>الجهاز العسكري</v>
      </c>
      <c r="E494" s="14" t="str">
        <f>IFERROR(INDEX('قائمة الوحدات'!$D$2:$D$41,MATCH($B494,'قائمة الوحدات'!$A$2:$A$41,0)),"")</f>
        <v>الإدارة العامة للتخطيط والتنظيم العسكري</v>
      </c>
      <c r="F494" s="14" t="str">
        <f>IFERROR(INDEX('قائمة الوحدات'!$F$2:$F$41,MATCH($B494,'قائمة الوحدات'!$A$2:$A$41,0)),"")</f>
        <v>الإدارة العامة للتخطيط والتنظيم العسكري</v>
      </c>
      <c r="G494" s="16" t="s">
        <v>61</v>
      </c>
      <c r="H494" s="14" t="str">
        <f>IFERROR(INDEX(المرجع!$A$2:$A$19,MATCH($G494,المرجع!$B$2:$B$19,0)),"")</f>
        <v>البناء المؤسسي</v>
      </c>
      <c r="I494" s="16" t="s">
        <v>45</v>
      </c>
      <c r="J494" s="14" t="str">
        <f>IFERROR(INDEX(المرجع!$D$2:$D$19,MATCH($I494,المرجع!$E$2:$E$19,0)),"")</f>
        <v>الدور</v>
      </c>
      <c r="K494" s="15">
        <f>IFERROR(INDEX(المرجع!$F$2:$F$19,MATCH($I494,المرجع!$E$2:$E$19,0)),"")</f>
        <v>1</v>
      </c>
      <c r="L494" s="15">
        <f>SUMIFS(المرجع!$H$2:$H$19,المرجع!$B$2:$B$19,$G494,المرجع!$E$2:$E$19,$I494)</f>
        <v>1</v>
      </c>
      <c r="M494" s="15">
        <f>COUNTIFS('المرتبطة بسمو الوزير'!$B$2:$B$151,$B494,'المرتبطة بسمو الوزير'!$G$2:$G$151,$G494,'المرتبطة بسمو الوزير'!$I$2:$I$151,$I494,'المرتبطة بسمو الوزير'!$M$2:$M$151,"&lt;&gt;")+COUNTIFS('الشؤون التنفيذية'!$B$2:$B$421,$B494,'الشؤون التنفيذية'!$G$2:$G$421,$G494,'الشؤون التنفيذية'!$I$2:$I$421,$I494,'الشؤون التنفيذية'!$N$2:$N$421,"&lt;&gt;")+COUNTIFS('الجهاز العسكري'!$B$2:$B$631,$B494,'الجهاز العسكري'!$G$2:$G$631,$G494,'الجهاز العسكري'!$I$2:$I$631,$I494,'الجهاز العسكري'!$M$2:$M$631,"&lt;&gt;")</f>
        <v>1</v>
      </c>
      <c r="N494" s="19">
        <f>IF($L494=0,0,ROUND((SUMIFS('المرتبطة بسمو الوزير'!$M$2:$M$151,'المرتبطة بسمو الوزير'!$B$2:$B$151,$B494,'المرتبطة بسمو الوزير'!$G$2:$G$151,$G494,'المرتبطة بسمو الوزير'!$I$2:$I$151,$I494)+SUMIFS('الشؤون التنفيذية'!$N$2:$N$421,'الشؤون التنفيذية'!$B$2:$B$421,$B494,'الشؤون التنفيذية'!$G$2:$G$421,$G494,'الشؤون التنفيذية'!$I$2:$I$421,$I494)+SUMIFS('الجهاز العسكري'!$M$2:$M$631,'الجهاز العسكري'!$B$2:$B$631,$B494,'الجهاز العسكري'!$G$2:$G$631,$G494,'الجهاز العسكري'!$I$2:$I$631,$I494))/$L494,0))</f>
        <v>48</v>
      </c>
      <c r="O494" s="18"/>
      <c r="P494" s="15">
        <f>SUMIFS(المرجع!$G$2:$G$19,المرجع!$B$2:$B$19,$G494,المرجع!$E$2:$E$19,$I494)</f>
        <v>15</v>
      </c>
      <c r="Q494" s="20">
        <f t="shared" si="8"/>
        <v>7.2</v>
      </c>
      <c r="R494" s="21" t="str">
        <f>IF($N494&gt;المرجع!$K$3,"متقدم",IF($N494&lt;=المرجع!$K$2,"أولي","جزئي"))</f>
        <v>جزئي</v>
      </c>
    </row>
    <row r="495" spans="1:18">
      <c r="A495" s="16" t="s">
        <v>1935</v>
      </c>
      <c r="B495" s="16" t="s">
        <v>206</v>
      </c>
      <c r="C495" s="15" t="str">
        <f>IFERROR(INDEX('قائمة الوحدات'!$B$2:$B$41,MATCH($B495,'قائمة الوحدات'!$A$2:$A$41,0)),"")</f>
        <v>MIL</v>
      </c>
      <c r="D495" s="14" t="str">
        <f>IFERROR(INDEX('قائمة الوحدات'!$C$2:$C$41,MATCH($B495,'قائمة الوحدات'!$A$2:$A$41,0)),"")</f>
        <v>الجهاز العسكري</v>
      </c>
      <c r="E495" s="14" t="str">
        <f>IFERROR(INDEX('قائمة الوحدات'!$D$2:$D$41,MATCH($B495,'قائمة الوحدات'!$A$2:$A$41,0)),"")</f>
        <v>الإدارة العامة للتخطيط والتنظيم العسكري</v>
      </c>
      <c r="F495" s="14" t="str">
        <f>IFERROR(INDEX('قائمة الوحدات'!$F$2:$F$41,MATCH($B495,'قائمة الوحدات'!$A$2:$A$41,0)),"")</f>
        <v>الإدارة العامة للتخطيط والتنظيم العسكري</v>
      </c>
      <c r="G495" s="16" t="s">
        <v>61</v>
      </c>
      <c r="H495" s="14" t="str">
        <f>IFERROR(INDEX(المرجع!$A$2:$A$19,MATCH($G495,المرجع!$B$2:$B$19,0)),"")</f>
        <v>البناء المؤسسي</v>
      </c>
      <c r="I495" s="16" t="s">
        <v>48</v>
      </c>
      <c r="J495" s="14" t="str">
        <f>IFERROR(INDEX(المرجع!$D$2:$D$19,MATCH($I495,المرجع!$E$2:$E$19,0)),"")</f>
        <v>الأهداف ومؤشرات الأداء</v>
      </c>
      <c r="K495" s="15">
        <f>IFERROR(INDEX(المرجع!$F$2:$F$19,MATCH($I495,المرجع!$E$2:$E$19,0)),"")</f>
        <v>2</v>
      </c>
      <c r="L495" s="15">
        <f>SUMIFS(المرجع!$H$2:$H$19,المرجع!$B$2:$B$19,$G495,المرجع!$E$2:$E$19,$I495)</f>
        <v>2</v>
      </c>
      <c r="M495" s="15">
        <f>COUNTIFS('المرتبطة بسمو الوزير'!$B$2:$B$151,$B495,'المرتبطة بسمو الوزير'!$G$2:$G$151,$G495,'المرتبطة بسمو الوزير'!$I$2:$I$151,$I495,'المرتبطة بسمو الوزير'!$M$2:$M$151,"&lt;&gt;")+COUNTIFS('الشؤون التنفيذية'!$B$2:$B$421,$B495,'الشؤون التنفيذية'!$G$2:$G$421,$G495,'الشؤون التنفيذية'!$I$2:$I$421,$I495,'الشؤون التنفيذية'!$N$2:$N$421,"&lt;&gt;")+COUNTIFS('الجهاز العسكري'!$B$2:$B$631,$B495,'الجهاز العسكري'!$G$2:$G$631,$G495,'الجهاز العسكري'!$I$2:$I$631,$I495,'الجهاز العسكري'!$M$2:$M$631,"&lt;&gt;")</f>
        <v>2</v>
      </c>
      <c r="N495" s="19">
        <f>IF($L495=0,0,ROUND((SUMIFS('المرتبطة بسمو الوزير'!$M$2:$M$151,'المرتبطة بسمو الوزير'!$B$2:$B$151,$B495,'المرتبطة بسمو الوزير'!$G$2:$G$151,$G495,'المرتبطة بسمو الوزير'!$I$2:$I$151,$I495)+SUMIFS('الشؤون التنفيذية'!$N$2:$N$421,'الشؤون التنفيذية'!$B$2:$B$421,$B495,'الشؤون التنفيذية'!$G$2:$G$421,$G495,'الشؤون التنفيذية'!$I$2:$I$421,$I495)+SUMIFS('الجهاز العسكري'!$M$2:$M$631,'الجهاز العسكري'!$B$2:$B$631,$B495,'الجهاز العسكري'!$G$2:$G$631,$G495,'الجهاز العسكري'!$I$2:$I$631,$I495))/$L495,0))</f>
        <v>88</v>
      </c>
      <c r="O495" s="18"/>
      <c r="P495" s="15">
        <f>SUMIFS(المرجع!$G$2:$G$19,المرجع!$B$2:$B$19,$G495,المرجع!$E$2:$E$19,$I495)</f>
        <v>15</v>
      </c>
      <c r="Q495" s="20">
        <f t="shared" si="8"/>
        <v>13.2</v>
      </c>
      <c r="R495" s="21" t="str">
        <f>IF($N495&gt;المرجع!$K$3,"متقدم",IF($N495&lt;=المرجع!$K$2,"أولي","جزئي"))</f>
        <v>متقدم</v>
      </c>
    </row>
    <row r="496" spans="1:18">
      <c r="A496" s="16" t="s">
        <v>1936</v>
      </c>
      <c r="B496" s="16" t="s">
        <v>206</v>
      </c>
      <c r="C496" s="15" t="str">
        <f>IFERROR(INDEX('قائمة الوحدات'!$B$2:$B$41,MATCH($B496,'قائمة الوحدات'!$A$2:$A$41,0)),"")</f>
        <v>MIL</v>
      </c>
      <c r="D496" s="14" t="str">
        <f>IFERROR(INDEX('قائمة الوحدات'!$C$2:$C$41,MATCH($B496,'قائمة الوحدات'!$A$2:$A$41,0)),"")</f>
        <v>الجهاز العسكري</v>
      </c>
      <c r="E496" s="14" t="str">
        <f>IFERROR(INDEX('قائمة الوحدات'!$D$2:$D$41,MATCH($B496,'قائمة الوحدات'!$A$2:$A$41,0)),"")</f>
        <v>الإدارة العامة للتخطيط والتنظيم العسكري</v>
      </c>
      <c r="F496" s="14" t="str">
        <f>IFERROR(INDEX('قائمة الوحدات'!$F$2:$F$41,MATCH($B496,'قائمة الوحدات'!$A$2:$A$41,0)),"")</f>
        <v>الإدارة العامة للتخطيط والتنظيم العسكري</v>
      </c>
      <c r="G496" s="16" t="s">
        <v>61</v>
      </c>
      <c r="H496" s="14" t="str">
        <f>IFERROR(INDEX(المرجع!$A$2:$A$19,MATCH($G496,المرجع!$B$2:$B$19,0)),"")</f>
        <v>البناء المؤسسي</v>
      </c>
      <c r="I496" s="16" t="s">
        <v>51</v>
      </c>
      <c r="J496" s="14" t="str">
        <f>IFERROR(INDEX(المرجع!$D$2:$D$19,MATCH($I496,المرجع!$E$2:$E$19,0)),"")</f>
        <v>الحوكمة</v>
      </c>
      <c r="K496" s="15">
        <f>IFERROR(INDEX(المرجع!$F$2:$F$19,MATCH($I496,المرجع!$E$2:$E$19,0)),"")</f>
        <v>3</v>
      </c>
      <c r="L496" s="15">
        <f>SUMIFS(المرجع!$H$2:$H$19,المرجع!$B$2:$B$19,$G496,المرجع!$E$2:$E$19,$I496)</f>
        <v>3</v>
      </c>
      <c r="M496" s="15">
        <f>COUNTIFS('المرتبطة بسمو الوزير'!$B$2:$B$151,$B496,'المرتبطة بسمو الوزير'!$G$2:$G$151,$G496,'المرتبطة بسمو الوزير'!$I$2:$I$151,$I496,'المرتبطة بسمو الوزير'!$M$2:$M$151,"&lt;&gt;")+COUNTIFS('الشؤون التنفيذية'!$B$2:$B$421,$B496,'الشؤون التنفيذية'!$G$2:$G$421,$G496,'الشؤون التنفيذية'!$I$2:$I$421,$I496,'الشؤون التنفيذية'!$N$2:$N$421,"&lt;&gt;")+COUNTIFS('الجهاز العسكري'!$B$2:$B$631,$B496,'الجهاز العسكري'!$G$2:$G$631,$G496,'الجهاز العسكري'!$I$2:$I$631,$I496,'الجهاز العسكري'!$M$2:$M$631,"&lt;&gt;")</f>
        <v>3</v>
      </c>
      <c r="N496" s="19">
        <f>IF($L496=0,0,ROUND((SUMIFS('المرتبطة بسمو الوزير'!$M$2:$M$151,'المرتبطة بسمو الوزير'!$B$2:$B$151,$B496,'المرتبطة بسمو الوزير'!$G$2:$G$151,$G496,'المرتبطة بسمو الوزير'!$I$2:$I$151,$I496)+SUMIFS('الشؤون التنفيذية'!$N$2:$N$421,'الشؤون التنفيذية'!$B$2:$B$421,$B496,'الشؤون التنفيذية'!$G$2:$G$421,$G496,'الشؤون التنفيذية'!$I$2:$I$421,$I496)+SUMIFS('الجهاز العسكري'!$M$2:$M$631,'الجهاز العسكري'!$B$2:$B$631,$B496,'الجهاز العسكري'!$G$2:$G$631,$G496,'الجهاز العسكري'!$I$2:$I$631,$I496))/$L496,0))</f>
        <v>50</v>
      </c>
      <c r="O496" s="18"/>
      <c r="P496" s="15">
        <f>SUMIFS(المرجع!$G$2:$G$19,المرجع!$B$2:$B$19,$G496,المرجع!$E$2:$E$19,$I496)</f>
        <v>15</v>
      </c>
      <c r="Q496" s="20">
        <f t="shared" si="8"/>
        <v>7.5</v>
      </c>
      <c r="R496" s="21" t="str">
        <f>IF($N496&gt;المرجع!$K$3,"متقدم",IF($N496&lt;=المرجع!$K$2,"أولي","جزئي"))</f>
        <v>جزئي</v>
      </c>
    </row>
    <row r="497" spans="1:18">
      <c r="A497" s="16" t="s">
        <v>1937</v>
      </c>
      <c r="B497" s="16" t="s">
        <v>206</v>
      </c>
      <c r="C497" s="15" t="str">
        <f>IFERROR(INDEX('قائمة الوحدات'!$B$2:$B$41,MATCH($B497,'قائمة الوحدات'!$A$2:$A$41,0)),"")</f>
        <v>MIL</v>
      </c>
      <c r="D497" s="14" t="str">
        <f>IFERROR(INDEX('قائمة الوحدات'!$C$2:$C$41,MATCH($B497,'قائمة الوحدات'!$A$2:$A$41,0)),"")</f>
        <v>الجهاز العسكري</v>
      </c>
      <c r="E497" s="14" t="str">
        <f>IFERROR(INDEX('قائمة الوحدات'!$D$2:$D$41,MATCH($B497,'قائمة الوحدات'!$A$2:$A$41,0)),"")</f>
        <v>الإدارة العامة للتخطيط والتنظيم العسكري</v>
      </c>
      <c r="F497" s="14" t="str">
        <f>IFERROR(INDEX('قائمة الوحدات'!$F$2:$F$41,MATCH($B497,'قائمة الوحدات'!$A$2:$A$41,0)),"")</f>
        <v>الإدارة العامة للتخطيط والتنظيم العسكري</v>
      </c>
      <c r="G497" s="16" t="s">
        <v>61</v>
      </c>
      <c r="H497" s="14" t="str">
        <f>IFERROR(INDEX(المرجع!$A$2:$A$19,MATCH($G497,المرجع!$B$2:$B$19,0)),"")</f>
        <v>البناء المؤسسي</v>
      </c>
      <c r="I497" s="16" t="s">
        <v>54</v>
      </c>
      <c r="J497" s="14" t="str">
        <f>IFERROR(INDEX(المرجع!$D$2:$D$19,MATCH($I497,المرجع!$E$2:$E$19,0)),"")</f>
        <v>التنظيم</v>
      </c>
      <c r="K497" s="15">
        <f>IFERROR(INDEX(المرجع!$F$2:$F$19,MATCH($I497,المرجع!$E$2:$E$19,0)),"")</f>
        <v>4</v>
      </c>
      <c r="L497" s="15">
        <f>SUMIFS(المرجع!$H$2:$H$19,المرجع!$B$2:$B$19,$G497,المرجع!$E$2:$E$19,$I497)</f>
        <v>3</v>
      </c>
      <c r="M497" s="15">
        <f>COUNTIFS('المرتبطة بسمو الوزير'!$B$2:$B$151,$B497,'المرتبطة بسمو الوزير'!$G$2:$G$151,$G497,'المرتبطة بسمو الوزير'!$I$2:$I$151,$I497,'المرتبطة بسمو الوزير'!$M$2:$M$151,"&lt;&gt;")+COUNTIFS('الشؤون التنفيذية'!$B$2:$B$421,$B497,'الشؤون التنفيذية'!$G$2:$G$421,$G497,'الشؤون التنفيذية'!$I$2:$I$421,$I497,'الشؤون التنفيذية'!$N$2:$N$421,"&lt;&gt;")+COUNTIFS('الجهاز العسكري'!$B$2:$B$631,$B497,'الجهاز العسكري'!$G$2:$G$631,$G497,'الجهاز العسكري'!$I$2:$I$631,$I497,'الجهاز العسكري'!$M$2:$M$631,"&lt;&gt;")</f>
        <v>3</v>
      </c>
      <c r="N497" s="19">
        <f>IF($L497=0,0,ROUND((SUMIFS('المرتبطة بسمو الوزير'!$M$2:$M$151,'المرتبطة بسمو الوزير'!$B$2:$B$151,$B497,'المرتبطة بسمو الوزير'!$G$2:$G$151,$G497,'المرتبطة بسمو الوزير'!$I$2:$I$151,$I497)+SUMIFS('الشؤون التنفيذية'!$N$2:$N$421,'الشؤون التنفيذية'!$B$2:$B$421,$B497,'الشؤون التنفيذية'!$G$2:$G$421,$G497,'الشؤون التنفيذية'!$I$2:$I$421,$I497)+SUMIFS('الجهاز العسكري'!$M$2:$M$631,'الجهاز العسكري'!$B$2:$B$631,$B497,'الجهاز العسكري'!$G$2:$G$631,$G497,'الجهاز العسكري'!$I$2:$I$631,$I497))/$L497,0))</f>
        <v>43</v>
      </c>
      <c r="O497" s="18"/>
      <c r="P497" s="15">
        <f>SUMIFS(المرجع!$G$2:$G$19,المرجع!$B$2:$B$19,$G497,المرجع!$E$2:$E$19,$I497)</f>
        <v>20</v>
      </c>
      <c r="Q497" s="20">
        <f t="shared" si="8"/>
        <v>8.6</v>
      </c>
      <c r="R497" s="21" t="str">
        <f>IF($N497&gt;المرجع!$K$3,"متقدم",IF($N497&lt;=المرجع!$K$2,"أولي","جزئي"))</f>
        <v>جزئي</v>
      </c>
    </row>
    <row r="498" spans="1:18">
      <c r="A498" s="16" t="s">
        <v>1938</v>
      </c>
      <c r="B498" s="16" t="s">
        <v>206</v>
      </c>
      <c r="C498" s="15" t="str">
        <f>IFERROR(INDEX('قائمة الوحدات'!$B$2:$B$41,MATCH($B498,'قائمة الوحدات'!$A$2:$A$41,0)),"")</f>
        <v>MIL</v>
      </c>
      <c r="D498" s="14" t="str">
        <f>IFERROR(INDEX('قائمة الوحدات'!$C$2:$C$41,MATCH($B498,'قائمة الوحدات'!$A$2:$A$41,0)),"")</f>
        <v>الجهاز العسكري</v>
      </c>
      <c r="E498" s="14" t="str">
        <f>IFERROR(INDEX('قائمة الوحدات'!$D$2:$D$41,MATCH($B498,'قائمة الوحدات'!$A$2:$A$41,0)),"")</f>
        <v>الإدارة العامة للتخطيط والتنظيم العسكري</v>
      </c>
      <c r="F498" s="14" t="str">
        <f>IFERROR(INDEX('قائمة الوحدات'!$F$2:$F$41,MATCH($B498,'قائمة الوحدات'!$A$2:$A$41,0)),"")</f>
        <v>الإدارة العامة للتخطيط والتنظيم العسكري</v>
      </c>
      <c r="G498" s="16" t="s">
        <v>61</v>
      </c>
      <c r="H498" s="14" t="str">
        <f>IFERROR(INDEX(المرجع!$A$2:$A$19,MATCH($G498,المرجع!$B$2:$B$19,0)),"")</f>
        <v>البناء المؤسسي</v>
      </c>
      <c r="I498" s="16" t="s">
        <v>56</v>
      </c>
      <c r="J498" s="14" t="str">
        <f>IFERROR(INDEX(المرجع!$D$2:$D$19,MATCH($I498,المرجع!$E$2:$E$19,0)),"")</f>
        <v>الموارد</v>
      </c>
      <c r="K498" s="15">
        <f>IFERROR(INDEX(المرجع!$F$2:$F$19,MATCH($I498,المرجع!$E$2:$E$19,0)),"")</f>
        <v>5</v>
      </c>
      <c r="L498" s="15">
        <f>SUMIFS(المرجع!$H$2:$H$19,المرجع!$B$2:$B$19,$G498,المرجع!$E$2:$E$19,$I498)</f>
        <v>4</v>
      </c>
      <c r="M498" s="15">
        <f>COUNTIFS('المرتبطة بسمو الوزير'!$B$2:$B$151,$B498,'المرتبطة بسمو الوزير'!$G$2:$G$151,$G498,'المرتبطة بسمو الوزير'!$I$2:$I$151,$I498,'المرتبطة بسمو الوزير'!$M$2:$M$151,"&lt;&gt;")+COUNTIFS('الشؤون التنفيذية'!$B$2:$B$421,$B498,'الشؤون التنفيذية'!$G$2:$G$421,$G498,'الشؤون التنفيذية'!$I$2:$I$421,$I498,'الشؤون التنفيذية'!$N$2:$N$421,"&lt;&gt;")+COUNTIFS('الجهاز العسكري'!$B$2:$B$631,$B498,'الجهاز العسكري'!$G$2:$G$631,$G498,'الجهاز العسكري'!$I$2:$I$631,$I498,'الجهاز العسكري'!$M$2:$M$631,"&lt;&gt;")</f>
        <v>4</v>
      </c>
      <c r="N498" s="19">
        <f>IF($L498=0,0,ROUND((SUMIFS('المرتبطة بسمو الوزير'!$M$2:$M$151,'المرتبطة بسمو الوزير'!$B$2:$B$151,$B498,'المرتبطة بسمو الوزير'!$G$2:$G$151,$G498,'المرتبطة بسمو الوزير'!$I$2:$I$151,$I498)+SUMIFS('الشؤون التنفيذية'!$N$2:$N$421,'الشؤون التنفيذية'!$B$2:$B$421,$B498,'الشؤون التنفيذية'!$G$2:$G$421,$G498,'الشؤون التنفيذية'!$I$2:$I$421,$I498)+SUMIFS('الجهاز العسكري'!$M$2:$M$631,'الجهاز العسكري'!$B$2:$B$631,$B498,'الجهاز العسكري'!$G$2:$G$631,$G498,'الجهاز العسكري'!$I$2:$I$631,$I498))/$L498,0))</f>
        <v>75</v>
      </c>
      <c r="O498" s="18"/>
      <c r="P498" s="15">
        <f>SUMIFS(المرجع!$G$2:$G$19,المرجع!$B$2:$B$19,$G498,المرجع!$E$2:$E$19,$I498)</f>
        <v>25</v>
      </c>
      <c r="Q498" s="20">
        <f t="shared" si="8"/>
        <v>18.75</v>
      </c>
      <c r="R498" s="21" t="str">
        <f>IF($N498&gt;المرجع!$K$3,"متقدم",IF($N498&lt;=المرجع!$K$2,"أولي","جزئي"))</f>
        <v>متقدم</v>
      </c>
    </row>
    <row r="499" spans="1:18">
      <c r="A499" s="16" t="s">
        <v>1939</v>
      </c>
      <c r="B499" s="16" t="s">
        <v>206</v>
      </c>
      <c r="C499" s="15" t="str">
        <f>IFERROR(INDEX('قائمة الوحدات'!$B$2:$B$41,MATCH($B499,'قائمة الوحدات'!$A$2:$A$41,0)),"")</f>
        <v>MIL</v>
      </c>
      <c r="D499" s="14" t="str">
        <f>IFERROR(INDEX('قائمة الوحدات'!$C$2:$C$41,MATCH($B499,'قائمة الوحدات'!$A$2:$A$41,0)),"")</f>
        <v>الجهاز العسكري</v>
      </c>
      <c r="E499" s="14" t="str">
        <f>IFERROR(INDEX('قائمة الوحدات'!$D$2:$D$41,MATCH($B499,'قائمة الوحدات'!$A$2:$A$41,0)),"")</f>
        <v>الإدارة العامة للتخطيط والتنظيم العسكري</v>
      </c>
      <c r="F499" s="14" t="str">
        <f>IFERROR(INDEX('قائمة الوحدات'!$F$2:$F$41,MATCH($B499,'قائمة الوحدات'!$A$2:$A$41,0)),"")</f>
        <v>الإدارة العامة للتخطيط والتنظيم العسكري</v>
      </c>
      <c r="G499" s="16" t="s">
        <v>61</v>
      </c>
      <c r="H499" s="14" t="str">
        <f>IFERROR(INDEX(المرجع!$A$2:$A$19,MATCH($G499,المرجع!$B$2:$B$19,0)),"")</f>
        <v>البناء المؤسسي</v>
      </c>
      <c r="I499" s="16" t="s">
        <v>59</v>
      </c>
      <c r="J499" s="14" t="str">
        <f>IFERROR(INDEX(المرجع!$D$2:$D$19,MATCH($I499,المرجع!$E$2:$E$19,0)),"")</f>
        <v>الإجراءات</v>
      </c>
      <c r="K499" s="15">
        <f>IFERROR(INDEX(المرجع!$F$2:$F$19,MATCH($I499,المرجع!$E$2:$E$19,0)),"")</f>
        <v>6</v>
      </c>
      <c r="L499" s="15">
        <f>SUMIFS(المرجع!$H$2:$H$19,المرجع!$B$2:$B$19,$G499,المرجع!$E$2:$E$19,$I499)</f>
        <v>1</v>
      </c>
      <c r="M499" s="15">
        <f>COUNTIFS('المرتبطة بسمو الوزير'!$B$2:$B$151,$B499,'المرتبطة بسمو الوزير'!$G$2:$G$151,$G499,'المرتبطة بسمو الوزير'!$I$2:$I$151,$I499,'المرتبطة بسمو الوزير'!$M$2:$M$151,"&lt;&gt;")+COUNTIFS('الشؤون التنفيذية'!$B$2:$B$421,$B499,'الشؤون التنفيذية'!$G$2:$G$421,$G499,'الشؤون التنفيذية'!$I$2:$I$421,$I499,'الشؤون التنفيذية'!$N$2:$N$421,"&lt;&gt;")+COUNTIFS('الجهاز العسكري'!$B$2:$B$631,$B499,'الجهاز العسكري'!$G$2:$G$631,$G499,'الجهاز العسكري'!$I$2:$I$631,$I499,'الجهاز العسكري'!$M$2:$M$631,"&lt;&gt;")</f>
        <v>1</v>
      </c>
      <c r="N499" s="19">
        <f>IF($L499=0,0,ROUND((SUMIFS('المرتبطة بسمو الوزير'!$M$2:$M$151,'المرتبطة بسمو الوزير'!$B$2:$B$151,$B499,'المرتبطة بسمو الوزير'!$G$2:$G$151,$G499,'المرتبطة بسمو الوزير'!$I$2:$I$151,$I499)+SUMIFS('الشؤون التنفيذية'!$N$2:$N$421,'الشؤون التنفيذية'!$B$2:$B$421,$B499,'الشؤون التنفيذية'!$G$2:$G$421,$G499,'الشؤون التنفيذية'!$I$2:$I$421,$I499)+SUMIFS('الجهاز العسكري'!$M$2:$M$631,'الجهاز العسكري'!$B$2:$B$631,$B499,'الجهاز العسكري'!$G$2:$G$631,$G499,'الجهاز العسكري'!$I$2:$I$631,$I499))/$L499,0))</f>
        <v>49</v>
      </c>
      <c r="O499" s="18"/>
      <c r="P499" s="15">
        <f>SUMIFS(المرجع!$G$2:$G$19,المرجع!$B$2:$B$19,$G499,المرجع!$E$2:$E$19,$I499)</f>
        <v>5</v>
      </c>
      <c r="Q499" s="20">
        <f t="shared" si="8"/>
        <v>2.4500000000000002</v>
      </c>
      <c r="R499" s="21" t="str">
        <f>IF($N499&gt;المرجع!$K$3,"متقدم",IF($N499&lt;=المرجع!$K$2,"أولي","جزئي"))</f>
        <v>جزئي</v>
      </c>
    </row>
    <row r="500" spans="1:18">
      <c r="A500" s="16" t="s">
        <v>1940</v>
      </c>
      <c r="B500" s="16" t="s">
        <v>206</v>
      </c>
      <c r="C500" s="15" t="str">
        <f>IFERROR(INDEX('قائمة الوحدات'!$B$2:$B$41,MATCH($B500,'قائمة الوحدات'!$A$2:$A$41,0)),"")</f>
        <v>MIL</v>
      </c>
      <c r="D500" s="14" t="str">
        <f>IFERROR(INDEX('قائمة الوحدات'!$C$2:$C$41,MATCH($B500,'قائمة الوحدات'!$A$2:$A$41,0)),"")</f>
        <v>الجهاز العسكري</v>
      </c>
      <c r="E500" s="14" t="str">
        <f>IFERROR(INDEX('قائمة الوحدات'!$D$2:$D$41,MATCH($B500,'قائمة الوحدات'!$A$2:$A$41,0)),"")</f>
        <v>الإدارة العامة للتخطيط والتنظيم العسكري</v>
      </c>
      <c r="F500" s="14" t="str">
        <f>IFERROR(INDEX('قائمة الوحدات'!$F$2:$F$41,MATCH($B500,'قائمة الوحدات'!$A$2:$A$41,0)),"")</f>
        <v>الإدارة العامة للتخطيط والتنظيم العسكري</v>
      </c>
      <c r="G500" s="16" t="s">
        <v>61</v>
      </c>
      <c r="H500" s="14" t="str">
        <f>IFERROR(INDEX(المرجع!$A$2:$A$19,MATCH($G500,المرجع!$B$2:$B$19,0)),"")</f>
        <v>البناء المؤسسي</v>
      </c>
      <c r="I500" s="16" t="s">
        <v>63</v>
      </c>
      <c r="J500" s="14" t="str">
        <f>IFERROR(INDEX(المرجع!$D$2:$D$19,MATCH($I500,المرجع!$E$2:$E$19,0)),"")</f>
        <v>إنتاج المخرج الأول</v>
      </c>
      <c r="K500" s="15">
        <f>IFERROR(INDEX(المرجع!$F$2:$F$19,MATCH($I500,المرجع!$E$2:$E$19,0)),"")</f>
        <v>7</v>
      </c>
      <c r="L500" s="15">
        <f>SUMIFS(المرجع!$H$2:$H$19,المرجع!$B$2:$B$19,$G500,المرجع!$E$2:$E$19,$I500)</f>
        <v>1</v>
      </c>
      <c r="M500" s="15">
        <f>COUNTIFS('المرتبطة بسمو الوزير'!$B$2:$B$151,$B500,'المرتبطة بسمو الوزير'!$G$2:$G$151,$G500,'المرتبطة بسمو الوزير'!$I$2:$I$151,$I500,'المرتبطة بسمو الوزير'!$M$2:$M$151,"&lt;&gt;")+COUNTIFS('الشؤون التنفيذية'!$B$2:$B$421,$B500,'الشؤون التنفيذية'!$G$2:$G$421,$G500,'الشؤون التنفيذية'!$I$2:$I$421,$I500,'الشؤون التنفيذية'!$N$2:$N$421,"&lt;&gt;")+COUNTIFS('الجهاز العسكري'!$B$2:$B$631,$B500,'الجهاز العسكري'!$G$2:$G$631,$G500,'الجهاز العسكري'!$I$2:$I$631,$I500,'الجهاز العسكري'!$M$2:$M$631,"&lt;&gt;")</f>
        <v>1</v>
      </c>
      <c r="N500" s="19">
        <f>IF($L500=0,0,ROUND((SUMIFS('المرتبطة بسمو الوزير'!$M$2:$M$151,'المرتبطة بسمو الوزير'!$B$2:$B$151,$B500,'المرتبطة بسمو الوزير'!$G$2:$G$151,$G500,'المرتبطة بسمو الوزير'!$I$2:$I$151,$I500)+SUMIFS('الشؤون التنفيذية'!$N$2:$N$421,'الشؤون التنفيذية'!$B$2:$B$421,$B500,'الشؤون التنفيذية'!$G$2:$G$421,$G500,'الشؤون التنفيذية'!$I$2:$I$421,$I500)+SUMIFS('الجهاز العسكري'!$M$2:$M$631,'الجهاز العسكري'!$B$2:$B$631,$B500,'الجهاز العسكري'!$G$2:$G$631,$G500,'الجهاز العسكري'!$I$2:$I$631,$I500))/$L500,0))</f>
        <v>49</v>
      </c>
      <c r="O500" s="18"/>
      <c r="P500" s="15">
        <f>SUMIFS(المرجع!$G$2:$G$19,المرجع!$B$2:$B$19,$G500,المرجع!$E$2:$E$19,$I500)</f>
        <v>5</v>
      </c>
      <c r="Q500" s="20">
        <f t="shared" si="8"/>
        <v>2.4500000000000002</v>
      </c>
      <c r="R500" s="21" t="str">
        <f>IF($N500&gt;المرجع!$K$3,"متقدم",IF($N500&lt;=المرجع!$K$2,"أولي","جزئي"))</f>
        <v>جزئي</v>
      </c>
    </row>
    <row r="501" spans="1:18">
      <c r="A501" s="16" t="s">
        <v>1941</v>
      </c>
      <c r="B501" s="16" t="s">
        <v>206</v>
      </c>
      <c r="C501" s="15" t="str">
        <f>IFERROR(INDEX('قائمة الوحدات'!$B$2:$B$41,MATCH($B501,'قائمة الوحدات'!$A$2:$A$41,0)),"")</f>
        <v>MIL</v>
      </c>
      <c r="D501" s="14" t="str">
        <f>IFERROR(INDEX('قائمة الوحدات'!$C$2:$C$41,MATCH($B501,'قائمة الوحدات'!$A$2:$A$41,0)),"")</f>
        <v>الجهاز العسكري</v>
      </c>
      <c r="E501" s="14" t="str">
        <f>IFERROR(INDEX('قائمة الوحدات'!$D$2:$D$41,MATCH($B501,'قائمة الوحدات'!$A$2:$A$41,0)),"")</f>
        <v>الإدارة العامة للتخطيط والتنظيم العسكري</v>
      </c>
      <c r="F501" s="14" t="str">
        <f>IFERROR(INDEX('قائمة الوحدات'!$F$2:$F$41,MATCH($B501,'قائمة الوحدات'!$A$2:$A$41,0)),"")</f>
        <v>الإدارة العامة للتخطيط والتنظيم العسكري</v>
      </c>
      <c r="G501" s="16" t="s">
        <v>65</v>
      </c>
      <c r="H501" s="14" t="str">
        <f>IFERROR(INDEX(المرجع!$A$2:$A$19,MATCH($G501,المرجع!$B$2:$B$19,0)),"")</f>
        <v>التشغيل</v>
      </c>
      <c r="I501" s="16" t="s">
        <v>48</v>
      </c>
      <c r="J501" s="14" t="str">
        <f>IFERROR(INDEX(المرجع!$D$2:$D$19,MATCH($I501,المرجع!$E$2:$E$19,0)),"")</f>
        <v>الأهداف ومؤشرات الأداء</v>
      </c>
      <c r="K501" s="15">
        <f>IFERROR(INDEX(المرجع!$F$2:$F$19,MATCH($I501,المرجع!$E$2:$E$19,0)),"")</f>
        <v>2</v>
      </c>
      <c r="L501" s="15">
        <f>SUMIFS(المرجع!$H$2:$H$19,المرجع!$B$2:$B$19,$G501,المرجع!$E$2:$E$19,$I501)</f>
        <v>2</v>
      </c>
      <c r="M501" s="15">
        <f>COUNTIFS('المرتبطة بسمو الوزير'!$B$2:$B$151,$B501,'المرتبطة بسمو الوزير'!$G$2:$G$151,$G501,'المرتبطة بسمو الوزير'!$I$2:$I$151,$I501,'المرتبطة بسمو الوزير'!$M$2:$M$151,"&lt;&gt;")+COUNTIFS('الشؤون التنفيذية'!$B$2:$B$421,$B501,'الشؤون التنفيذية'!$G$2:$G$421,$G501,'الشؤون التنفيذية'!$I$2:$I$421,$I501,'الشؤون التنفيذية'!$N$2:$N$421,"&lt;&gt;")+COUNTIFS('الجهاز العسكري'!$B$2:$B$631,$B501,'الجهاز العسكري'!$G$2:$G$631,$G501,'الجهاز العسكري'!$I$2:$I$631,$I501,'الجهاز العسكري'!$M$2:$M$631,"&lt;&gt;")</f>
        <v>2</v>
      </c>
      <c r="N501" s="19">
        <f>IF($L501=0,0,ROUND((SUMIFS('المرتبطة بسمو الوزير'!$M$2:$M$151,'المرتبطة بسمو الوزير'!$B$2:$B$151,$B501,'المرتبطة بسمو الوزير'!$G$2:$G$151,$G501,'المرتبطة بسمو الوزير'!$I$2:$I$151,$I501)+SUMIFS('الشؤون التنفيذية'!$N$2:$N$421,'الشؤون التنفيذية'!$B$2:$B$421,$B501,'الشؤون التنفيذية'!$G$2:$G$421,$G501,'الشؤون التنفيذية'!$I$2:$I$421,$I501)+SUMIFS('الجهاز العسكري'!$M$2:$M$631,'الجهاز العسكري'!$B$2:$B$631,$B501,'الجهاز العسكري'!$G$2:$G$631,$G501,'الجهاز العسكري'!$I$2:$I$631,$I501))/$L501,0))</f>
        <v>28</v>
      </c>
      <c r="O501" s="18"/>
      <c r="P501" s="15">
        <f>SUMIFS(المرجع!$G$2:$G$19,المرجع!$B$2:$B$19,$G501,المرجع!$E$2:$E$19,$I501)</f>
        <v>25</v>
      </c>
      <c r="Q501" s="20">
        <f t="shared" si="8"/>
        <v>7</v>
      </c>
      <c r="R501" s="21" t="str">
        <f>IF($N501&gt;المرجع!$K$3,"متقدم",IF($N501&lt;=المرجع!$K$2,"أولي","جزئي"))</f>
        <v>أولي</v>
      </c>
    </row>
    <row r="502" spans="1:18">
      <c r="A502" s="16" t="s">
        <v>1942</v>
      </c>
      <c r="B502" s="16" t="s">
        <v>206</v>
      </c>
      <c r="C502" s="15" t="str">
        <f>IFERROR(INDEX('قائمة الوحدات'!$B$2:$B$41,MATCH($B502,'قائمة الوحدات'!$A$2:$A$41,0)),"")</f>
        <v>MIL</v>
      </c>
      <c r="D502" s="14" t="str">
        <f>IFERROR(INDEX('قائمة الوحدات'!$C$2:$C$41,MATCH($B502,'قائمة الوحدات'!$A$2:$A$41,0)),"")</f>
        <v>الجهاز العسكري</v>
      </c>
      <c r="E502" s="14" t="str">
        <f>IFERROR(INDEX('قائمة الوحدات'!$D$2:$D$41,MATCH($B502,'قائمة الوحدات'!$A$2:$A$41,0)),"")</f>
        <v>الإدارة العامة للتخطيط والتنظيم العسكري</v>
      </c>
      <c r="F502" s="14" t="str">
        <f>IFERROR(INDEX('قائمة الوحدات'!$F$2:$F$41,MATCH($B502,'قائمة الوحدات'!$A$2:$A$41,0)),"")</f>
        <v>الإدارة العامة للتخطيط والتنظيم العسكري</v>
      </c>
      <c r="G502" s="16" t="s">
        <v>65</v>
      </c>
      <c r="H502" s="14" t="str">
        <f>IFERROR(INDEX(المرجع!$A$2:$A$19,MATCH($G502,المرجع!$B$2:$B$19,0)),"")</f>
        <v>التشغيل</v>
      </c>
      <c r="I502" s="16" t="s">
        <v>51</v>
      </c>
      <c r="J502" s="14" t="str">
        <f>IFERROR(INDEX(المرجع!$D$2:$D$19,MATCH($I502,المرجع!$E$2:$E$19,0)),"")</f>
        <v>الحوكمة</v>
      </c>
      <c r="K502" s="15">
        <f>IFERROR(INDEX(المرجع!$F$2:$F$19,MATCH($I502,المرجع!$E$2:$E$19,0)),"")</f>
        <v>3</v>
      </c>
      <c r="L502" s="15">
        <f>SUMIFS(المرجع!$H$2:$H$19,المرجع!$B$2:$B$19,$G502,المرجع!$E$2:$E$19,$I502)</f>
        <v>3</v>
      </c>
      <c r="M502" s="15">
        <f>COUNTIFS('المرتبطة بسمو الوزير'!$B$2:$B$151,$B502,'المرتبطة بسمو الوزير'!$G$2:$G$151,$G502,'المرتبطة بسمو الوزير'!$I$2:$I$151,$I502,'المرتبطة بسمو الوزير'!$M$2:$M$151,"&lt;&gt;")+COUNTIFS('الشؤون التنفيذية'!$B$2:$B$421,$B502,'الشؤون التنفيذية'!$G$2:$G$421,$G502,'الشؤون التنفيذية'!$I$2:$I$421,$I502,'الشؤون التنفيذية'!$N$2:$N$421,"&lt;&gt;")+COUNTIFS('الجهاز العسكري'!$B$2:$B$631,$B502,'الجهاز العسكري'!$G$2:$G$631,$G502,'الجهاز العسكري'!$I$2:$I$631,$I502,'الجهاز العسكري'!$M$2:$M$631,"&lt;&gt;")</f>
        <v>3</v>
      </c>
      <c r="N502" s="19">
        <f>IF($L502=0,0,ROUND((SUMIFS('المرتبطة بسمو الوزير'!$M$2:$M$151,'المرتبطة بسمو الوزير'!$B$2:$B$151,$B502,'المرتبطة بسمو الوزير'!$G$2:$G$151,$G502,'المرتبطة بسمو الوزير'!$I$2:$I$151,$I502)+SUMIFS('الشؤون التنفيذية'!$N$2:$N$421,'الشؤون التنفيذية'!$B$2:$B$421,$B502,'الشؤون التنفيذية'!$G$2:$G$421,$G502,'الشؤون التنفيذية'!$I$2:$I$421,$I502)+SUMIFS('الجهاز العسكري'!$M$2:$M$631,'الجهاز العسكري'!$B$2:$B$631,$B502,'الجهاز العسكري'!$G$2:$G$631,$G502,'الجهاز العسكري'!$I$2:$I$631,$I502))/$L502,0))</f>
        <v>62</v>
      </c>
      <c r="O502" s="18"/>
      <c r="P502" s="15">
        <f>SUMIFS(المرجع!$G$2:$G$19,المرجع!$B$2:$B$19,$G502,المرجع!$E$2:$E$19,$I502)</f>
        <v>15</v>
      </c>
      <c r="Q502" s="20">
        <f t="shared" si="8"/>
        <v>9.3000000000000007</v>
      </c>
      <c r="R502" s="21" t="str">
        <f>IF($N502&gt;المرجع!$K$3,"متقدم",IF($N502&lt;=المرجع!$K$2,"أولي","جزئي"))</f>
        <v>جزئي</v>
      </c>
    </row>
    <row r="503" spans="1:18">
      <c r="A503" s="16" t="s">
        <v>1943</v>
      </c>
      <c r="B503" s="16" t="s">
        <v>206</v>
      </c>
      <c r="C503" s="15" t="str">
        <f>IFERROR(INDEX('قائمة الوحدات'!$B$2:$B$41,MATCH($B503,'قائمة الوحدات'!$A$2:$A$41,0)),"")</f>
        <v>MIL</v>
      </c>
      <c r="D503" s="14" t="str">
        <f>IFERROR(INDEX('قائمة الوحدات'!$C$2:$C$41,MATCH($B503,'قائمة الوحدات'!$A$2:$A$41,0)),"")</f>
        <v>الجهاز العسكري</v>
      </c>
      <c r="E503" s="14" t="str">
        <f>IFERROR(INDEX('قائمة الوحدات'!$D$2:$D$41,MATCH($B503,'قائمة الوحدات'!$A$2:$A$41,0)),"")</f>
        <v>الإدارة العامة للتخطيط والتنظيم العسكري</v>
      </c>
      <c r="F503" s="14" t="str">
        <f>IFERROR(INDEX('قائمة الوحدات'!$F$2:$F$41,MATCH($B503,'قائمة الوحدات'!$A$2:$A$41,0)),"")</f>
        <v>الإدارة العامة للتخطيط والتنظيم العسكري</v>
      </c>
      <c r="G503" s="16" t="s">
        <v>65</v>
      </c>
      <c r="H503" s="14" t="str">
        <f>IFERROR(INDEX(المرجع!$A$2:$A$19,MATCH($G503,المرجع!$B$2:$B$19,0)),"")</f>
        <v>التشغيل</v>
      </c>
      <c r="I503" s="16" t="s">
        <v>56</v>
      </c>
      <c r="J503" s="14" t="str">
        <f>IFERROR(INDEX(المرجع!$D$2:$D$19,MATCH($I503,المرجع!$E$2:$E$19,0)),"")</f>
        <v>الموارد</v>
      </c>
      <c r="K503" s="15">
        <f>IFERROR(INDEX(المرجع!$F$2:$F$19,MATCH($I503,المرجع!$E$2:$E$19,0)),"")</f>
        <v>5</v>
      </c>
      <c r="L503" s="15">
        <f>SUMIFS(المرجع!$H$2:$H$19,المرجع!$B$2:$B$19,$G503,المرجع!$E$2:$E$19,$I503)</f>
        <v>1</v>
      </c>
      <c r="M503" s="15">
        <f>COUNTIFS('المرتبطة بسمو الوزير'!$B$2:$B$151,$B503,'المرتبطة بسمو الوزير'!$G$2:$G$151,$G503,'المرتبطة بسمو الوزير'!$I$2:$I$151,$I503,'المرتبطة بسمو الوزير'!$M$2:$M$151,"&lt;&gt;")+COUNTIFS('الشؤون التنفيذية'!$B$2:$B$421,$B503,'الشؤون التنفيذية'!$G$2:$G$421,$G503,'الشؤون التنفيذية'!$I$2:$I$421,$I503,'الشؤون التنفيذية'!$N$2:$N$421,"&lt;&gt;")+COUNTIFS('الجهاز العسكري'!$B$2:$B$631,$B503,'الجهاز العسكري'!$G$2:$G$631,$G503,'الجهاز العسكري'!$I$2:$I$631,$I503,'الجهاز العسكري'!$M$2:$M$631,"&lt;&gt;")</f>
        <v>1</v>
      </c>
      <c r="N503" s="19">
        <f>IF($L503=0,0,ROUND((SUMIFS('المرتبطة بسمو الوزير'!$M$2:$M$151,'المرتبطة بسمو الوزير'!$B$2:$B$151,$B503,'المرتبطة بسمو الوزير'!$G$2:$G$151,$G503,'المرتبطة بسمو الوزير'!$I$2:$I$151,$I503)+SUMIFS('الشؤون التنفيذية'!$N$2:$N$421,'الشؤون التنفيذية'!$B$2:$B$421,$B503,'الشؤون التنفيذية'!$G$2:$G$421,$G503,'الشؤون التنفيذية'!$I$2:$I$421,$I503)+SUMIFS('الجهاز العسكري'!$M$2:$M$631,'الجهاز العسكري'!$B$2:$B$631,$B503,'الجهاز العسكري'!$G$2:$G$631,$G503,'الجهاز العسكري'!$I$2:$I$631,$I503))/$L503,0))</f>
        <v>37</v>
      </c>
      <c r="O503" s="18"/>
      <c r="P503" s="15">
        <f>SUMIFS(المرجع!$G$2:$G$19,المرجع!$B$2:$B$19,$G503,المرجع!$E$2:$E$19,$I503)</f>
        <v>15</v>
      </c>
      <c r="Q503" s="20">
        <f t="shared" si="8"/>
        <v>5.55</v>
      </c>
      <c r="R503" s="21" t="str">
        <f>IF($N503&gt;المرجع!$K$3,"متقدم",IF($N503&lt;=المرجع!$K$2,"أولي","جزئي"))</f>
        <v>جزئي</v>
      </c>
    </row>
    <row r="504" spans="1:18">
      <c r="A504" s="16" t="s">
        <v>1944</v>
      </c>
      <c r="B504" s="16" t="s">
        <v>206</v>
      </c>
      <c r="C504" s="15" t="str">
        <f>IFERROR(INDEX('قائمة الوحدات'!$B$2:$B$41,MATCH($B504,'قائمة الوحدات'!$A$2:$A$41,0)),"")</f>
        <v>MIL</v>
      </c>
      <c r="D504" s="14" t="str">
        <f>IFERROR(INDEX('قائمة الوحدات'!$C$2:$C$41,MATCH($B504,'قائمة الوحدات'!$A$2:$A$41,0)),"")</f>
        <v>الجهاز العسكري</v>
      </c>
      <c r="E504" s="14" t="str">
        <f>IFERROR(INDEX('قائمة الوحدات'!$D$2:$D$41,MATCH($B504,'قائمة الوحدات'!$A$2:$A$41,0)),"")</f>
        <v>الإدارة العامة للتخطيط والتنظيم العسكري</v>
      </c>
      <c r="F504" s="14" t="str">
        <f>IFERROR(INDEX('قائمة الوحدات'!$F$2:$F$41,MATCH($B504,'قائمة الوحدات'!$A$2:$A$41,0)),"")</f>
        <v>الإدارة العامة للتخطيط والتنظيم العسكري</v>
      </c>
      <c r="G504" s="16" t="s">
        <v>65</v>
      </c>
      <c r="H504" s="14" t="str">
        <f>IFERROR(INDEX(المرجع!$A$2:$A$19,MATCH($G504,المرجع!$B$2:$B$19,0)),"")</f>
        <v>التشغيل</v>
      </c>
      <c r="I504" s="16" t="s">
        <v>59</v>
      </c>
      <c r="J504" s="14" t="str">
        <f>IFERROR(INDEX(المرجع!$D$2:$D$19,MATCH($I504,المرجع!$E$2:$E$19,0)),"")</f>
        <v>الإجراءات</v>
      </c>
      <c r="K504" s="15">
        <f>IFERROR(INDEX(المرجع!$F$2:$F$19,MATCH($I504,المرجع!$E$2:$E$19,0)),"")</f>
        <v>6</v>
      </c>
      <c r="L504" s="15">
        <f>SUMIFS(المرجع!$H$2:$H$19,المرجع!$B$2:$B$19,$G504,المرجع!$E$2:$E$19,$I504)</f>
        <v>1</v>
      </c>
      <c r="M504" s="15">
        <f>COUNTIFS('المرتبطة بسمو الوزير'!$B$2:$B$151,$B504,'المرتبطة بسمو الوزير'!$G$2:$G$151,$G504,'المرتبطة بسمو الوزير'!$I$2:$I$151,$I504,'المرتبطة بسمو الوزير'!$M$2:$M$151,"&lt;&gt;")+COUNTIFS('الشؤون التنفيذية'!$B$2:$B$421,$B504,'الشؤون التنفيذية'!$G$2:$G$421,$G504,'الشؤون التنفيذية'!$I$2:$I$421,$I504,'الشؤون التنفيذية'!$N$2:$N$421,"&lt;&gt;")+COUNTIFS('الجهاز العسكري'!$B$2:$B$631,$B504,'الجهاز العسكري'!$G$2:$G$631,$G504,'الجهاز العسكري'!$I$2:$I$631,$I504,'الجهاز العسكري'!$M$2:$M$631,"&lt;&gt;")</f>
        <v>1</v>
      </c>
      <c r="N504" s="19">
        <f>IF($L504=0,0,ROUND((SUMIFS('المرتبطة بسمو الوزير'!$M$2:$M$151,'المرتبطة بسمو الوزير'!$B$2:$B$151,$B504,'المرتبطة بسمو الوزير'!$G$2:$G$151,$G504,'المرتبطة بسمو الوزير'!$I$2:$I$151,$I504)+SUMIFS('الشؤون التنفيذية'!$N$2:$N$421,'الشؤون التنفيذية'!$B$2:$B$421,$B504,'الشؤون التنفيذية'!$G$2:$G$421,$G504,'الشؤون التنفيذية'!$I$2:$I$421,$I504)+SUMIFS('الجهاز العسكري'!$M$2:$M$631,'الجهاز العسكري'!$B$2:$B$631,$B504,'الجهاز العسكري'!$G$2:$G$631,$G504,'الجهاز العسكري'!$I$2:$I$631,$I504))/$L504,0))</f>
        <v>23</v>
      </c>
      <c r="O504" s="18"/>
      <c r="P504" s="15">
        <f>SUMIFS(المرجع!$G$2:$G$19,المرجع!$B$2:$B$19,$G504,المرجع!$E$2:$E$19,$I504)</f>
        <v>15</v>
      </c>
      <c r="Q504" s="20">
        <f t="shared" si="8"/>
        <v>3.45</v>
      </c>
      <c r="R504" s="21" t="str">
        <f>IF($N504&gt;المرجع!$K$3,"متقدم",IF($N504&lt;=المرجع!$K$2,"أولي","جزئي"))</f>
        <v>أولي</v>
      </c>
    </row>
    <row r="505" spans="1:18">
      <c r="A505" s="16" t="s">
        <v>1945</v>
      </c>
      <c r="B505" s="16" t="s">
        <v>206</v>
      </c>
      <c r="C505" s="15" t="str">
        <f>IFERROR(INDEX('قائمة الوحدات'!$B$2:$B$41,MATCH($B505,'قائمة الوحدات'!$A$2:$A$41,0)),"")</f>
        <v>MIL</v>
      </c>
      <c r="D505" s="14" t="str">
        <f>IFERROR(INDEX('قائمة الوحدات'!$C$2:$C$41,MATCH($B505,'قائمة الوحدات'!$A$2:$A$41,0)),"")</f>
        <v>الجهاز العسكري</v>
      </c>
      <c r="E505" s="14" t="str">
        <f>IFERROR(INDEX('قائمة الوحدات'!$D$2:$D$41,MATCH($B505,'قائمة الوحدات'!$A$2:$A$41,0)),"")</f>
        <v>الإدارة العامة للتخطيط والتنظيم العسكري</v>
      </c>
      <c r="F505" s="14" t="str">
        <f>IFERROR(INDEX('قائمة الوحدات'!$F$2:$F$41,MATCH($B505,'قائمة الوحدات'!$A$2:$A$41,0)),"")</f>
        <v>الإدارة العامة للتخطيط والتنظيم العسكري</v>
      </c>
      <c r="G505" s="16" t="s">
        <v>65</v>
      </c>
      <c r="H505" s="14" t="str">
        <f>IFERROR(INDEX(المرجع!$A$2:$A$19,MATCH($G505,المرجع!$B$2:$B$19,0)),"")</f>
        <v>التشغيل</v>
      </c>
      <c r="I505" s="16" t="s">
        <v>67</v>
      </c>
      <c r="J505" s="14" t="str">
        <f>IFERROR(INDEX(المرجع!$D$2:$D$19,MATCH($I505,المرجع!$E$2:$E$19,0)),"")</f>
        <v>اكتمال المخرجات المستهدفة</v>
      </c>
      <c r="K505" s="15">
        <f>IFERROR(INDEX(المرجع!$F$2:$F$19,MATCH($I505,المرجع!$E$2:$E$19,0)),"")</f>
        <v>8</v>
      </c>
      <c r="L505" s="15">
        <f>SUMIFS(المرجع!$H$2:$H$19,المرجع!$B$2:$B$19,$G505,المرجع!$E$2:$E$19,$I505)</f>
        <v>1</v>
      </c>
      <c r="M505" s="15">
        <f>COUNTIFS('المرتبطة بسمو الوزير'!$B$2:$B$151,$B505,'المرتبطة بسمو الوزير'!$G$2:$G$151,$G505,'المرتبطة بسمو الوزير'!$I$2:$I$151,$I505,'المرتبطة بسمو الوزير'!$M$2:$M$151,"&lt;&gt;")+COUNTIFS('الشؤون التنفيذية'!$B$2:$B$421,$B505,'الشؤون التنفيذية'!$G$2:$G$421,$G505,'الشؤون التنفيذية'!$I$2:$I$421,$I505,'الشؤون التنفيذية'!$N$2:$N$421,"&lt;&gt;")+COUNTIFS('الجهاز العسكري'!$B$2:$B$631,$B505,'الجهاز العسكري'!$G$2:$G$631,$G505,'الجهاز العسكري'!$I$2:$I$631,$I505,'الجهاز العسكري'!$M$2:$M$631,"&lt;&gt;")</f>
        <v>1</v>
      </c>
      <c r="N505" s="19">
        <f>IF($L505=0,0,ROUND((SUMIFS('المرتبطة بسمو الوزير'!$M$2:$M$151,'المرتبطة بسمو الوزير'!$B$2:$B$151,$B505,'المرتبطة بسمو الوزير'!$G$2:$G$151,$G505,'المرتبطة بسمو الوزير'!$I$2:$I$151,$I505)+SUMIFS('الشؤون التنفيذية'!$N$2:$N$421,'الشؤون التنفيذية'!$B$2:$B$421,$B505,'الشؤون التنفيذية'!$G$2:$G$421,$G505,'الشؤون التنفيذية'!$I$2:$I$421,$I505)+SUMIFS('الجهاز العسكري'!$M$2:$M$631,'الجهاز العسكري'!$B$2:$B$631,$B505,'الجهاز العسكري'!$G$2:$G$631,$G505,'الجهاز العسكري'!$I$2:$I$631,$I505))/$L505,0))</f>
        <v>21</v>
      </c>
      <c r="O505" s="18"/>
      <c r="P505" s="15">
        <f>SUMIFS(المرجع!$G$2:$G$19,المرجع!$B$2:$B$19,$G505,المرجع!$E$2:$E$19,$I505)</f>
        <v>30</v>
      </c>
      <c r="Q505" s="20">
        <f t="shared" si="8"/>
        <v>6.3</v>
      </c>
      <c r="R505" s="21" t="str">
        <f>IF($N505&gt;المرجع!$K$3,"متقدم",IF($N505&lt;=المرجع!$K$2,"أولي","جزئي"))</f>
        <v>أولي</v>
      </c>
    </row>
    <row r="506" spans="1:18">
      <c r="A506" s="16" t="s">
        <v>1946</v>
      </c>
      <c r="B506" s="16" t="s">
        <v>208</v>
      </c>
      <c r="C506" s="15" t="str">
        <f>IFERROR(INDEX('قائمة الوحدات'!$B$2:$B$41,MATCH($B506,'قائمة الوحدات'!$A$2:$A$41,0)),"")</f>
        <v>MIL</v>
      </c>
      <c r="D506" s="14" t="str">
        <f>IFERROR(INDEX('قائمة الوحدات'!$C$2:$C$41,MATCH($B506,'قائمة الوحدات'!$A$2:$A$41,0)),"")</f>
        <v>الجهاز العسكري</v>
      </c>
      <c r="E506" s="14" t="str">
        <f>IFERROR(INDEX('قائمة الوحدات'!$D$2:$D$41,MATCH($B506,'قائمة الوحدات'!$A$2:$A$41,0)),"")</f>
        <v>الإدارة العامة للإمداد والتموين</v>
      </c>
      <c r="F506" s="14" t="str">
        <f>IFERROR(INDEX('قائمة الوحدات'!$F$2:$F$41,MATCH($B506,'قائمة الوحدات'!$A$2:$A$41,0)),"")</f>
        <v>الإدارة العامة للإمداد والتموين</v>
      </c>
      <c r="G506" s="16" t="s">
        <v>43</v>
      </c>
      <c r="H506" s="14" t="str">
        <f>IFERROR(INDEX(المرجع!$A$2:$A$19,MATCH($G506,المرجع!$B$2:$B$19,0)),"")</f>
        <v>التصميم</v>
      </c>
      <c r="I506" s="16" t="s">
        <v>45</v>
      </c>
      <c r="J506" s="14" t="str">
        <f>IFERROR(INDEX(المرجع!$D$2:$D$19,MATCH($I506,المرجع!$E$2:$E$19,0)),"")</f>
        <v>الدور</v>
      </c>
      <c r="K506" s="15">
        <f>IFERROR(INDEX(المرجع!$F$2:$F$19,MATCH($I506,المرجع!$E$2:$E$19,0)),"")</f>
        <v>1</v>
      </c>
      <c r="L506" s="15">
        <f>SUMIFS(المرجع!$H$2:$H$19,المرجع!$B$2:$B$19,$G506,المرجع!$E$2:$E$19,$I506)</f>
        <v>1</v>
      </c>
      <c r="M506" s="15">
        <f>COUNTIFS('المرتبطة بسمو الوزير'!$B$2:$B$151,$B506,'المرتبطة بسمو الوزير'!$G$2:$G$151,$G506,'المرتبطة بسمو الوزير'!$I$2:$I$151,$I506,'المرتبطة بسمو الوزير'!$M$2:$M$151,"&lt;&gt;")+COUNTIFS('الشؤون التنفيذية'!$B$2:$B$421,$B506,'الشؤون التنفيذية'!$G$2:$G$421,$G506,'الشؤون التنفيذية'!$I$2:$I$421,$I506,'الشؤون التنفيذية'!$N$2:$N$421,"&lt;&gt;")+COUNTIFS('الجهاز العسكري'!$B$2:$B$631,$B506,'الجهاز العسكري'!$G$2:$G$631,$G506,'الجهاز العسكري'!$I$2:$I$631,$I506,'الجهاز العسكري'!$M$2:$M$631,"&lt;&gt;")</f>
        <v>1</v>
      </c>
      <c r="N506" s="19">
        <f>IF($L506=0,0,ROUND((SUMIFS('المرتبطة بسمو الوزير'!$M$2:$M$151,'المرتبطة بسمو الوزير'!$B$2:$B$151,$B506,'المرتبطة بسمو الوزير'!$G$2:$G$151,$G506,'المرتبطة بسمو الوزير'!$I$2:$I$151,$I506)+SUMIFS('الشؤون التنفيذية'!$N$2:$N$421,'الشؤون التنفيذية'!$B$2:$B$421,$B506,'الشؤون التنفيذية'!$G$2:$G$421,$G506,'الشؤون التنفيذية'!$I$2:$I$421,$I506)+SUMIFS('الجهاز العسكري'!$M$2:$M$631,'الجهاز العسكري'!$B$2:$B$631,$B506,'الجهاز العسكري'!$G$2:$G$631,$G506,'الجهاز العسكري'!$I$2:$I$631,$I506))/$L506,0))</f>
        <v>71</v>
      </c>
      <c r="O506" s="18"/>
      <c r="P506" s="15">
        <f>SUMIFS(المرجع!$G$2:$G$19,المرجع!$B$2:$B$19,$G506,المرجع!$E$2:$E$19,$I506)</f>
        <v>25</v>
      </c>
      <c r="Q506" s="20">
        <f t="shared" si="8"/>
        <v>17.75</v>
      </c>
      <c r="R506" s="21" t="str">
        <f>IF($N506&gt;المرجع!$K$3,"متقدم",IF($N506&lt;=المرجع!$K$2,"أولي","جزئي"))</f>
        <v>متقدم</v>
      </c>
    </row>
    <row r="507" spans="1:18">
      <c r="A507" s="16" t="s">
        <v>1947</v>
      </c>
      <c r="B507" s="16" t="s">
        <v>208</v>
      </c>
      <c r="C507" s="15" t="str">
        <f>IFERROR(INDEX('قائمة الوحدات'!$B$2:$B$41,MATCH($B507,'قائمة الوحدات'!$A$2:$A$41,0)),"")</f>
        <v>MIL</v>
      </c>
      <c r="D507" s="14" t="str">
        <f>IFERROR(INDEX('قائمة الوحدات'!$C$2:$C$41,MATCH($B507,'قائمة الوحدات'!$A$2:$A$41,0)),"")</f>
        <v>الجهاز العسكري</v>
      </c>
      <c r="E507" s="14" t="str">
        <f>IFERROR(INDEX('قائمة الوحدات'!$D$2:$D$41,MATCH($B507,'قائمة الوحدات'!$A$2:$A$41,0)),"")</f>
        <v>الإدارة العامة للإمداد والتموين</v>
      </c>
      <c r="F507" s="14" t="str">
        <f>IFERROR(INDEX('قائمة الوحدات'!$F$2:$F$41,MATCH($B507,'قائمة الوحدات'!$A$2:$A$41,0)),"")</f>
        <v>الإدارة العامة للإمداد والتموين</v>
      </c>
      <c r="G507" s="16" t="s">
        <v>43</v>
      </c>
      <c r="H507" s="14" t="str">
        <f>IFERROR(INDEX(المرجع!$A$2:$A$19,MATCH($G507,المرجع!$B$2:$B$19,0)),"")</f>
        <v>التصميم</v>
      </c>
      <c r="I507" s="16" t="s">
        <v>48</v>
      </c>
      <c r="J507" s="14" t="str">
        <f>IFERROR(INDEX(المرجع!$D$2:$D$19,MATCH($I507,المرجع!$E$2:$E$19,0)),"")</f>
        <v>الأهداف ومؤشرات الأداء</v>
      </c>
      <c r="K507" s="15">
        <f>IFERROR(INDEX(المرجع!$F$2:$F$19,MATCH($I507,المرجع!$E$2:$E$19,0)),"")</f>
        <v>2</v>
      </c>
      <c r="L507" s="15">
        <f>SUMIFS(المرجع!$H$2:$H$19,المرجع!$B$2:$B$19,$G507,المرجع!$E$2:$E$19,$I507)</f>
        <v>2</v>
      </c>
      <c r="M507" s="15">
        <f>COUNTIFS('المرتبطة بسمو الوزير'!$B$2:$B$151,$B507,'المرتبطة بسمو الوزير'!$G$2:$G$151,$G507,'المرتبطة بسمو الوزير'!$I$2:$I$151,$I507,'المرتبطة بسمو الوزير'!$M$2:$M$151,"&lt;&gt;")+COUNTIFS('الشؤون التنفيذية'!$B$2:$B$421,$B507,'الشؤون التنفيذية'!$G$2:$G$421,$G507,'الشؤون التنفيذية'!$I$2:$I$421,$I507,'الشؤون التنفيذية'!$N$2:$N$421,"&lt;&gt;")+COUNTIFS('الجهاز العسكري'!$B$2:$B$631,$B507,'الجهاز العسكري'!$G$2:$G$631,$G507,'الجهاز العسكري'!$I$2:$I$631,$I507,'الجهاز العسكري'!$M$2:$M$631,"&lt;&gt;")</f>
        <v>2</v>
      </c>
      <c r="N507" s="19">
        <f>IF($L507=0,0,ROUND((SUMIFS('المرتبطة بسمو الوزير'!$M$2:$M$151,'المرتبطة بسمو الوزير'!$B$2:$B$151,$B507,'المرتبطة بسمو الوزير'!$G$2:$G$151,$G507,'المرتبطة بسمو الوزير'!$I$2:$I$151,$I507)+SUMIFS('الشؤون التنفيذية'!$N$2:$N$421,'الشؤون التنفيذية'!$B$2:$B$421,$B507,'الشؤون التنفيذية'!$G$2:$G$421,$G507,'الشؤون التنفيذية'!$I$2:$I$421,$I507)+SUMIFS('الجهاز العسكري'!$M$2:$M$631,'الجهاز العسكري'!$B$2:$B$631,$B507,'الجهاز العسكري'!$G$2:$G$631,$G507,'الجهاز العسكري'!$I$2:$I$631,$I507))/$L507,0))</f>
        <v>100</v>
      </c>
      <c r="O507" s="18"/>
      <c r="P507" s="15">
        <f>SUMIFS(المرجع!$G$2:$G$19,المرجع!$B$2:$B$19,$G507,المرجع!$E$2:$E$19,$I507)</f>
        <v>15</v>
      </c>
      <c r="Q507" s="20">
        <f t="shared" si="8"/>
        <v>15</v>
      </c>
      <c r="R507" s="21" t="str">
        <f>IF($N507&gt;المرجع!$K$3,"متقدم",IF($N507&lt;=المرجع!$K$2,"أولي","جزئي"))</f>
        <v>متقدم</v>
      </c>
    </row>
    <row r="508" spans="1:18">
      <c r="A508" s="16" t="s">
        <v>1948</v>
      </c>
      <c r="B508" s="16" t="s">
        <v>208</v>
      </c>
      <c r="C508" s="15" t="str">
        <f>IFERROR(INDEX('قائمة الوحدات'!$B$2:$B$41,MATCH($B508,'قائمة الوحدات'!$A$2:$A$41,0)),"")</f>
        <v>MIL</v>
      </c>
      <c r="D508" s="14" t="str">
        <f>IFERROR(INDEX('قائمة الوحدات'!$C$2:$C$41,MATCH($B508,'قائمة الوحدات'!$A$2:$A$41,0)),"")</f>
        <v>الجهاز العسكري</v>
      </c>
      <c r="E508" s="14" t="str">
        <f>IFERROR(INDEX('قائمة الوحدات'!$D$2:$D$41,MATCH($B508,'قائمة الوحدات'!$A$2:$A$41,0)),"")</f>
        <v>الإدارة العامة للإمداد والتموين</v>
      </c>
      <c r="F508" s="14" t="str">
        <f>IFERROR(INDEX('قائمة الوحدات'!$F$2:$F$41,MATCH($B508,'قائمة الوحدات'!$A$2:$A$41,0)),"")</f>
        <v>الإدارة العامة للإمداد والتموين</v>
      </c>
      <c r="G508" s="16" t="s">
        <v>43</v>
      </c>
      <c r="H508" s="14" t="str">
        <f>IFERROR(INDEX(المرجع!$A$2:$A$19,MATCH($G508,المرجع!$B$2:$B$19,0)),"")</f>
        <v>التصميم</v>
      </c>
      <c r="I508" s="16" t="s">
        <v>51</v>
      </c>
      <c r="J508" s="14" t="str">
        <f>IFERROR(INDEX(المرجع!$D$2:$D$19,MATCH($I508,المرجع!$E$2:$E$19,0)),"")</f>
        <v>الحوكمة</v>
      </c>
      <c r="K508" s="15">
        <f>IFERROR(INDEX(المرجع!$F$2:$F$19,MATCH($I508,المرجع!$E$2:$E$19,0)),"")</f>
        <v>3</v>
      </c>
      <c r="L508" s="15">
        <f>SUMIFS(المرجع!$H$2:$H$19,المرجع!$B$2:$B$19,$G508,المرجع!$E$2:$E$19,$I508)</f>
        <v>1</v>
      </c>
      <c r="M508" s="15">
        <f>COUNTIFS('المرتبطة بسمو الوزير'!$B$2:$B$151,$B508,'المرتبطة بسمو الوزير'!$G$2:$G$151,$G508,'المرتبطة بسمو الوزير'!$I$2:$I$151,$I508,'المرتبطة بسمو الوزير'!$M$2:$M$151,"&lt;&gt;")+COUNTIFS('الشؤون التنفيذية'!$B$2:$B$421,$B508,'الشؤون التنفيذية'!$G$2:$G$421,$G508,'الشؤون التنفيذية'!$I$2:$I$421,$I508,'الشؤون التنفيذية'!$N$2:$N$421,"&lt;&gt;")+COUNTIFS('الجهاز العسكري'!$B$2:$B$631,$B508,'الجهاز العسكري'!$G$2:$G$631,$G508,'الجهاز العسكري'!$I$2:$I$631,$I508,'الجهاز العسكري'!$M$2:$M$631,"&lt;&gt;")</f>
        <v>1</v>
      </c>
      <c r="N508" s="19">
        <f>IF($L508=0,0,ROUND((SUMIFS('المرتبطة بسمو الوزير'!$M$2:$M$151,'المرتبطة بسمو الوزير'!$B$2:$B$151,$B508,'المرتبطة بسمو الوزير'!$G$2:$G$151,$G508,'المرتبطة بسمو الوزير'!$I$2:$I$151,$I508)+SUMIFS('الشؤون التنفيذية'!$N$2:$N$421,'الشؤون التنفيذية'!$B$2:$B$421,$B508,'الشؤون التنفيذية'!$G$2:$G$421,$G508,'الشؤون التنفيذية'!$I$2:$I$421,$I508)+SUMIFS('الجهاز العسكري'!$M$2:$M$631,'الجهاز العسكري'!$B$2:$B$631,$B508,'الجهاز العسكري'!$G$2:$G$631,$G508,'الجهاز العسكري'!$I$2:$I$631,$I508))/$L508,0))</f>
        <v>96</v>
      </c>
      <c r="O508" s="18"/>
      <c r="P508" s="15">
        <f>SUMIFS(المرجع!$G$2:$G$19,المرجع!$B$2:$B$19,$G508,المرجع!$E$2:$E$19,$I508)</f>
        <v>15</v>
      </c>
      <c r="Q508" s="20">
        <f t="shared" si="8"/>
        <v>14.4</v>
      </c>
      <c r="R508" s="21" t="str">
        <f>IF($N508&gt;المرجع!$K$3,"متقدم",IF($N508&lt;=المرجع!$K$2,"أولي","جزئي"))</f>
        <v>متقدم</v>
      </c>
    </row>
    <row r="509" spans="1:18">
      <c r="A509" s="16" t="s">
        <v>1949</v>
      </c>
      <c r="B509" s="16" t="s">
        <v>208</v>
      </c>
      <c r="C509" s="15" t="str">
        <f>IFERROR(INDEX('قائمة الوحدات'!$B$2:$B$41,MATCH($B509,'قائمة الوحدات'!$A$2:$A$41,0)),"")</f>
        <v>MIL</v>
      </c>
      <c r="D509" s="14" t="str">
        <f>IFERROR(INDEX('قائمة الوحدات'!$C$2:$C$41,MATCH($B509,'قائمة الوحدات'!$A$2:$A$41,0)),"")</f>
        <v>الجهاز العسكري</v>
      </c>
      <c r="E509" s="14" t="str">
        <f>IFERROR(INDEX('قائمة الوحدات'!$D$2:$D$41,MATCH($B509,'قائمة الوحدات'!$A$2:$A$41,0)),"")</f>
        <v>الإدارة العامة للإمداد والتموين</v>
      </c>
      <c r="F509" s="14" t="str">
        <f>IFERROR(INDEX('قائمة الوحدات'!$F$2:$F$41,MATCH($B509,'قائمة الوحدات'!$A$2:$A$41,0)),"")</f>
        <v>الإدارة العامة للإمداد والتموين</v>
      </c>
      <c r="G509" s="16" t="s">
        <v>43</v>
      </c>
      <c r="H509" s="14" t="str">
        <f>IFERROR(INDEX(المرجع!$A$2:$A$19,MATCH($G509,المرجع!$B$2:$B$19,0)),"")</f>
        <v>التصميم</v>
      </c>
      <c r="I509" s="16" t="s">
        <v>54</v>
      </c>
      <c r="J509" s="14" t="str">
        <f>IFERROR(INDEX(المرجع!$D$2:$D$19,MATCH($I509,المرجع!$E$2:$E$19,0)),"")</f>
        <v>التنظيم</v>
      </c>
      <c r="K509" s="15">
        <f>IFERROR(INDEX(المرجع!$F$2:$F$19,MATCH($I509,المرجع!$E$2:$E$19,0)),"")</f>
        <v>4</v>
      </c>
      <c r="L509" s="15">
        <f>SUMIFS(المرجع!$H$2:$H$19,المرجع!$B$2:$B$19,$G509,المرجع!$E$2:$E$19,$I509)</f>
        <v>1</v>
      </c>
      <c r="M509" s="15">
        <f>COUNTIFS('المرتبطة بسمو الوزير'!$B$2:$B$151,$B509,'المرتبطة بسمو الوزير'!$G$2:$G$151,$G509,'المرتبطة بسمو الوزير'!$I$2:$I$151,$I509,'المرتبطة بسمو الوزير'!$M$2:$M$151,"&lt;&gt;")+COUNTIFS('الشؤون التنفيذية'!$B$2:$B$421,$B509,'الشؤون التنفيذية'!$G$2:$G$421,$G509,'الشؤون التنفيذية'!$I$2:$I$421,$I509,'الشؤون التنفيذية'!$N$2:$N$421,"&lt;&gt;")+COUNTIFS('الجهاز العسكري'!$B$2:$B$631,$B509,'الجهاز العسكري'!$G$2:$G$631,$G509,'الجهاز العسكري'!$I$2:$I$631,$I509,'الجهاز العسكري'!$M$2:$M$631,"&lt;&gt;")</f>
        <v>1</v>
      </c>
      <c r="N509" s="19">
        <f>IF($L509=0,0,ROUND((SUMIFS('المرتبطة بسمو الوزير'!$M$2:$M$151,'المرتبطة بسمو الوزير'!$B$2:$B$151,$B509,'المرتبطة بسمو الوزير'!$G$2:$G$151,$G509,'المرتبطة بسمو الوزير'!$I$2:$I$151,$I509)+SUMIFS('الشؤون التنفيذية'!$N$2:$N$421,'الشؤون التنفيذية'!$B$2:$B$421,$B509,'الشؤون التنفيذية'!$G$2:$G$421,$G509,'الشؤون التنفيذية'!$I$2:$I$421,$I509)+SUMIFS('الجهاز العسكري'!$M$2:$M$631,'الجهاز العسكري'!$B$2:$B$631,$B509,'الجهاز العسكري'!$G$2:$G$631,$G509,'الجهاز العسكري'!$I$2:$I$631,$I509))/$L509,0))</f>
        <v>94</v>
      </c>
      <c r="O509" s="18"/>
      <c r="P509" s="15">
        <f>SUMIFS(المرجع!$G$2:$G$19,المرجع!$B$2:$B$19,$G509,المرجع!$E$2:$E$19,$I509)</f>
        <v>20</v>
      </c>
      <c r="Q509" s="20">
        <f t="shared" si="8"/>
        <v>18.8</v>
      </c>
      <c r="R509" s="21" t="str">
        <f>IF($N509&gt;المرجع!$K$3,"متقدم",IF($N509&lt;=المرجع!$K$2,"أولي","جزئي"))</f>
        <v>متقدم</v>
      </c>
    </row>
    <row r="510" spans="1:18">
      <c r="A510" s="16" t="s">
        <v>1950</v>
      </c>
      <c r="B510" s="16" t="s">
        <v>208</v>
      </c>
      <c r="C510" s="15" t="str">
        <f>IFERROR(INDEX('قائمة الوحدات'!$B$2:$B$41,MATCH($B510,'قائمة الوحدات'!$A$2:$A$41,0)),"")</f>
        <v>MIL</v>
      </c>
      <c r="D510" s="14" t="str">
        <f>IFERROR(INDEX('قائمة الوحدات'!$C$2:$C$41,MATCH($B510,'قائمة الوحدات'!$A$2:$A$41,0)),"")</f>
        <v>الجهاز العسكري</v>
      </c>
      <c r="E510" s="14" t="str">
        <f>IFERROR(INDEX('قائمة الوحدات'!$D$2:$D$41,MATCH($B510,'قائمة الوحدات'!$A$2:$A$41,0)),"")</f>
        <v>الإدارة العامة للإمداد والتموين</v>
      </c>
      <c r="F510" s="14" t="str">
        <f>IFERROR(INDEX('قائمة الوحدات'!$F$2:$F$41,MATCH($B510,'قائمة الوحدات'!$A$2:$A$41,0)),"")</f>
        <v>الإدارة العامة للإمداد والتموين</v>
      </c>
      <c r="G510" s="16" t="s">
        <v>43</v>
      </c>
      <c r="H510" s="14" t="str">
        <f>IFERROR(INDEX(المرجع!$A$2:$A$19,MATCH($G510,المرجع!$B$2:$B$19,0)),"")</f>
        <v>التصميم</v>
      </c>
      <c r="I510" s="16" t="s">
        <v>56</v>
      </c>
      <c r="J510" s="14" t="str">
        <f>IFERROR(INDEX(المرجع!$D$2:$D$19,MATCH($I510,المرجع!$E$2:$E$19,0)),"")</f>
        <v>الموارد</v>
      </c>
      <c r="K510" s="15">
        <f>IFERROR(INDEX(المرجع!$F$2:$F$19,MATCH($I510,المرجع!$E$2:$E$19,0)),"")</f>
        <v>5</v>
      </c>
      <c r="L510" s="15">
        <f>SUMIFS(المرجع!$H$2:$H$19,المرجع!$B$2:$B$19,$G510,المرجع!$E$2:$E$19,$I510)</f>
        <v>1</v>
      </c>
      <c r="M510" s="15">
        <f>COUNTIFS('المرتبطة بسمو الوزير'!$B$2:$B$151,$B510,'المرتبطة بسمو الوزير'!$G$2:$G$151,$G510,'المرتبطة بسمو الوزير'!$I$2:$I$151,$I510,'المرتبطة بسمو الوزير'!$M$2:$M$151,"&lt;&gt;")+COUNTIFS('الشؤون التنفيذية'!$B$2:$B$421,$B510,'الشؤون التنفيذية'!$G$2:$G$421,$G510,'الشؤون التنفيذية'!$I$2:$I$421,$I510,'الشؤون التنفيذية'!$N$2:$N$421,"&lt;&gt;")+COUNTIFS('الجهاز العسكري'!$B$2:$B$631,$B510,'الجهاز العسكري'!$G$2:$G$631,$G510,'الجهاز العسكري'!$I$2:$I$631,$I510,'الجهاز العسكري'!$M$2:$M$631,"&lt;&gt;")</f>
        <v>1</v>
      </c>
      <c r="N510" s="19">
        <f>IF($L510=0,0,ROUND((SUMIFS('المرتبطة بسمو الوزير'!$M$2:$M$151,'المرتبطة بسمو الوزير'!$B$2:$B$151,$B510,'المرتبطة بسمو الوزير'!$G$2:$G$151,$G510,'المرتبطة بسمو الوزير'!$I$2:$I$151,$I510)+SUMIFS('الشؤون التنفيذية'!$N$2:$N$421,'الشؤون التنفيذية'!$B$2:$B$421,$B510,'الشؤون التنفيذية'!$G$2:$G$421,$G510,'الشؤون التنفيذية'!$I$2:$I$421,$I510)+SUMIFS('الجهاز العسكري'!$M$2:$M$631,'الجهاز العسكري'!$B$2:$B$631,$B510,'الجهاز العسكري'!$G$2:$G$631,$G510,'الجهاز العسكري'!$I$2:$I$631,$I510))/$L510,0))</f>
        <v>97</v>
      </c>
      <c r="O510" s="18"/>
      <c r="P510" s="15">
        <f>SUMIFS(المرجع!$G$2:$G$19,المرجع!$B$2:$B$19,$G510,المرجع!$E$2:$E$19,$I510)</f>
        <v>20</v>
      </c>
      <c r="Q510" s="20">
        <f t="shared" si="8"/>
        <v>19.399999999999999</v>
      </c>
      <c r="R510" s="21" t="str">
        <f>IF($N510&gt;المرجع!$K$3,"متقدم",IF($N510&lt;=المرجع!$K$2,"أولي","جزئي"))</f>
        <v>متقدم</v>
      </c>
    </row>
    <row r="511" spans="1:18">
      <c r="A511" s="16" t="s">
        <v>1951</v>
      </c>
      <c r="B511" s="16" t="s">
        <v>208</v>
      </c>
      <c r="C511" s="15" t="str">
        <f>IFERROR(INDEX('قائمة الوحدات'!$B$2:$B$41,MATCH($B511,'قائمة الوحدات'!$A$2:$A$41,0)),"")</f>
        <v>MIL</v>
      </c>
      <c r="D511" s="14" t="str">
        <f>IFERROR(INDEX('قائمة الوحدات'!$C$2:$C$41,MATCH($B511,'قائمة الوحدات'!$A$2:$A$41,0)),"")</f>
        <v>الجهاز العسكري</v>
      </c>
      <c r="E511" s="14" t="str">
        <f>IFERROR(INDEX('قائمة الوحدات'!$D$2:$D$41,MATCH($B511,'قائمة الوحدات'!$A$2:$A$41,0)),"")</f>
        <v>الإدارة العامة للإمداد والتموين</v>
      </c>
      <c r="F511" s="14" t="str">
        <f>IFERROR(INDEX('قائمة الوحدات'!$F$2:$F$41,MATCH($B511,'قائمة الوحدات'!$A$2:$A$41,0)),"")</f>
        <v>الإدارة العامة للإمداد والتموين</v>
      </c>
      <c r="G511" s="16" t="s">
        <v>43</v>
      </c>
      <c r="H511" s="14" t="str">
        <f>IFERROR(INDEX(المرجع!$A$2:$A$19,MATCH($G511,المرجع!$B$2:$B$19,0)),"")</f>
        <v>التصميم</v>
      </c>
      <c r="I511" s="16" t="s">
        <v>59</v>
      </c>
      <c r="J511" s="14" t="str">
        <f>IFERROR(INDEX(المرجع!$D$2:$D$19,MATCH($I511,المرجع!$E$2:$E$19,0)),"")</f>
        <v>الإجراءات</v>
      </c>
      <c r="K511" s="15">
        <f>IFERROR(INDEX(المرجع!$F$2:$F$19,MATCH($I511,المرجع!$E$2:$E$19,0)),"")</f>
        <v>6</v>
      </c>
      <c r="L511" s="15">
        <f>SUMIFS(المرجع!$H$2:$H$19,المرجع!$B$2:$B$19,$G511,المرجع!$E$2:$E$19,$I511)</f>
        <v>1</v>
      </c>
      <c r="M511" s="15">
        <f>COUNTIFS('المرتبطة بسمو الوزير'!$B$2:$B$151,$B511,'المرتبطة بسمو الوزير'!$G$2:$G$151,$G511,'المرتبطة بسمو الوزير'!$I$2:$I$151,$I511,'المرتبطة بسمو الوزير'!$M$2:$M$151,"&lt;&gt;")+COUNTIFS('الشؤون التنفيذية'!$B$2:$B$421,$B511,'الشؤون التنفيذية'!$G$2:$G$421,$G511,'الشؤون التنفيذية'!$I$2:$I$421,$I511,'الشؤون التنفيذية'!$N$2:$N$421,"&lt;&gt;")+COUNTIFS('الجهاز العسكري'!$B$2:$B$631,$B511,'الجهاز العسكري'!$G$2:$G$631,$G511,'الجهاز العسكري'!$I$2:$I$631,$I511,'الجهاز العسكري'!$M$2:$M$631,"&lt;&gt;")</f>
        <v>1</v>
      </c>
      <c r="N511" s="19">
        <f>IF($L511=0,0,ROUND((SUMIFS('المرتبطة بسمو الوزير'!$M$2:$M$151,'المرتبطة بسمو الوزير'!$B$2:$B$151,$B511,'المرتبطة بسمو الوزير'!$G$2:$G$151,$G511,'المرتبطة بسمو الوزير'!$I$2:$I$151,$I511)+SUMIFS('الشؤون التنفيذية'!$N$2:$N$421,'الشؤون التنفيذية'!$B$2:$B$421,$B511,'الشؤون التنفيذية'!$G$2:$G$421,$G511,'الشؤون التنفيذية'!$I$2:$I$421,$I511)+SUMIFS('الجهاز العسكري'!$M$2:$M$631,'الجهاز العسكري'!$B$2:$B$631,$B511,'الجهاز العسكري'!$G$2:$G$631,$G511,'الجهاز العسكري'!$I$2:$I$631,$I511))/$L511,0))</f>
        <v>68</v>
      </c>
      <c r="O511" s="18"/>
      <c r="P511" s="15">
        <f>SUMIFS(المرجع!$G$2:$G$19,المرجع!$B$2:$B$19,$G511,المرجع!$E$2:$E$19,$I511)</f>
        <v>5</v>
      </c>
      <c r="Q511" s="20">
        <f t="shared" si="8"/>
        <v>3.4</v>
      </c>
      <c r="R511" s="21" t="str">
        <f>IF($N511&gt;المرجع!$K$3,"متقدم",IF($N511&lt;=المرجع!$K$2,"أولي","جزئي"))</f>
        <v>جزئي</v>
      </c>
    </row>
    <row r="512" spans="1:18">
      <c r="A512" s="16" t="s">
        <v>1952</v>
      </c>
      <c r="B512" s="16" t="s">
        <v>208</v>
      </c>
      <c r="C512" s="15" t="str">
        <f>IFERROR(INDEX('قائمة الوحدات'!$B$2:$B$41,MATCH($B512,'قائمة الوحدات'!$A$2:$A$41,0)),"")</f>
        <v>MIL</v>
      </c>
      <c r="D512" s="14" t="str">
        <f>IFERROR(INDEX('قائمة الوحدات'!$C$2:$C$41,MATCH($B512,'قائمة الوحدات'!$A$2:$A$41,0)),"")</f>
        <v>الجهاز العسكري</v>
      </c>
      <c r="E512" s="14" t="str">
        <f>IFERROR(INDEX('قائمة الوحدات'!$D$2:$D$41,MATCH($B512,'قائمة الوحدات'!$A$2:$A$41,0)),"")</f>
        <v>الإدارة العامة للإمداد والتموين</v>
      </c>
      <c r="F512" s="14" t="str">
        <f>IFERROR(INDEX('قائمة الوحدات'!$F$2:$F$41,MATCH($B512,'قائمة الوحدات'!$A$2:$A$41,0)),"")</f>
        <v>الإدارة العامة للإمداد والتموين</v>
      </c>
      <c r="G512" s="16" t="s">
        <v>61</v>
      </c>
      <c r="H512" s="14" t="str">
        <f>IFERROR(INDEX(المرجع!$A$2:$A$19,MATCH($G512,المرجع!$B$2:$B$19,0)),"")</f>
        <v>البناء المؤسسي</v>
      </c>
      <c r="I512" s="16" t="s">
        <v>45</v>
      </c>
      <c r="J512" s="14" t="str">
        <f>IFERROR(INDEX(المرجع!$D$2:$D$19,MATCH($I512,المرجع!$E$2:$E$19,0)),"")</f>
        <v>الدور</v>
      </c>
      <c r="K512" s="15">
        <f>IFERROR(INDEX(المرجع!$F$2:$F$19,MATCH($I512,المرجع!$E$2:$E$19,0)),"")</f>
        <v>1</v>
      </c>
      <c r="L512" s="15">
        <f>SUMIFS(المرجع!$H$2:$H$19,المرجع!$B$2:$B$19,$G512,المرجع!$E$2:$E$19,$I512)</f>
        <v>1</v>
      </c>
      <c r="M512" s="15">
        <f>COUNTIFS('المرتبطة بسمو الوزير'!$B$2:$B$151,$B512,'المرتبطة بسمو الوزير'!$G$2:$G$151,$G512,'المرتبطة بسمو الوزير'!$I$2:$I$151,$I512,'المرتبطة بسمو الوزير'!$M$2:$M$151,"&lt;&gt;")+COUNTIFS('الشؤون التنفيذية'!$B$2:$B$421,$B512,'الشؤون التنفيذية'!$G$2:$G$421,$G512,'الشؤون التنفيذية'!$I$2:$I$421,$I512,'الشؤون التنفيذية'!$N$2:$N$421,"&lt;&gt;")+COUNTIFS('الجهاز العسكري'!$B$2:$B$631,$B512,'الجهاز العسكري'!$G$2:$G$631,$G512,'الجهاز العسكري'!$I$2:$I$631,$I512,'الجهاز العسكري'!$M$2:$M$631,"&lt;&gt;")</f>
        <v>1</v>
      </c>
      <c r="N512" s="19">
        <f>IF($L512=0,0,ROUND((SUMIFS('المرتبطة بسمو الوزير'!$M$2:$M$151,'المرتبطة بسمو الوزير'!$B$2:$B$151,$B512,'المرتبطة بسمو الوزير'!$G$2:$G$151,$G512,'المرتبطة بسمو الوزير'!$I$2:$I$151,$I512)+SUMIFS('الشؤون التنفيذية'!$N$2:$N$421,'الشؤون التنفيذية'!$B$2:$B$421,$B512,'الشؤون التنفيذية'!$G$2:$G$421,$G512,'الشؤون التنفيذية'!$I$2:$I$421,$I512)+SUMIFS('الجهاز العسكري'!$M$2:$M$631,'الجهاز العسكري'!$B$2:$B$631,$B512,'الجهاز العسكري'!$G$2:$G$631,$G512,'الجهاز العسكري'!$I$2:$I$631,$I512))/$L512,0))</f>
        <v>70</v>
      </c>
      <c r="O512" s="18"/>
      <c r="P512" s="15">
        <f>SUMIFS(المرجع!$G$2:$G$19,المرجع!$B$2:$B$19,$G512,المرجع!$E$2:$E$19,$I512)</f>
        <v>15</v>
      </c>
      <c r="Q512" s="20">
        <f t="shared" si="8"/>
        <v>10.5</v>
      </c>
      <c r="R512" s="21" t="str">
        <f>IF($N512&gt;المرجع!$K$3,"متقدم",IF($N512&lt;=المرجع!$K$2,"أولي","جزئي"))</f>
        <v>جزئي</v>
      </c>
    </row>
    <row r="513" spans="1:18">
      <c r="A513" s="16" t="s">
        <v>1953</v>
      </c>
      <c r="B513" s="16" t="s">
        <v>208</v>
      </c>
      <c r="C513" s="15" t="str">
        <f>IFERROR(INDEX('قائمة الوحدات'!$B$2:$B$41,MATCH($B513,'قائمة الوحدات'!$A$2:$A$41,0)),"")</f>
        <v>MIL</v>
      </c>
      <c r="D513" s="14" t="str">
        <f>IFERROR(INDEX('قائمة الوحدات'!$C$2:$C$41,MATCH($B513,'قائمة الوحدات'!$A$2:$A$41,0)),"")</f>
        <v>الجهاز العسكري</v>
      </c>
      <c r="E513" s="14" t="str">
        <f>IFERROR(INDEX('قائمة الوحدات'!$D$2:$D$41,MATCH($B513,'قائمة الوحدات'!$A$2:$A$41,0)),"")</f>
        <v>الإدارة العامة للإمداد والتموين</v>
      </c>
      <c r="F513" s="14" t="str">
        <f>IFERROR(INDEX('قائمة الوحدات'!$F$2:$F$41,MATCH($B513,'قائمة الوحدات'!$A$2:$A$41,0)),"")</f>
        <v>الإدارة العامة للإمداد والتموين</v>
      </c>
      <c r="G513" s="16" t="s">
        <v>61</v>
      </c>
      <c r="H513" s="14" t="str">
        <f>IFERROR(INDEX(المرجع!$A$2:$A$19,MATCH($G513,المرجع!$B$2:$B$19,0)),"")</f>
        <v>البناء المؤسسي</v>
      </c>
      <c r="I513" s="16" t="s">
        <v>48</v>
      </c>
      <c r="J513" s="14" t="str">
        <f>IFERROR(INDEX(المرجع!$D$2:$D$19,MATCH($I513,المرجع!$E$2:$E$19,0)),"")</f>
        <v>الأهداف ومؤشرات الأداء</v>
      </c>
      <c r="K513" s="15">
        <f>IFERROR(INDEX(المرجع!$F$2:$F$19,MATCH($I513,المرجع!$E$2:$E$19,0)),"")</f>
        <v>2</v>
      </c>
      <c r="L513" s="15">
        <f>SUMIFS(المرجع!$H$2:$H$19,المرجع!$B$2:$B$19,$G513,المرجع!$E$2:$E$19,$I513)</f>
        <v>2</v>
      </c>
      <c r="M513" s="15">
        <f>COUNTIFS('المرتبطة بسمو الوزير'!$B$2:$B$151,$B513,'المرتبطة بسمو الوزير'!$G$2:$G$151,$G513,'المرتبطة بسمو الوزير'!$I$2:$I$151,$I513,'المرتبطة بسمو الوزير'!$M$2:$M$151,"&lt;&gt;")+COUNTIFS('الشؤون التنفيذية'!$B$2:$B$421,$B513,'الشؤون التنفيذية'!$G$2:$G$421,$G513,'الشؤون التنفيذية'!$I$2:$I$421,$I513,'الشؤون التنفيذية'!$N$2:$N$421,"&lt;&gt;")+COUNTIFS('الجهاز العسكري'!$B$2:$B$631,$B513,'الجهاز العسكري'!$G$2:$G$631,$G513,'الجهاز العسكري'!$I$2:$I$631,$I513,'الجهاز العسكري'!$M$2:$M$631,"&lt;&gt;")</f>
        <v>2</v>
      </c>
      <c r="N513" s="19">
        <f>IF($L513=0,0,ROUND((SUMIFS('المرتبطة بسمو الوزير'!$M$2:$M$151,'المرتبطة بسمو الوزير'!$B$2:$B$151,$B513,'المرتبطة بسمو الوزير'!$G$2:$G$151,$G513,'المرتبطة بسمو الوزير'!$I$2:$I$151,$I513)+SUMIFS('الشؤون التنفيذية'!$N$2:$N$421,'الشؤون التنفيذية'!$B$2:$B$421,$B513,'الشؤون التنفيذية'!$G$2:$G$421,$G513,'الشؤون التنفيذية'!$I$2:$I$421,$I513)+SUMIFS('الجهاز العسكري'!$M$2:$M$631,'الجهاز العسكري'!$B$2:$B$631,$B513,'الجهاز العسكري'!$G$2:$G$631,$G513,'الجهاز العسكري'!$I$2:$I$631,$I513))/$L513,0))</f>
        <v>75</v>
      </c>
      <c r="O513" s="18"/>
      <c r="P513" s="15">
        <f>SUMIFS(المرجع!$G$2:$G$19,المرجع!$B$2:$B$19,$G513,المرجع!$E$2:$E$19,$I513)</f>
        <v>15</v>
      </c>
      <c r="Q513" s="20">
        <f t="shared" si="8"/>
        <v>11.25</v>
      </c>
      <c r="R513" s="21" t="str">
        <f>IF($N513&gt;المرجع!$K$3,"متقدم",IF($N513&lt;=المرجع!$K$2,"أولي","جزئي"))</f>
        <v>متقدم</v>
      </c>
    </row>
    <row r="514" spans="1:18">
      <c r="A514" s="16" t="s">
        <v>1954</v>
      </c>
      <c r="B514" s="16" t="s">
        <v>208</v>
      </c>
      <c r="C514" s="15" t="str">
        <f>IFERROR(INDEX('قائمة الوحدات'!$B$2:$B$41,MATCH($B514,'قائمة الوحدات'!$A$2:$A$41,0)),"")</f>
        <v>MIL</v>
      </c>
      <c r="D514" s="14" t="str">
        <f>IFERROR(INDEX('قائمة الوحدات'!$C$2:$C$41,MATCH($B514,'قائمة الوحدات'!$A$2:$A$41,0)),"")</f>
        <v>الجهاز العسكري</v>
      </c>
      <c r="E514" s="14" t="str">
        <f>IFERROR(INDEX('قائمة الوحدات'!$D$2:$D$41,MATCH($B514,'قائمة الوحدات'!$A$2:$A$41,0)),"")</f>
        <v>الإدارة العامة للإمداد والتموين</v>
      </c>
      <c r="F514" s="14" t="str">
        <f>IFERROR(INDEX('قائمة الوحدات'!$F$2:$F$41,MATCH($B514,'قائمة الوحدات'!$A$2:$A$41,0)),"")</f>
        <v>الإدارة العامة للإمداد والتموين</v>
      </c>
      <c r="G514" s="16" t="s">
        <v>61</v>
      </c>
      <c r="H514" s="14" t="str">
        <f>IFERROR(INDEX(المرجع!$A$2:$A$19,MATCH($G514,المرجع!$B$2:$B$19,0)),"")</f>
        <v>البناء المؤسسي</v>
      </c>
      <c r="I514" s="16" t="s">
        <v>51</v>
      </c>
      <c r="J514" s="14" t="str">
        <f>IFERROR(INDEX(المرجع!$D$2:$D$19,MATCH($I514,المرجع!$E$2:$E$19,0)),"")</f>
        <v>الحوكمة</v>
      </c>
      <c r="K514" s="15">
        <f>IFERROR(INDEX(المرجع!$F$2:$F$19,MATCH($I514,المرجع!$E$2:$E$19,0)),"")</f>
        <v>3</v>
      </c>
      <c r="L514" s="15">
        <f>SUMIFS(المرجع!$H$2:$H$19,المرجع!$B$2:$B$19,$G514,المرجع!$E$2:$E$19,$I514)</f>
        <v>3</v>
      </c>
      <c r="M514" s="15">
        <f>COUNTIFS('المرتبطة بسمو الوزير'!$B$2:$B$151,$B514,'المرتبطة بسمو الوزير'!$G$2:$G$151,$G514,'المرتبطة بسمو الوزير'!$I$2:$I$151,$I514,'المرتبطة بسمو الوزير'!$M$2:$M$151,"&lt;&gt;")+COUNTIFS('الشؤون التنفيذية'!$B$2:$B$421,$B514,'الشؤون التنفيذية'!$G$2:$G$421,$G514,'الشؤون التنفيذية'!$I$2:$I$421,$I514,'الشؤون التنفيذية'!$N$2:$N$421,"&lt;&gt;")+COUNTIFS('الجهاز العسكري'!$B$2:$B$631,$B514,'الجهاز العسكري'!$G$2:$G$631,$G514,'الجهاز العسكري'!$I$2:$I$631,$I514,'الجهاز العسكري'!$M$2:$M$631,"&lt;&gt;")</f>
        <v>3</v>
      </c>
      <c r="N514" s="19">
        <f>IF($L514=0,0,ROUND((SUMIFS('المرتبطة بسمو الوزير'!$M$2:$M$151,'المرتبطة بسمو الوزير'!$B$2:$B$151,$B514,'المرتبطة بسمو الوزير'!$G$2:$G$151,$G514,'المرتبطة بسمو الوزير'!$I$2:$I$151,$I514)+SUMIFS('الشؤون التنفيذية'!$N$2:$N$421,'الشؤون التنفيذية'!$B$2:$B$421,$B514,'الشؤون التنفيذية'!$G$2:$G$421,$G514,'الشؤون التنفيذية'!$I$2:$I$421,$I514)+SUMIFS('الجهاز العسكري'!$M$2:$M$631,'الجهاز العسكري'!$B$2:$B$631,$B514,'الجهاز العسكري'!$G$2:$G$631,$G514,'الجهاز العسكري'!$I$2:$I$631,$I514))/$L514,0))</f>
        <v>87</v>
      </c>
      <c r="O514" s="18"/>
      <c r="P514" s="15">
        <f>SUMIFS(المرجع!$G$2:$G$19,المرجع!$B$2:$B$19,$G514,المرجع!$E$2:$E$19,$I514)</f>
        <v>15</v>
      </c>
      <c r="Q514" s="20">
        <f t="shared" ref="Q514:Q577" si="9">ROUND($P514*$N514/100,2)</f>
        <v>13.05</v>
      </c>
      <c r="R514" s="21" t="str">
        <f>IF($N514&gt;المرجع!$K$3,"متقدم",IF($N514&lt;=المرجع!$K$2,"أولي","جزئي"))</f>
        <v>متقدم</v>
      </c>
    </row>
    <row r="515" spans="1:18">
      <c r="A515" s="16" t="s">
        <v>1955</v>
      </c>
      <c r="B515" s="16" t="s">
        <v>208</v>
      </c>
      <c r="C515" s="15" t="str">
        <f>IFERROR(INDEX('قائمة الوحدات'!$B$2:$B$41,MATCH($B515,'قائمة الوحدات'!$A$2:$A$41,0)),"")</f>
        <v>MIL</v>
      </c>
      <c r="D515" s="14" t="str">
        <f>IFERROR(INDEX('قائمة الوحدات'!$C$2:$C$41,MATCH($B515,'قائمة الوحدات'!$A$2:$A$41,0)),"")</f>
        <v>الجهاز العسكري</v>
      </c>
      <c r="E515" s="14" t="str">
        <f>IFERROR(INDEX('قائمة الوحدات'!$D$2:$D$41,MATCH($B515,'قائمة الوحدات'!$A$2:$A$41,0)),"")</f>
        <v>الإدارة العامة للإمداد والتموين</v>
      </c>
      <c r="F515" s="14" t="str">
        <f>IFERROR(INDEX('قائمة الوحدات'!$F$2:$F$41,MATCH($B515,'قائمة الوحدات'!$A$2:$A$41,0)),"")</f>
        <v>الإدارة العامة للإمداد والتموين</v>
      </c>
      <c r="G515" s="16" t="s">
        <v>61</v>
      </c>
      <c r="H515" s="14" t="str">
        <f>IFERROR(INDEX(المرجع!$A$2:$A$19,MATCH($G515,المرجع!$B$2:$B$19,0)),"")</f>
        <v>البناء المؤسسي</v>
      </c>
      <c r="I515" s="16" t="s">
        <v>54</v>
      </c>
      <c r="J515" s="14" t="str">
        <f>IFERROR(INDEX(المرجع!$D$2:$D$19,MATCH($I515,المرجع!$E$2:$E$19,0)),"")</f>
        <v>التنظيم</v>
      </c>
      <c r="K515" s="15">
        <f>IFERROR(INDEX(المرجع!$F$2:$F$19,MATCH($I515,المرجع!$E$2:$E$19,0)),"")</f>
        <v>4</v>
      </c>
      <c r="L515" s="15">
        <f>SUMIFS(المرجع!$H$2:$H$19,المرجع!$B$2:$B$19,$G515,المرجع!$E$2:$E$19,$I515)</f>
        <v>3</v>
      </c>
      <c r="M515" s="15">
        <f>COUNTIFS('المرتبطة بسمو الوزير'!$B$2:$B$151,$B515,'المرتبطة بسمو الوزير'!$G$2:$G$151,$G515,'المرتبطة بسمو الوزير'!$I$2:$I$151,$I515,'المرتبطة بسمو الوزير'!$M$2:$M$151,"&lt;&gt;")+COUNTIFS('الشؤون التنفيذية'!$B$2:$B$421,$B515,'الشؤون التنفيذية'!$G$2:$G$421,$G515,'الشؤون التنفيذية'!$I$2:$I$421,$I515,'الشؤون التنفيذية'!$N$2:$N$421,"&lt;&gt;")+COUNTIFS('الجهاز العسكري'!$B$2:$B$631,$B515,'الجهاز العسكري'!$G$2:$G$631,$G515,'الجهاز العسكري'!$I$2:$I$631,$I515,'الجهاز العسكري'!$M$2:$M$631,"&lt;&gt;")</f>
        <v>3</v>
      </c>
      <c r="N515" s="19">
        <f>IF($L515=0,0,ROUND((SUMIFS('المرتبطة بسمو الوزير'!$M$2:$M$151,'المرتبطة بسمو الوزير'!$B$2:$B$151,$B515,'المرتبطة بسمو الوزير'!$G$2:$G$151,$G515,'المرتبطة بسمو الوزير'!$I$2:$I$151,$I515)+SUMIFS('الشؤون التنفيذية'!$N$2:$N$421,'الشؤون التنفيذية'!$B$2:$B$421,$B515,'الشؤون التنفيذية'!$G$2:$G$421,$G515,'الشؤون التنفيذية'!$I$2:$I$421,$I515)+SUMIFS('الجهاز العسكري'!$M$2:$M$631,'الجهاز العسكري'!$B$2:$B$631,$B515,'الجهاز العسكري'!$G$2:$G$631,$G515,'الجهاز العسكري'!$I$2:$I$631,$I515))/$L515,0))</f>
        <v>85</v>
      </c>
      <c r="O515" s="18"/>
      <c r="P515" s="15">
        <f>SUMIFS(المرجع!$G$2:$G$19,المرجع!$B$2:$B$19,$G515,المرجع!$E$2:$E$19,$I515)</f>
        <v>20</v>
      </c>
      <c r="Q515" s="20">
        <f t="shared" si="9"/>
        <v>17</v>
      </c>
      <c r="R515" s="21" t="str">
        <f>IF($N515&gt;المرجع!$K$3,"متقدم",IF($N515&lt;=المرجع!$K$2,"أولي","جزئي"))</f>
        <v>متقدم</v>
      </c>
    </row>
    <row r="516" spans="1:18">
      <c r="A516" s="16" t="s">
        <v>1956</v>
      </c>
      <c r="B516" s="16" t="s">
        <v>208</v>
      </c>
      <c r="C516" s="15" t="str">
        <f>IFERROR(INDEX('قائمة الوحدات'!$B$2:$B$41,MATCH($B516,'قائمة الوحدات'!$A$2:$A$41,0)),"")</f>
        <v>MIL</v>
      </c>
      <c r="D516" s="14" t="str">
        <f>IFERROR(INDEX('قائمة الوحدات'!$C$2:$C$41,MATCH($B516,'قائمة الوحدات'!$A$2:$A$41,0)),"")</f>
        <v>الجهاز العسكري</v>
      </c>
      <c r="E516" s="14" t="str">
        <f>IFERROR(INDEX('قائمة الوحدات'!$D$2:$D$41,MATCH($B516,'قائمة الوحدات'!$A$2:$A$41,0)),"")</f>
        <v>الإدارة العامة للإمداد والتموين</v>
      </c>
      <c r="F516" s="14" t="str">
        <f>IFERROR(INDEX('قائمة الوحدات'!$F$2:$F$41,MATCH($B516,'قائمة الوحدات'!$A$2:$A$41,0)),"")</f>
        <v>الإدارة العامة للإمداد والتموين</v>
      </c>
      <c r="G516" s="16" t="s">
        <v>61</v>
      </c>
      <c r="H516" s="14" t="str">
        <f>IFERROR(INDEX(المرجع!$A$2:$A$19,MATCH($G516,المرجع!$B$2:$B$19,0)),"")</f>
        <v>البناء المؤسسي</v>
      </c>
      <c r="I516" s="16" t="s">
        <v>56</v>
      </c>
      <c r="J516" s="14" t="str">
        <f>IFERROR(INDEX(المرجع!$D$2:$D$19,MATCH($I516,المرجع!$E$2:$E$19,0)),"")</f>
        <v>الموارد</v>
      </c>
      <c r="K516" s="15">
        <f>IFERROR(INDEX(المرجع!$F$2:$F$19,MATCH($I516,المرجع!$E$2:$E$19,0)),"")</f>
        <v>5</v>
      </c>
      <c r="L516" s="15">
        <f>SUMIFS(المرجع!$H$2:$H$19,المرجع!$B$2:$B$19,$G516,المرجع!$E$2:$E$19,$I516)</f>
        <v>4</v>
      </c>
      <c r="M516" s="15">
        <f>COUNTIFS('المرتبطة بسمو الوزير'!$B$2:$B$151,$B516,'المرتبطة بسمو الوزير'!$G$2:$G$151,$G516,'المرتبطة بسمو الوزير'!$I$2:$I$151,$I516,'المرتبطة بسمو الوزير'!$M$2:$M$151,"&lt;&gt;")+COUNTIFS('الشؤون التنفيذية'!$B$2:$B$421,$B516,'الشؤون التنفيذية'!$G$2:$G$421,$G516,'الشؤون التنفيذية'!$I$2:$I$421,$I516,'الشؤون التنفيذية'!$N$2:$N$421,"&lt;&gt;")+COUNTIFS('الجهاز العسكري'!$B$2:$B$631,$B516,'الجهاز العسكري'!$G$2:$G$631,$G516,'الجهاز العسكري'!$I$2:$I$631,$I516,'الجهاز العسكري'!$M$2:$M$631,"&lt;&gt;")</f>
        <v>4</v>
      </c>
      <c r="N516" s="19">
        <f>IF($L516=0,0,ROUND((SUMIFS('المرتبطة بسمو الوزير'!$M$2:$M$151,'المرتبطة بسمو الوزير'!$B$2:$B$151,$B516,'المرتبطة بسمو الوزير'!$G$2:$G$151,$G516,'المرتبطة بسمو الوزير'!$I$2:$I$151,$I516)+SUMIFS('الشؤون التنفيذية'!$N$2:$N$421,'الشؤون التنفيذية'!$B$2:$B$421,$B516,'الشؤون التنفيذية'!$G$2:$G$421,$G516,'الشؤون التنفيذية'!$I$2:$I$421,$I516)+SUMIFS('الجهاز العسكري'!$M$2:$M$631,'الجهاز العسكري'!$B$2:$B$631,$B516,'الجهاز العسكري'!$G$2:$G$631,$G516,'الجهاز العسكري'!$I$2:$I$631,$I516))/$L516,0))</f>
        <v>40</v>
      </c>
      <c r="O516" s="18"/>
      <c r="P516" s="15">
        <f>SUMIFS(المرجع!$G$2:$G$19,المرجع!$B$2:$B$19,$G516,المرجع!$E$2:$E$19,$I516)</f>
        <v>25</v>
      </c>
      <c r="Q516" s="20">
        <f t="shared" si="9"/>
        <v>10</v>
      </c>
      <c r="R516" s="21" t="str">
        <f>IF($N516&gt;المرجع!$K$3,"متقدم",IF($N516&lt;=المرجع!$K$2,"أولي","جزئي"))</f>
        <v>جزئي</v>
      </c>
    </row>
    <row r="517" spans="1:18">
      <c r="A517" s="16" t="s">
        <v>1957</v>
      </c>
      <c r="B517" s="16" t="s">
        <v>208</v>
      </c>
      <c r="C517" s="15" t="str">
        <f>IFERROR(INDEX('قائمة الوحدات'!$B$2:$B$41,MATCH($B517,'قائمة الوحدات'!$A$2:$A$41,0)),"")</f>
        <v>MIL</v>
      </c>
      <c r="D517" s="14" t="str">
        <f>IFERROR(INDEX('قائمة الوحدات'!$C$2:$C$41,MATCH($B517,'قائمة الوحدات'!$A$2:$A$41,0)),"")</f>
        <v>الجهاز العسكري</v>
      </c>
      <c r="E517" s="14" t="str">
        <f>IFERROR(INDEX('قائمة الوحدات'!$D$2:$D$41,MATCH($B517,'قائمة الوحدات'!$A$2:$A$41,0)),"")</f>
        <v>الإدارة العامة للإمداد والتموين</v>
      </c>
      <c r="F517" s="14" t="str">
        <f>IFERROR(INDEX('قائمة الوحدات'!$F$2:$F$41,MATCH($B517,'قائمة الوحدات'!$A$2:$A$41,0)),"")</f>
        <v>الإدارة العامة للإمداد والتموين</v>
      </c>
      <c r="G517" s="16" t="s">
        <v>61</v>
      </c>
      <c r="H517" s="14" t="str">
        <f>IFERROR(INDEX(المرجع!$A$2:$A$19,MATCH($G517,المرجع!$B$2:$B$19,0)),"")</f>
        <v>البناء المؤسسي</v>
      </c>
      <c r="I517" s="16" t="s">
        <v>59</v>
      </c>
      <c r="J517" s="14" t="str">
        <f>IFERROR(INDEX(المرجع!$D$2:$D$19,MATCH($I517,المرجع!$E$2:$E$19,0)),"")</f>
        <v>الإجراءات</v>
      </c>
      <c r="K517" s="15">
        <f>IFERROR(INDEX(المرجع!$F$2:$F$19,MATCH($I517,المرجع!$E$2:$E$19,0)),"")</f>
        <v>6</v>
      </c>
      <c r="L517" s="15">
        <f>SUMIFS(المرجع!$H$2:$H$19,المرجع!$B$2:$B$19,$G517,المرجع!$E$2:$E$19,$I517)</f>
        <v>1</v>
      </c>
      <c r="M517" s="15">
        <f>COUNTIFS('المرتبطة بسمو الوزير'!$B$2:$B$151,$B517,'المرتبطة بسمو الوزير'!$G$2:$G$151,$G517,'المرتبطة بسمو الوزير'!$I$2:$I$151,$I517,'المرتبطة بسمو الوزير'!$M$2:$M$151,"&lt;&gt;")+COUNTIFS('الشؤون التنفيذية'!$B$2:$B$421,$B517,'الشؤون التنفيذية'!$G$2:$G$421,$G517,'الشؤون التنفيذية'!$I$2:$I$421,$I517,'الشؤون التنفيذية'!$N$2:$N$421,"&lt;&gt;")+COUNTIFS('الجهاز العسكري'!$B$2:$B$631,$B517,'الجهاز العسكري'!$G$2:$G$631,$G517,'الجهاز العسكري'!$I$2:$I$631,$I517,'الجهاز العسكري'!$M$2:$M$631,"&lt;&gt;")</f>
        <v>1</v>
      </c>
      <c r="N517" s="19">
        <f>IF($L517=0,0,ROUND((SUMIFS('المرتبطة بسمو الوزير'!$M$2:$M$151,'المرتبطة بسمو الوزير'!$B$2:$B$151,$B517,'المرتبطة بسمو الوزير'!$G$2:$G$151,$G517,'المرتبطة بسمو الوزير'!$I$2:$I$151,$I517)+SUMIFS('الشؤون التنفيذية'!$N$2:$N$421,'الشؤون التنفيذية'!$B$2:$B$421,$B517,'الشؤون التنفيذية'!$G$2:$G$421,$G517,'الشؤون التنفيذية'!$I$2:$I$421,$I517)+SUMIFS('الجهاز العسكري'!$M$2:$M$631,'الجهاز العسكري'!$B$2:$B$631,$B517,'الجهاز العسكري'!$G$2:$G$631,$G517,'الجهاز العسكري'!$I$2:$I$631,$I517))/$L517,0))</f>
        <v>44</v>
      </c>
      <c r="O517" s="18"/>
      <c r="P517" s="15">
        <f>SUMIFS(المرجع!$G$2:$G$19,المرجع!$B$2:$B$19,$G517,المرجع!$E$2:$E$19,$I517)</f>
        <v>5</v>
      </c>
      <c r="Q517" s="20">
        <f t="shared" si="9"/>
        <v>2.2000000000000002</v>
      </c>
      <c r="R517" s="21" t="str">
        <f>IF($N517&gt;المرجع!$K$3,"متقدم",IF($N517&lt;=المرجع!$K$2,"أولي","جزئي"))</f>
        <v>جزئي</v>
      </c>
    </row>
    <row r="518" spans="1:18">
      <c r="A518" s="16" t="s">
        <v>1958</v>
      </c>
      <c r="B518" s="16" t="s">
        <v>208</v>
      </c>
      <c r="C518" s="15" t="str">
        <f>IFERROR(INDEX('قائمة الوحدات'!$B$2:$B$41,MATCH($B518,'قائمة الوحدات'!$A$2:$A$41,0)),"")</f>
        <v>MIL</v>
      </c>
      <c r="D518" s="14" t="str">
        <f>IFERROR(INDEX('قائمة الوحدات'!$C$2:$C$41,MATCH($B518,'قائمة الوحدات'!$A$2:$A$41,0)),"")</f>
        <v>الجهاز العسكري</v>
      </c>
      <c r="E518" s="14" t="str">
        <f>IFERROR(INDEX('قائمة الوحدات'!$D$2:$D$41,MATCH($B518,'قائمة الوحدات'!$A$2:$A$41,0)),"")</f>
        <v>الإدارة العامة للإمداد والتموين</v>
      </c>
      <c r="F518" s="14" t="str">
        <f>IFERROR(INDEX('قائمة الوحدات'!$F$2:$F$41,MATCH($B518,'قائمة الوحدات'!$A$2:$A$41,0)),"")</f>
        <v>الإدارة العامة للإمداد والتموين</v>
      </c>
      <c r="G518" s="16" t="s">
        <v>61</v>
      </c>
      <c r="H518" s="14" t="str">
        <f>IFERROR(INDEX(المرجع!$A$2:$A$19,MATCH($G518,المرجع!$B$2:$B$19,0)),"")</f>
        <v>البناء المؤسسي</v>
      </c>
      <c r="I518" s="16" t="s">
        <v>63</v>
      </c>
      <c r="J518" s="14" t="str">
        <f>IFERROR(INDEX(المرجع!$D$2:$D$19,MATCH($I518,المرجع!$E$2:$E$19,0)),"")</f>
        <v>إنتاج المخرج الأول</v>
      </c>
      <c r="K518" s="15">
        <f>IFERROR(INDEX(المرجع!$F$2:$F$19,MATCH($I518,المرجع!$E$2:$E$19,0)),"")</f>
        <v>7</v>
      </c>
      <c r="L518" s="15">
        <f>SUMIFS(المرجع!$H$2:$H$19,المرجع!$B$2:$B$19,$G518,المرجع!$E$2:$E$19,$I518)</f>
        <v>1</v>
      </c>
      <c r="M518" s="15">
        <f>COUNTIFS('المرتبطة بسمو الوزير'!$B$2:$B$151,$B518,'المرتبطة بسمو الوزير'!$G$2:$G$151,$G518,'المرتبطة بسمو الوزير'!$I$2:$I$151,$I518,'المرتبطة بسمو الوزير'!$M$2:$M$151,"&lt;&gt;")+COUNTIFS('الشؤون التنفيذية'!$B$2:$B$421,$B518,'الشؤون التنفيذية'!$G$2:$G$421,$G518,'الشؤون التنفيذية'!$I$2:$I$421,$I518,'الشؤون التنفيذية'!$N$2:$N$421,"&lt;&gt;")+COUNTIFS('الجهاز العسكري'!$B$2:$B$631,$B518,'الجهاز العسكري'!$G$2:$G$631,$G518,'الجهاز العسكري'!$I$2:$I$631,$I518,'الجهاز العسكري'!$M$2:$M$631,"&lt;&gt;")</f>
        <v>1</v>
      </c>
      <c r="N518" s="19">
        <f>IF($L518=0,0,ROUND((SUMIFS('المرتبطة بسمو الوزير'!$M$2:$M$151,'المرتبطة بسمو الوزير'!$B$2:$B$151,$B518,'المرتبطة بسمو الوزير'!$G$2:$G$151,$G518,'المرتبطة بسمو الوزير'!$I$2:$I$151,$I518)+SUMIFS('الشؤون التنفيذية'!$N$2:$N$421,'الشؤون التنفيذية'!$B$2:$B$421,$B518,'الشؤون التنفيذية'!$G$2:$G$421,$G518,'الشؤون التنفيذية'!$I$2:$I$421,$I518)+SUMIFS('الجهاز العسكري'!$M$2:$M$631,'الجهاز العسكري'!$B$2:$B$631,$B518,'الجهاز العسكري'!$G$2:$G$631,$G518,'الجهاز العسكري'!$I$2:$I$631,$I518))/$L518,0))</f>
        <v>46</v>
      </c>
      <c r="O518" s="18"/>
      <c r="P518" s="15">
        <f>SUMIFS(المرجع!$G$2:$G$19,المرجع!$B$2:$B$19,$G518,المرجع!$E$2:$E$19,$I518)</f>
        <v>5</v>
      </c>
      <c r="Q518" s="20">
        <f t="shared" si="9"/>
        <v>2.2999999999999998</v>
      </c>
      <c r="R518" s="21" t="str">
        <f>IF($N518&gt;المرجع!$K$3,"متقدم",IF($N518&lt;=المرجع!$K$2,"أولي","جزئي"))</f>
        <v>جزئي</v>
      </c>
    </row>
    <row r="519" spans="1:18">
      <c r="A519" s="16" t="s">
        <v>1959</v>
      </c>
      <c r="B519" s="16" t="s">
        <v>208</v>
      </c>
      <c r="C519" s="15" t="str">
        <f>IFERROR(INDEX('قائمة الوحدات'!$B$2:$B$41,MATCH($B519,'قائمة الوحدات'!$A$2:$A$41,0)),"")</f>
        <v>MIL</v>
      </c>
      <c r="D519" s="14" t="str">
        <f>IFERROR(INDEX('قائمة الوحدات'!$C$2:$C$41,MATCH($B519,'قائمة الوحدات'!$A$2:$A$41,0)),"")</f>
        <v>الجهاز العسكري</v>
      </c>
      <c r="E519" s="14" t="str">
        <f>IFERROR(INDEX('قائمة الوحدات'!$D$2:$D$41,MATCH($B519,'قائمة الوحدات'!$A$2:$A$41,0)),"")</f>
        <v>الإدارة العامة للإمداد والتموين</v>
      </c>
      <c r="F519" s="14" t="str">
        <f>IFERROR(INDEX('قائمة الوحدات'!$F$2:$F$41,MATCH($B519,'قائمة الوحدات'!$A$2:$A$41,0)),"")</f>
        <v>الإدارة العامة للإمداد والتموين</v>
      </c>
      <c r="G519" s="16" t="s">
        <v>65</v>
      </c>
      <c r="H519" s="14" t="str">
        <f>IFERROR(INDEX(المرجع!$A$2:$A$19,MATCH($G519,المرجع!$B$2:$B$19,0)),"")</f>
        <v>التشغيل</v>
      </c>
      <c r="I519" s="16" t="s">
        <v>48</v>
      </c>
      <c r="J519" s="14" t="str">
        <f>IFERROR(INDEX(المرجع!$D$2:$D$19,MATCH($I519,المرجع!$E$2:$E$19,0)),"")</f>
        <v>الأهداف ومؤشرات الأداء</v>
      </c>
      <c r="K519" s="15">
        <f>IFERROR(INDEX(المرجع!$F$2:$F$19,MATCH($I519,المرجع!$E$2:$E$19,0)),"")</f>
        <v>2</v>
      </c>
      <c r="L519" s="15">
        <f>SUMIFS(المرجع!$H$2:$H$19,المرجع!$B$2:$B$19,$G519,المرجع!$E$2:$E$19,$I519)</f>
        <v>2</v>
      </c>
      <c r="M519" s="15">
        <f>COUNTIFS('المرتبطة بسمو الوزير'!$B$2:$B$151,$B519,'المرتبطة بسمو الوزير'!$G$2:$G$151,$G519,'المرتبطة بسمو الوزير'!$I$2:$I$151,$I519,'المرتبطة بسمو الوزير'!$M$2:$M$151,"&lt;&gt;")+COUNTIFS('الشؤون التنفيذية'!$B$2:$B$421,$B519,'الشؤون التنفيذية'!$G$2:$G$421,$G519,'الشؤون التنفيذية'!$I$2:$I$421,$I519,'الشؤون التنفيذية'!$N$2:$N$421,"&lt;&gt;")+COUNTIFS('الجهاز العسكري'!$B$2:$B$631,$B519,'الجهاز العسكري'!$G$2:$G$631,$G519,'الجهاز العسكري'!$I$2:$I$631,$I519,'الجهاز العسكري'!$M$2:$M$631,"&lt;&gt;")</f>
        <v>2</v>
      </c>
      <c r="N519" s="19">
        <f>IF($L519=0,0,ROUND((SUMIFS('المرتبطة بسمو الوزير'!$M$2:$M$151,'المرتبطة بسمو الوزير'!$B$2:$B$151,$B519,'المرتبطة بسمو الوزير'!$G$2:$G$151,$G519,'المرتبطة بسمو الوزير'!$I$2:$I$151,$I519)+SUMIFS('الشؤون التنفيذية'!$N$2:$N$421,'الشؤون التنفيذية'!$B$2:$B$421,$B519,'الشؤون التنفيذية'!$G$2:$G$421,$G519,'الشؤون التنفيذية'!$I$2:$I$421,$I519)+SUMIFS('الجهاز العسكري'!$M$2:$M$631,'الجهاز العسكري'!$B$2:$B$631,$B519,'الجهاز العسكري'!$G$2:$G$631,$G519,'الجهاز العسكري'!$I$2:$I$631,$I519))/$L519,0))</f>
        <v>60</v>
      </c>
      <c r="O519" s="18"/>
      <c r="P519" s="15">
        <f>SUMIFS(المرجع!$G$2:$G$19,المرجع!$B$2:$B$19,$G519,المرجع!$E$2:$E$19,$I519)</f>
        <v>25</v>
      </c>
      <c r="Q519" s="20">
        <f t="shared" si="9"/>
        <v>15</v>
      </c>
      <c r="R519" s="21" t="str">
        <f>IF($N519&gt;المرجع!$K$3,"متقدم",IF($N519&lt;=المرجع!$K$2,"أولي","جزئي"))</f>
        <v>جزئي</v>
      </c>
    </row>
    <row r="520" spans="1:18">
      <c r="A520" s="16" t="s">
        <v>1960</v>
      </c>
      <c r="B520" s="16" t="s">
        <v>208</v>
      </c>
      <c r="C520" s="15" t="str">
        <f>IFERROR(INDEX('قائمة الوحدات'!$B$2:$B$41,MATCH($B520,'قائمة الوحدات'!$A$2:$A$41,0)),"")</f>
        <v>MIL</v>
      </c>
      <c r="D520" s="14" t="str">
        <f>IFERROR(INDEX('قائمة الوحدات'!$C$2:$C$41,MATCH($B520,'قائمة الوحدات'!$A$2:$A$41,0)),"")</f>
        <v>الجهاز العسكري</v>
      </c>
      <c r="E520" s="14" t="str">
        <f>IFERROR(INDEX('قائمة الوحدات'!$D$2:$D$41,MATCH($B520,'قائمة الوحدات'!$A$2:$A$41,0)),"")</f>
        <v>الإدارة العامة للإمداد والتموين</v>
      </c>
      <c r="F520" s="14" t="str">
        <f>IFERROR(INDEX('قائمة الوحدات'!$F$2:$F$41,MATCH($B520,'قائمة الوحدات'!$A$2:$A$41,0)),"")</f>
        <v>الإدارة العامة للإمداد والتموين</v>
      </c>
      <c r="G520" s="16" t="s">
        <v>65</v>
      </c>
      <c r="H520" s="14" t="str">
        <f>IFERROR(INDEX(المرجع!$A$2:$A$19,MATCH($G520,المرجع!$B$2:$B$19,0)),"")</f>
        <v>التشغيل</v>
      </c>
      <c r="I520" s="16" t="s">
        <v>51</v>
      </c>
      <c r="J520" s="14" t="str">
        <f>IFERROR(INDEX(المرجع!$D$2:$D$19,MATCH($I520,المرجع!$E$2:$E$19,0)),"")</f>
        <v>الحوكمة</v>
      </c>
      <c r="K520" s="15">
        <f>IFERROR(INDEX(المرجع!$F$2:$F$19,MATCH($I520,المرجع!$E$2:$E$19,0)),"")</f>
        <v>3</v>
      </c>
      <c r="L520" s="15">
        <f>SUMIFS(المرجع!$H$2:$H$19,المرجع!$B$2:$B$19,$G520,المرجع!$E$2:$E$19,$I520)</f>
        <v>3</v>
      </c>
      <c r="M520" s="15">
        <f>COUNTIFS('المرتبطة بسمو الوزير'!$B$2:$B$151,$B520,'المرتبطة بسمو الوزير'!$G$2:$G$151,$G520,'المرتبطة بسمو الوزير'!$I$2:$I$151,$I520,'المرتبطة بسمو الوزير'!$M$2:$M$151,"&lt;&gt;")+COUNTIFS('الشؤون التنفيذية'!$B$2:$B$421,$B520,'الشؤون التنفيذية'!$G$2:$G$421,$G520,'الشؤون التنفيذية'!$I$2:$I$421,$I520,'الشؤون التنفيذية'!$N$2:$N$421,"&lt;&gt;")+COUNTIFS('الجهاز العسكري'!$B$2:$B$631,$B520,'الجهاز العسكري'!$G$2:$G$631,$G520,'الجهاز العسكري'!$I$2:$I$631,$I520,'الجهاز العسكري'!$M$2:$M$631,"&lt;&gt;")</f>
        <v>3</v>
      </c>
      <c r="N520" s="19">
        <f>IF($L520=0,0,ROUND((SUMIFS('المرتبطة بسمو الوزير'!$M$2:$M$151,'المرتبطة بسمو الوزير'!$B$2:$B$151,$B520,'المرتبطة بسمو الوزير'!$G$2:$G$151,$G520,'المرتبطة بسمو الوزير'!$I$2:$I$151,$I520)+SUMIFS('الشؤون التنفيذية'!$N$2:$N$421,'الشؤون التنفيذية'!$B$2:$B$421,$B520,'الشؤون التنفيذية'!$G$2:$G$421,$G520,'الشؤون التنفيذية'!$I$2:$I$421,$I520)+SUMIFS('الجهاز العسكري'!$M$2:$M$631,'الجهاز العسكري'!$B$2:$B$631,$B520,'الجهاز العسكري'!$G$2:$G$631,$G520,'الجهاز العسكري'!$I$2:$I$631,$I520))/$L520,0))</f>
        <v>28</v>
      </c>
      <c r="O520" s="18"/>
      <c r="P520" s="15">
        <f>SUMIFS(المرجع!$G$2:$G$19,المرجع!$B$2:$B$19,$G520,المرجع!$E$2:$E$19,$I520)</f>
        <v>15</v>
      </c>
      <c r="Q520" s="20">
        <f t="shared" si="9"/>
        <v>4.2</v>
      </c>
      <c r="R520" s="21" t="str">
        <f>IF($N520&gt;المرجع!$K$3,"متقدم",IF($N520&lt;=المرجع!$K$2,"أولي","جزئي"))</f>
        <v>أولي</v>
      </c>
    </row>
    <row r="521" spans="1:18">
      <c r="A521" s="16" t="s">
        <v>1961</v>
      </c>
      <c r="B521" s="16" t="s">
        <v>208</v>
      </c>
      <c r="C521" s="15" t="str">
        <f>IFERROR(INDEX('قائمة الوحدات'!$B$2:$B$41,MATCH($B521,'قائمة الوحدات'!$A$2:$A$41,0)),"")</f>
        <v>MIL</v>
      </c>
      <c r="D521" s="14" t="str">
        <f>IFERROR(INDEX('قائمة الوحدات'!$C$2:$C$41,MATCH($B521,'قائمة الوحدات'!$A$2:$A$41,0)),"")</f>
        <v>الجهاز العسكري</v>
      </c>
      <c r="E521" s="14" t="str">
        <f>IFERROR(INDEX('قائمة الوحدات'!$D$2:$D$41,MATCH($B521,'قائمة الوحدات'!$A$2:$A$41,0)),"")</f>
        <v>الإدارة العامة للإمداد والتموين</v>
      </c>
      <c r="F521" s="14" t="str">
        <f>IFERROR(INDEX('قائمة الوحدات'!$F$2:$F$41,MATCH($B521,'قائمة الوحدات'!$A$2:$A$41,0)),"")</f>
        <v>الإدارة العامة للإمداد والتموين</v>
      </c>
      <c r="G521" s="16" t="s">
        <v>65</v>
      </c>
      <c r="H521" s="14" t="str">
        <f>IFERROR(INDEX(المرجع!$A$2:$A$19,MATCH($G521,المرجع!$B$2:$B$19,0)),"")</f>
        <v>التشغيل</v>
      </c>
      <c r="I521" s="16" t="s">
        <v>56</v>
      </c>
      <c r="J521" s="14" t="str">
        <f>IFERROR(INDEX(المرجع!$D$2:$D$19,MATCH($I521,المرجع!$E$2:$E$19,0)),"")</f>
        <v>الموارد</v>
      </c>
      <c r="K521" s="15">
        <f>IFERROR(INDEX(المرجع!$F$2:$F$19,MATCH($I521,المرجع!$E$2:$E$19,0)),"")</f>
        <v>5</v>
      </c>
      <c r="L521" s="15">
        <f>SUMIFS(المرجع!$H$2:$H$19,المرجع!$B$2:$B$19,$G521,المرجع!$E$2:$E$19,$I521)</f>
        <v>1</v>
      </c>
      <c r="M521" s="15">
        <f>COUNTIFS('المرتبطة بسمو الوزير'!$B$2:$B$151,$B521,'المرتبطة بسمو الوزير'!$G$2:$G$151,$G521,'المرتبطة بسمو الوزير'!$I$2:$I$151,$I521,'المرتبطة بسمو الوزير'!$M$2:$M$151,"&lt;&gt;")+COUNTIFS('الشؤون التنفيذية'!$B$2:$B$421,$B521,'الشؤون التنفيذية'!$G$2:$G$421,$G521,'الشؤون التنفيذية'!$I$2:$I$421,$I521,'الشؤون التنفيذية'!$N$2:$N$421,"&lt;&gt;")+COUNTIFS('الجهاز العسكري'!$B$2:$B$631,$B521,'الجهاز العسكري'!$G$2:$G$631,$G521,'الجهاز العسكري'!$I$2:$I$631,$I521,'الجهاز العسكري'!$M$2:$M$631,"&lt;&gt;")</f>
        <v>1</v>
      </c>
      <c r="N521" s="19">
        <f>IF($L521=0,0,ROUND((SUMIFS('المرتبطة بسمو الوزير'!$M$2:$M$151,'المرتبطة بسمو الوزير'!$B$2:$B$151,$B521,'المرتبطة بسمو الوزير'!$G$2:$G$151,$G521,'المرتبطة بسمو الوزير'!$I$2:$I$151,$I521)+SUMIFS('الشؤون التنفيذية'!$N$2:$N$421,'الشؤون التنفيذية'!$B$2:$B$421,$B521,'الشؤون التنفيذية'!$G$2:$G$421,$G521,'الشؤون التنفيذية'!$I$2:$I$421,$I521)+SUMIFS('الجهاز العسكري'!$M$2:$M$631,'الجهاز العسكري'!$B$2:$B$631,$B521,'الجهاز العسكري'!$G$2:$G$631,$G521,'الجهاز العسكري'!$I$2:$I$631,$I521))/$L521,0))</f>
        <v>41</v>
      </c>
      <c r="O521" s="18"/>
      <c r="P521" s="15">
        <f>SUMIFS(المرجع!$G$2:$G$19,المرجع!$B$2:$B$19,$G521,المرجع!$E$2:$E$19,$I521)</f>
        <v>15</v>
      </c>
      <c r="Q521" s="20">
        <f t="shared" si="9"/>
        <v>6.15</v>
      </c>
      <c r="R521" s="21" t="str">
        <f>IF($N521&gt;المرجع!$K$3,"متقدم",IF($N521&lt;=المرجع!$K$2,"أولي","جزئي"))</f>
        <v>جزئي</v>
      </c>
    </row>
    <row r="522" spans="1:18">
      <c r="A522" s="16" t="s">
        <v>1962</v>
      </c>
      <c r="B522" s="16" t="s">
        <v>208</v>
      </c>
      <c r="C522" s="15" t="str">
        <f>IFERROR(INDEX('قائمة الوحدات'!$B$2:$B$41,MATCH($B522,'قائمة الوحدات'!$A$2:$A$41,0)),"")</f>
        <v>MIL</v>
      </c>
      <c r="D522" s="14" t="str">
        <f>IFERROR(INDEX('قائمة الوحدات'!$C$2:$C$41,MATCH($B522,'قائمة الوحدات'!$A$2:$A$41,0)),"")</f>
        <v>الجهاز العسكري</v>
      </c>
      <c r="E522" s="14" t="str">
        <f>IFERROR(INDEX('قائمة الوحدات'!$D$2:$D$41,MATCH($B522,'قائمة الوحدات'!$A$2:$A$41,0)),"")</f>
        <v>الإدارة العامة للإمداد والتموين</v>
      </c>
      <c r="F522" s="14" t="str">
        <f>IFERROR(INDEX('قائمة الوحدات'!$F$2:$F$41,MATCH($B522,'قائمة الوحدات'!$A$2:$A$41,0)),"")</f>
        <v>الإدارة العامة للإمداد والتموين</v>
      </c>
      <c r="G522" s="16" t="s">
        <v>65</v>
      </c>
      <c r="H522" s="14" t="str">
        <f>IFERROR(INDEX(المرجع!$A$2:$A$19,MATCH($G522,المرجع!$B$2:$B$19,0)),"")</f>
        <v>التشغيل</v>
      </c>
      <c r="I522" s="16" t="s">
        <v>59</v>
      </c>
      <c r="J522" s="14" t="str">
        <f>IFERROR(INDEX(المرجع!$D$2:$D$19,MATCH($I522,المرجع!$E$2:$E$19,0)),"")</f>
        <v>الإجراءات</v>
      </c>
      <c r="K522" s="15">
        <f>IFERROR(INDEX(المرجع!$F$2:$F$19,MATCH($I522,المرجع!$E$2:$E$19,0)),"")</f>
        <v>6</v>
      </c>
      <c r="L522" s="15">
        <f>SUMIFS(المرجع!$H$2:$H$19,المرجع!$B$2:$B$19,$G522,المرجع!$E$2:$E$19,$I522)</f>
        <v>1</v>
      </c>
      <c r="M522" s="15">
        <f>COUNTIFS('المرتبطة بسمو الوزير'!$B$2:$B$151,$B522,'المرتبطة بسمو الوزير'!$G$2:$G$151,$G522,'المرتبطة بسمو الوزير'!$I$2:$I$151,$I522,'المرتبطة بسمو الوزير'!$M$2:$M$151,"&lt;&gt;")+COUNTIFS('الشؤون التنفيذية'!$B$2:$B$421,$B522,'الشؤون التنفيذية'!$G$2:$G$421,$G522,'الشؤون التنفيذية'!$I$2:$I$421,$I522,'الشؤون التنفيذية'!$N$2:$N$421,"&lt;&gt;")+COUNTIFS('الجهاز العسكري'!$B$2:$B$631,$B522,'الجهاز العسكري'!$G$2:$G$631,$G522,'الجهاز العسكري'!$I$2:$I$631,$I522,'الجهاز العسكري'!$M$2:$M$631,"&lt;&gt;")</f>
        <v>1</v>
      </c>
      <c r="N522" s="19">
        <f>IF($L522=0,0,ROUND((SUMIFS('المرتبطة بسمو الوزير'!$M$2:$M$151,'المرتبطة بسمو الوزير'!$B$2:$B$151,$B522,'المرتبطة بسمو الوزير'!$G$2:$G$151,$G522,'المرتبطة بسمو الوزير'!$I$2:$I$151,$I522)+SUMIFS('الشؤون التنفيذية'!$N$2:$N$421,'الشؤون التنفيذية'!$B$2:$B$421,$B522,'الشؤون التنفيذية'!$G$2:$G$421,$G522,'الشؤون التنفيذية'!$I$2:$I$421,$I522)+SUMIFS('الجهاز العسكري'!$M$2:$M$631,'الجهاز العسكري'!$B$2:$B$631,$B522,'الجهاز العسكري'!$G$2:$G$631,$G522,'الجهاز العسكري'!$I$2:$I$631,$I522))/$L522,0))</f>
        <v>55</v>
      </c>
      <c r="O522" s="18"/>
      <c r="P522" s="15">
        <f>SUMIFS(المرجع!$G$2:$G$19,المرجع!$B$2:$B$19,$G522,المرجع!$E$2:$E$19,$I522)</f>
        <v>15</v>
      </c>
      <c r="Q522" s="20">
        <f t="shared" si="9"/>
        <v>8.25</v>
      </c>
      <c r="R522" s="21" t="str">
        <f>IF($N522&gt;المرجع!$K$3,"متقدم",IF($N522&lt;=المرجع!$K$2,"أولي","جزئي"))</f>
        <v>جزئي</v>
      </c>
    </row>
    <row r="523" spans="1:18">
      <c r="A523" s="16" t="s">
        <v>1963</v>
      </c>
      <c r="B523" s="16" t="s">
        <v>208</v>
      </c>
      <c r="C523" s="15" t="str">
        <f>IFERROR(INDEX('قائمة الوحدات'!$B$2:$B$41,MATCH($B523,'قائمة الوحدات'!$A$2:$A$41,0)),"")</f>
        <v>MIL</v>
      </c>
      <c r="D523" s="14" t="str">
        <f>IFERROR(INDEX('قائمة الوحدات'!$C$2:$C$41,MATCH($B523,'قائمة الوحدات'!$A$2:$A$41,0)),"")</f>
        <v>الجهاز العسكري</v>
      </c>
      <c r="E523" s="14" t="str">
        <f>IFERROR(INDEX('قائمة الوحدات'!$D$2:$D$41,MATCH($B523,'قائمة الوحدات'!$A$2:$A$41,0)),"")</f>
        <v>الإدارة العامة للإمداد والتموين</v>
      </c>
      <c r="F523" s="14" t="str">
        <f>IFERROR(INDEX('قائمة الوحدات'!$F$2:$F$41,MATCH($B523,'قائمة الوحدات'!$A$2:$A$41,0)),"")</f>
        <v>الإدارة العامة للإمداد والتموين</v>
      </c>
      <c r="G523" s="16" t="s">
        <v>65</v>
      </c>
      <c r="H523" s="14" t="str">
        <f>IFERROR(INDEX(المرجع!$A$2:$A$19,MATCH($G523,المرجع!$B$2:$B$19,0)),"")</f>
        <v>التشغيل</v>
      </c>
      <c r="I523" s="16" t="s">
        <v>67</v>
      </c>
      <c r="J523" s="14" t="str">
        <f>IFERROR(INDEX(المرجع!$D$2:$D$19,MATCH($I523,المرجع!$E$2:$E$19,0)),"")</f>
        <v>اكتمال المخرجات المستهدفة</v>
      </c>
      <c r="K523" s="15">
        <f>IFERROR(INDEX(المرجع!$F$2:$F$19,MATCH($I523,المرجع!$E$2:$E$19,0)),"")</f>
        <v>8</v>
      </c>
      <c r="L523" s="15">
        <f>SUMIFS(المرجع!$H$2:$H$19,المرجع!$B$2:$B$19,$G523,المرجع!$E$2:$E$19,$I523)</f>
        <v>1</v>
      </c>
      <c r="M523" s="15">
        <f>COUNTIFS('المرتبطة بسمو الوزير'!$B$2:$B$151,$B523,'المرتبطة بسمو الوزير'!$G$2:$G$151,$G523,'المرتبطة بسمو الوزير'!$I$2:$I$151,$I523,'المرتبطة بسمو الوزير'!$M$2:$M$151,"&lt;&gt;")+COUNTIFS('الشؤون التنفيذية'!$B$2:$B$421,$B523,'الشؤون التنفيذية'!$G$2:$G$421,$G523,'الشؤون التنفيذية'!$I$2:$I$421,$I523,'الشؤون التنفيذية'!$N$2:$N$421,"&lt;&gt;")+COUNTIFS('الجهاز العسكري'!$B$2:$B$631,$B523,'الجهاز العسكري'!$G$2:$G$631,$G523,'الجهاز العسكري'!$I$2:$I$631,$I523,'الجهاز العسكري'!$M$2:$M$631,"&lt;&gt;")</f>
        <v>1</v>
      </c>
      <c r="N523" s="19">
        <f>IF($L523=0,0,ROUND((SUMIFS('المرتبطة بسمو الوزير'!$M$2:$M$151,'المرتبطة بسمو الوزير'!$B$2:$B$151,$B523,'المرتبطة بسمو الوزير'!$G$2:$G$151,$G523,'المرتبطة بسمو الوزير'!$I$2:$I$151,$I523)+SUMIFS('الشؤون التنفيذية'!$N$2:$N$421,'الشؤون التنفيذية'!$B$2:$B$421,$B523,'الشؤون التنفيذية'!$G$2:$G$421,$G523,'الشؤون التنفيذية'!$I$2:$I$421,$I523)+SUMIFS('الجهاز العسكري'!$M$2:$M$631,'الجهاز العسكري'!$B$2:$B$631,$B523,'الجهاز العسكري'!$G$2:$G$631,$G523,'الجهاز العسكري'!$I$2:$I$631,$I523))/$L523,0))</f>
        <v>45</v>
      </c>
      <c r="O523" s="18"/>
      <c r="P523" s="15">
        <f>SUMIFS(المرجع!$G$2:$G$19,المرجع!$B$2:$B$19,$G523,المرجع!$E$2:$E$19,$I523)</f>
        <v>30</v>
      </c>
      <c r="Q523" s="20">
        <f t="shared" si="9"/>
        <v>13.5</v>
      </c>
      <c r="R523" s="21" t="str">
        <f>IF($N523&gt;المرجع!$K$3,"متقدم",IF($N523&lt;=المرجع!$K$2,"أولي","جزئي"))</f>
        <v>جزئي</v>
      </c>
    </row>
    <row r="524" spans="1:18">
      <c r="A524" s="16" t="s">
        <v>1964</v>
      </c>
      <c r="B524" s="16" t="s">
        <v>210</v>
      </c>
      <c r="C524" s="15" t="str">
        <f>IFERROR(INDEX('قائمة الوحدات'!$B$2:$B$41,MATCH($B524,'قائمة الوحدات'!$A$2:$A$41,0)),"")</f>
        <v>MIL</v>
      </c>
      <c r="D524" s="14" t="str">
        <f>IFERROR(INDEX('قائمة الوحدات'!$C$2:$C$41,MATCH($B524,'قائمة الوحدات'!$A$2:$A$41,0)),"")</f>
        <v>الجهاز العسكري</v>
      </c>
      <c r="E524" s="14" t="str">
        <f>IFERROR(INDEX('قائمة الوحدات'!$D$2:$D$41,MATCH($B524,'قائمة الوحدات'!$A$2:$A$41,0)),"")</f>
        <v>الإدارة العامة للاتصالات وتقنية المعلومات العسكرية</v>
      </c>
      <c r="F524" s="14" t="str">
        <f>IFERROR(INDEX('قائمة الوحدات'!$F$2:$F$41,MATCH($B524,'قائمة الوحدات'!$A$2:$A$41,0)),"")</f>
        <v>الإدارة العامة للاتصالات وتقنية المعلومات العسكرية</v>
      </c>
      <c r="G524" s="16" t="s">
        <v>43</v>
      </c>
      <c r="H524" s="14" t="str">
        <f>IFERROR(INDEX(المرجع!$A$2:$A$19,MATCH($G524,المرجع!$B$2:$B$19,0)),"")</f>
        <v>التصميم</v>
      </c>
      <c r="I524" s="16" t="s">
        <v>45</v>
      </c>
      <c r="J524" s="14" t="str">
        <f>IFERROR(INDEX(المرجع!$D$2:$D$19,MATCH($I524,المرجع!$E$2:$E$19,0)),"")</f>
        <v>الدور</v>
      </c>
      <c r="K524" s="15">
        <f>IFERROR(INDEX(المرجع!$F$2:$F$19,MATCH($I524,المرجع!$E$2:$E$19,0)),"")</f>
        <v>1</v>
      </c>
      <c r="L524" s="15">
        <f>SUMIFS(المرجع!$H$2:$H$19,المرجع!$B$2:$B$19,$G524,المرجع!$E$2:$E$19,$I524)</f>
        <v>1</v>
      </c>
      <c r="M524" s="15">
        <f>COUNTIFS('المرتبطة بسمو الوزير'!$B$2:$B$151,$B524,'المرتبطة بسمو الوزير'!$G$2:$G$151,$G524,'المرتبطة بسمو الوزير'!$I$2:$I$151,$I524,'المرتبطة بسمو الوزير'!$M$2:$M$151,"&lt;&gt;")+COUNTIFS('الشؤون التنفيذية'!$B$2:$B$421,$B524,'الشؤون التنفيذية'!$G$2:$G$421,$G524,'الشؤون التنفيذية'!$I$2:$I$421,$I524,'الشؤون التنفيذية'!$N$2:$N$421,"&lt;&gt;")+COUNTIFS('الجهاز العسكري'!$B$2:$B$631,$B524,'الجهاز العسكري'!$G$2:$G$631,$G524,'الجهاز العسكري'!$I$2:$I$631,$I524,'الجهاز العسكري'!$M$2:$M$631,"&lt;&gt;")</f>
        <v>1</v>
      </c>
      <c r="N524" s="19">
        <f>IF($L524=0,0,ROUND((SUMIFS('المرتبطة بسمو الوزير'!$M$2:$M$151,'المرتبطة بسمو الوزير'!$B$2:$B$151,$B524,'المرتبطة بسمو الوزير'!$G$2:$G$151,$G524,'المرتبطة بسمو الوزير'!$I$2:$I$151,$I524)+SUMIFS('الشؤون التنفيذية'!$N$2:$N$421,'الشؤون التنفيذية'!$B$2:$B$421,$B524,'الشؤون التنفيذية'!$G$2:$G$421,$G524,'الشؤون التنفيذية'!$I$2:$I$421,$I524)+SUMIFS('الجهاز العسكري'!$M$2:$M$631,'الجهاز العسكري'!$B$2:$B$631,$B524,'الجهاز العسكري'!$G$2:$G$631,$G524,'الجهاز العسكري'!$I$2:$I$631,$I524))/$L524,0))</f>
        <v>84</v>
      </c>
      <c r="O524" s="18"/>
      <c r="P524" s="15">
        <f>SUMIFS(المرجع!$G$2:$G$19,المرجع!$B$2:$B$19,$G524,المرجع!$E$2:$E$19,$I524)</f>
        <v>25</v>
      </c>
      <c r="Q524" s="20">
        <f t="shared" si="9"/>
        <v>21</v>
      </c>
      <c r="R524" s="21" t="str">
        <f>IF($N524&gt;المرجع!$K$3,"متقدم",IF($N524&lt;=المرجع!$K$2,"أولي","جزئي"))</f>
        <v>متقدم</v>
      </c>
    </row>
    <row r="525" spans="1:18">
      <c r="A525" s="16" t="s">
        <v>1965</v>
      </c>
      <c r="B525" s="16" t="s">
        <v>210</v>
      </c>
      <c r="C525" s="15" t="str">
        <f>IFERROR(INDEX('قائمة الوحدات'!$B$2:$B$41,MATCH($B525,'قائمة الوحدات'!$A$2:$A$41,0)),"")</f>
        <v>MIL</v>
      </c>
      <c r="D525" s="14" t="str">
        <f>IFERROR(INDEX('قائمة الوحدات'!$C$2:$C$41,MATCH($B525,'قائمة الوحدات'!$A$2:$A$41,0)),"")</f>
        <v>الجهاز العسكري</v>
      </c>
      <c r="E525" s="14" t="str">
        <f>IFERROR(INDEX('قائمة الوحدات'!$D$2:$D$41,MATCH($B525,'قائمة الوحدات'!$A$2:$A$41,0)),"")</f>
        <v>الإدارة العامة للاتصالات وتقنية المعلومات العسكرية</v>
      </c>
      <c r="F525" s="14" t="str">
        <f>IFERROR(INDEX('قائمة الوحدات'!$F$2:$F$41,MATCH($B525,'قائمة الوحدات'!$A$2:$A$41,0)),"")</f>
        <v>الإدارة العامة للاتصالات وتقنية المعلومات العسكرية</v>
      </c>
      <c r="G525" s="16" t="s">
        <v>43</v>
      </c>
      <c r="H525" s="14" t="str">
        <f>IFERROR(INDEX(المرجع!$A$2:$A$19,MATCH($G525,المرجع!$B$2:$B$19,0)),"")</f>
        <v>التصميم</v>
      </c>
      <c r="I525" s="16" t="s">
        <v>48</v>
      </c>
      <c r="J525" s="14" t="str">
        <f>IFERROR(INDEX(المرجع!$D$2:$D$19,MATCH($I525,المرجع!$E$2:$E$19,0)),"")</f>
        <v>الأهداف ومؤشرات الأداء</v>
      </c>
      <c r="K525" s="15">
        <f>IFERROR(INDEX(المرجع!$F$2:$F$19,MATCH($I525,المرجع!$E$2:$E$19,0)),"")</f>
        <v>2</v>
      </c>
      <c r="L525" s="15">
        <f>SUMIFS(المرجع!$H$2:$H$19,المرجع!$B$2:$B$19,$G525,المرجع!$E$2:$E$19,$I525)</f>
        <v>2</v>
      </c>
      <c r="M525" s="15">
        <f>COUNTIFS('المرتبطة بسمو الوزير'!$B$2:$B$151,$B525,'المرتبطة بسمو الوزير'!$G$2:$G$151,$G525,'المرتبطة بسمو الوزير'!$I$2:$I$151,$I525,'المرتبطة بسمو الوزير'!$M$2:$M$151,"&lt;&gt;")+COUNTIFS('الشؤون التنفيذية'!$B$2:$B$421,$B525,'الشؤون التنفيذية'!$G$2:$G$421,$G525,'الشؤون التنفيذية'!$I$2:$I$421,$I525,'الشؤون التنفيذية'!$N$2:$N$421,"&lt;&gt;")+COUNTIFS('الجهاز العسكري'!$B$2:$B$631,$B525,'الجهاز العسكري'!$G$2:$G$631,$G525,'الجهاز العسكري'!$I$2:$I$631,$I525,'الجهاز العسكري'!$M$2:$M$631,"&lt;&gt;")</f>
        <v>2</v>
      </c>
      <c r="N525" s="19">
        <f>IF($L525=0,0,ROUND((SUMIFS('المرتبطة بسمو الوزير'!$M$2:$M$151,'المرتبطة بسمو الوزير'!$B$2:$B$151,$B525,'المرتبطة بسمو الوزير'!$G$2:$G$151,$G525,'المرتبطة بسمو الوزير'!$I$2:$I$151,$I525)+SUMIFS('الشؤون التنفيذية'!$N$2:$N$421,'الشؤون التنفيذية'!$B$2:$B$421,$B525,'الشؤون التنفيذية'!$G$2:$G$421,$G525,'الشؤون التنفيذية'!$I$2:$I$421,$I525)+SUMIFS('الجهاز العسكري'!$M$2:$M$631,'الجهاز العسكري'!$B$2:$B$631,$B525,'الجهاز العسكري'!$G$2:$G$631,$G525,'الجهاز العسكري'!$I$2:$I$631,$I525))/$L525,0))</f>
        <v>73</v>
      </c>
      <c r="O525" s="18"/>
      <c r="P525" s="15">
        <f>SUMIFS(المرجع!$G$2:$G$19,المرجع!$B$2:$B$19,$G525,المرجع!$E$2:$E$19,$I525)</f>
        <v>15</v>
      </c>
      <c r="Q525" s="20">
        <f t="shared" si="9"/>
        <v>10.95</v>
      </c>
      <c r="R525" s="21" t="str">
        <f>IF($N525&gt;المرجع!$K$3,"متقدم",IF($N525&lt;=المرجع!$K$2,"أولي","جزئي"))</f>
        <v>متقدم</v>
      </c>
    </row>
    <row r="526" spans="1:18">
      <c r="A526" s="16" t="s">
        <v>1966</v>
      </c>
      <c r="B526" s="16" t="s">
        <v>210</v>
      </c>
      <c r="C526" s="15" t="str">
        <f>IFERROR(INDEX('قائمة الوحدات'!$B$2:$B$41,MATCH($B526,'قائمة الوحدات'!$A$2:$A$41,0)),"")</f>
        <v>MIL</v>
      </c>
      <c r="D526" s="14" t="str">
        <f>IFERROR(INDEX('قائمة الوحدات'!$C$2:$C$41,MATCH($B526,'قائمة الوحدات'!$A$2:$A$41,0)),"")</f>
        <v>الجهاز العسكري</v>
      </c>
      <c r="E526" s="14" t="str">
        <f>IFERROR(INDEX('قائمة الوحدات'!$D$2:$D$41,MATCH($B526,'قائمة الوحدات'!$A$2:$A$41,0)),"")</f>
        <v>الإدارة العامة للاتصالات وتقنية المعلومات العسكرية</v>
      </c>
      <c r="F526" s="14" t="str">
        <f>IFERROR(INDEX('قائمة الوحدات'!$F$2:$F$41,MATCH($B526,'قائمة الوحدات'!$A$2:$A$41,0)),"")</f>
        <v>الإدارة العامة للاتصالات وتقنية المعلومات العسكرية</v>
      </c>
      <c r="G526" s="16" t="s">
        <v>43</v>
      </c>
      <c r="H526" s="14" t="str">
        <f>IFERROR(INDEX(المرجع!$A$2:$A$19,MATCH($G526,المرجع!$B$2:$B$19,0)),"")</f>
        <v>التصميم</v>
      </c>
      <c r="I526" s="16" t="s">
        <v>51</v>
      </c>
      <c r="J526" s="14" t="str">
        <f>IFERROR(INDEX(المرجع!$D$2:$D$19,MATCH($I526,المرجع!$E$2:$E$19,0)),"")</f>
        <v>الحوكمة</v>
      </c>
      <c r="K526" s="15">
        <f>IFERROR(INDEX(المرجع!$F$2:$F$19,MATCH($I526,المرجع!$E$2:$E$19,0)),"")</f>
        <v>3</v>
      </c>
      <c r="L526" s="15">
        <f>SUMIFS(المرجع!$H$2:$H$19,المرجع!$B$2:$B$19,$G526,المرجع!$E$2:$E$19,$I526)</f>
        <v>1</v>
      </c>
      <c r="M526" s="15">
        <f>COUNTIFS('المرتبطة بسمو الوزير'!$B$2:$B$151,$B526,'المرتبطة بسمو الوزير'!$G$2:$G$151,$G526,'المرتبطة بسمو الوزير'!$I$2:$I$151,$I526,'المرتبطة بسمو الوزير'!$M$2:$M$151,"&lt;&gt;")+COUNTIFS('الشؤون التنفيذية'!$B$2:$B$421,$B526,'الشؤون التنفيذية'!$G$2:$G$421,$G526,'الشؤون التنفيذية'!$I$2:$I$421,$I526,'الشؤون التنفيذية'!$N$2:$N$421,"&lt;&gt;")+COUNTIFS('الجهاز العسكري'!$B$2:$B$631,$B526,'الجهاز العسكري'!$G$2:$G$631,$G526,'الجهاز العسكري'!$I$2:$I$631,$I526,'الجهاز العسكري'!$M$2:$M$631,"&lt;&gt;")</f>
        <v>1</v>
      </c>
      <c r="N526" s="19">
        <f>IF($L526=0,0,ROUND((SUMIFS('المرتبطة بسمو الوزير'!$M$2:$M$151,'المرتبطة بسمو الوزير'!$B$2:$B$151,$B526,'المرتبطة بسمو الوزير'!$G$2:$G$151,$G526,'المرتبطة بسمو الوزير'!$I$2:$I$151,$I526)+SUMIFS('الشؤون التنفيذية'!$N$2:$N$421,'الشؤون التنفيذية'!$B$2:$B$421,$B526,'الشؤون التنفيذية'!$G$2:$G$421,$G526,'الشؤون التنفيذية'!$I$2:$I$421,$I526)+SUMIFS('الجهاز العسكري'!$M$2:$M$631,'الجهاز العسكري'!$B$2:$B$631,$B526,'الجهاز العسكري'!$G$2:$G$631,$G526,'الجهاز العسكري'!$I$2:$I$631,$I526))/$L526,0))</f>
        <v>97</v>
      </c>
      <c r="O526" s="18"/>
      <c r="P526" s="15">
        <f>SUMIFS(المرجع!$G$2:$G$19,المرجع!$B$2:$B$19,$G526,المرجع!$E$2:$E$19,$I526)</f>
        <v>15</v>
      </c>
      <c r="Q526" s="20">
        <f t="shared" si="9"/>
        <v>14.55</v>
      </c>
      <c r="R526" s="21" t="str">
        <f>IF($N526&gt;المرجع!$K$3,"متقدم",IF($N526&lt;=المرجع!$K$2,"أولي","جزئي"))</f>
        <v>متقدم</v>
      </c>
    </row>
    <row r="527" spans="1:18">
      <c r="A527" s="16" t="s">
        <v>1967</v>
      </c>
      <c r="B527" s="16" t="s">
        <v>210</v>
      </c>
      <c r="C527" s="15" t="str">
        <f>IFERROR(INDEX('قائمة الوحدات'!$B$2:$B$41,MATCH($B527,'قائمة الوحدات'!$A$2:$A$41,0)),"")</f>
        <v>MIL</v>
      </c>
      <c r="D527" s="14" t="str">
        <f>IFERROR(INDEX('قائمة الوحدات'!$C$2:$C$41,MATCH($B527,'قائمة الوحدات'!$A$2:$A$41,0)),"")</f>
        <v>الجهاز العسكري</v>
      </c>
      <c r="E527" s="14" t="str">
        <f>IFERROR(INDEX('قائمة الوحدات'!$D$2:$D$41,MATCH($B527,'قائمة الوحدات'!$A$2:$A$41,0)),"")</f>
        <v>الإدارة العامة للاتصالات وتقنية المعلومات العسكرية</v>
      </c>
      <c r="F527" s="14" t="str">
        <f>IFERROR(INDEX('قائمة الوحدات'!$F$2:$F$41,MATCH($B527,'قائمة الوحدات'!$A$2:$A$41,0)),"")</f>
        <v>الإدارة العامة للاتصالات وتقنية المعلومات العسكرية</v>
      </c>
      <c r="G527" s="16" t="s">
        <v>43</v>
      </c>
      <c r="H527" s="14" t="str">
        <f>IFERROR(INDEX(المرجع!$A$2:$A$19,MATCH($G527,المرجع!$B$2:$B$19,0)),"")</f>
        <v>التصميم</v>
      </c>
      <c r="I527" s="16" t="s">
        <v>54</v>
      </c>
      <c r="J527" s="14" t="str">
        <f>IFERROR(INDEX(المرجع!$D$2:$D$19,MATCH($I527,المرجع!$E$2:$E$19,0)),"")</f>
        <v>التنظيم</v>
      </c>
      <c r="K527" s="15">
        <f>IFERROR(INDEX(المرجع!$F$2:$F$19,MATCH($I527,المرجع!$E$2:$E$19,0)),"")</f>
        <v>4</v>
      </c>
      <c r="L527" s="15">
        <f>SUMIFS(المرجع!$H$2:$H$19,المرجع!$B$2:$B$19,$G527,المرجع!$E$2:$E$19,$I527)</f>
        <v>1</v>
      </c>
      <c r="M527" s="15">
        <f>COUNTIFS('المرتبطة بسمو الوزير'!$B$2:$B$151,$B527,'المرتبطة بسمو الوزير'!$G$2:$G$151,$G527,'المرتبطة بسمو الوزير'!$I$2:$I$151,$I527,'المرتبطة بسمو الوزير'!$M$2:$M$151,"&lt;&gt;")+COUNTIFS('الشؤون التنفيذية'!$B$2:$B$421,$B527,'الشؤون التنفيذية'!$G$2:$G$421,$G527,'الشؤون التنفيذية'!$I$2:$I$421,$I527,'الشؤون التنفيذية'!$N$2:$N$421,"&lt;&gt;")+COUNTIFS('الجهاز العسكري'!$B$2:$B$631,$B527,'الجهاز العسكري'!$G$2:$G$631,$G527,'الجهاز العسكري'!$I$2:$I$631,$I527,'الجهاز العسكري'!$M$2:$M$631,"&lt;&gt;")</f>
        <v>1</v>
      </c>
      <c r="N527" s="19">
        <f>IF($L527=0,0,ROUND((SUMIFS('المرتبطة بسمو الوزير'!$M$2:$M$151,'المرتبطة بسمو الوزير'!$B$2:$B$151,$B527,'المرتبطة بسمو الوزير'!$G$2:$G$151,$G527,'المرتبطة بسمو الوزير'!$I$2:$I$151,$I527)+SUMIFS('الشؤون التنفيذية'!$N$2:$N$421,'الشؤون التنفيذية'!$B$2:$B$421,$B527,'الشؤون التنفيذية'!$G$2:$G$421,$G527,'الشؤون التنفيذية'!$I$2:$I$421,$I527)+SUMIFS('الجهاز العسكري'!$M$2:$M$631,'الجهاز العسكري'!$B$2:$B$631,$B527,'الجهاز العسكري'!$G$2:$G$631,$G527,'الجهاز العسكري'!$I$2:$I$631,$I527))/$L527,0))</f>
        <v>98</v>
      </c>
      <c r="O527" s="18"/>
      <c r="P527" s="15">
        <f>SUMIFS(المرجع!$G$2:$G$19,المرجع!$B$2:$B$19,$G527,المرجع!$E$2:$E$19,$I527)</f>
        <v>20</v>
      </c>
      <c r="Q527" s="20">
        <f t="shared" si="9"/>
        <v>19.600000000000001</v>
      </c>
      <c r="R527" s="21" t="str">
        <f>IF($N527&gt;المرجع!$K$3,"متقدم",IF($N527&lt;=المرجع!$K$2,"أولي","جزئي"))</f>
        <v>متقدم</v>
      </c>
    </row>
    <row r="528" spans="1:18">
      <c r="A528" s="16" t="s">
        <v>1968</v>
      </c>
      <c r="B528" s="16" t="s">
        <v>210</v>
      </c>
      <c r="C528" s="15" t="str">
        <f>IFERROR(INDEX('قائمة الوحدات'!$B$2:$B$41,MATCH($B528,'قائمة الوحدات'!$A$2:$A$41,0)),"")</f>
        <v>MIL</v>
      </c>
      <c r="D528" s="14" t="str">
        <f>IFERROR(INDEX('قائمة الوحدات'!$C$2:$C$41,MATCH($B528,'قائمة الوحدات'!$A$2:$A$41,0)),"")</f>
        <v>الجهاز العسكري</v>
      </c>
      <c r="E528" s="14" t="str">
        <f>IFERROR(INDEX('قائمة الوحدات'!$D$2:$D$41,MATCH($B528,'قائمة الوحدات'!$A$2:$A$41,0)),"")</f>
        <v>الإدارة العامة للاتصالات وتقنية المعلومات العسكرية</v>
      </c>
      <c r="F528" s="14" t="str">
        <f>IFERROR(INDEX('قائمة الوحدات'!$F$2:$F$41,MATCH($B528,'قائمة الوحدات'!$A$2:$A$41,0)),"")</f>
        <v>الإدارة العامة للاتصالات وتقنية المعلومات العسكرية</v>
      </c>
      <c r="G528" s="16" t="s">
        <v>43</v>
      </c>
      <c r="H528" s="14" t="str">
        <f>IFERROR(INDEX(المرجع!$A$2:$A$19,MATCH($G528,المرجع!$B$2:$B$19,0)),"")</f>
        <v>التصميم</v>
      </c>
      <c r="I528" s="16" t="s">
        <v>56</v>
      </c>
      <c r="J528" s="14" t="str">
        <f>IFERROR(INDEX(المرجع!$D$2:$D$19,MATCH($I528,المرجع!$E$2:$E$19,0)),"")</f>
        <v>الموارد</v>
      </c>
      <c r="K528" s="15">
        <f>IFERROR(INDEX(المرجع!$F$2:$F$19,MATCH($I528,المرجع!$E$2:$E$19,0)),"")</f>
        <v>5</v>
      </c>
      <c r="L528" s="15">
        <f>SUMIFS(المرجع!$H$2:$H$19,المرجع!$B$2:$B$19,$G528,المرجع!$E$2:$E$19,$I528)</f>
        <v>1</v>
      </c>
      <c r="M528" s="15">
        <f>COUNTIFS('المرتبطة بسمو الوزير'!$B$2:$B$151,$B528,'المرتبطة بسمو الوزير'!$G$2:$G$151,$G528,'المرتبطة بسمو الوزير'!$I$2:$I$151,$I528,'المرتبطة بسمو الوزير'!$M$2:$M$151,"&lt;&gt;")+COUNTIFS('الشؤون التنفيذية'!$B$2:$B$421,$B528,'الشؤون التنفيذية'!$G$2:$G$421,$G528,'الشؤون التنفيذية'!$I$2:$I$421,$I528,'الشؤون التنفيذية'!$N$2:$N$421,"&lt;&gt;")+COUNTIFS('الجهاز العسكري'!$B$2:$B$631,$B528,'الجهاز العسكري'!$G$2:$G$631,$G528,'الجهاز العسكري'!$I$2:$I$631,$I528,'الجهاز العسكري'!$M$2:$M$631,"&lt;&gt;")</f>
        <v>1</v>
      </c>
      <c r="N528" s="19">
        <f>IF($L528=0,0,ROUND((SUMIFS('المرتبطة بسمو الوزير'!$M$2:$M$151,'المرتبطة بسمو الوزير'!$B$2:$B$151,$B528,'المرتبطة بسمو الوزير'!$G$2:$G$151,$G528,'المرتبطة بسمو الوزير'!$I$2:$I$151,$I528)+SUMIFS('الشؤون التنفيذية'!$N$2:$N$421,'الشؤون التنفيذية'!$B$2:$B$421,$B528,'الشؤون التنفيذية'!$G$2:$G$421,$G528,'الشؤون التنفيذية'!$I$2:$I$421,$I528)+SUMIFS('الجهاز العسكري'!$M$2:$M$631,'الجهاز العسكري'!$B$2:$B$631,$B528,'الجهاز العسكري'!$G$2:$G$631,$G528,'الجهاز العسكري'!$I$2:$I$631,$I528))/$L528,0))</f>
        <v>80</v>
      </c>
      <c r="O528" s="18"/>
      <c r="P528" s="15">
        <f>SUMIFS(المرجع!$G$2:$G$19,المرجع!$B$2:$B$19,$G528,المرجع!$E$2:$E$19,$I528)</f>
        <v>20</v>
      </c>
      <c r="Q528" s="20">
        <f t="shared" si="9"/>
        <v>16</v>
      </c>
      <c r="R528" s="21" t="str">
        <f>IF($N528&gt;المرجع!$K$3,"متقدم",IF($N528&lt;=المرجع!$K$2,"أولي","جزئي"))</f>
        <v>متقدم</v>
      </c>
    </row>
    <row r="529" spans="1:18">
      <c r="A529" s="16" t="s">
        <v>1969</v>
      </c>
      <c r="B529" s="16" t="s">
        <v>210</v>
      </c>
      <c r="C529" s="15" t="str">
        <f>IFERROR(INDEX('قائمة الوحدات'!$B$2:$B$41,MATCH($B529,'قائمة الوحدات'!$A$2:$A$41,0)),"")</f>
        <v>MIL</v>
      </c>
      <c r="D529" s="14" t="str">
        <f>IFERROR(INDEX('قائمة الوحدات'!$C$2:$C$41,MATCH($B529,'قائمة الوحدات'!$A$2:$A$41,0)),"")</f>
        <v>الجهاز العسكري</v>
      </c>
      <c r="E529" s="14" t="str">
        <f>IFERROR(INDEX('قائمة الوحدات'!$D$2:$D$41,MATCH($B529,'قائمة الوحدات'!$A$2:$A$41,0)),"")</f>
        <v>الإدارة العامة للاتصالات وتقنية المعلومات العسكرية</v>
      </c>
      <c r="F529" s="14" t="str">
        <f>IFERROR(INDEX('قائمة الوحدات'!$F$2:$F$41,MATCH($B529,'قائمة الوحدات'!$A$2:$A$41,0)),"")</f>
        <v>الإدارة العامة للاتصالات وتقنية المعلومات العسكرية</v>
      </c>
      <c r="G529" s="16" t="s">
        <v>43</v>
      </c>
      <c r="H529" s="14" t="str">
        <f>IFERROR(INDEX(المرجع!$A$2:$A$19,MATCH($G529,المرجع!$B$2:$B$19,0)),"")</f>
        <v>التصميم</v>
      </c>
      <c r="I529" s="16" t="s">
        <v>59</v>
      </c>
      <c r="J529" s="14" t="str">
        <f>IFERROR(INDEX(المرجع!$D$2:$D$19,MATCH($I529,المرجع!$E$2:$E$19,0)),"")</f>
        <v>الإجراءات</v>
      </c>
      <c r="K529" s="15">
        <f>IFERROR(INDEX(المرجع!$F$2:$F$19,MATCH($I529,المرجع!$E$2:$E$19,0)),"")</f>
        <v>6</v>
      </c>
      <c r="L529" s="15">
        <f>SUMIFS(المرجع!$H$2:$H$19,المرجع!$B$2:$B$19,$G529,المرجع!$E$2:$E$19,$I529)</f>
        <v>1</v>
      </c>
      <c r="M529" s="15">
        <f>COUNTIFS('المرتبطة بسمو الوزير'!$B$2:$B$151,$B529,'المرتبطة بسمو الوزير'!$G$2:$G$151,$G529,'المرتبطة بسمو الوزير'!$I$2:$I$151,$I529,'المرتبطة بسمو الوزير'!$M$2:$M$151,"&lt;&gt;")+COUNTIFS('الشؤون التنفيذية'!$B$2:$B$421,$B529,'الشؤون التنفيذية'!$G$2:$G$421,$G529,'الشؤون التنفيذية'!$I$2:$I$421,$I529,'الشؤون التنفيذية'!$N$2:$N$421,"&lt;&gt;")+COUNTIFS('الجهاز العسكري'!$B$2:$B$631,$B529,'الجهاز العسكري'!$G$2:$G$631,$G529,'الجهاز العسكري'!$I$2:$I$631,$I529,'الجهاز العسكري'!$M$2:$M$631,"&lt;&gt;")</f>
        <v>1</v>
      </c>
      <c r="N529" s="19">
        <f>IF($L529=0,0,ROUND((SUMIFS('المرتبطة بسمو الوزير'!$M$2:$M$151,'المرتبطة بسمو الوزير'!$B$2:$B$151,$B529,'المرتبطة بسمو الوزير'!$G$2:$G$151,$G529,'المرتبطة بسمو الوزير'!$I$2:$I$151,$I529)+SUMIFS('الشؤون التنفيذية'!$N$2:$N$421,'الشؤون التنفيذية'!$B$2:$B$421,$B529,'الشؤون التنفيذية'!$G$2:$G$421,$G529,'الشؤون التنفيذية'!$I$2:$I$421,$I529)+SUMIFS('الجهاز العسكري'!$M$2:$M$631,'الجهاز العسكري'!$B$2:$B$631,$B529,'الجهاز العسكري'!$G$2:$G$631,$G529,'الجهاز العسكري'!$I$2:$I$631,$I529))/$L529,0))</f>
        <v>68</v>
      </c>
      <c r="O529" s="18"/>
      <c r="P529" s="15">
        <f>SUMIFS(المرجع!$G$2:$G$19,المرجع!$B$2:$B$19,$G529,المرجع!$E$2:$E$19,$I529)</f>
        <v>5</v>
      </c>
      <c r="Q529" s="20">
        <f t="shared" si="9"/>
        <v>3.4</v>
      </c>
      <c r="R529" s="21" t="str">
        <f>IF($N529&gt;المرجع!$K$3,"متقدم",IF($N529&lt;=المرجع!$K$2,"أولي","جزئي"))</f>
        <v>جزئي</v>
      </c>
    </row>
    <row r="530" spans="1:18">
      <c r="A530" s="16" t="s">
        <v>1970</v>
      </c>
      <c r="B530" s="16" t="s">
        <v>210</v>
      </c>
      <c r="C530" s="15" t="str">
        <f>IFERROR(INDEX('قائمة الوحدات'!$B$2:$B$41,MATCH($B530,'قائمة الوحدات'!$A$2:$A$41,0)),"")</f>
        <v>MIL</v>
      </c>
      <c r="D530" s="14" t="str">
        <f>IFERROR(INDEX('قائمة الوحدات'!$C$2:$C$41,MATCH($B530,'قائمة الوحدات'!$A$2:$A$41,0)),"")</f>
        <v>الجهاز العسكري</v>
      </c>
      <c r="E530" s="14" t="str">
        <f>IFERROR(INDEX('قائمة الوحدات'!$D$2:$D$41,MATCH($B530,'قائمة الوحدات'!$A$2:$A$41,0)),"")</f>
        <v>الإدارة العامة للاتصالات وتقنية المعلومات العسكرية</v>
      </c>
      <c r="F530" s="14" t="str">
        <f>IFERROR(INDEX('قائمة الوحدات'!$F$2:$F$41,MATCH($B530,'قائمة الوحدات'!$A$2:$A$41,0)),"")</f>
        <v>الإدارة العامة للاتصالات وتقنية المعلومات العسكرية</v>
      </c>
      <c r="G530" s="16" t="s">
        <v>61</v>
      </c>
      <c r="H530" s="14" t="str">
        <f>IFERROR(INDEX(المرجع!$A$2:$A$19,MATCH($G530,المرجع!$B$2:$B$19,0)),"")</f>
        <v>البناء المؤسسي</v>
      </c>
      <c r="I530" s="16" t="s">
        <v>45</v>
      </c>
      <c r="J530" s="14" t="str">
        <f>IFERROR(INDEX(المرجع!$D$2:$D$19,MATCH($I530,المرجع!$E$2:$E$19,0)),"")</f>
        <v>الدور</v>
      </c>
      <c r="K530" s="15">
        <f>IFERROR(INDEX(المرجع!$F$2:$F$19,MATCH($I530,المرجع!$E$2:$E$19,0)),"")</f>
        <v>1</v>
      </c>
      <c r="L530" s="15">
        <f>SUMIFS(المرجع!$H$2:$H$19,المرجع!$B$2:$B$19,$G530,المرجع!$E$2:$E$19,$I530)</f>
        <v>1</v>
      </c>
      <c r="M530" s="15">
        <f>COUNTIFS('المرتبطة بسمو الوزير'!$B$2:$B$151,$B530,'المرتبطة بسمو الوزير'!$G$2:$G$151,$G530,'المرتبطة بسمو الوزير'!$I$2:$I$151,$I530,'المرتبطة بسمو الوزير'!$M$2:$M$151,"&lt;&gt;")+COUNTIFS('الشؤون التنفيذية'!$B$2:$B$421,$B530,'الشؤون التنفيذية'!$G$2:$G$421,$G530,'الشؤون التنفيذية'!$I$2:$I$421,$I530,'الشؤون التنفيذية'!$N$2:$N$421,"&lt;&gt;")+COUNTIFS('الجهاز العسكري'!$B$2:$B$631,$B530,'الجهاز العسكري'!$G$2:$G$631,$G530,'الجهاز العسكري'!$I$2:$I$631,$I530,'الجهاز العسكري'!$M$2:$M$631,"&lt;&gt;")</f>
        <v>1</v>
      </c>
      <c r="N530" s="19">
        <f>IF($L530=0,0,ROUND((SUMIFS('المرتبطة بسمو الوزير'!$M$2:$M$151,'المرتبطة بسمو الوزير'!$B$2:$B$151,$B530,'المرتبطة بسمو الوزير'!$G$2:$G$151,$G530,'المرتبطة بسمو الوزير'!$I$2:$I$151,$I530)+SUMIFS('الشؤون التنفيذية'!$N$2:$N$421,'الشؤون التنفيذية'!$B$2:$B$421,$B530,'الشؤون التنفيذية'!$G$2:$G$421,$G530,'الشؤون التنفيذية'!$I$2:$I$421,$I530)+SUMIFS('الجهاز العسكري'!$M$2:$M$631,'الجهاز العسكري'!$B$2:$B$631,$B530,'الجهاز العسكري'!$G$2:$G$631,$G530,'الجهاز العسكري'!$I$2:$I$631,$I530))/$L530,0))</f>
        <v>53</v>
      </c>
      <c r="O530" s="18"/>
      <c r="P530" s="15">
        <f>SUMIFS(المرجع!$G$2:$G$19,المرجع!$B$2:$B$19,$G530,المرجع!$E$2:$E$19,$I530)</f>
        <v>15</v>
      </c>
      <c r="Q530" s="20">
        <f t="shared" si="9"/>
        <v>7.95</v>
      </c>
      <c r="R530" s="21" t="str">
        <f>IF($N530&gt;المرجع!$K$3,"متقدم",IF($N530&lt;=المرجع!$K$2,"أولي","جزئي"))</f>
        <v>جزئي</v>
      </c>
    </row>
    <row r="531" spans="1:18">
      <c r="A531" s="16" t="s">
        <v>1971</v>
      </c>
      <c r="B531" s="16" t="s">
        <v>210</v>
      </c>
      <c r="C531" s="15" t="str">
        <f>IFERROR(INDEX('قائمة الوحدات'!$B$2:$B$41,MATCH($B531,'قائمة الوحدات'!$A$2:$A$41,0)),"")</f>
        <v>MIL</v>
      </c>
      <c r="D531" s="14" t="str">
        <f>IFERROR(INDEX('قائمة الوحدات'!$C$2:$C$41,MATCH($B531,'قائمة الوحدات'!$A$2:$A$41,0)),"")</f>
        <v>الجهاز العسكري</v>
      </c>
      <c r="E531" s="14" t="str">
        <f>IFERROR(INDEX('قائمة الوحدات'!$D$2:$D$41,MATCH($B531,'قائمة الوحدات'!$A$2:$A$41,0)),"")</f>
        <v>الإدارة العامة للاتصالات وتقنية المعلومات العسكرية</v>
      </c>
      <c r="F531" s="14" t="str">
        <f>IFERROR(INDEX('قائمة الوحدات'!$F$2:$F$41,MATCH($B531,'قائمة الوحدات'!$A$2:$A$41,0)),"")</f>
        <v>الإدارة العامة للاتصالات وتقنية المعلومات العسكرية</v>
      </c>
      <c r="G531" s="16" t="s">
        <v>61</v>
      </c>
      <c r="H531" s="14" t="str">
        <f>IFERROR(INDEX(المرجع!$A$2:$A$19,MATCH($G531,المرجع!$B$2:$B$19,0)),"")</f>
        <v>البناء المؤسسي</v>
      </c>
      <c r="I531" s="16" t="s">
        <v>48</v>
      </c>
      <c r="J531" s="14" t="str">
        <f>IFERROR(INDEX(المرجع!$D$2:$D$19,MATCH($I531,المرجع!$E$2:$E$19,0)),"")</f>
        <v>الأهداف ومؤشرات الأداء</v>
      </c>
      <c r="K531" s="15">
        <f>IFERROR(INDEX(المرجع!$F$2:$F$19,MATCH($I531,المرجع!$E$2:$E$19,0)),"")</f>
        <v>2</v>
      </c>
      <c r="L531" s="15">
        <f>SUMIFS(المرجع!$H$2:$H$19,المرجع!$B$2:$B$19,$G531,المرجع!$E$2:$E$19,$I531)</f>
        <v>2</v>
      </c>
      <c r="M531" s="15">
        <f>COUNTIFS('المرتبطة بسمو الوزير'!$B$2:$B$151,$B531,'المرتبطة بسمو الوزير'!$G$2:$G$151,$G531,'المرتبطة بسمو الوزير'!$I$2:$I$151,$I531,'المرتبطة بسمو الوزير'!$M$2:$M$151,"&lt;&gt;")+COUNTIFS('الشؤون التنفيذية'!$B$2:$B$421,$B531,'الشؤون التنفيذية'!$G$2:$G$421,$G531,'الشؤون التنفيذية'!$I$2:$I$421,$I531,'الشؤون التنفيذية'!$N$2:$N$421,"&lt;&gt;")+COUNTIFS('الجهاز العسكري'!$B$2:$B$631,$B531,'الجهاز العسكري'!$G$2:$G$631,$G531,'الجهاز العسكري'!$I$2:$I$631,$I531,'الجهاز العسكري'!$M$2:$M$631,"&lt;&gt;")</f>
        <v>2</v>
      </c>
      <c r="N531" s="19">
        <f>IF($L531=0,0,ROUND((SUMIFS('المرتبطة بسمو الوزير'!$M$2:$M$151,'المرتبطة بسمو الوزير'!$B$2:$B$151,$B531,'المرتبطة بسمو الوزير'!$G$2:$G$151,$G531,'المرتبطة بسمو الوزير'!$I$2:$I$151,$I531)+SUMIFS('الشؤون التنفيذية'!$N$2:$N$421,'الشؤون التنفيذية'!$B$2:$B$421,$B531,'الشؤون التنفيذية'!$G$2:$G$421,$G531,'الشؤون التنفيذية'!$I$2:$I$421,$I531)+SUMIFS('الجهاز العسكري'!$M$2:$M$631,'الجهاز العسكري'!$B$2:$B$631,$B531,'الجهاز العسكري'!$G$2:$G$631,$G531,'الجهاز العسكري'!$I$2:$I$631,$I531))/$L531,0))</f>
        <v>70</v>
      </c>
      <c r="O531" s="18"/>
      <c r="P531" s="15">
        <f>SUMIFS(المرجع!$G$2:$G$19,المرجع!$B$2:$B$19,$G531,المرجع!$E$2:$E$19,$I531)</f>
        <v>15</v>
      </c>
      <c r="Q531" s="20">
        <f t="shared" si="9"/>
        <v>10.5</v>
      </c>
      <c r="R531" s="21" t="str">
        <f>IF($N531&gt;المرجع!$K$3,"متقدم",IF($N531&lt;=المرجع!$K$2,"أولي","جزئي"))</f>
        <v>جزئي</v>
      </c>
    </row>
    <row r="532" spans="1:18">
      <c r="A532" s="16" t="s">
        <v>1972</v>
      </c>
      <c r="B532" s="16" t="s">
        <v>210</v>
      </c>
      <c r="C532" s="15" t="str">
        <f>IFERROR(INDEX('قائمة الوحدات'!$B$2:$B$41,MATCH($B532,'قائمة الوحدات'!$A$2:$A$41,0)),"")</f>
        <v>MIL</v>
      </c>
      <c r="D532" s="14" t="str">
        <f>IFERROR(INDEX('قائمة الوحدات'!$C$2:$C$41,MATCH($B532,'قائمة الوحدات'!$A$2:$A$41,0)),"")</f>
        <v>الجهاز العسكري</v>
      </c>
      <c r="E532" s="14" t="str">
        <f>IFERROR(INDEX('قائمة الوحدات'!$D$2:$D$41,MATCH($B532,'قائمة الوحدات'!$A$2:$A$41,0)),"")</f>
        <v>الإدارة العامة للاتصالات وتقنية المعلومات العسكرية</v>
      </c>
      <c r="F532" s="14" t="str">
        <f>IFERROR(INDEX('قائمة الوحدات'!$F$2:$F$41,MATCH($B532,'قائمة الوحدات'!$A$2:$A$41,0)),"")</f>
        <v>الإدارة العامة للاتصالات وتقنية المعلومات العسكرية</v>
      </c>
      <c r="G532" s="16" t="s">
        <v>61</v>
      </c>
      <c r="H532" s="14" t="str">
        <f>IFERROR(INDEX(المرجع!$A$2:$A$19,MATCH($G532,المرجع!$B$2:$B$19,0)),"")</f>
        <v>البناء المؤسسي</v>
      </c>
      <c r="I532" s="16" t="s">
        <v>51</v>
      </c>
      <c r="J532" s="14" t="str">
        <f>IFERROR(INDEX(المرجع!$D$2:$D$19,MATCH($I532,المرجع!$E$2:$E$19,0)),"")</f>
        <v>الحوكمة</v>
      </c>
      <c r="K532" s="15">
        <f>IFERROR(INDEX(المرجع!$F$2:$F$19,MATCH($I532,المرجع!$E$2:$E$19,0)),"")</f>
        <v>3</v>
      </c>
      <c r="L532" s="15">
        <f>SUMIFS(المرجع!$H$2:$H$19,المرجع!$B$2:$B$19,$G532,المرجع!$E$2:$E$19,$I532)</f>
        <v>3</v>
      </c>
      <c r="M532" s="15">
        <f>COUNTIFS('المرتبطة بسمو الوزير'!$B$2:$B$151,$B532,'المرتبطة بسمو الوزير'!$G$2:$G$151,$G532,'المرتبطة بسمو الوزير'!$I$2:$I$151,$I532,'المرتبطة بسمو الوزير'!$M$2:$M$151,"&lt;&gt;")+COUNTIFS('الشؤون التنفيذية'!$B$2:$B$421,$B532,'الشؤون التنفيذية'!$G$2:$G$421,$G532,'الشؤون التنفيذية'!$I$2:$I$421,$I532,'الشؤون التنفيذية'!$N$2:$N$421,"&lt;&gt;")+COUNTIFS('الجهاز العسكري'!$B$2:$B$631,$B532,'الجهاز العسكري'!$G$2:$G$631,$G532,'الجهاز العسكري'!$I$2:$I$631,$I532,'الجهاز العسكري'!$M$2:$M$631,"&lt;&gt;")</f>
        <v>3</v>
      </c>
      <c r="N532" s="19">
        <f>IF($L532=0,0,ROUND((SUMIFS('المرتبطة بسمو الوزير'!$M$2:$M$151,'المرتبطة بسمو الوزير'!$B$2:$B$151,$B532,'المرتبطة بسمو الوزير'!$G$2:$G$151,$G532,'المرتبطة بسمو الوزير'!$I$2:$I$151,$I532)+SUMIFS('الشؤون التنفيذية'!$N$2:$N$421,'الشؤون التنفيذية'!$B$2:$B$421,$B532,'الشؤون التنفيذية'!$G$2:$G$421,$G532,'الشؤون التنفيذية'!$I$2:$I$421,$I532)+SUMIFS('الجهاز العسكري'!$M$2:$M$631,'الجهاز العسكري'!$B$2:$B$631,$B532,'الجهاز العسكري'!$G$2:$G$631,$G532,'الجهاز العسكري'!$I$2:$I$631,$I532))/$L532,0))</f>
        <v>85</v>
      </c>
      <c r="O532" s="18"/>
      <c r="P532" s="15">
        <f>SUMIFS(المرجع!$G$2:$G$19,المرجع!$B$2:$B$19,$G532,المرجع!$E$2:$E$19,$I532)</f>
        <v>15</v>
      </c>
      <c r="Q532" s="20">
        <f t="shared" si="9"/>
        <v>12.75</v>
      </c>
      <c r="R532" s="21" t="str">
        <f>IF($N532&gt;المرجع!$K$3,"متقدم",IF($N532&lt;=المرجع!$K$2,"أولي","جزئي"))</f>
        <v>متقدم</v>
      </c>
    </row>
    <row r="533" spans="1:18">
      <c r="A533" s="16" t="s">
        <v>1973</v>
      </c>
      <c r="B533" s="16" t="s">
        <v>210</v>
      </c>
      <c r="C533" s="15" t="str">
        <f>IFERROR(INDEX('قائمة الوحدات'!$B$2:$B$41,MATCH($B533,'قائمة الوحدات'!$A$2:$A$41,0)),"")</f>
        <v>MIL</v>
      </c>
      <c r="D533" s="14" t="str">
        <f>IFERROR(INDEX('قائمة الوحدات'!$C$2:$C$41,MATCH($B533,'قائمة الوحدات'!$A$2:$A$41,0)),"")</f>
        <v>الجهاز العسكري</v>
      </c>
      <c r="E533" s="14" t="str">
        <f>IFERROR(INDEX('قائمة الوحدات'!$D$2:$D$41,MATCH($B533,'قائمة الوحدات'!$A$2:$A$41,0)),"")</f>
        <v>الإدارة العامة للاتصالات وتقنية المعلومات العسكرية</v>
      </c>
      <c r="F533" s="14" t="str">
        <f>IFERROR(INDEX('قائمة الوحدات'!$F$2:$F$41,MATCH($B533,'قائمة الوحدات'!$A$2:$A$41,0)),"")</f>
        <v>الإدارة العامة للاتصالات وتقنية المعلومات العسكرية</v>
      </c>
      <c r="G533" s="16" t="s">
        <v>61</v>
      </c>
      <c r="H533" s="14" t="str">
        <f>IFERROR(INDEX(المرجع!$A$2:$A$19,MATCH($G533,المرجع!$B$2:$B$19,0)),"")</f>
        <v>البناء المؤسسي</v>
      </c>
      <c r="I533" s="16" t="s">
        <v>54</v>
      </c>
      <c r="J533" s="14" t="str">
        <f>IFERROR(INDEX(المرجع!$D$2:$D$19,MATCH($I533,المرجع!$E$2:$E$19,0)),"")</f>
        <v>التنظيم</v>
      </c>
      <c r="K533" s="15">
        <f>IFERROR(INDEX(المرجع!$F$2:$F$19,MATCH($I533,المرجع!$E$2:$E$19,0)),"")</f>
        <v>4</v>
      </c>
      <c r="L533" s="15">
        <f>SUMIFS(المرجع!$H$2:$H$19,المرجع!$B$2:$B$19,$G533,المرجع!$E$2:$E$19,$I533)</f>
        <v>3</v>
      </c>
      <c r="M533" s="15">
        <f>COUNTIFS('المرتبطة بسمو الوزير'!$B$2:$B$151,$B533,'المرتبطة بسمو الوزير'!$G$2:$G$151,$G533,'المرتبطة بسمو الوزير'!$I$2:$I$151,$I533,'المرتبطة بسمو الوزير'!$M$2:$M$151,"&lt;&gt;")+COUNTIFS('الشؤون التنفيذية'!$B$2:$B$421,$B533,'الشؤون التنفيذية'!$G$2:$G$421,$G533,'الشؤون التنفيذية'!$I$2:$I$421,$I533,'الشؤون التنفيذية'!$N$2:$N$421,"&lt;&gt;")+COUNTIFS('الجهاز العسكري'!$B$2:$B$631,$B533,'الجهاز العسكري'!$G$2:$G$631,$G533,'الجهاز العسكري'!$I$2:$I$631,$I533,'الجهاز العسكري'!$M$2:$M$631,"&lt;&gt;")</f>
        <v>3</v>
      </c>
      <c r="N533" s="19">
        <f>IF($L533=0,0,ROUND((SUMIFS('المرتبطة بسمو الوزير'!$M$2:$M$151,'المرتبطة بسمو الوزير'!$B$2:$B$151,$B533,'المرتبطة بسمو الوزير'!$G$2:$G$151,$G533,'المرتبطة بسمو الوزير'!$I$2:$I$151,$I533)+SUMIFS('الشؤون التنفيذية'!$N$2:$N$421,'الشؤون التنفيذية'!$B$2:$B$421,$B533,'الشؤون التنفيذية'!$G$2:$G$421,$G533,'الشؤون التنفيذية'!$I$2:$I$421,$I533)+SUMIFS('الجهاز العسكري'!$M$2:$M$631,'الجهاز العسكري'!$B$2:$B$631,$B533,'الجهاز العسكري'!$G$2:$G$631,$G533,'الجهاز العسكري'!$I$2:$I$631,$I533))/$L533,0))</f>
        <v>55</v>
      </c>
      <c r="O533" s="18"/>
      <c r="P533" s="15">
        <f>SUMIFS(المرجع!$G$2:$G$19,المرجع!$B$2:$B$19,$G533,المرجع!$E$2:$E$19,$I533)</f>
        <v>20</v>
      </c>
      <c r="Q533" s="20">
        <f t="shared" si="9"/>
        <v>11</v>
      </c>
      <c r="R533" s="21" t="str">
        <f>IF($N533&gt;المرجع!$K$3,"متقدم",IF($N533&lt;=المرجع!$K$2,"أولي","جزئي"))</f>
        <v>جزئي</v>
      </c>
    </row>
    <row r="534" spans="1:18">
      <c r="A534" s="16" t="s">
        <v>1974</v>
      </c>
      <c r="B534" s="16" t="s">
        <v>210</v>
      </c>
      <c r="C534" s="15" t="str">
        <f>IFERROR(INDEX('قائمة الوحدات'!$B$2:$B$41,MATCH($B534,'قائمة الوحدات'!$A$2:$A$41,0)),"")</f>
        <v>MIL</v>
      </c>
      <c r="D534" s="14" t="str">
        <f>IFERROR(INDEX('قائمة الوحدات'!$C$2:$C$41,MATCH($B534,'قائمة الوحدات'!$A$2:$A$41,0)),"")</f>
        <v>الجهاز العسكري</v>
      </c>
      <c r="E534" s="14" t="str">
        <f>IFERROR(INDEX('قائمة الوحدات'!$D$2:$D$41,MATCH($B534,'قائمة الوحدات'!$A$2:$A$41,0)),"")</f>
        <v>الإدارة العامة للاتصالات وتقنية المعلومات العسكرية</v>
      </c>
      <c r="F534" s="14" t="str">
        <f>IFERROR(INDEX('قائمة الوحدات'!$F$2:$F$41,MATCH($B534,'قائمة الوحدات'!$A$2:$A$41,0)),"")</f>
        <v>الإدارة العامة للاتصالات وتقنية المعلومات العسكرية</v>
      </c>
      <c r="G534" s="16" t="s">
        <v>61</v>
      </c>
      <c r="H534" s="14" t="str">
        <f>IFERROR(INDEX(المرجع!$A$2:$A$19,MATCH($G534,المرجع!$B$2:$B$19,0)),"")</f>
        <v>البناء المؤسسي</v>
      </c>
      <c r="I534" s="16" t="s">
        <v>56</v>
      </c>
      <c r="J534" s="14" t="str">
        <f>IFERROR(INDEX(المرجع!$D$2:$D$19,MATCH($I534,المرجع!$E$2:$E$19,0)),"")</f>
        <v>الموارد</v>
      </c>
      <c r="K534" s="15">
        <f>IFERROR(INDEX(المرجع!$F$2:$F$19,MATCH($I534,المرجع!$E$2:$E$19,0)),"")</f>
        <v>5</v>
      </c>
      <c r="L534" s="15">
        <f>SUMIFS(المرجع!$H$2:$H$19,المرجع!$B$2:$B$19,$G534,المرجع!$E$2:$E$19,$I534)</f>
        <v>4</v>
      </c>
      <c r="M534" s="15">
        <f>COUNTIFS('المرتبطة بسمو الوزير'!$B$2:$B$151,$B534,'المرتبطة بسمو الوزير'!$G$2:$G$151,$G534,'المرتبطة بسمو الوزير'!$I$2:$I$151,$I534,'المرتبطة بسمو الوزير'!$M$2:$M$151,"&lt;&gt;")+COUNTIFS('الشؤون التنفيذية'!$B$2:$B$421,$B534,'الشؤون التنفيذية'!$G$2:$G$421,$G534,'الشؤون التنفيذية'!$I$2:$I$421,$I534,'الشؤون التنفيذية'!$N$2:$N$421,"&lt;&gt;")+COUNTIFS('الجهاز العسكري'!$B$2:$B$631,$B534,'الجهاز العسكري'!$G$2:$G$631,$G534,'الجهاز العسكري'!$I$2:$I$631,$I534,'الجهاز العسكري'!$M$2:$M$631,"&lt;&gt;")</f>
        <v>4</v>
      </c>
      <c r="N534" s="19">
        <f>IF($L534=0,0,ROUND((SUMIFS('المرتبطة بسمو الوزير'!$M$2:$M$151,'المرتبطة بسمو الوزير'!$B$2:$B$151,$B534,'المرتبطة بسمو الوزير'!$G$2:$G$151,$G534,'المرتبطة بسمو الوزير'!$I$2:$I$151,$I534)+SUMIFS('الشؤون التنفيذية'!$N$2:$N$421,'الشؤون التنفيذية'!$B$2:$B$421,$B534,'الشؤون التنفيذية'!$G$2:$G$421,$G534,'الشؤون التنفيذية'!$I$2:$I$421,$I534)+SUMIFS('الجهاز العسكري'!$M$2:$M$631,'الجهاز العسكري'!$B$2:$B$631,$B534,'الجهاز العسكري'!$G$2:$G$631,$G534,'الجهاز العسكري'!$I$2:$I$631,$I534))/$L534,0))</f>
        <v>76</v>
      </c>
      <c r="O534" s="18"/>
      <c r="P534" s="15">
        <f>SUMIFS(المرجع!$G$2:$G$19,المرجع!$B$2:$B$19,$G534,المرجع!$E$2:$E$19,$I534)</f>
        <v>25</v>
      </c>
      <c r="Q534" s="20">
        <f t="shared" si="9"/>
        <v>19</v>
      </c>
      <c r="R534" s="21" t="str">
        <f>IF($N534&gt;المرجع!$K$3,"متقدم",IF($N534&lt;=المرجع!$K$2,"أولي","جزئي"))</f>
        <v>متقدم</v>
      </c>
    </row>
    <row r="535" spans="1:18">
      <c r="A535" s="16" t="s">
        <v>1975</v>
      </c>
      <c r="B535" s="16" t="s">
        <v>210</v>
      </c>
      <c r="C535" s="15" t="str">
        <f>IFERROR(INDEX('قائمة الوحدات'!$B$2:$B$41,MATCH($B535,'قائمة الوحدات'!$A$2:$A$41,0)),"")</f>
        <v>MIL</v>
      </c>
      <c r="D535" s="14" t="str">
        <f>IFERROR(INDEX('قائمة الوحدات'!$C$2:$C$41,MATCH($B535,'قائمة الوحدات'!$A$2:$A$41,0)),"")</f>
        <v>الجهاز العسكري</v>
      </c>
      <c r="E535" s="14" t="str">
        <f>IFERROR(INDEX('قائمة الوحدات'!$D$2:$D$41,MATCH($B535,'قائمة الوحدات'!$A$2:$A$41,0)),"")</f>
        <v>الإدارة العامة للاتصالات وتقنية المعلومات العسكرية</v>
      </c>
      <c r="F535" s="14" t="str">
        <f>IFERROR(INDEX('قائمة الوحدات'!$F$2:$F$41,MATCH($B535,'قائمة الوحدات'!$A$2:$A$41,0)),"")</f>
        <v>الإدارة العامة للاتصالات وتقنية المعلومات العسكرية</v>
      </c>
      <c r="G535" s="16" t="s">
        <v>61</v>
      </c>
      <c r="H535" s="14" t="str">
        <f>IFERROR(INDEX(المرجع!$A$2:$A$19,MATCH($G535,المرجع!$B$2:$B$19,0)),"")</f>
        <v>البناء المؤسسي</v>
      </c>
      <c r="I535" s="16" t="s">
        <v>59</v>
      </c>
      <c r="J535" s="14" t="str">
        <f>IFERROR(INDEX(المرجع!$D$2:$D$19,MATCH($I535,المرجع!$E$2:$E$19,0)),"")</f>
        <v>الإجراءات</v>
      </c>
      <c r="K535" s="15">
        <f>IFERROR(INDEX(المرجع!$F$2:$F$19,MATCH($I535,المرجع!$E$2:$E$19,0)),"")</f>
        <v>6</v>
      </c>
      <c r="L535" s="15">
        <f>SUMIFS(المرجع!$H$2:$H$19,المرجع!$B$2:$B$19,$G535,المرجع!$E$2:$E$19,$I535)</f>
        <v>1</v>
      </c>
      <c r="M535" s="15">
        <f>COUNTIFS('المرتبطة بسمو الوزير'!$B$2:$B$151,$B535,'المرتبطة بسمو الوزير'!$G$2:$G$151,$G535,'المرتبطة بسمو الوزير'!$I$2:$I$151,$I535,'المرتبطة بسمو الوزير'!$M$2:$M$151,"&lt;&gt;")+COUNTIFS('الشؤون التنفيذية'!$B$2:$B$421,$B535,'الشؤون التنفيذية'!$G$2:$G$421,$G535,'الشؤون التنفيذية'!$I$2:$I$421,$I535,'الشؤون التنفيذية'!$N$2:$N$421,"&lt;&gt;")+COUNTIFS('الجهاز العسكري'!$B$2:$B$631,$B535,'الجهاز العسكري'!$G$2:$G$631,$G535,'الجهاز العسكري'!$I$2:$I$631,$I535,'الجهاز العسكري'!$M$2:$M$631,"&lt;&gt;")</f>
        <v>1</v>
      </c>
      <c r="N535" s="19">
        <f>IF($L535=0,0,ROUND((SUMIFS('المرتبطة بسمو الوزير'!$M$2:$M$151,'المرتبطة بسمو الوزير'!$B$2:$B$151,$B535,'المرتبطة بسمو الوزير'!$G$2:$G$151,$G535,'المرتبطة بسمو الوزير'!$I$2:$I$151,$I535)+SUMIFS('الشؤون التنفيذية'!$N$2:$N$421,'الشؤون التنفيذية'!$B$2:$B$421,$B535,'الشؤون التنفيذية'!$G$2:$G$421,$G535,'الشؤون التنفيذية'!$I$2:$I$421,$I535)+SUMIFS('الجهاز العسكري'!$M$2:$M$631,'الجهاز العسكري'!$B$2:$B$631,$B535,'الجهاز العسكري'!$G$2:$G$631,$G535,'الجهاز العسكري'!$I$2:$I$631,$I535))/$L535,0))</f>
        <v>77</v>
      </c>
      <c r="O535" s="18"/>
      <c r="P535" s="15">
        <f>SUMIFS(المرجع!$G$2:$G$19,المرجع!$B$2:$B$19,$G535,المرجع!$E$2:$E$19,$I535)</f>
        <v>5</v>
      </c>
      <c r="Q535" s="20">
        <f t="shared" si="9"/>
        <v>3.85</v>
      </c>
      <c r="R535" s="21" t="str">
        <f>IF($N535&gt;المرجع!$K$3,"متقدم",IF($N535&lt;=المرجع!$K$2,"أولي","جزئي"))</f>
        <v>متقدم</v>
      </c>
    </row>
    <row r="536" spans="1:18">
      <c r="A536" s="16" t="s">
        <v>1976</v>
      </c>
      <c r="B536" s="16" t="s">
        <v>210</v>
      </c>
      <c r="C536" s="15" t="str">
        <f>IFERROR(INDEX('قائمة الوحدات'!$B$2:$B$41,MATCH($B536,'قائمة الوحدات'!$A$2:$A$41,0)),"")</f>
        <v>MIL</v>
      </c>
      <c r="D536" s="14" t="str">
        <f>IFERROR(INDEX('قائمة الوحدات'!$C$2:$C$41,MATCH($B536,'قائمة الوحدات'!$A$2:$A$41,0)),"")</f>
        <v>الجهاز العسكري</v>
      </c>
      <c r="E536" s="14" t="str">
        <f>IFERROR(INDEX('قائمة الوحدات'!$D$2:$D$41,MATCH($B536,'قائمة الوحدات'!$A$2:$A$41,0)),"")</f>
        <v>الإدارة العامة للاتصالات وتقنية المعلومات العسكرية</v>
      </c>
      <c r="F536" s="14" t="str">
        <f>IFERROR(INDEX('قائمة الوحدات'!$F$2:$F$41,MATCH($B536,'قائمة الوحدات'!$A$2:$A$41,0)),"")</f>
        <v>الإدارة العامة للاتصالات وتقنية المعلومات العسكرية</v>
      </c>
      <c r="G536" s="16" t="s">
        <v>61</v>
      </c>
      <c r="H536" s="14" t="str">
        <f>IFERROR(INDEX(المرجع!$A$2:$A$19,MATCH($G536,المرجع!$B$2:$B$19,0)),"")</f>
        <v>البناء المؤسسي</v>
      </c>
      <c r="I536" s="16" t="s">
        <v>63</v>
      </c>
      <c r="J536" s="14" t="str">
        <f>IFERROR(INDEX(المرجع!$D$2:$D$19,MATCH($I536,المرجع!$E$2:$E$19,0)),"")</f>
        <v>إنتاج المخرج الأول</v>
      </c>
      <c r="K536" s="15">
        <f>IFERROR(INDEX(المرجع!$F$2:$F$19,MATCH($I536,المرجع!$E$2:$E$19,0)),"")</f>
        <v>7</v>
      </c>
      <c r="L536" s="15">
        <f>SUMIFS(المرجع!$H$2:$H$19,المرجع!$B$2:$B$19,$G536,المرجع!$E$2:$E$19,$I536)</f>
        <v>1</v>
      </c>
      <c r="M536" s="15">
        <f>COUNTIFS('المرتبطة بسمو الوزير'!$B$2:$B$151,$B536,'المرتبطة بسمو الوزير'!$G$2:$G$151,$G536,'المرتبطة بسمو الوزير'!$I$2:$I$151,$I536,'المرتبطة بسمو الوزير'!$M$2:$M$151,"&lt;&gt;")+COUNTIFS('الشؤون التنفيذية'!$B$2:$B$421,$B536,'الشؤون التنفيذية'!$G$2:$G$421,$G536,'الشؤون التنفيذية'!$I$2:$I$421,$I536,'الشؤون التنفيذية'!$N$2:$N$421,"&lt;&gt;")+COUNTIFS('الجهاز العسكري'!$B$2:$B$631,$B536,'الجهاز العسكري'!$G$2:$G$631,$G536,'الجهاز العسكري'!$I$2:$I$631,$I536,'الجهاز العسكري'!$M$2:$M$631,"&lt;&gt;")</f>
        <v>1</v>
      </c>
      <c r="N536" s="19">
        <f>IF($L536=0,0,ROUND((SUMIFS('المرتبطة بسمو الوزير'!$M$2:$M$151,'المرتبطة بسمو الوزير'!$B$2:$B$151,$B536,'المرتبطة بسمو الوزير'!$G$2:$G$151,$G536,'المرتبطة بسمو الوزير'!$I$2:$I$151,$I536)+SUMIFS('الشؤون التنفيذية'!$N$2:$N$421,'الشؤون التنفيذية'!$B$2:$B$421,$B536,'الشؤون التنفيذية'!$G$2:$G$421,$G536,'الشؤون التنفيذية'!$I$2:$I$421,$I536)+SUMIFS('الجهاز العسكري'!$M$2:$M$631,'الجهاز العسكري'!$B$2:$B$631,$B536,'الجهاز العسكري'!$G$2:$G$631,$G536,'الجهاز العسكري'!$I$2:$I$631,$I536))/$L536,0))</f>
        <v>83</v>
      </c>
      <c r="O536" s="18"/>
      <c r="P536" s="15">
        <f>SUMIFS(المرجع!$G$2:$G$19,المرجع!$B$2:$B$19,$G536,المرجع!$E$2:$E$19,$I536)</f>
        <v>5</v>
      </c>
      <c r="Q536" s="20">
        <f t="shared" si="9"/>
        <v>4.1500000000000004</v>
      </c>
      <c r="R536" s="21" t="str">
        <f>IF($N536&gt;المرجع!$K$3,"متقدم",IF($N536&lt;=المرجع!$K$2,"أولي","جزئي"))</f>
        <v>متقدم</v>
      </c>
    </row>
    <row r="537" spans="1:18">
      <c r="A537" s="16" t="s">
        <v>1977</v>
      </c>
      <c r="B537" s="16" t="s">
        <v>210</v>
      </c>
      <c r="C537" s="15" t="str">
        <f>IFERROR(INDEX('قائمة الوحدات'!$B$2:$B$41,MATCH($B537,'قائمة الوحدات'!$A$2:$A$41,0)),"")</f>
        <v>MIL</v>
      </c>
      <c r="D537" s="14" t="str">
        <f>IFERROR(INDEX('قائمة الوحدات'!$C$2:$C$41,MATCH($B537,'قائمة الوحدات'!$A$2:$A$41,0)),"")</f>
        <v>الجهاز العسكري</v>
      </c>
      <c r="E537" s="14" t="str">
        <f>IFERROR(INDEX('قائمة الوحدات'!$D$2:$D$41,MATCH($B537,'قائمة الوحدات'!$A$2:$A$41,0)),"")</f>
        <v>الإدارة العامة للاتصالات وتقنية المعلومات العسكرية</v>
      </c>
      <c r="F537" s="14" t="str">
        <f>IFERROR(INDEX('قائمة الوحدات'!$F$2:$F$41,MATCH($B537,'قائمة الوحدات'!$A$2:$A$41,0)),"")</f>
        <v>الإدارة العامة للاتصالات وتقنية المعلومات العسكرية</v>
      </c>
      <c r="G537" s="16" t="s">
        <v>65</v>
      </c>
      <c r="H537" s="14" t="str">
        <f>IFERROR(INDEX(المرجع!$A$2:$A$19,MATCH($G537,المرجع!$B$2:$B$19,0)),"")</f>
        <v>التشغيل</v>
      </c>
      <c r="I537" s="16" t="s">
        <v>48</v>
      </c>
      <c r="J537" s="14" t="str">
        <f>IFERROR(INDEX(المرجع!$D$2:$D$19,MATCH($I537,المرجع!$E$2:$E$19,0)),"")</f>
        <v>الأهداف ومؤشرات الأداء</v>
      </c>
      <c r="K537" s="15">
        <f>IFERROR(INDEX(المرجع!$F$2:$F$19,MATCH($I537,المرجع!$E$2:$E$19,0)),"")</f>
        <v>2</v>
      </c>
      <c r="L537" s="15">
        <f>SUMIFS(المرجع!$H$2:$H$19,المرجع!$B$2:$B$19,$G537,المرجع!$E$2:$E$19,$I537)</f>
        <v>2</v>
      </c>
      <c r="M537" s="15">
        <f>COUNTIFS('المرتبطة بسمو الوزير'!$B$2:$B$151,$B537,'المرتبطة بسمو الوزير'!$G$2:$G$151,$G537,'المرتبطة بسمو الوزير'!$I$2:$I$151,$I537,'المرتبطة بسمو الوزير'!$M$2:$M$151,"&lt;&gt;")+COUNTIFS('الشؤون التنفيذية'!$B$2:$B$421,$B537,'الشؤون التنفيذية'!$G$2:$G$421,$G537,'الشؤون التنفيذية'!$I$2:$I$421,$I537,'الشؤون التنفيذية'!$N$2:$N$421,"&lt;&gt;")+COUNTIFS('الجهاز العسكري'!$B$2:$B$631,$B537,'الجهاز العسكري'!$G$2:$G$631,$G537,'الجهاز العسكري'!$I$2:$I$631,$I537,'الجهاز العسكري'!$M$2:$M$631,"&lt;&gt;")</f>
        <v>2</v>
      </c>
      <c r="N537" s="19">
        <f>IF($L537=0,0,ROUND((SUMIFS('المرتبطة بسمو الوزير'!$M$2:$M$151,'المرتبطة بسمو الوزير'!$B$2:$B$151,$B537,'المرتبطة بسمو الوزير'!$G$2:$G$151,$G537,'المرتبطة بسمو الوزير'!$I$2:$I$151,$I537)+SUMIFS('الشؤون التنفيذية'!$N$2:$N$421,'الشؤون التنفيذية'!$B$2:$B$421,$B537,'الشؤون التنفيذية'!$G$2:$G$421,$G537,'الشؤون التنفيذية'!$I$2:$I$421,$I537)+SUMIFS('الجهاز العسكري'!$M$2:$M$631,'الجهاز العسكري'!$B$2:$B$631,$B537,'الجهاز العسكري'!$G$2:$G$631,$G537,'الجهاز العسكري'!$I$2:$I$631,$I537))/$L537,0))</f>
        <v>38</v>
      </c>
      <c r="O537" s="18"/>
      <c r="P537" s="15">
        <f>SUMIFS(المرجع!$G$2:$G$19,المرجع!$B$2:$B$19,$G537,المرجع!$E$2:$E$19,$I537)</f>
        <v>25</v>
      </c>
      <c r="Q537" s="20">
        <f t="shared" si="9"/>
        <v>9.5</v>
      </c>
      <c r="R537" s="21" t="str">
        <f>IF($N537&gt;المرجع!$K$3,"متقدم",IF($N537&lt;=المرجع!$K$2,"أولي","جزئي"))</f>
        <v>جزئي</v>
      </c>
    </row>
    <row r="538" spans="1:18">
      <c r="A538" s="16" t="s">
        <v>1978</v>
      </c>
      <c r="B538" s="16" t="s">
        <v>210</v>
      </c>
      <c r="C538" s="15" t="str">
        <f>IFERROR(INDEX('قائمة الوحدات'!$B$2:$B$41,MATCH($B538,'قائمة الوحدات'!$A$2:$A$41,0)),"")</f>
        <v>MIL</v>
      </c>
      <c r="D538" s="14" t="str">
        <f>IFERROR(INDEX('قائمة الوحدات'!$C$2:$C$41,MATCH($B538,'قائمة الوحدات'!$A$2:$A$41,0)),"")</f>
        <v>الجهاز العسكري</v>
      </c>
      <c r="E538" s="14" t="str">
        <f>IFERROR(INDEX('قائمة الوحدات'!$D$2:$D$41,MATCH($B538,'قائمة الوحدات'!$A$2:$A$41,0)),"")</f>
        <v>الإدارة العامة للاتصالات وتقنية المعلومات العسكرية</v>
      </c>
      <c r="F538" s="14" t="str">
        <f>IFERROR(INDEX('قائمة الوحدات'!$F$2:$F$41,MATCH($B538,'قائمة الوحدات'!$A$2:$A$41,0)),"")</f>
        <v>الإدارة العامة للاتصالات وتقنية المعلومات العسكرية</v>
      </c>
      <c r="G538" s="16" t="s">
        <v>65</v>
      </c>
      <c r="H538" s="14" t="str">
        <f>IFERROR(INDEX(المرجع!$A$2:$A$19,MATCH($G538,المرجع!$B$2:$B$19,0)),"")</f>
        <v>التشغيل</v>
      </c>
      <c r="I538" s="16" t="s">
        <v>51</v>
      </c>
      <c r="J538" s="14" t="str">
        <f>IFERROR(INDEX(المرجع!$D$2:$D$19,MATCH($I538,المرجع!$E$2:$E$19,0)),"")</f>
        <v>الحوكمة</v>
      </c>
      <c r="K538" s="15">
        <f>IFERROR(INDEX(المرجع!$F$2:$F$19,MATCH($I538,المرجع!$E$2:$E$19,0)),"")</f>
        <v>3</v>
      </c>
      <c r="L538" s="15">
        <f>SUMIFS(المرجع!$H$2:$H$19,المرجع!$B$2:$B$19,$G538,المرجع!$E$2:$E$19,$I538)</f>
        <v>3</v>
      </c>
      <c r="M538" s="15">
        <f>COUNTIFS('المرتبطة بسمو الوزير'!$B$2:$B$151,$B538,'المرتبطة بسمو الوزير'!$G$2:$G$151,$G538,'المرتبطة بسمو الوزير'!$I$2:$I$151,$I538,'المرتبطة بسمو الوزير'!$M$2:$M$151,"&lt;&gt;")+COUNTIFS('الشؤون التنفيذية'!$B$2:$B$421,$B538,'الشؤون التنفيذية'!$G$2:$G$421,$G538,'الشؤون التنفيذية'!$I$2:$I$421,$I538,'الشؤون التنفيذية'!$N$2:$N$421,"&lt;&gt;")+COUNTIFS('الجهاز العسكري'!$B$2:$B$631,$B538,'الجهاز العسكري'!$G$2:$G$631,$G538,'الجهاز العسكري'!$I$2:$I$631,$I538,'الجهاز العسكري'!$M$2:$M$631,"&lt;&gt;")</f>
        <v>3</v>
      </c>
      <c r="N538" s="19">
        <f>IF($L538=0,0,ROUND((SUMIFS('المرتبطة بسمو الوزير'!$M$2:$M$151,'المرتبطة بسمو الوزير'!$B$2:$B$151,$B538,'المرتبطة بسمو الوزير'!$G$2:$G$151,$G538,'المرتبطة بسمو الوزير'!$I$2:$I$151,$I538)+SUMIFS('الشؤون التنفيذية'!$N$2:$N$421,'الشؤون التنفيذية'!$B$2:$B$421,$B538,'الشؤون التنفيذية'!$G$2:$G$421,$G538,'الشؤون التنفيذية'!$I$2:$I$421,$I538)+SUMIFS('الجهاز العسكري'!$M$2:$M$631,'الجهاز العسكري'!$B$2:$B$631,$B538,'الجهاز العسكري'!$G$2:$G$631,$G538,'الجهاز العسكري'!$I$2:$I$631,$I538))/$L538,0))</f>
        <v>60</v>
      </c>
      <c r="O538" s="18"/>
      <c r="P538" s="15">
        <f>SUMIFS(المرجع!$G$2:$G$19,المرجع!$B$2:$B$19,$G538,المرجع!$E$2:$E$19,$I538)</f>
        <v>15</v>
      </c>
      <c r="Q538" s="20">
        <f t="shared" si="9"/>
        <v>9</v>
      </c>
      <c r="R538" s="21" t="str">
        <f>IF($N538&gt;المرجع!$K$3,"متقدم",IF($N538&lt;=المرجع!$K$2,"أولي","جزئي"))</f>
        <v>جزئي</v>
      </c>
    </row>
    <row r="539" spans="1:18">
      <c r="A539" s="16" t="s">
        <v>1979</v>
      </c>
      <c r="B539" s="16" t="s">
        <v>210</v>
      </c>
      <c r="C539" s="15" t="str">
        <f>IFERROR(INDEX('قائمة الوحدات'!$B$2:$B$41,MATCH($B539,'قائمة الوحدات'!$A$2:$A$41,0)),"")</f>
        <v>MIL</v>
      </c>
      <c r="D539" s="14" t="str">
        <f>IFERROR(INDEX('قائمة الوحدات'!$C$2:$C$41,MATCH($B539,'قائمة الوحدات'!$A$2:$A$41,0)),"")</f>
        <v>الجهاز العسكري</v>
      </c>
      <c r="E539" s="14" t="str">
        <f>IFERROR(INDEX('قائمة الوحدات'!$D$2:$D$41,MATCH($B539,'قائمة الوحدات'!$A$2:$A$41,0)),"")</f>
        <v>الإدارة العامة للاتصالات وتقنية المعلومات العسكرية</v>
      </c>
      <c r="F539" s="14" t="str">
        <f>IFERROR(INDEX('قائمة الوحدات'!$F$2:$F$41,MATCH($B539,'قائمة الوحدات'!$A$2:$A$41,0)),"")</f>
        <v>الإدارة العامة للاتصالات وتقنية المعلومات العسكرية</v>
      </c>
      <c r="G539" s="16" t="s">
        <v>65</v>
      </c>
      <c r="H539" s="14" t="str">
        <f>IFERROR(INDEX(المرجع!$A$2:$A$19,MATCH($G539,المرجع!$B$2:$B$19,0)),"")</f>
        <v>التشغيل</v>
      </c>
      <c r="I539" s="16" t="s">
        <v>56</v>
      </c>
      <c r="J539" s="14" t="str">
        <f>IFERROR(INDEX(المرجع!$D$2:$D$19,MATCH($I539,المرجع!$E$2:$E$19,0)),"")</f>
        <v>الموارد</v>
      </c>
      <c r="K539" s="15">
        <f>IFERROR(INDEX(المرجع!$F$2:$F$19,MATCH($I539,المرجع!$E$2:$E$19,0)),"")</f>
        <v>5</v>
      </c>
      <c r="L539" s="15">
        <f>SUMIFS(المرجع!$H$2:$H$19,المرجع!$B$2:$B$19,$G539,المرجع!$E$2:$E$19,$I539)</f>
        <v>1</v>
      </c>
      <c r="M539" s="15">
        <f>COUNTIFS('المرتبطة بسمو الوزير'!$B$2:$B$151,$B539,'المرتبطة بسمو الوزير'!$G$2:$G$151,$G539,'المرتبطة بسمو الوزير'!$I$2:$I$151,$I539,'المرتبطة بسمو الوزير'!$M$2:$M$151,"&lt;&gt;")+COUNTIFS('الشؤون التنفيذية'!$B$2:$B$421,$B539,'الشؤون التنفيذية'!$G$2:$G$421,$G539,'الشؤون التنفيذية'!$I$2:$I$421,$I539,'الشؤون التنفيذية'!$N$2:$N$421,"&lt;&gt;")+COUNTIFS('الجهاز العسكري'!$B$2:$B$631,$B539,'الجهاز العسكري'!$G$2:$G$631,$G539,'الجهاز العسكري'!$I$2:$I$631,$I539,'الجهاز العسكري'!$M$2:$M$631,"&lt;&gt;")</f>
        <v>1</v>
      </c>
      <c r="N539" s="19">
        <f>IF($L539=0,0,ROUND((SUMIFS('المرتبطة بسمو الوزير'!$M$2:$M$151,'المرتبطة بسمو الوزير'!$B$2:$B$151,$B539,'المرتبطة بسمو الوزير'!$G$2:$G$151,$G539,'المرتبطة بسمو الوزير'!$I$2:$I$151,$I539)+SUMIFS('الشؤون التنفيذية'!$N$2:$N$421,'الشؤون التنفيذية'!$B$2:$B$421,$B539,'الشؤون التنفيذية'!$G$2:$G$421,$G539,'الشؤون التنفيذية'!$I$2:$I$421,$I539)+SUMIFS('الجهاز العسكري'!$M$2:$M$631,'الجهاز العسكري'!$B$2:$B$631,$B539,'الجهاز العسكري'!$G$2:$G$631,$G539,'الجهاز العسكري'!$I$2:$I$631,$I539))/$L539,0))</f>
        <v>37</v>
      </c>
      <c r="O539" s="18"/>
      <c r="P539" s="15">
        <f>SUMIFS(المرجع!$G$2:$G$19,المرجع!$B$2:$B$19,$G539,المرجع!$E$2:$E$19,$I539)</f>
        <v>15</v>
      </c>
      <c r="Q539" s="20">
        <f t="shared" si="9"/>
        <v>5.55</v>
      </c>
      <c r="R539" s="21" t="str">
        <f>IF($N539&gt;المرجع!$K$3,"متقدم",IF($N539&lt;=المرجع!$K$2,"أولي","جزئي"))</f>
        <v>جزئي</v>
      </c>
    </row>
    <row r="540" spans="1:18">
      <c r="A540" s="16" t="s">
        <v>1980</v>
      </c>
      <c r="B540" s="16" t="s">
        <v>210</v>
      </c>
      <c r="C540" s="15" t="str">
        <f>IFERROR(INDEX('قائمة الوحدات'!$B$2:$B$41,MATCH($B540,'قائمة الوحدات'!$A$2:$A$41,0)),"")</f>
        <v>MIL</v>
      </c>
      <c r="D540" s="14" t="str">
        <f>IFERROR(INDEX('قائمة الوحدات'!$C$2:$C$41,MATCH($B540,'قائمة الوحدات'!$A$2:$A$41,0)),"")</f>
        <v>الجهاز العسكري</v>
      </c>
      <c r="E540" s="14" t="str">
        <f>IFERROR(INDEX('قائمة الوحدات'!$D$2:$D$41,MATCH($B540,'قائمة الوحدات'!$A$2:$A$41,0)),"")</f>
        <v>الإدارة العامة للاتصالات وتقنية المعلومات العسكرية</v>
      </c>
      <c r="F540" s="14" t="str">
        <f>IFERROR(INDEX('قائمة الوحدات'!$F$2:$F$41,MATCH($B540,'قائمة الوحدات'!$A$2:$A$41,0)),"")</f>
        <v>الإدارة العامة للاتصالات وتقنية المعلومات العسكرية</v>
      </c>
      <c r="G540" s="16" t="s">
        <v>65</v>
      </c>
      <c r="H540" s="14" t="str">
        <f>IFERROR(INDEX(المرجع!$A$2:$A$19,MATCH($G540,المرجع!$B$2:$B$19,0)),"")</f>
        <v>التشغيل</v>
      </c>
      <c r="I540" s="16" t="s">
        <v>59</v>
      </c>
      <c r="J540" s="14" t="str">
        <f>IFERROR(INDEX(المرجع!$D$2:$D$19,MATCH($I540,المرجع!$E$2:$E$19,0)),"")</f>
        <v>الإجراءات</v>
      </c>
      <c r="K540" s="15">
        <f>IFERROR(INDEX(المرجع!$F$2:$F$19,MATCH($I540,المرجع!$E$2:$E$19,0)),"")</f>
        <v>6</v>
      </c>
      <c r="L540" s="15">
        <f>SUMIFS(المرجع!$H$2:$H$19,المرجع!$B$2:$B$19,$G540,المرجع!$E$2:$E$19,$I540)</f>
        <v>1</v>
      </c>
      <c r="M540" s="15">
        <f>COUNTIFS('المرتبطة بسمو الوزير'!$B$2:$B$151,$B540,'المرتبطة بسمو الوزير'!$G$2:$G$151,$G540,'المرتبطة بسمو الوزير'!$I$2:$I$151,$I540,'المرتبطة بسمو الوزير'!$M$2:$M$151,"&lt;&gt;")+COUNTIFS('الشؤون التنفيذية'!$B$2:$B$421,$B540,'الشؤون التنفيذية'!$G$2:$G$421,$G540,'الشؤون التنفيذية'!$I$2:$I$421,$I540,'الشؤون التنفيذية'!$N$2:$N$421,"&lt;&gt;")+COUNTIFS('الجهاز العسكري'!$B$2:$B$631,$B540,'الجهاز العسكري'!$G$2:$G$631,$G540,'الجهاز العسكري'!$I$2:$I$631,$I540,'الجهاز العسكري'!$M$2:$M$631,"&lt;&gt;")</f>
        <v>1</v>
      </c>
      <c r="N540" s="19">
        <f>IF($L540=0,0,ROUND((SUMIFS('المرتبطة بسمو الوزير'!$M$2:$M$151,'المرتبطة بسمو الوزير'!$B$2:$B$151,$B540,'المرتبطة بسمو الوزير'!$G$2:$G$151,$G540,'المرتبطة بسمو الوزير'!$I$2:$I$151,$I540)+SUMIFS('الشؤون التنفيذية'!$N$2:$N$421,'الشؤون التنفيذية'!$B$2:$B$421,$B540,'الشؤون التنفيذية'!$G$2:$G$421,$G540,'الشؤون التنفيذية'!$I$2:$I$421,$I540)+SUMIFS('الجهاز العسكري'!$M$2:$M$631,'الجهاز العسكري'!$B$2:$B$631,$B540,'الجهاز العسكري'!$G$2:$G$631,$G540,'الجهاز العسكري'!$I$2:$I$631,$I540))/$L540,0))</f>
        <v>28</v>
      </c>
      <c r="O540" s="18"/>
      <c r="P540" s="15">
        <f>SUMIFS(المرجع!$G$2:$G$19,المرجع!$B$2:$B$19,$G540,المرجع!$E$2:$E$19,$I540)</f>
        <v>15</v>
      </c>
      <c r="Q540" s="20">
        <f t="shared" si="9"/>
        <v>4.2</v>
      </c>
      <c r="R540" s="21" t="str">
        <f>IF($N540&gt;المرجع!$K$3,"متقدم",IF($N540&lt;=المرجع!$K$2,"أولي","جزئي"))</f>
        <v>أولي</v>
      </c>
    </row>
    <row r="541" spans="1:18">
      <c r="A541" s="16" t="s">
        <v>1981</v>
      </c>
      <c r="B541" s="16" t="s">
        <v>210</v>
      </c>
      <c r="C541" s="15" t="str">
        <f>IFERROR(INDEX('قائمة الوحدات'!$B$2:$B$41,MATCH($B541,'قائمة الوحدات'!$A$2:$A$41,0)),"")</f>
        <v>MIL</v>
      </c>
      <c r="D541" s="14" t="str">
        <f>IFERROR(INDEX('قائمة الوحدات'!$C$2:$C$41,MATCH($B541,'قائمة الوحدات'!$A$2:$A$41,0)),"")</f>
        <v>الجهاز العسكري</v>
      </c>
      <c r="E541" s="14" t="str">
        <f>IFERROR(INDEX('قائمة الوحدات'!$D$2:$D$41,MATCH($B541,'قائمة الوحدات'!$A$2:$A$41,0)),"")</f>
        <v>الإدارة العامة للاتصالات وتقنية المعلومات العسكرية</v>
      </c>
      <c r="F541" s="14" t="str">
        <f>IFERROR(INDEX('قائمة الوحدات'!$F$2:$F$41,MATCH($B541,'قائمة الوحدات'!$A$2:$A$41,0)),"")</f>
        <v>الإدارة العامة للاتصالات وتقنية المعلومات العسكرية</v>
      </c>
      <c r="G541" s="16" t="s">
        <v>65</v>
      </c>
      <c r="H541" s="14" t="str">
        <f>IFERROR(INDEX(المرجع!$A$2:$A$19,MATCH($G541,المرجع!$B$2:$B$19,0)),"")</f>
        <v>التشغيل</v>
      </c>
      <c r="I541" s="16" t="s">
        <v>67</v>
      </c>
      <c r="J541" s="14" t="str">
        <f>IFERROR(INDEX(المرجع!$D$2:$D$19,MATCH($I541,المرجع!$E$2:$E$19,0)),"")</f>
        <v>اكتمال المخرجات المستهدفة</v>
      </c>
      <c r="K541" s="15">
        <f>IFERROR(INDEX(المرجع!$F$2:$F$19,MATCH($I541,المرجع!$E$2:$E$19,0)),"")</f>
        <v>8</v>
      </c>
      <c r="L541" s="15">
        <f>SUMIFS(المرجع!$H$2:$H$19,المرجع!$B$2:$B$19,$G541,المرجع!$E$2:$E$19,$I541)</f>
        <v>1</v>
      </c>
      <c r="M541" s="15">
        <f>COUNTIFS('المرتبطة بسمو الوزير'!$B$2:$B$151,$B541,'المرتبطة بسمو الوزير'!$G$2:$G$151,$G541,'المرتبطة بسمو الوزير'!$I$2:$I$151,$I541,'المرتبطة بسمو الوزير'!$M$2:$M$151,"&lt;&gt;")+COUNTIFS('الشؤون التنفيذية'!$B$2:$B$421,$B541,'الشؤون التنفيذية'!$G$2:$G$421,$G541,'الشؤون التنفيذية'!$I$2:$I$421,$I541,'الشؤون التنفيذية'!$N$2:$N$421,"&lt;&gt;")+COUNTIFS('الجهاز العسكري'!$B$2:$B$631,$B541,'الجهاز العسكري'!$G$2:$G$631,$G541,'الجهاز العسكري'!$I$2:$I$631,$I541,'الجهاز العسكري'!$M$2:$M$631,"&lt;&gt;")</f>
        <v>1</v>
      </c>
      <c r="N541" s="19">
        <f>IF($L541=0,0,ROUND((SUMIFS('المرتبطة بسمو الوزير'!$M$2:$M$151,'المرتبطة بسمو الوزير'!$B$2:$B$151,$B541,'المرتبطة بسمو الوزير'!$G$2:$G$151,$G541,'المرتبطة بسمو الوزير'!$I$2:$I$151,$I541)+SUMIFS('الشؤون التنفيذية'!$N$2:$N$421,'الشؤون التنفيذية'!$B$2:$B$421,$B541,'الشؤون التنفيذية'!$G$2:$G$421,$G541,'الشؤون التنفيذية'!$I$2:$I$421,$I541)+SUMIFS('الجهاز العسكري'!$M$2:$M$631,'الجهاز العسكري'!$B$2:$B$631,$B541,'الجهاز العسكري'!$G$2:$G$631,$G541,'الجهاز العسكري'!$I$2:$I$631,$I541))/$L541,0))</f>
        <v>44</v>
      </c>
      <c r="O541" s="18"/>
      <c r="P541" s="15">
        <f>SUMIFS(المرجع!$G$2:$G$19,المرجع!$B$2:$B$19,$G541,المرجع!$E$2:$E$19,$I541)</f>
        <v>30</v>
      </c>
      <c r="Q541" s="20">
        <f t="shared" si="9"/>
        <v>13.2</v>
      </c>
      <c r="R541" s="21" t="str">
        <f>IF($N541&gt;المرجع!$K$3,"متقدم",IF($N541&lt;=المرجع!$K$2,"أولي","جزئي"))</f>
        <v>جزئي</v>
      </c>
    </row>
    <row r="542" spans="1:18">
      <c r="A542" s="16" t="s">
        <v>1982</v>
      </c>
      <c r="B542" s="16" t="s">
        <v>212</v>
      </c>
      <c r="C542" s="15" t="str">
        <f>IFERROR(INDEX('قائمة الوحدات'!$B$2:$B$41,MATCH($B542,'قائمة الوحدات'!$A$2:$A$41,0)),"")</f>
        <v>MIL</v>
      </c>
      <c r="D542" s="14" t="str">
        <f>IFERROR(INDEX('قائمة الوحدات'!$C$2:$C$41,MATCH($B542,'قائمة الوحدات'!$A$2:$A$41,0)),"")</f>
        <v>الجهاز العسكري</v>
      </c>
      <c r="E542" s="14" t="str">
        <f>IFERROR(INDEX('قائمة الوحدات'!$D$2:$D$41,MATCH($B542,'قائمة الوحدات'!$A$2:$A$41,0)),"")</f>
        <v>الإدارة العامة للشؤون الهندسية العسكرية</v>
      </c>
      <c r="F542" s="14" t="str">
        <f>IFERROR(INDEX('قائمة الوحدات'!$F$2:$F$41,MATCH($B542,'قائمة الوحدات'!$A$2:$A$41,0)),"")</f>
        <v>الإدارة العامة للشؤون الهندسية العسكرية</v>
      </c>
      <c r="G542" s="16" t="s">
        <v>43</v>
      </c>
      <c r="H542" s="14" t="str">
        <f>IFERROR(INDEX(المرجع!$A$2:$A$19,MATCH($G542,المرجع!$B$2:$B$19,0)),"")</f>
        <v>التصميم</v>
      </c>
      <c r="I542" s="16" t="s">
        <v>45</v>
      </c>
      <c r="J542" s="14" t="str">
        <f>IFERROR(INDEX(المرجع!$D$2:$D$19,MATCH($I542,المرجع!$E$2:$E$19,0)),"")</f>
        <v>الدور</v>
      </c>
      <c r="K542" s="15">
        <f>IFERROR(INDEX(المرجع!$F$2:$F$19,MATCH($I542,المرجع!$E$2:$E$19,0)),"")</f>
        <v>1</v>
      </c>
      <c r="L542" s="15">
        <f>SUMIFS(المرجع!$H$2:$H$19,المرجع!$B$2:$B$19,$G542,المرجع!$E$2:$E$19,$I542)</f>
        <v>1</v>
      </c>
      <c r="M542" s="15">
        <f>COUNTIFS('المرتبطة بسمو الوزير'!$B$2:$B$151,$B542,'المرتبطة بسمو الوزير'!$G$2:$G$151,$G542,'المرتبطة بسمو الوزير'!$I$2:$I$151,$I542,'المرتبطة بسمو الوزير'!$M$2:$M$151,"&lt;&gt;")+COUNTIFS('الشؤون التنفيذية'!$B$2:$B$421,$B542,'الشؤون التنفيذية'!$G$2:$G$421,$G542,'الشؤون التنفيذية'!$I$2:$I$421,$I542,'الشؤون التنفيذية'!$N$2:$N$421,"&lt;&gt;")+COUNTIFS('الجهاز العسكري'!$B$2:$B$631,$B542,'الجهاز العسكري'!$G$2:$G$631,$G542,'الجهاز العسكري'!$I$2:$I$631,$I542,'الجهاز العسكري'!$M$2:$M$631,"&lt;&gt;")</f>
        <v>1</v>
      </c>
      <c r="N542" s="19">
        <f>IF($L542=0,0,ROUND((SUMIFS('المرتبطة بسمو الوزير'!$M$2:$M$151,'المرتبطة بسمو الوزير'!$B$2:$B$151,$B542,'المرتبطة بسمو الوزير'!$G$2:$G$151,$G542,'المرتبطة بسمو الوزير'!$I$2:$I$151,$I542)+SUMIFS('الشؤون التنفيذية'!$N$2:$N$421,'الشؤون التنفيذية'!$B$2:$B$421,$B542,'الشؤون التنفيذية'!$G$2:$G$421,$G542,'الشؤون التنفيذية'!$I$2:$I$421,$I542)+SUMIFS('الجهاز العسكري'!$M$2:$M$631,'الجهاز العسكري'!$B$2:$B$631,$B542,'الجهاز العسكري'!$G$2:$G$631,$G542,'الجهاز العسكري'!$I$2:$I$631,$I542))/$L542,0))</f>
        <v>86</v>
      </c>
      <c r="O542" s="18"/>
      <c r="P542" s="15">
        <f>SUMIFS(المرجع!$G$2:$G$19,المرجع!$B$2:$B$19,$G542,المرجع!$E$2:$E$19,$I542)</f>
        <v>25</v>
      </c>
      <c r="Q542" s="20">
        <f t="shared" si="9"/>
        <v>21.5</v>
      </c>
      <c r="R542" s="21" t="str">
        <f>IF($N542&gt;المرجع!$K$3,"متقدم",IF($N542&lt;=المرجع!$K$2,"أولي","جزئي"))</f>
        <v>متقدم</v>
      </c>
    </row>
    <row r="543" spans="1:18">
      <c r="A543" s="16" t="s">
        <v>1983</v>
      </c>
      <c r="B543" s="16" t="s">
        <v>212</v>
      </c>
      <c r="C543" s="15" t="str">
        <f>IFERROR(INDEX('قائمة الوحدات'!$B$2:$B$41,MATCH($B543,'قائمة الوحدات'!$A$2:$A$41,0)),"")</f>
        <v>MIL</v>
      </c>
      <c r="D543" s="14" t="str">
        <f>IFERROR(INDEX('قائمة الوحدات'!$C$2:$C$41,MATCH($B543,'قائمة الوحدات'!$A$2:$A$41,0)),"")</f>
        <v>الجهاز العسكري</v>
      </c>
      <c r="E543" s="14" t="str">
        <f>IFERROR(INDEX('قائمة الوحدات'!$D$2:$D$41,MATCH($B543,'قائمة الوحدات'!$A$2:$A$41,0)),"")</f>
        <v>الإدارة العامة للشؤون الهندسية العسكرية</v>
      </c>
      <c r="F543" s="14" t="str">
        <f>IFERROR(INDEX('قائمة الوحدات'!$F$2:$F$41,MATCH($B543,'قائمة الوحدات'!$A$2:$A$41,0)),"")</f>
        <v>الإدارة العامة للشؤون الهندسية العسكرية</v>
      </c>
      <c r="G543" s="16" t="s">
        <v>43</v>
      </c>
      <c r="H543" s="14" t="str">
        <f>IFERROR(INDEX(المرجع!$A$2:$A$19,MATCH($G543,المرجع!$B$2:$B$19,0)),"")</f>
        <v>التصميم</v>
      </c>
      <c r="I543" s="16" t="s">
        <v>48</v>
      </c>
      <c r="J543" s="14" t="str">
        <f>IFERROR(INDEX(المرجع!$D$2:$D$19,MATCH($I543,المرجع!$E$2:$E$19,0)),"")</f>
        <v>الأهداف ومؤشرات الأداء</v>
      </c>
      <c r="K543" s="15">
        <f>IFERROR(INDEX(المرجع!$F$2:$F$19,MATCH($I543,المرجع!$E$2:$E$19,0)),"")</f>
        <v>2</v>
      </c>
      <c r="L543" s="15">
        <f>SUMIFS(المرجع!$H$2:$H$19,المرجع!$B$2:$B$19,$G543,المرجع!$E$2:$E$19,$I543)</f>
        <v>2</v>
      </c>
      <c r="M543" s="15">
        <f>COUNTIFS('المرتبطة بسمو الوزير'!$B$2:$B$151,$B543,'المرتبطة بسمو الوزير'!$G$2:$G$151,$G543,'المرتبطة بسمو الوزير'!$I$2:$I$151,$I543,'المرتبطة بسمو الوزير'!$M$2:$M$151,"&lt;&gt;")+COUNTIFS('الشؤون التنفيذية'!$B$2:$B$421,$B543,'الشؤون التنفيذية'!$G$2:$G$421,$G543,'الشؤون التنفيذية'!$I$2:$I$421,$I543,'الشؤون التنفيذية'!$N$2:$N$421,"&lt;&gt;")+COUNTIFS('الجهاز العسكري'!$B$2:$B$631,$B543,'الجهاز العسكري'!$G$2:$G$631,$G543,'الجهاز العسكري'!$I$2:$I$631,$I543,'الجهاز العسكري'!$M$2:$M$631,"&lt;&gt;")</f>
        <v>2</v>
      </c>
      <c r="N543" s="19">
        <f>IF($L543=0,0,ROUND((SUMIFS('المرتبطة بسمو الوزير'!$M$2:$M$151,'المرتبطة بسمو الوزير'!$B$2:$B$151,$B543,'المرتبطة بسمو الوزير'!$G$2:$G$151,$G543,'المرتبطة بسمو الوزير'!$I$2:$I$151,$I543)+SUMIFS('الشؤون التنفيذية'!$N$2:$N$421,'الشؤون التنفيذية'!$B$2:$B$421,$B543,'الشؤون التنفيذية'!$G$2:$G$421,$G543,'الشؤون التنفيذية'!$I$2:$I$421,$I543)+SUMIFS('الجهاز العسكري'!$M$2:$M$631,'الجهاز العسكري'!$B$2:$B$631,$B543,'الجهاز العسكري'!$G$2:$G$631,$G543,'الجهاز العسكري'!$I$2:$I$631,$I543))/$L543,0))</f>
        <v>78</v>
      </c>
      <c r="O543" s="18"/>
      <c r="P543" s="15">
        <f>SUMIFS(المرجع!$G$2:$G$19,المرجع!$B$2:$B$19,$G543,المرجع!$E$2:$E$19,$I543)</f>
        <v>15</v>
      </c>
      <c r="Q543" s="20">
        <f t="shared" si="9"/>
        <v>11.7</v>
      </c>
      <c r="R543" s="21" t="str">
        <f>IF($N543&gt;المرجع!$K$3,"متقدم",IF($N543&lt;=المرجع!$K$2,"أولي","جزئي"))</f>
        <v>متقدم</v>
      </c>
    </row>
    <row r="544" spans="1:18">
      <c r="A544" s="16" t="s">
        <v>1984</v>
      </c>
      <c r="B544" s="16" t="s">
        <v>212</v>
      </c>
      <c r="C544" s="15" t="str">
        <f>IFERROR(INDEX('قائمة الوحدات'!$B$2:$B$41,MATCH($B544,'قائمة الوحدات'!$A$2:$A$41,0)),"")</f>
        <v>MIL</v>
      </c>
      <c r="D544" s="14" t="str">
        <f>IFERROR(INDEX('قائمة الوحدات'!$C$2:$C$41,MATCH($B544,'قائمة الوحدات'!$A$2:$A$41,0)),"")</f>
        <v>الجهاز العسكري</v>
      </c>
      <c r="E544" s="14" t="str">
        <f>IFERROR(INDEX('قائمة الوحدات'!$D$2:$D$41,MATCH($B544,'قائمة الوحدات'!$A$2:$A$41,0)),"")</f>
        <v>الإدارة العامة للشؤون الهندسية العسكرية</v>
      </c>
      <c r="F544" s="14" t="str">
        <f>IFERROR(INDEX('قائمة الوحدات'!$F$2:$F$41,MATCH($B544,'قائمة الوحدات'!$A$2:$A$41,0)),"")</f>
        <v>الإدارة العامة للشؤون الهندسية العسكرية</v>
      </c>
      <c r="G544" s="16" t="s">
        <v>43</v>
      </c>
      <c r="H544" s="14" t="str">
        <f>IFERROR(INDEX(المرجع!$A$2:$A$19,MATCH($G544,المرجع!$B$2:$B$19,0)),"")</f>
        <v>التصميم</v>
      </c>
      <c r="I544" s="16" t="s">
        <v>51</v>
      </c>
      <c r="J544" s="14" t="str">
        <f>IFERROR(INDEX(المرجع!$D$2:$D$19,MATCH($I544,المرجع!$E$2:$E$19,0)),"")</f>
        <v>الحوكمة</v>
      </c>
      <c r="K544" s="15">
        <f>IFERROR(INDEX(المرجع!$F$2:$F$19,MATCH($I544,المرجع!$E$2:$E$19,0)),"")</f>
        <v>3</v>
      </c>
      <c r="L544" s="15">
        <f>SUMIFS(المرجع!$H$2:$H$19,المرجع!$B$2:$B$19,$G544,المرجع!$E$2:$E$19,$I544)</f>
        <v>1</v>
      </c>
      <c r="M544" s="15">
        <f>COUNTIFS('المرتبطة بسمو الوزير'!$B$2:$B$151,$B544,'المرتبطة بسمو الوزير'!$G$2:$G$151,$G544,'المرتبطة بسمو الوزير'!$I$2:$I$151,$I544,'المرتبطة بسمو الوزير'!$M$2:$M$151,"&lt;&gt;")+COUNTIFS('الشؤون التنفيذية'!$B$2:$B$421,$B544,'الشؤون التنفيذية'!$G$2:$G$421,$G544,'الشؤون التنفيذية'!$I$2:$I$421,$I544,'الشؤون التنفيذية'!$N$2:$N$421,"&lt;&gt;")+COUNTIFS('الجهاز العسكري'!$B$2:$B$631,$B544,'الجهاز العسكري'!$G$2:$G$631,$G544,'الجهاز العسكري'!$I$2:$I$631,$I544,'الجهاز العسكري'!$M$2:$M$631,"&lt;&gt;")</f>
        <v>1</v>
      </c>
      <c r="N544" s="19">
        <f>IF($L544=0,0,ROUND((SUMIFS('المرتبطة بسمو الوزير'!$M$2:$M$151,'المرتبطة بسمو الوزير'!$B$2:$B$151,$B544,'المرتبطة بسمو الوزير'!$G$2:$G$151,$G544,'المرتبطة بسمو الوزير'!$I$2:$I$151,$I544)+SUMIFS('الشؤون التنفيذية'!$N$2:$N$421,'الشؤون التنفيذية'!$B$2:$B$421,$B544,'الشؤون التنفيذية'!$G$2:$G$421,$G544,'الشؤون التنفيذية'!$I$2:$I$421,$I544)+SUMIFS('الجهاز العسكري'!$M$2:$M$631,'الجهاز العسكري'!$B$2:$B$631,$B544,'الجهاز العسكري'!$G$2:$G$631,$G544,'الجهاز العسكري'!$I$2:$I$631,$I544))/$L544,0))</f>
        <v>74</v>
      </c>
      <c r="O544" s="18"/>
      <c r="P544" s="15">
        <f>SUMIFS(المرجع!$G$2:$G$19,المرجع!$B$2:$B$19,$G544,المرجع!$E$2:$E$19,$I544)</f>
        <v>15</v>
      </c>
      <c r="Q544" s="20">
        <f t="shared" si="9"/>
        <v>11.1</v>
      </c>
      <c r="R544" s="21" t="str">
        <f>IF($N544&gt;المرجع!$K$3,"متقدم",IF($N544&lt;=المرجع!$K$2,"أولي","جزئي"))</f>
        <v>متقدم</v>
      </c>
    </row>
    <row r="545" spans="1:18">
      <c r="A545" s="16" t="s">
        <v>1985</v>
      </c>
      <c r="B545" s="16" t="s">
        <v>212</v>
      </c>
      <c r="C545" s="15" t="str">
        <f>IFERROR(INDEX('قائمة الوحدات'!$B$2:$B$41,MATCH($B545,'قائمة الوحدات'!$A$2:$A$41,0)),"")</f>
        <v>MIL</v>
      </c>
      <c r="D545" s="14" t="str">
        <f>IFERROR(INDEX('قائمة الوحدات'!$C$2:$C$41,MATCH($B545,'قائمة الوحدات'!$A$2:$A$41,0)),"")</f>
        <v>الجهاز العسكري</v>
      </c>
      <c r="E545" s="14" t="str">
        <f>IFERROR(INDEX('قائمة الوحدات'!$D$2:$D$41,MATCH($B545,'قائمة الوحدات'!$A$2:$A$41,0)),"")</f>
        <v>الإدارة العامة للشؤون الهندسية العسكرية</v>
      </c>
      <c r="F545" s="14" t="str">
        <f>IFERROR(INDEX('قائمة الوحدات'!$F$2:$F$41,MATCH($B545,'قائمة الوحدات'!$A$2:$A$41,0)),"")</f>
        <v>الإدارة العامة للشؤون الهندسية العسكرية</v>
      </c>
      <c r="G545" s="16" t="s">
        <v>43</v>
      </c>
      <c r="H545" s="14" t="str">
        <f>IFERROR(INDEX(المرجع!$A$2:$A$19,MATCH($G545,المرجع!$B$2:$B$19,0)),"")</f>
        <v>التصميم</v>
      </c>
      <c r="I545" s="16" t="s">
        <v>54</v>
      </c>
      <c r="J545" s="14" t="str">
        <f>IFERROR(INDEX(المرجع!$D$2:$D$19,MATCH($I545,المرجع!$E$2:$E$19,0)),"")</f>
        <v>التنظيم</v>
      </c>
      <c r="K545" s="15">
        <f>IFERROR(INDEX(المرجع!$F$2:$F$19,MATCH($I545,المرجع!$E$2:$E$19,0)),"")</f>
        <v>4</v>
      </c>
      <c r="L545" s="15">
        <f>SUMIFS(المرجع!$H$2:$H$19,المرجع!$B$2:$B$19,$G545,المرجع!$E$2:$E$19,$I545)</f>
        <v>1</v>
      </c>
      <c r="M545" s="15">
        <f>COUNTIFS('المرتبطة بسمو الوزير'!$B$2:$B$151,$B545,'المرتبطة بسمو الوزير'!$G$2:$G$151,$G545,'المرتبطة بسمو الوزير'!$I$2:$I$151,$I545,'المرتبطة بسمو الوزير'!$M$2:$M$151,"&lt;&gt;")+COUNTIFS('الشؤون التنفيذية'!$B$2:$B$421,$B545,'الشؤون التنفيذية'!$G$2:$G$421,$G545,'الشؤون التنفيذية'!$I$2:$I$421,$I545,'الشؤون التنفيذية'!$N$2:$N$421,"&lt;&gt;")+COUNTIFS('الجهاز العسكري'!$B$2:$B$631,$B545,'الجهاز العسكري'!$G$2:$G$631,$G545,'الجهاز العسكري'!$I$2:$I$631,$I545,'الجهاز العسكري'!$M$2:$M$631,"&lt;&gt;")</f>
        <v>1</v>
      </c>
      <c r="N545" s="19">
        <f>IF($L545=0,0,ROUND((SUMIFS('المرتبطة بسمو الوزير'!$M$2:$M$151,'المرتبطة بسمو الوزير'!$B$2:$B$151,$B545,'المرتبطة بسمو الوزير'!$G$2:$G$151,$G545,'المرتبطة بسمو الوزير'!$I$2:$I$151,$I545)+SUMIFS('الشؤون التنفيذية'!$N$2:$N$421,'الشؤون التنفيذية'!$B$2:$B$421,$B545,'الشؤون التنفيذية'!$G$2:$G$421,$G545,'الشؤون التنفيذية'!$I$2:$I$421,$I545)+SUMIFS('الجهاز العسكري'!$M$2:$M$631,'الجهاز العسكري'!$B$2:$B$631,$B545,'الجهاز العسكري'!$G$2:$G$631,$G545,'الجهاز العسكري'!$I$2:$I$631,$I545))/$L545,0))</f>
        <v>83</v>
      </c>
      <c r="O545" s="18"/>
      <c r="P545" s="15">
        <f>SUMIFS(المرجع!$G$2:$G$19,المرجع!$B$2:$B$19,$G545,المرجع!$E$2:$E$19,$I545)</f>
        <v>20</v>
      </c>
      <c r="Q545" s="20">
        <f t="shared" si="9"/>
        <v>16.600000000000001</v>
      </c>
      <c r="R545" s="21" t="str">
        <f>IF($N545&gt;المرجع!$K$3,"متقدم",IF($N545&lt;=المرجع!$K$2,"أولي","جزئي"))</f>
        <v>متقدم</v>
      </c>
    </row>
    <row r="546" spans="1:18">
      <c r="A546" s="16" t="s">
        <v>1986</v>
      </c>
      <c r="B546" s="16" t="s">
        <v>212</v>
      </c>
      <c r="C546" s="15" t="str">
        <f>IFERROR(INDEX('قائمة الوحدات'!$B$2:$B$41,MATCH($B546,'قائمة الوحدات'!$A$2:$A$41,0)),"")</f>
        <v>MIL</v>
      </c>
      <c r="D546" s="14" t="str">
        <f>IFERROR(INDEX('قائمة الوحدات'!$C$2:$C$41,MATCH($B546,'قائمة الوحدات'!$A$2:$A$41,0)),"")</f>
        <v>الجهاز العسكري</v>
      </c>
      <c r="E546" s="14" t="str">
        <f>IFERROR(INDEX('قائمة الوحدات'!$D$2:$D$41,MATCH($B546,'قائمة الوحدات'!$A$2:$A$41,0)),"")</f>
        <v>الإدارة العامة للشؤون الهندسية العسكرية</v>
      </c>
      <c r="F546" s="14" t="str">
        <f>IFERROR(INDEX('قائمة الوحدات'!$F$2:$F$41,MATCH($B546,'قائمة الوحدات'!$A$2:$A$41,0)),"")</f>
        <v>الإدارة العامة للشؤون الهندسية العسكرية</v>
      </c>
      <c r="G546" s="16" t="s">
        <v>43</v>
      </c>
      <c r="H546" s="14" t="str">
        <f>IFERROR(INDEX(المرجع!$A$2:$A$19,MATCH($G546,المرجع!$B$2:$B$19,0)),"")</f>
        <v>التصميم</v>
      </c>
      <c r="I546" s="16" t="s">
        <v>56</v>
      </c>
      <c r="J546" s="14" t="str">
        <f>IFERROR(INDEX(المرجع!$D$2:$D$19,MATCH($I546,المرجع!$E$2:$E$19,0)),"")</f>
        <v>الموارد</v>
      </c>
      <c r="K546" s="15">
        <f>IFERROR(INDEX(المرجع!$F$2:$F$19,MATCH($I546,المرجع!$E$2:$E$19,0)),"")</f>
        <v>5</v>
      </c>
      <c r="L546" s="15">
        <f>SUMIFS(المرجع!$H$2:$H$19,المرجع!$B$2:$B$19,$G546,المرجع!$E$2:$E$19,$I546)</f>
        <v>1</v>
      </c>
      <c r="M546" s="15">
        <f>COUNTIFS('المرتبطة بسمو الوزير'!$B$2:$B$151,$B546,'المرتبطة بسمو الوزير'!$G$2:$G$151,$G546,'المرتبطة بسمو الوزير'!$I$2:$I$151,$I546,'المرتبطة بسمو الوزير'!$M$2:$M$151,"&lt;&gt;")+COUNTIFS('الشؤون التنفيذية'!$B$2:$B$421,$B546,'الشؤون التنفيذية'!$G$2:$G$421,$G546,'الشؤون التنفيذية'!$I$2:$I$421,$I546,'الشؤون التنفيذية'!$N$2:$N$421,"&lt;&gt;")+COUNTIFS('الجهاز العسكري'!$B$2:$B$631,$B546,'الجهاز العسكري'!$G$2:$G$631,$G546,'الجهاز العسكري'!$I$2:$I$631,$I546,'الجهاز العسكري'!$M$2:$M$631,"&lt;&gt;")</f>
        <v>1</v>
      </c>
      <c r="N546" s="19">
        <f>IF($L546=0,0,ROUND((SUMIFS('المرتبطة بسمو الوزير'!$M$2:$M$151,'المرتبطة بسمو الوزير'!$B$2:$B$151,$B546,'المرتبطة بسمو الوزير'!$G$2:$G$151,$G546,'المرتبطة بسمو الوزير'!$I$2:$I$151,$I546)+SUMIFS('الشؤون التنفيذية'!$N$2:$N$421,'الشؤون التنفيذية'!$B$2:$B$421,$B546,'الشؤون التنفيذية'!$G$2:$G$421,$G546,'الشؤون التنفيذية'!$I$2:$I$421,$I546)+SUMIFS('الجهاز العسكري'!$M$2:$M$631,'الجهاز العسكري'!$B$2:$B$631,$B546,'الجهاز العسكري'!$G$2:$G$631,$G546,'الجهاز العسكري'!$I$2:$I$631,$I546))/$L546,0))</f>
        <v>80</v>
      </c>
      <c r="O546" s="18"/>
      <c r="P546" s="15">
        <f>SUMIFS(المرجع!$G$2:$G$19,المرجع!$B$2:$B$19,$G546,المرجع!$E$2:$E$19,$I546)</f>
        <v>20</v>
      </c>
      <c r="Q546" s="20">
        <f t="shared" si="9"/>
        <v>16</v>
      </c>
      <c r="R546" s="21" t="str">
        <f>IF($N546&gt;المرجع!$K$3,"متقدم",IF($N546&lt;=المرجع!$K$2,"أولي","جزئي"))</f>
        <v>متقدم</v>
      </c>
    </row>
    <row r="547" spans="1:18">
      <c r="A547" s="16" t="s">
        <v>1987</v>
      </c>
      <c r="B547" s="16" t="s">
        <v>212</v>
      </c>
      <c r="C547" s="15" t="str">
        <f>IFERROR(INDEX('قائمة الوحدات'!$B$2:$B$41,MATCH($B547,'قائمة الوحدات'!$A$2:$A$41,0)),"")</f>
        <v>MIL</v>
      </c>
      <c r="D547" s="14" t="str">
        <f>IFERROR(INDEX('قائمة الوحدات'!$C$2:$C$41,MATCH($B547,'قائمة الوحدات'!$A$2:$A$41,0)),"")</f>
        <v>الجهاز العسكري</v>
      </c>
      <c r="E547" s="14" t="str">
        <f>IFERROR(INDEX('قائمة الوحدات'!$D$2:$D$41,MATCH($B547,'قائمة الوحدات'!$A$2:$A$41,0)),"")</f>
        <v>الإدارة العامة للشؤون الهندسية العسكرية</v>
      </c>
      <c r="F547" s="14" t="str">
        <f>IFERROR(INDEX('قائمة الوحدات'!$F$2:$F$41,MATCH($B547,'قائمة الوحدات'!$A$2:$A$41,0)),"")</f>
        <v>الإدارة العامة للشؤون الهندسية العسكرية</v>
      </c>
      <c r="G547" s="16" t="s">
        <v>43</v>
      </c>
      <c r="H547" s="14" t="str">
        <f>IFERROR(INDEX(المرجع!$A$2:$A$19,MATCH($G547,المرجع!$B$2:$B$19,0)),"")</f>
        <v>التصميم</v>
      </c>
      <c r="I547" s="16" t="s">
        <v>59</v>
      </c>
      <c r="J547" s="14" t="str">
        <f>IFERROR(INDEX(المرجع!$D$2:$D$19,MATCH($I547,المرجع!$E$2:$E$19,0)),"")</f>
        <v>الإجراءات</v>
      </c>
      <c r="K547" s="15">
        <f>IFERROR(INDEX(المرجع!$F$2:$F$19,MATCH($I547,المرجع!$E$2:$E$19,0)),"")</f>
        <v>6</v>
      </c>
      <c r="L547" s="15">
        <f>SUMIFS(المرجع!$H$2:$H$19,المرجع!$B$2:$B$19,$G547,المرجع!$E$2:$E$19,$I547)</f>
        <v>1</v>
      </c>
      <c r="M547" s="15">
        <f>COUNTIFS('المرتبطة بسمو الوزير'!$B$2:$B$151,$B547,'المرتبطة بسمو الوزير'!$G$2:$G$151,$G547,'المرتبطة بسمو الوزير'!$I$2:$I$151,$I547,'المرتبطة بسمو الوزير'!$M$2:$M$151,"&lt;&gt;")+COUNTIFS('الشؤون التنفيذية'!$B$2:$B$421,$B547,'الشؤون التنفيذية'!$G$2:$G$421,$G547,'الشؤون التنفيذية'!$I$2:$I$421,$I547,'الشؤون التنفيذية'!$N$2:$N$421,"&lt;&gt;")+COUNTIFS('الجهاز العسكري'!$B$2:$B$631,$B547,'الجهاز العسكري'!$G$2:$G$631,$G547,'الجهاز العسكري'!$I$2:$I$631,$I547,'الجهاز العسكري'!$M$2:$M$631,"&lt;&gt;")</f>
        <v>1</v>
      </c>
      <c r="N547" s="19">
        <f>IF($L547=0,0,ROUND((SUMIFS('المرتبطة بسمو الوزير'!$M$2:$M$151,'المرتبطة بسمو الوزير'!$B$2:$B$151,$B547,'المرتبطة بسمو الوزير'!$G$2:$G$151,$G547,'المرتبطة بسمو الوزير'!$I$2:$I$151,$I547)+SUMIFS('الشؤون التنفيذية'!$N$2:$N$421,'الشؤون التنفيذية'!$B$2:$B$421,$B547,'الشؤون التنفيذية'!$G$2:$G$421,$G547,'الشؤون التنفيذية'!$I$2:$I$421,$I547)+SUMIFS('الجهاز العسكري'!$M$2:$M$631,'الجهاز العسكري'!$B$2:$B$631,$B547,'الجهاز العسكري'!$G$2:$G$631,$G547,'الجهاز العسكري'!$I$2:$I$631,$I547))/$L547,0))</f>
        <v>89</v>
      </c>
      <c r="O547" s="18"/>
      <c r="P547" s="15">
        <f>SUMIFS(المرجع!$G$2:$G$19,المرجع!$B$2:$B$19,$G547,المرجع!$E$2:$E$19,$I547)</f>
        <v>5</v>
      </c>
      <c r="Q547" s="20">
        <f t="shared" si="9"/>
        <v>4.45</v>
      </c>
      <c r="R547" s="21" t="str">
        <f>IF($N547&gt;المرجع!$K$3,"متقدم",IF($N547&lt;=المرجع!$K$2,"أولي","جزئي"))</f>
        <v>متقدم</v>
      </c>
    </row>
    <row r="548" spans="1:18">
      <c r="A548" s="16" t="s">
        <v>1988</v>
      </c>
      <c r="B548" s="16" t="s">
        <v>212</v>
      </c>
      <c r="C548" s="15" t="str">
        <f>IFERROR(INDEX('قائمة الوحدات'!$B$2:$B$41,MATCH($B548,'قائمة الوحدات'!$A$2:$A$41,0)),"")</f>
        <v>MIL</v>
      </c>
      <c r="D548" s="14" t="str">
        <f>IFERROR(INDEX('قائمة الوحدات'!$C$2:$C$41,MATCH($B548,'قائمة الوحدات'!$A$2:$A$41,0)),"")</f>
        <v>الجهاز العسكري</v>
      </c>
      <c r="E548" s="14" t="str">
        <f>IFERROR(INDEX('قائمة الوحدات'!$D$2:$D$41,MATCH($B548,'قائمة الوحدات'!$A$2:$A$41,0)),"")</f>
        <v>الإدارة العامة للشؤون الهندسية العسكرية</v>
      </c>
      <c r="F548" s="14" t="str">
        <f>IFERROR(INDEX('قائمة الوحدات'!$F$2:$F$41,MATCH($B548,'قائمة الوحدات'!$A$2:$A$41,0)),"")</f>
        <v>الإدارة العامة للشؤون الهندسية العسكرية</v>
      </c>
      <c r="G548" s="16" t="s">
        <v>61</v>
      </c>
      <c r="H548" s="14" t="str">
        <f>IFERROR(INDEX(المرجع!$A$2:$A$19,MATCH($G548,المرجع!$B$2:$B$19,0)),"")</f>
        <v>البناء المؤسسي</v>
      </c>
      <c r="I548" s="16" t="s">
        <v>45</v>
      </c>
      <c r="J548" s="14" t="str">
        <f>IFERROR(INDEX(المرجع!$D$2:$D$19,MATCH($I548,المرجع!$E$2:$E$19,0)),"")</f>
        <v>الدور</v>
      </c>
      <c r="K548" s="15">
        <f>IFERROR(INDEX(المرجع!$F$2:$F$19,MATCH($I548,المرجع!$E$2:$E$19,0)),"")</f>
        <v>1</v>
      </c>
      <c r="L548" s="15">
        <f>SUMIFS(المرجع!$H$2:$H$19,المرجع!$B$2:$B$19,$G548,المرجع!$E$2:$E$19,$I548)</f>
        <v>1</v>
      </c>
      <c r="M548" s="15">
        <f>COUNTIFS('المرتبطة بسمو الوزير'!$B$2:$B$151,$B548,'المرتبطة بسمو الوزير'!$G$2:$G$151,$G548,'المرتبطة بسمو الوزير'!$I$2:$I$151,$I548,'المرتبطة بسمو الوزير'!$M$2:$M$151,"&lt;&gt;")+COUNTIFS('الشؤون التنفيذية'!$B$2:$B$421,$B548,'الشؤون التنفيذية'!$G$2:$G$421,$G548,'الشؤون التنفيذية'!$I$2:$I$421,$I548,'الشؤون التنفيذية'!$N$2:$N$421,"&lt;&gt;")+COUNTIFS('الجهاز العسكري'!$B$2:$B$631,$B548,'الجهاز العسكري'!$G$2:$G$631,$G548,'الجهاز العسكري'!$I$2:$I$631,$I548,'الجهاز العسكري'!$M$2:$M$631,"&lt;&gt;")</f>
        <v>1</v>
      </c>
      <c r="N548" s="19">
        <f>IF($L548=0,0,ROUND((SUMIFS('المرتبطة بسمو الوزير'!$M$2:$M$151,'المرتبطة بسمو الوزير'!$B$2:$B$151,$B548,'المرتبطة بسمو الوزير'!$G$2:$G$151,$G548,'المرتبطة بسمو الوزير'!$I$2:$I$151,$I548)+SUMIFS('الشؤون التنفيذية'!$N$2:$N$421,'الشؤون التنفيذية'!$B$2:$B$421,$B548,'الشؤون التنفيذية'!$G$2:$G$421,$G548,'الشؤون التنفيذية'!$I$2:$I$421,$I548)+SUMIFS('الجهاز العسكري'!$M$2:$M$631,'الجهاز العسكري'!$B$2:$B$631,$B548,'الجهاز العسكري'!$G$2:$G$631,$G548,'الجهاز العسكري'!$I$2:$I$631,$I548))/$L548,0))</f>
        <v>52</v>
      </c>
      <c r="O548" s="18"/>
      <c r="P548" s="15">
        <f>SUMIFS(المرجع!$G$2:$G$19,المرجع!$B$2:$B$19,$G548,المرجع!$E$2:$E$19,$I548)</f>
        <v>15</v>
      </c>
      <c r="Q548" s="20">
        <f t="shared" si="9"/>
        <v>7.8</v>
      </c>
      <c r="R548" s="21" t="str">
        <f>IF($N548&gt;المرجع!$K$3,"متقدم",IF($N548&lt;=المرجع!$K$2,"أولي","جزئي"))</f>
        <v>جزئي</v>
      </c>
    </row>
    <row r="549" spans="1:18">
      <c r="A549" s="16" t="s">
        <v>1989</v>
      </c>
      <c r="B549" s="16" t="s">
        <v>212</v>
      </c>
      <c r="C549" s="15" t="str">
        <f>IFERROR(INDEX('قائمة الوحدات'!$B$2:$B$41,MATCH($B549,'قائمة الوحدات'!$A$2:$A$41,0)),"")</f>
        <v>MIL</v>
      </c>
      <c r="D549" s="14" t="str">
        <f>IFERROR(INDEX('قائمة الوحدات'!$C$2:$C$41,MATCH($B549,'قائمة الوحدات'!$A$2:$A$41,0)),"")</f>
        <v>الجهاز العسكري</v>
      </c>
      <c r="E549" s="14" t="str">
        <f>IFERROR(INDEX('قائمة الوحدات'!$D$2:$D$41,MATCH($B549,'قائمة الوحدات'!$A$2:$A$41,0)),"")</f>
        <v>الإدارة العامة للشؤون الهندسية العسكرية</v>
      </c>
      <c r="F549" s="14" t="str">
        <f>IFERROR(INDEX('قائمة الوحدات'!$F$2:$F$41,MATCH($B549,'قائمة الوحدات'!$A$2:$A$41,0)),"")</f>
        <v>الإدارة العامة للشؤون الهندسية العسكرية</v>
      </c>
      <c r="G549" s="16" t="s">
        <v>61</v>
      </c>
      <c r="H549" s="14" t="str">
        <f>IFERROR(INDEX(المرجع!$A$2:$A$19,MATCH($G549,المرجع!$B$2:$B$19,0)),"")</f>
        <v>البناء المؤسسي</v>
      </c>
      <c r="I549" s="16" t="s">
        <v>48</v>
      </c>
      <c r="J549" s="14" t="str">
        <f>IFERROR(INDEX(المرجع!$D$2:$D$19,MATCH($I549,المرجع!$E$2:$E$19,0)),"")</f>
        <v>الأهداف ومؤشرات الأداء</v>
      </c>
      <c r="K549" s="15">
        <f>IFERROR(INDEX(المرجع!$F$2:$F$19,MATCH($I549,المرجع!$E$2:$E$19,0)),"")</f>
        <v>2</v>
      </c>
      <c r="L549" s="15">
        <f>SUMIFS(المرجع!$H$2:$H$19,المرجع!$B$2:$B$19,$G549,المرجع!$E$2:$E$19,$I549)</f>
        <v>2</v>
      </c>
      <c r="M549" s="15">
        <f>COUNTIFS('المرتبطة بسمو الوزير'!$B$2:$B$151,$B549,'المرتبطة بسمو الوزير'!$G$2:$G$151,$G549,'المرتبطة بسمو الوزير'!$I$2:$I$151,$I549,'المرتبطة بسمو الوزير'!$M$2:$M$151,"&lt;&gt;")+COUNTIFS('الشؤون التنفيذية'!$B$2:$B$421,$B549,'الشؤون التنفيذية'!$G$2:$G$421,$G549,'الشؤون التنفيذية'!$I$2:$I$421,$I549,'الشؤون التنفيذية'!$N$2:$N$421,"&lt;&gt;")+COUNTIFS('الجهاز العسكري'!$B$2:$B$631,$B549,'الجهاز العسكري'!$G$2:$G$631,$G549,'الجهاز العسكري'!$I$2:$I$631,$I549,'الجهاز العسكري'!$M$2:$M$631,"&lt;&gt;")</f>
        <v>2</v>
      </c>
      <c r="N549" s="19">
        <f>IF($L549=0,0,ROUND((SUMIFS('المرتبطة بسمو الوزير'!$M$2:$M$151,'المرتبطة بسمو الوزير'!$B$2:$B$151,$B549,'المرتبطة بسمو الوزير'!$G$2:$G$151,$G549,'المرتبطة بسمو الوزير'!$I$2:$I$151,$I549)+SUMIFS('الشؤون التنفيذية'!$N$2:$N$421,'الشؤون التنفيذية'!$B$2:$B$421,$B549,'الشؤون التنفيذية'!$G$2:$G$421,$G549,'الشؤون التنفيذية'!$I$2:$I$421,$I549)+SUMIFS('الجهاز العسكري'!$M$2:$M$631,'الجهاز العسكري'!$B$2:$B$631,$B549,'الجهاز العسكري'!$G$2:$G$631,$G549,'الجهاز العسكري'!$I$2:$I$631,$I549))/$L549,0))</f>
        <v>65</v>
      </c>
      <c r="O549" s="18"/>
      <c r="P549" s="15">
        <f>SUMIFS(المرجع!$G$2:$G$19,المرجع!$B$2:$B$19,$G549,المرجع!$E$2:$E$19,$I549)</f>
        <v>15</v>
      </c>
      <c r="Q549" s="20">
        <f t="shared" si="9"/>
        <v>9.75</v>
      </c>
      <c r="R549" s="21" t="str">
        <f>IF($N549&gt;المرجع!$K$3,"متقدم",IF($N549&lt;=المرجع!$K$2,"أولي","جزئي"))</f>
        <v>جزئي</v>
      </c>
    </row>
    <row r="550" spans="1:18">
      <c r="A550" s="16" t="s">
        <v>1990</v>
      </c>
      <c r="B550" s="16" t="s">
        <v>212</v>
      </c>
      <c r="C550" s="15" t="str">
        <f>IFERROR(INDEX('قائمة الوحدات'!$B$2:$B$41,MATCH($B550,'قائمة الوحدات'!$A$2:$A$41,0)),"")</f>
        <v>MIL</v>
      </c>
      <c r="D550" s="14" t="str">
        <f>IFERROR(INDEX('قائمة الوحدات'!$C$2:$C$41,MATCH($B550,'قائمة الوحدات'!$A$2:$A$41,0)),"")</f>
        <v>الجهاز العسكري</v>
      </c>
      <c r="E550" s="14" t="str">
        <f>IFERROR(INDEX('قائمة الوحدات'!$D$2:$D$41,MATCH($B550,'قائمة الوحدات'!$A$2:$A$41,0)),"")</f>
        <v>الإدارة العامة للشؤون الهندسية العسكرية</v>
      </c>
      <c r="F550" s="14" t="str">
        <f>IFERROR(INDEX('قائمة الوحدات'!$F$2:$F$41,MATCH($B550,'قائمة الوحدات'!$A$2:$A$41,0)),"")</f>
        <v>الإدارة العامة للشؤون الهندسية العسكرية</v>
      </c>
      <c r="G550" s="16" t="s">
        <v>61</v>
      </c>
      <c r="H550" s="14" t="str">
        <f>IFERROR(INDEX(المرجع!$A$2:$A$19,MATCH($G550,المرجع!$B$2:$B$19,0)),"")</f>
        <v>البناء المؤسسي</v>
      </c>
      <c r="I550" s="16" t="s">
        <v>51</v>
      </c>
      <c r="J550" s="14" t="str">
        <f>IFERROR(INDEX(المرجع!$D$2:$D$19,MATCH($I550,المرجع!$E$2:$E$19,0)),"")</f>
        <v>الحوكمة</v>
      </c>
      <c r="K550" s="15">
        <f>IFERROR(INDEX(المرجع!$F$2:$F$19,MATCH($I550,المرجع!$E$2:$E$19,0)),"")</f>
        <v>3</v>
      </c>
      <c r="L550" s="15">
        <f>SUMIFS(المرجع!$H$2:$H$19,المرجع!$B$2:$B$19,$G550,المرجع!$E$2:$E$19,$I550)</f>
        <v>3</v>
      </c>
      <c r="M550" s="15">
        <f>COUNTIFS('المرتبطة بسمو الوزير'!$B$2:$B$151,$B550,'المرتبطة بسمو الوزير'!$G$2:$G$151,$G550,'المرتبطة بسمو الوزير'!$I$2:$I$151,$I550,'المرتبطة بسمو الوزير'!$M$2:$M$151,"&lt;&gt;")+COUNTIFS('الشؤون التنفيذية'!$B$2:$B$421,$B550,'الشؤون التنفيذية'!$G$2:$G$421,$G550,'الشؤون التنفيذية'!$I$2:$I$421,$I550,'الشؤون التنفيذية'!$N$2:$N$421,"&lt;&gt;")+COUNTIFS('الجهاز العسكري'!$B$2:$B$631,$B550,'الجهاز العسكري'!$G$2:$G$631,$G550,'الجهاز العسكري'!$I$2:$I$631,$I550,'الجهاز العسكري'!$M$2:$M$631,"&lt;&gt;")</f>
        <v>3</v>
      </c>
      <c r="N550" s="19">
        <f>IF($L550=0,0,ROUND((SUMIFS('المرتبطة بسمو الوزير'!$M$2:$M$151,'المرتبطة بسمو الوزير'!$B$2:$B$151,$B550,'المرتبطة بسمو الوزير'!$G$2:$G$151,$G550,'المرتبطة بسمو الوزير'!$I$2:$I$151,$I550)+SUMIFS('الشؤون التنفيذية'!$N$2:$N$421,'الشؤون التنفيذية'!$B$2:$B$421,$B550,'الشؤون التنفيذية'!$G$2:$G$421,$G550,'الشؤون التنفيذية'!$I$2:$I$421,$I550)+SUMIFS('الجهاز العسكري'!$M$2:$M$631,'الجهاز العسكري'!$B$2:$B$631,$B550,'الجهاز العسكري'!$G$2:$G$631,$G550,'الجهاز العسكري'!$I$2:$I$631,$I550))/$L550,0))</f>
        <v>67</v>
      </c>
      <c r="O550" s="18"/>
      <c r="P550" s="15">
        <f>SUMIFS(المرجع!$G$2:$G$19,المرجع!$B$2:$B$19,$G550,المرجع!$E$2:$E$19,$I550)</f>
        <v>15</v>
      </c>
      <c r="Q550" s="20">
        <f t="shared" si="9"/>
        <v>10.050000000000001</v>
      </c>
      <c r="R550" s="21" t="str">
        <f>IF($N550&gt;المرجع!$K$3,"متقدم",IF($N550&lt;=المرجع!$K$2,"أولي","جزئي"))</f>
        <v>جزئي</v>
      </c>
    </row>
    <row r="551" spans="1:18">
      <c r="A551" s="16" t="s">
        <v>1991</v>
      </c>
      <c r="B551" s="16" t="s">
        <v>212</v>
      </c>
      <c r="C551" s="15" t="str">
        <f>IFERROR(INDEX('قائمة الوحدات'!$B$2:$B$41,MATCH($B551,'قائمة الوحدات'!$A$2:$A$41,0)),"")</f>
        <v>MIL</v>
      </c>
      <c r="D551" s="14" t="str">
        <f>IFERROR(INDEX('قائمة الوحدات'!$C$2:$C$41,MATCH($B551,'قائمة الوحدات'!$A$2:$A$41,0)),"")</f>
        <v>الجهاز العسكري</v>
      </c>
      <c r="E551" s="14" t="str">
        <f>IFERROR(INDEX('قائمة الوحدات'!$D$2:$D$41,MATCH($B551,'قائمة الوحدات'!$A$2:$A$41,0)),"")</f>
        <v>الإدارة العامة للشؤون الهندسية العسكرية</v>
      </c>
      <c r="F551" s="14" t="str">
        <f>IFERROR(INDEX('قائمة الوحدات'!$F$2:$F$41,MATCH($B551,'قائمة الوحدات'!$A$2:$A$41,0)),"")</f>
        <v>الإدارة العامة للشؤون الهندسية العسكرية</v>
      </c>
      <c r="G551" s="16" t="s">
        <v>61</v>
      </c>
      <c r="H551" s="14" t="str">
        <f>IFERROR(INDEX(المرجع!$A$2:$A$19,MATCH($G551,المرجع!$B$2:$B$19,0)),"")</f>
        <v>البناء المؤسسي</v>
      </c>
      <c r="I551" s="16" t="s">
        <v>54</v>
      </c>
      <c r="J551" s="14" t="str">
        <f>IFERROR(INDEX(المرجع!$D$2:$D$19,MATCH($I551,المرجع!$E$2:$E$19,0)),"")</f>
        <v>التنظيم</v>
      </c>
      <c r="K551" s="15">
        <f>IFERROR(INDEX(المرجع!$F$2:$F$19,MATCH($I551,المرجع!$E$2:$E$19,0)),"")</f>
        <v>4</v>
      </c>
      <c r="L551" s="15">
        <f>SUMIFS(المرجع!$H$2:$H$19,المرجع!$B$2:$B$19,$G551,المرجع!$E$2:$E$19,$I551)</f>
        <v>3</v>
      </c>
      <c r="M551" s="15">
        <f>COUNTIFS('المرتبطة بسمو الوزير'!$B$2:$B$151,$B551,'المرتبطة بسمو الوزير'!$G$2:$G$151,$G551,'المرتبطة بسمو الوزير'!$I$2:$I$151,$I551,'المرتبطة بسمو الوزير'!$M$2:$M$151,"&lt;&gt;")+COUNTIFS('الشؤون التنفيذية'!$B$2:$B$421,$B551,'الشؤون التنفيذية'!$G$2:$G$421,$G551,'الشؤون التنفيذية'!$I$2:$I$421,$I551,'الشؤون التنفيذية'!$N$2:$N$421,"&lt;&gt;")+COUNTIFS('الجهاز العسكري'!$B$2:$B$631,$B551,'الجهاز العسكري'!$G$2:$G$631,$G551,'الجهاز العسكري'!$I$2:$I$631,$I551,'الجهاز العسكري'!$M$2:$M$631,"&lt;&gt;")</f>
        <v>3</v>
      </c>
      <c r="N551" s="19">
        <f>IF($L551=0,0,ROUND((SUMIFS('المرتبطة بسمو الوزير'!$M$2:$M$151,'المرتبطة بسمو الوزير'!$B$2:$B$151,$B551,'المرتبطة بسمو الوزير'!$G$2:$G$151,$G551,'المرتبطة بسمو الوزير'!$I$2:$I$151,$I551)+SUMIFS('الشؤون التنفيذية'!$N$2:$N$421,'الشؤون التنفيذية'!$B$2:$B$421,$B551,'الشؤون التنفيذية'!$G$2:$G$421,$G551,'الشؤون التنفيذية'!$I$2:$I$421,$I551)+SUMIFS('الجهاز العسكري'!$M$2:$M$631,'الجهاز العسكري'!$B$2:$B$631,$B551,'الجهاز العسكري'!$G$2:$G$631,$G551,'الجهاز العسكري'!$I$2:$I$631,$I551))/$L551,0))</f>
        <v>35</v>
      </c>
      <c r="O551" s="18"/>
      <c r="P551" s="15">
        <f>SUMIFS(المرجع!$G$2:$G$19,المرجع!$B$2:$B$19,$G551,المرجع!$E$2:$E$19,$I551)</f>
        <v>20</v>
      </c>
      <c r="Q551" s="20">
        <f t="shared" si="9"/>
        <v>7</v>
      </c>
      <c r="R551" s="21" t="str">
        <f>IF($N551&gt;المرجع!$K$3,"متقدم",IF($N551&lt;=المرجع!$K$2,"أولي","جزئي"))</f>
        <v>جزئي</v>
      </c>
    </row>
    <row r="552" spans="1:18">
      <c r="A552" s="16" t="s">
        <v>1992</v>
      </c>
      <c r="B552" s="16" t="s">
        <v>212</v>
      </c>
      <c r="C552" s="15" t="str">
        <f>IFERROR(INDEX('قائمة الوحدات'!$B$2:$B$41,MATCH($B552,'قائمة الوحدات'!$A$2:$A$41,0)),"")</f>
        <v>MIL</v>
      </c>
      <c r="D552" s="14" t="str">
        <f>IFERROR(INDEX('قائمة الوحدات'!$C$2:$C$41,MATCH($B552,'قائمة الوحدات'!$A$2:$A$41,0)),"")</f>
        <v>الجهاز العسكري</v>
      </c>
      <c r="E552" s="14" t="str">
        <f>IFERROR(INDEX('قائمة الوحدات'!$D$2:$D$41,MATCH($B552,'قائمة الوحدات'!$A$2:$A$41,0)),"")</f>
        <v>الإدارة العامة للشؤون الهندسية العسكرية</v>
      </c>
      <c r="F552" s="14" t="str">
        <f>IFERROR(INDEX('قائمة الوحدات'!$F$2:$F$41,MATCH($B552,'قائمة الوحدات'!$A$2:$A$41,0)),"")</f>
        <v>الإدارة العامة للشؤون الهندسية العسكرية</v>
      </c>
      <c r="G552" s="16" t="s">
        <v>61</v>
      </c>
      <c r="H552" s="14" t="str">
        <f>IFERROR(INDEX(المرجع!$A$2:$A$19,MATCH($G552,المرجع!$B$2:$B$19,0)),"")</f>
        <v>البناء المؤسسي</v>
      </c>
      <c r="I552" s="16" t="s">
        <v>56</v>
      </c>
      <c r="J552" s="14" t="str">
        <f>IFERROR(INDEX(المرجع!$D$2:$D$19,MATCH($I552,المرجع!$E$2:$E$19,0)),"")</f>
        <v>الموارد</v>
      </c>
      <c r="K552" s="15">
        <f>IFERROR(INDEX(المرجع!$F$2:$F$19,MATCH($I552,المرجع!$E$2:$E$19,0)),"")</f>
        <v>5</v>
      </c>
      <c r="L552" s="15">
        <f>SUMIFS(المرجع!$H$2:$H$19,المرجع!$B$2:$B$19,$G552,المرجع!$E$2:$E$19,$I552)</f>
        <v>4</v>
      </c>
      <c r="M552" s="15">
        <f>COUNTIFS('المرتبطة بسمو الوزير'!$B$2:$B$151,$B552,'المرتبطة بسمو الوزير'!$G$2:$G$151,$G552,'المرتبطة بسمو الوزير'!$I$2:$I$151,$I552,'المرتبطة بسمو الوزير'!$M$2:$M$151,"&lt;&gt;")+COUNTIFS('الشؤون التنفيذية'!$B$2:$B$421,$B552,'الشؤون التنفيذية'!$G$2:$G$421,$G552,'الشؤون التنفيذية'!$I$2:$I$421,$I552,'الشؤون التنفيذية'!$N$2:$N$421,"&lt;&gt;")+COUNTIFS('الجهاز العسكري'!$B$2:$B$631,$B552,'الجهاز العسكري'!$G$2:$G$631,$G552,'الجهاز العسكري'!$I$2:$I$631,$I552,'الجهاز العسكري'!$M$2:$M$631,"&lt;&gt;")</f>
        <v>4</v>
      </c>
      <c r="N552" s="19">
        <f>IF($L552=0,0,ROUND((SUMIFS('المرتبطة بسمو الوزير'!$M$2:$M$151,'المرتبطة بسمو الوزير'!$B$2:$B$151,$B552,'المرتبطة بسمو الوزير'!$G$2:$G$151,$G552,'المرتبطة بسمو الوزير'!$I$2:$I$151,$I552)+SUMIFS('الشؤون التنفيذية'!$N$2:$N$421,'الشؤون التنفيذية'!$B$2:$B$421,$B552,'الشؤون التنفيذية'!$G$2:$G$421,$G552,'الشؤون التنفيذية'!$I$2:$I$421,$I552)+SUMIFS('الجهاز العسكري'!$M$2:$M$631,'الجهاز العسكري'!$B$2:$B$631,$B552,'الجهاز العسكري'!$G$2:$G$631,$G552,'الجهاز العسكري'!$I$2:$I$631,$I552))/$L552,0))</f>
        <v>70</v>
      </c>
      <c r="O552" s="18"/>
      <c r="P552" s="15">
        <f>SUMIFS(المرجع!$G$2:$G$19,المرجع!$B$2:$B$19,$G552,المرجع!$E$2:$E$19,$I552)</f>
        <v>25</v>
      </c>
      <c r="Q552" s="20">
        <f t="shared" si="9"/>
        <v>17.5</v>
      </c>
      <c r="R552" s="21" t="str">
        <f>IF($N552&gt;المرجع!$K$3,"متقدم",IF($N552&lt;=المرجع!$K$2,"أولي","جزئي"))</f>
        <v>جزئي</v>
      </c>
    </row>
    <row r="553" spans="1:18">
      <c r="A553" s="16" t="s">
        <v>1993</v>
      </c>
      <c r="B553" s="16" t="s">
        <v>212</v>
      </c>
      <c r="C553" s="15" t="str">
        <f>IFERROR(INDEX('قائمة الوحدات'!$B$2:$B$41,MATCH($B553,'قائمة الوحدات'!$A$2:$A$41,0)),"")</f>
        <v>MIL</v>
      </c>
      <c r="D553" s="14" t="str">
        <f>IFERROR(INDEX('قائمة الوحدات'!$C$2:$C$41,MATCH($B553,'قائمة الوحدات'!$A$2:$A$41,0)),"")</f>
        <v>الجهاز العسكري</v>
      </c>
      <c r="E553" s="14" t="str">
        <f>IFERROR(INDEX('قائمة الوحدات'!$D$2:$D$41,MATCH($B553,'قائمة الوحدات'!$A$2:$A$41,0)),"")</f>
        <v>الإدارة العامة للشؤون الهندسية العسكرية</v>
      </c>
      <c r="F553" s="14" t="str">
        <f>IFERROR(INDEX('قائمة الوحدات'!$F$2:$F$41,MATCH($B553,'قائمة الوحدات'!$A$2:$A$41,0)),"")</f>
        <v>الإدارة العامة للشؤون الهندسية العسكرية</v>
      </c>
      <c r="G553" s="16" t="s">
        <v>61</v>
      </c>
      <c r="H553" s="14" t="str">
        <f>IFERROR(INDEX(المرجع!$A$2:$A$19,MATCH($G553,المرجع!$B$2:$B$19,0)),"")</f>
        <v>البناء المؤسسي</v>
      </c>
      <c r="I553" s="16" t="s">
        <v>59</v>
      </c>
      <c r="J553" s="14" t="str">
        <f>IFERROR(INDEX(المرجع!$D$2:$D$19,MATCH($I553,المرجع!$E$2:$E$19,0)),"")</f>
        <v>الإجراءات</v>
      </c>
      <c r="K553" s="15">
        <f>IFERROR(INDEX(المرجع!$F$2:$F$19,MATCH($I553,المرجع!$E$2:$E$19,0)),"")</f>
        <v>6</v>
      </c>
      <c r="L553" s="15">
        <f>SUMIFS(المرجع!$H$2:$H$19,المرجع!$B$2:$B$19,$G553,المرجع!$E$2:$E$19,$I553)</f>
        <v>1</v>
      </c>
      <c r="M553" s="15">
        <f>COUNTIFS('المرتبطة بسمو الوزير'!$B$2:$B$151,$B553,'المرتبطة بسمو الوزير'!$G$2:$G$151,$G553,'المرتبطة بسمو الوزير'!$I$2:$I$151,$I553,'المرتبطة بسمو الوزير'!$M$2:$M$151,"&lt;&gt;")+COUNTIFS('الشؤون التنفيذية'!$B$2:$B$421,$B553,'الشؤون التنفيذية'!$G$2:$G$421,$G553,'الشؤون التنفيذية'!$I$2:$I$421,$I553,'الشؤون التنفيذية'!$N$2:$N$421,"&lt;&gt;")+COUNTIFS('الجهاز العسكري'!$B$2:$B$631,$B553,'الجهاز العسكري'!$G$2:$G$631,$G553,'الجهاز العسكري'!$I$2:$I$631,$I553,'الجهاز العسكري'!$M$2:$M$631,"&lt;&gt;")</f>
        <v>1</v>
      </c>
      <c r="N553" s="19">
        <f>IF($L553=0,0,ROUND((SUMIFS('المرتبطة بسمو الوزير'!$M$2:$M$151,'المرتبطة بسمو الوزير'!$B$2:$B$151,$B553,'المرتبطة بسمو الوزير'!$G$2:$G$151,$G553,'المرتبطة بسمو الوزير'!$I$2:$I$151,$I553)+SUMIFS('الشؤون التنفيذية'!$N$2:$N$421,'الشؤون التنفيذية'!$B$2:$B$421,$B553,'الشؤون التنفيذية'!$G$2:$G$421,$G553,'الشؤون التنفيذية'!$I$2:$I$421,$I553)+SUMIFS('الجهاز العسكري'!$M$2:$M$631,'الجهاز العسكري'!$B$2:$B$631,$B553,'الجهاز العسكري'!$G$2:$G$631,$G553,'الجهاز العسكري'!$I$2:$I$631,$I553))/$L553,0))</f>
        <v>70</v>
      </c>
      <c r="O553" s="18"/>
      <c r="P553" s="15">
        <f>SUMIFS(المرجع!$G$2:$G$19,المرجع!$B$2:$B$19,$G553,المرجع!$E$2:$E$19,$I553)</f>
        <v>5</v>
      </c>
      <c r="Q553" s="20">
        <f t="shared" si="9"/>
        <v>3.5</v>
      </c>
      <c r="R553" s="21" t="str">
        <f>IF($N553&gt;المرجع!$K$3,"متقدم",IF($N553&lt;=المرجع!$K$2,"أولي","جزئي"))</f>
        <v>جزئي</v>
      </c>
    </row>
    <row r="554" spans="1:18">
      <c r="A554" s="16" t="s">
        <v>1994</v>
      </c>
      <c r="B554" s="16" t="s">
        <v>212</v>
      </c>
      <c r="C554" s="15" t="str">
        <f>IFERROR(INDEX('قائمة الوحدات'!$B$2:$B$41,MATCH($B554,'قائمة الوحدات'!$A$2:$A$41,0)),"")</f>
        <v>MIL</v>
      </c>
      <c r="D554" s="14" t="str">
        <f>IFERROR(INDEX('قائمة الوحدات'!$C$2:$C$41,MATCH($B554,'قائمة الوحدات'!$A$2:$A$41,0)),"")</f>
        <v>الجهاز العسكري</v>
      </c>
      <c r="E554" s="14" t="str">
        <f>IFERROR(INDEX('قائمة الوحدات'!$D$2:$D$41,MATCH($B554,'قائمة الوحدات'!$A$2:$A$41,0)),"")</f>
        <v>الإدارة العامة للشؤون الهندسية العسكرية</v>
      </c>
      <c r="F554" s="14" t="str">
        <f>IFERROR(INDEX('قائمة الوحدات'!$F$2:$F$41,MATCH($B554,'قائمة الوحدات'!$A$2:$A$41,0)),"")</f>
        <v>الإدارة العامة للشؤون الهندسية العسكرية</v>
      </c>
      <c r="G554" s="16" t="s">
        <v>61</v>
      </c>
      <c r="H554" s="14" t="str">
        <f>IFERROR(INDEX(المرجع!$A$2:$A$19,MATCH($G554,المرجع!$B$2:$B$19,0)),"")</f>
        <v>البناء المؤسسي</v>
      </c>
      <c r="I554" s="16" t="s">
        <v>63</v>
      </c>
      <c r="J554" s="14" t="str">
        <f>IFERROR(INDEX(المرجع!$D$2:$D$19,MATCH($I554,المرجع!$E$2:$E$19,0)),"")</f>
        <v>إنتاج المخرج الأول</v>
      </c>
      <c r="K554" s="15">
        <f>IFERROR(INDEX(المرجع!$F$2:$F$19,MATCH($I554,المرجع!$E$2:$E$19,0)),"")</f>
        <v>7</v>
      </c>
      <c r="L554" s="15">
        <f>SUMIFS(المرجع!$H$2:$H$19,المرجع!$B$2:$B$19,$G554,المرجع!$E$2:$E$19,$I554)</f>
        <v>1</v>
      </c>
      <c r="M554" s="15">
        <f>COUNTIFS('المرتبطة بسمو الوزير'!$B$2:$B$151,$B554,'المرتبطة بسمو الوزير'!$G$2:$G$151,$G554,'المرتبطة بسمو الوزير'!$I$2:$I$151,$I554,'المرتبطة بسمو الوزير'!$M$2:$M$151,"&lt;&gt;")+COUNTIFS('الشؤون التنفيذية'!$B$2:$B$421,$B554,'الشؤون التنفيذية'!$G$2:$G$421,$G554,'الشؤون التنفيذية'!$I$2:$I$421,$I554,'الشؤون التنفيذية'!$N$2:$N$421,"&lt;&gt;")+COUNTIFS('الجهاز العسكري'!$B$2:$B$631,$B554,'الجهاز العسكري'!$G$2:$G$631,$G554,'الجهاز العسكري'!$I$2:$I$631,$I554,'الجهاز العسكري'!$M$2:$M$631,"&lt;&gt;")</f>
        <v>1</v>
      </c>
      <c r="N554" s="19">
        <f>IF($L554=0,0,ROUND((SUMIFS('المرتبطة بسمو الوزير'!$M$2:$M$151,'المرتبطة بسمو الوزير'!$B$2:$B$151,$B554,'المرتبطة بسمو الوزير'!$G$2:$G$151,$G554,'المرتبطة بسمو الوزير'!$I$2:$I$151,$I554)+SUMIFS('الشؤون التنفيذية'!$N$2:$N$421,'الشؤون التنفيذية'!$B$2:$B$421,$B554,'الشؤون التنفيذية'!$G$2:$G$421,$G554,'الشؤون التنفيذية'!$I$2:$I$421,$I554)+SUMIFS('الجهاز العسكري'!$M$2:$M$631,'الجهاز العسكري'!$B$2:$B$631,$B554,'الجهاز العسكري'!$G$2:$G$631,$G554,'الجهاز العسكري'!$I$2:$I$631,$I554))/$L554,0))</f>
        <v>79</v>
      </c>
      <c r="O554" s="18"/>
      <c r="P554" s="15">
        <f>SUMIFS(المرجع!$G$2:$G$19,المرجع!$B$2:$B$19,$G554,المرجع!$E$2:$E$19,$I554)</f>
        <v>5</v>
      </c>
      <c r="Q554" s="20">
        <f t="shared" si="9"/>
        <v>3.95</v>
      </c>
      <c r="R554" s="21" t="str">
        <f>IF($N554&gt;المرجع!$K$3,"متقدم",IF($N554&lt;=المرجع!$K$2,"أولي","جزئي"))</f>
        <v>متقدم</v>
      </c>
    </row>
    <row r="555" spans="1:18">
      <c r="A555" s="16" t="s">
        <v>1995</v>
      </c>
      <c r="B555" s="16" t="s">
        <v>212</v>
      </c>
      <c r="C555" s="15" t="str">
        <f>IFERROR(INDEX('قائمة الوحدات'!$B$2:$B$41,MATCH($B555,'قائمة الوحدات'!$A$2:$A$41,0)),"")</f>
        <v>MIL</v>
      </c>
      <c r="D555" s="14" t="str">
        <f>IFERROR(INDEX('قائمة الوحدات'!$C$2:$C$41,MATCH($B555,'قائمة الوحدات'!$A$2:$A$41,0)),"")</f>
        <v>الجهاز العسكري</v>
      </c>
      <c r="E555" s="14" t="str">
        <f>IFERROR(INDEX('قائمة الوحدات'!$D$2:$D$41,MATCH($B555,'قائمة الوحدات'!$A$2:$A$41,0)),"")</f>
        <v>الإدارة العامة للشؤون الهندسية العسكرية</v>
      </c>
      <c r="F555" s="14" t="str">
        <f>IFERROR(INDEX('قائمة الوحدات'!$F$2:$F$41,MATCH($B555,'قائمة الوحدات'!$A$2:$A$41,0)),"")</f>
        <v>الإدارة العامة للشؤون الهندسية العسكرية</v>
      </c>
      <c r="G555" s="16" t="s">
        <v>65</v>
      </c>
      <c r="H555" s="14" t="str">
        <f>IFERROR(INDEX(المرجع!$A$2:$A$19,MATCH($G555,المرجع!$B$2:$B$19,0)),"")</f>
        <v>التشغيل</v>
      </c>
      <c r="I555" s="16" t="s">
        <v>48</v>
      </c>
      <c r="J555" s="14" t="str">
        <f>IFERROR(INDEX(المرجع!$D$2:$D$19,MATCH($I555,المرجع!$E$2:$E$19,0)),"")</f>
        <v>الأهداف ومؤشرات الأداء</v>
      </c>
      <c r="K555" s="15">
        <f>IFERROR(INDEX(المرجع!$F$2:$F$19,MATCH($I555,المرجع!$E$2:$E$19,0)),"")</f>
        <v>2</v>
      </c>
      <c r="L555" s="15">
        <f>SUMIFS(المرجع!$H$2:$H$19,المرجع!$B$2:$B$19,$G555,المرجع!$E$2:$E$19,$I555)</f>
        <v>2</v>
      </c>
      <c r="M555" s="15">
        <f>COUNTIFS('المرتبطة بسمو الوزير'!$B$2:$B$151,$B555,'المرتبطة بسمو الوزير'!$G$2:$G$151,$G555,'المرتبطة بسمو الوزير'!$I$2:$I$151,$I555,'المرتبطة بسمو الوزير'!$M$2:$M$151,"&lt;&gt;")+COUNTIFS('الشؤون التنفيذية'!$B$2:$B$421,$B555,'الشؤون التنفيذية'!$G$2:$G$421,$G555,'الشؤون التنفيذية'!$I$2:$I$421,$I555,'الشؤون التنفيذية'!$N$2:$N$421,"&lt;&gt;")+COUNTIFS('الجهاز العسكري'!$B$2:$B$631,$B555,'الجهاز العسكري'!$G$2:$G$631,$G555,'الجهاز العسكري'!$I$2:$I$631,$I555,'الجهاز العسكري'!$M$2:$M$631,"&lt;&gt;")</f>
        <v>2</v>
      </c>
      <c r="N555" s="19">
        <f>IF($L555=0,0,ROUND((SUMIFS('المرتبطة بسمو الوزير'!$M$2:$M$151,'المرتبطة بسمو الوزير'!$B$2:$B$151,$B555,'المرتبطة بسمو الوزير'!$G$2:$G$151,$G555,'المرتبطة بسمو الوزير'!$I$2:$I$151,$I555)+SUMIFS('الشؤون التنفيذية'!$N$2:$N$421,'الشؤون التنفيذية'!$B$2:$B$421,$B555,'الشؤون التنفيذية'!$G$2:$G$421,$G555,'الشؤون التنفيذية'!$I$2:$I$421,$I555)+SUMIFS('الجهاز العسكري'!$M$2:$M$631,'الجهاز العسكري'!$B$2:$B$631,$B555,'الجهاز العسكري'!$G$2:$G$631,$G555,'الجهاز العسكري'!$I$2:$I$631,$I555))/$L555,0))</f>
        <v>28</v>
      </c>
      <c r="O555" s="18"/>
      <c r="P555" s="15">
        <f>SUMIFS(المرجع!$G$2:$G$19,المرجع!$B$2:$B$19,$G555,المرجع!$E$2:$E$19,$I555)</f>
        <v>25</v>
      </c>
      <c r="Q555" s="20">
        <f t="shared" si="9"/>
        <v>7</v>
      </c>
      <c r="R555" s="21" t="str">
        <f>IF($N555&gt;المرجع!$K$3,"متقدم",IF($N555&lt;=المرجع!$K$2,"أولي","جزئي"))</f>
        <v>أولي</v>
      </c>
    </row>
    <row r="556" spans="1:18">
      <c r="A556" s="16" t="s">
        <v>1996</v>
      </c>
      <c r="B556" s="16" t="s">
        <v>212</v>
      </c>
      <c r="C556" s="15" t="str">
        <f>IFERROR(INDEX('قائمة الوحدات'!$B$2:$B$41,MATCH($B556,'قائمة الوحدات'!$A$2:$A$41,0)),"")</f>
        <v>MIL</v>
      </c>
      <c r="D556" s="14" t="str">
        <f>IFERROR(INDEX('قائمة الوحدات'!$C$2:$C$41,MATCH($B556,'قائمة الوحدات'!$A$2:$A$41,0)),"")</f>
        <v>الجهاز العسكري</v>
      </c>
      <c r="E556" s="14" t="str">
        <f>IFERROR(INDEX('قائمة الوحدات'!$D$2:$D$41,MATCH($B556,'قائمة الوحدات'!$A$2:$A$41,0)),"")</f>
        <v>الإدارة العامة للشؤون الهندسية العسكرية</v>
      </c>
      <c r="F556" s="14" t="str">
        <f>IFERROR(INDEX('قائمة الوحدات'!$F$2:$F$41,MATCH($B556,'قائمة الوحدات'!$A$2:$A$41,0)),"")</f>
        <v>الإدارة العامة للشؤون الهندسية العسكرية</v>
      </c>
      <c r="G556" s="16" t="s">
        <v>65</v>
      </c>
      <c r="H556" s="14" t="str">
        <f>IFERROR(INDEX(المرجع!$A$2:$A$19,MATCH($G556,المرجع!$B$2:$B$19,0)),"")</f>
        <v>التشغيل</v>
      </c>
      <c r="I556" s="16" t="s">
        <v>51</v>
      </c>
      <c r="J556" s="14" t="str">
        <f>IFERROR(INDEX(المرجع!$D$2:$D$19,MATCH($I556,المرجع!$E$2:$E$19,0)),"")</f>
        <v>الحوكمة</v>
      </c>
      <c r="K556" s="15">
        <f>IFERROR(INDEX(المرجع!$F$2:$F$19,MATCH($I556,المرجع!$E$2:$E$19,0)),"")</f>
        <v>3</v>
      </c>
      <c r="L556" s="15">
        <f>SUMIFS(المرجع!$H$2:$H$19,المرجع!$B$2:$B$19,$G556,المرجع!$E$2:$E$19,$I556)</f>
        <v>3</v>
      </c>
      <c r="M556" s="15">
        <f>COUNTIFS('المرتبطة بسمو الوزير'!$B$2:$B$151,$B556,'المرتبطة بسمو الوزير'!$G$2:$G$151,$G556,'المرتبطة بسمو الوزير'!$I$2:$I$151,$I556,'المرتبطة بسمو الوزير'!$M$2:$M$151,"&lt;&gt;")+COUNTIFS('الشؤون التنفيذية'!$B$2:$B$421,$B556,'الشؤون التنفيذية'!$G$2:$G$421,$G556,'الشؤون التنفيذية'!$I$2:$I$421,$I556,'الشؤون التنفيذية'!$N$2:$N$421,"&lt;&gt;")+COUNTIFS('الجهاز العسكري'!$B$2:$B$631,$B556,'الجهاز العسكري'!$G$2:$G$631,$G556,'الجهاز العسكري'!$I$2:$I$631,$I556,'الجهاز العسكري'!$M$2:$M$631,"&lt;&gt;")</f>
        <v>3</v>
      </c>
      <c r="N556" s="19">
        <f>IF($L556=0,0,ROUND((SUMIFS('المرتبطة بسمو الوزير'!$M$2:$M$151,'المرتبطة بسمو الوزير'!$B$2:$B$151,$B556,'المرتبطة بسمو الوزير'!$G$2:$G$151,$G556,'المرتبطة بسمو الوزير'!$I$2:$I$151,$I556)+SUMIFS('الشؤون التنفيذية'!$N$2:$N$421,'الشؤون التنفيذية'!$B$2:$B$421,$B556,'الشؤون التنفيذية'!$G$2:$G$421,$G556,'الشؤون التنفيذية'!$I$2:$I$421,$I556)+SUMIFS('الجهاز العسكري'!$M$2:$M$631,'الجهاز العسكري'!$B$2:$B$631,$B556,'الجهاز العسكري'!$G$2:$G$631,$G556,'الجهاز العسكري'!$I$2:$I$631,$I556))/$L556,0))</f>
        <v>47</v>
      </c>
      <c r="O556" s="18"/>
      <c r="P556" s="15">
        <f>SUMIFS(المرجع!$G$2:$G$19,المرجع!$B$2:$B$19,$G556,المرجع!$E$2:$E$19,$I556)</f>
        <v>15</v>
      </c>
      <c r="Q556" s="20">
        <f t="shared" si="9"/>
        <v>7.05</v>
      </c>
      <c r="R556" s="21" t="str">
        <f>IF($N556&gt;المرجع!$K$3,"متقدم",IF($N556&lt;=المرجع!$K$2,"أولي","جزئي"))</f>
        <v>جزئي</v>
      </c>
    </row>
    <row r="557" spans="1:18">
      <c r="A557" s="16" t="s">
        <v>1997</v>
      </c>
      <c r="B557" s="16" t="s">
        <v>212</v>
      </c>
      <c r="C557" s="15" t="str">
        <f>IFERROR(INDEX('قائمة الوحدات'!$B$2:$B$41,MATCH($B557,'قائمة الوحدات'!$A$2:$A$41,0)),"")</f>
        <v>MIL</v>
      </c>
      <c r="D557" s="14" t="str">
        <f>IFERROR(INDEX('قائمة الوحدات'!$C$2:$C$41,MATCH($B557,'قائمة الوحدات'!$A$2:$A$41,0)),"")</f>
        <v>الجهاز العسكري</v>
      </c>
      <c r="E557" s="14" t="str">
        <f>IFERROR(INDEX('قائمة الوحدات'!$D$2:$D$41,MATCH($B557,'قائمة الوحدات'!$A$2:$A$41,0)),"")</f>
        <v>الإدارة العامة للشؤون الهندسية العسكرية</v>
      </c>
      <c r="F557" s="14" t="str">
        <f>IFERROR(INDEX('قائمة الوحدات'!$F$2:$F$41,MATCH($B557,'قائمة الوحدات'!$A$2:$A$41,0)),"")</f>
        <v>الإدارة العامة للشؤون الهندسية العسكرية</v>
      </c>
      <c r="G557" s="16" t="s">
        <v>65</v>
      </c>
      <c r="H557" s="14" t="str">
        <f>IFERROR(INDEX(المرجع!$A$2:$A$19,MATCH($G557,المرجع!$B$2:$B$19,0)),"")</f>
        <v>التشغيل</v>
      </c>
      <c r="I557" s="16" t="s">
        <v>56</v>
      </c>
      <c r="J557" s="14" t="str">
        <f>IFERROR(INDEX(المرجع!$D$2:$D$19,MATCH($I557,المرجع!$E$2:$E$19,0)),"")</f>
        <v>الموارد</v>
      </c>
      <c r="K557" s="15">
        <f>IFERROR(INDEX(المرجع!$F$2:$F$19,MATCH($I557,المرجع!$E$2:$E$19,0)),"")</f>
        <v>5</v>
      </c>
      <c r="L557" s="15">
        <f>SUMIFS(المرجع!$H$2:$H$19,المرجع!$B$2:$B$19,$G557,المرجع!$E$2:$E$19,$I557)</f>
        <v>1</v>
      </c>
      <c r="M557" s="15">
        <f>COUNTIFS('المرتبطة بسمو الوزير'!$B$2:$B$151,$B557,'المرتبطة بسمو الوزير'!$G$2:$G$151,$G557,'المرتبطة بسمو الوزير'!$I$2:$I$151,$I557,'المرتبطة بسمو الوزير'!$M$2:$M$151,"&lt;&gt;")+COUNTIFS('الشؤون التنفيذية'!$B$2:$B$421,$B557,'الشؤون التنفيذية'!$G$2:$G$421,$G557,'الشؤون التنفيذية'!$I$2:$I$421,$I557,'الشؤون التنفيذية'!$N$2:$N$421,"&lt;&gt;")+COUNTIFS('الجهاز العسكري'!$B$2:$B$631,$B557,'الجهاز العسكري'!$G$2:$G$631,$G557,'الجهاز العسكري'!$I$2:$I$631,$I557,'الجهاز العسكري'!$M$2:$M$631,"&lt;&gt;")</f>
        <v>1</v>
      </c>
      <c r="N557" s="19">
        <f>IF($L557=0,0,ROUND((SUMIFS('المرتبطة بسمو الوزير'!$M$2:$M$151,'المرتبطة بسمو الوزير'!$B$2:$B$151,$B557,'المرتبطة بسمو الوزير'!$G$2:$G$151,$G557,'المرتبطة بسمو الوزير'!$I$2:$I$151,$I557)+SUMIFS('الشؤون التنفيذية'!$N$2:$N$421,'الشؤون التنفيذية'!$B$2:$B$421,$B557,'الشؤون التنفيذية'!$G$2:$G$421,$G557,'الشؤون التنفيذية'!$I$2:$I$421,$I557)+SUMIFS('الجهاز العسكري'!$M$2:$M$631,'الجهاز العسكري'!$B$2:$B$631,$B557,'الجهاز العسكري'!$G$2:$G$631,$G557,'الجهاز العسكري'!$I$2:$I$631,$I557))/$L557,0))</f>
        <v>29</v>
      </c>
      <c r="O557" s="18"/>
      <c r="P557" s="15">
        <f>SUMIFS(المرجع!$G$2:$G$19,المرجع!$B$2:$B$19,$G557,المرجع!$E$2:$E$19,$I557)</f>
        <v>15</v>
      </c>
      <c r="Q557" s="20">
        <f t="shared" si="9"/>
        <v>4.3499999999999996</v>
      </c>
      <c r="R557" s="21" t="str">
        <f>IF($N557&gt;المرجع!$K$3,"متقدم",IF($N557&lt;=المرجع!$K$2,"أولي","جزئي"))</f>
        <v>أولي</v>
      </c>
    </row>
    <row r="558" spans="1:18">
      <c r="A558" s="16" t="s">
        <v>1998</v>
      </c>
      <c r="B558" s="16" t="s">
        <v>212</v>
      </c>
      <c r="C558" s="15" t="str">
        <f>IFERROR(INDEX('قائمة الوحدات'!$B$2:$B$41,MATCH($B558,'قائمة الوحدات'!$A$2:$A$41,0)),"")</f>
        <v>MIL</v>
      </c>
      <c r="D558" s="14" t="str">
        <f>IFERROR(INDEX('قائمة الوحدات'!$C$2:$C$41,MATCH($B558,'قائمة الوحدات'!$A$2:$A$41,0)),"")</f>
        <v>الجهاز العسكري</v>
      </c>
      <c r="E558" s="14" t="str">
        <f>IFERROR(INDEX('قائمة الوحدات'!$D$2:$D$41,MATCH($B558,'قائمة الوحدات'!$A$2:$A$41,0)),"")</f>
        <v>الإدارة العامة للشؤون الهندسية العسكرية</v>
      </c>
      <c r="F558" s="14" t="str">
        <f>IFERROR(INDEX('قائمة الوحدات'!$F$2:$F$41,MATCH($B558,'قائمة الوحدات'!$A$2:$A$41,0)),"")</f>
        <v>الإدارة العامة للشؤون الهندسية العسكرية</v>
      </c>
      <c r="G558" s="16" t="s">
        <v>65</v>
      </c>
      <c r="H558" s="14" t="str">
        <f>IFERROR(INDEX(المرجع!$A$2:$A$19,MATCH($G558,المرجع!$B$2:$B$19,0)),"")</f>
        <v>التشغيل</v>
      </c>
      <c r="I558" s="16" t="s">
        <v>59</v>
      </c>
      <c r="J558" s="14" t="str">
        <f>IFERROR(INDEX(المرجع!$D$2:$D$19,MATCH($I558,المرجع!$E$2:$E$19,0)),"")</f>
        <v>الإجراءات</v>
      </c>
      <c r="K558" s="15">
        <f>IFERROR(INDEX(المرجع!$F$2:$F$19,MATCH($I558,المرجع!$E$2:$E$19,0)),"")</f>
        <v>6</v>
      </c>
      <c r="L558" s="15">
        <f>SUMIFS(المرجع!$H$2:$H$19,المرجع!$B$2:$B$19,$G558,المرجع!$E$2:$E$19,$I558)</f>
        <v>1</v>
      </c>
      <c r="M558" s="15">
        <f>COUNTIFS('المرتبطة بسمو الوزير'!$B$2:$B$151,$B558,'المرتبطة بسمو الوزير'!$G$2:$G$151,$G558,'المرتبطة بسمو الوزير'!$I$2:$I$151,$I558,'المرتبطة بسمو الوزير'!$M$2:$M$151,"&lt;&gt;")+COUNTIFS('الشؤون التنفيذية'!$B$2:$B$421,$B558,'الشؤون التنفيذية'!$G$2:$G$421,$G558,'الشؤون التنفيذية'!$I$2:$I$421,$I558,'الشؤون التنفيذية'!$N$2:$N$421,"&lt;&gt;")+COUNTIFS('الجهاز العسكري'!$B$2:$B$631,$B558,'الجهاز العسكري'!$G$2:$G$631,$G558,'الجهاز العسكري'!$I$2:$I$631,$I558,'الجهاز العسكري'!$M$2:$M$631,"&lt;&gt;")</f>
        <v>1</v>
      </c>
      <c r="N558" s="19">
        <f>IF($L558=0,0,ROUND((SUMIFS('المرتبطة بسمو الوزير'!$M$2:$M$151,'المرتبطة بسمو الوزير'!$B$2:$B$151,$B558,'المرتبطة بسمو الوزير'!$G$2:$G$151,$G558,'المرتبطة بسمو الوزير'!$I$2:$I$151,$I558)+SUMIFS('الشؤون التنفيذية'!$N$2:$N$421,'الشؤون التنفيذية'!$B$2:$B$421,$B558,'الشؤون التنفيذية'!$G$2:$G$421,$G558,'الشؤون التنفيذية'!$I$2:$I$421,$I558)+SUMIFS('الجهاز العسكري'!$M$2:$M$631,'الجهاز العسكري'!$B$2:$B$631,$B558,'الجهاز العسكري'!$G$2:$G$631,$G558,'الجهاز العسكري'!$I$2:$I$631,$I558))/$L558,0))</f>
        <v>57</v>
      </c>
      <c r="O558" s="18"/>
      <c r="P558" s="15">
        <f>SUMIFS(المرجع!$G$2:$G$19,المرجع!$B$2:$B$19,$G558,المرجع!$E$2:$E$19,$I558)</f>
        <v>15</v>
      </c>
      <c r="Q558" s="20">
        <f t="shared" si="9"/>
        <v>8.5500000000000007</v>
      </c>
      <c r="R558" s="21" t="str">
        <f>IF($N558&gt;المرجع!$K$3,"متقدم",IF($N558&lt;=المرجع!$K$2,"أولي","جزئي"))</f>
        <v>جزئي</v>
      </c>
    </row>
    <row r="559" spans="1:18">
      <c r="A559" s="16" t="s">
        <v>1999</v>
      </c>
      <c r="B559" s="16" t="s">
        <v>212</v>
      </c>
      <c r="C559" s="15" t="str">
        <f>IFERROR(INDEX('قائمة الوحدات'!$B$2:$B$41,MATCH($B559,'قائمة الوحدات'!$A$2:$A$41,0)),"")</f>
        <v>MIL</v>
      </c>
      <c r="D559" s="14" t="str">
        <f>IFERROR(INDEX('قائمة الوحدات'!$C$2:$C$41,MATCH($B559,'قائمة الوحدات'!$A$2:$A$41,0)),"")</f>
        <v>الجهاز العسكري</v>
      </c>
      <c r="E559" s="14" t="str">
        <f>IFERROR(INDEX('قائمة الوحدات'!$D$2:$D$41,MATCH($B559,'قائمة الوحدات'!$A$2:$A$41,0)),"")</f>
        <v>الإدارة العامة للشؤون الهندسية العسكرية</v>
      </c>
      <c r="F559" s="14" t="str">
        <f>IFERROR(INDEX('قائمة الوحدات'!$F$2:$F$41,MATCH($B559,'قائمة الوحدات'!$A$2:$A$41,0)),"")</f>
        <v>الإدارة العامة للشؤون الهندسية العسكرية</v>
      </c>
      <c r="G559" s="16" t="s">
        <v>65</v>
      </c>
      <c r="H559" s="14" t="str">
        <f>IFERROR(INDEX(المرجع!$A$2:$A$19,MATCH($G559,المرجع!$B$2:$B$19,0)),"")</f>
        <v>التشغيل</v>
      </c>
      <c r="I559" s="16" t="s">
        <v>67</v>
      </c>
      <c r="J559" s="14" t="str">
        <f>IFERROR(INDEX(المرجع!$D$2:$D$19,MATCH($I559,المرجع!$E$2:$E$19,0)),"")</f>
        <v>اكتمال المخرجات المستهدفة</v>
      </c>
      <c r="K559" s="15">
        <f>IFERROR(INDEX(المرجع!$F$2:$F$19,MATCH($I559,المرجع!$E$2:$E$19,0)),"")</f>
        <v>8</v>
      </c>
      <c r="L559" s="15">
        <f>SUMIFS(المرجع!$H$2:$H$19,المرجع!$B$2:$B$19,$G559,المرجع!$E$2:$E$19,$I559)</f>
        <v>1</v>
      </c>
      <c r="M559" s="15">
        <f>COUNTIFS('المرتبطة بسمو الوزير'!$B$2:$B$151,$B559,'المرتبطة بسمو الوزير'!$G$2:$G$151,$G559,'المرتبطة بسمو الوزير'!$I$2:$I$151,$I559,'المرتبطة بسمو الوزير'!$M$2:$M$151,"&lt;&gt;")+COUNTIFS('الشؤون التنفيذية'!$B$2:$B$421,$B559,'الشؤون التنفيذية'!$G$2:$G$421,$G559,'الشؤون التنفيذية'!$I$2:$I$421,$I559,'الشؤون التنفيذية'!$N$2:$N$421,"&lt;&gt;")+COUNTIFS('الجهاز العسكري'!$B$2:$B$631,$B559,'الجهاز العسكري'!$G$2:$G$631,$G559,'الجهاز العسكري'!$I$2:$I$631,$I559,'الجهاز العسكري'!$M$2:$M$631,"&lt;&gt;")</f>
        <v>1</v>
      </c>
      <c r="N559" s="19">
        <f>IF($L559=0,0,ROUND((SUMIFS('المرتبطة بسمو الوزير'!$M$2:$M$151,'المرتبطة بسمو الوزير'!$B$2:$B$151,$B559,'المرتبطة بسمو الوزير'!$G$2:$G$151,$G559,'المرتبطة بسمو الوزير'!$I$2:$I$151,$I559)+SUMIFS('الشؤون التنفيذية'!$N$2:$N$421,'الشؤون التنفيذية'!$B$2:$B$421,$B559,'الشؤون التنفيذية'!$G$2:$G$421,$G559,'الشؤون التنفيذية'!$I$2:$I$421,$I559)+SUMIFS('الجهاز العسكري'!$M$2:$M$631,'الجهاز العسكري'!$B$2:$B$631,$B559,'الجهاز العسكري'!$G$2:$G$631,$G559,'الجهاز العسكري'!$I$2:$I$631,$I559))/$L559,0))</f>
        <v>36</v>
      </c>
      <c r="O559" s="18"/>
      <c r="P559" s="15">
        <f>SUMIFS(المرجع!$G$2:$G$19,المرجع!$B$2:$B$19,$G559,المرجع!$E$2:$E$19,$I559)</f>
        <v>30</v>
      </c>
      <c r="Q559" s="20">
        <f t="shared" si="9"/>
        <v>10.8</v>
      </c>
      <c r="R559" s="21" t="str">
        <f>IF($N559&gt;المرجع!$K$3,"متقدم",IF($N559&lt;=المرجع!$K$2,"أولي","جزئي"))</f>
        <v>جزئي</v>
      </c>
    </row>
    <row r="560" spans="1:18">
      <c r="A560" s="16" t="s">
        <v>2000</v>
      </c>
      <c r="B560" s="16" t="s">
        <v>214</v>
      </c>
      <c r="C560" s="15" t="str">
        <f>IFERROR(INDEX('قائمة الوحدات'!$B$2:$B$41,MATCH($B560,'قائمة الوحدات'!$A$2:$A$41,0)),"")</f>
        <v>MIL</v>
      </c>
      <c r="D560" s="14" t="str">
        <f>IFERROR(INDEX('قائمة الوحدات'!$C$2:$C$41,MATCH($B560,'قائمة الوحدات'!$A$2:$A$41,0)),"")</f>
        <v>الجهاز العسكري</v>
      </c>
      <c r="E560" s="14" t="str">
        <f>IFERROR(INDEX('قائمة الوحدات'!$D$2:$D$41,MATCH($B560,'قائمة الوحدات'!$A$2:$A$41,0)),"")</f>
        <v>الإدارة العامة للخدمات الطبية العسكرية</v>
      </c>
      <c r="F560" s="14" t="str">
        <f>IFERROR(INDEX('قائمة الوحدات'!$F$2:$F$41,MATCH($B560,'قائمة الوحدات'!$A$2:$A$41,0)),"")</f>
        <v>الإدارة العامة للخدمات الطبية العسكرية</v>
      </c>
      <c r="G560" s="16" t="s">
        <v>43</v>
      </c>
      <c r="H560" s="14" t="str">
        <f>IFERROR(INDEX(المرجع!$A$2:$A$19,MATCH($G560,المرجع!$B$2:$B$19,0)),"")</f>
        <v>التصميم</v>
      </c>
      <c r="I560" s="16" t="s">
        <v>45</v>
      </c>
      <c r="J560" s="14" t="str">
        <f>IFERROR(INDEX(المرجع!$D$2:$D$19,MATCH($I560,المرجع!$E$2:$E$19,0)),"")</f>
        <v>الدور</v>
      </c>
      <c r="K560" s="15">
        <f>IFERROR(INDEX(المرجع!$F$2:$F$19,MATCH($I560,المرجع!$E$2:$E$19,0)),"")</f>
        <v>1</v>
      </c>
      <c r="L560" s="15">
        <f>SUMIFS(المرجع!$H$2:$H$19,المرجع!$B$2:$B$19,$G560,المرجع!$E$2:$E$19,$I560)</f>
        <v>1</v>
      </c>
      <c r="M560" s="15">
        <f>COUNTIFS('المرتبطة بسمو الوزير'!$B$2:$B$151,$B560,'المرتبطة بسمو الوزير'!$G$2:$G$151,$G560,'المرتبطة بسمو الوزير'!$I$2:$I$151,$I560,'المرتبطة بسمو الوزير'!$M$2:$M$151,"&lt;&gt;")+COUNTIFS('الشؤون التنفيذية'!$B$2:$B$421,$B560,'الشؤون التنفيذية'!$G$2:$G$421,$G560,'الشؤون التنفيذية'!$I$2:$I$421,$I560,'الشؤون التنفيذية'!$N$2:$N$421,"&lt;&gt;")+COUNTIFS('الجهاز العسكري'!$B$2:$B$631,$B560,'الجهاز العسكري'!$G$2:$G$631,$G560,'الجهاز العسكري'!$I$2:$I$631,$I560,'الجهاز العسكري'!$M$2:$M$631,"&lt;&gt;")</f>
        <v>1</v>
      </c>
      <c r="N560" s="19">
        <f>IF($L560=0,0,ROUND((SUMIFS('المرتبطة بسمو الوزير'!$M$2:$M$151,'المرتبطة بسمو الوزير'!$B$2:$B$151,$B560,'المرتبطة بسمو الوزير'!$G$2:$G$151,$G560,'المرتبطة بسمو الوزير'!$I$2:$I$151,$I560)+SUMIFS('الشؤون التنفيذية'!$N$2:$N$421,'الشؤون التنفيذية'!$B$2:$B$421,$B560,'الشؤون التنفيذية'!$G$2:$G$421,$G560,'الشؤون التنفيذية'!$I$2:$I$421,$I560)+SUMIFS('الجهاز العسكري'!$M$2:$M$631,'الجهاز العسكري'!$B$2:$B$631,$B560,'الجهاز العسكري'!$G$2:$G$631,$G560,'الجهاز العسكري'!$I$2:$I$631,$I560))/$L560,0))</f>
        <v>73</v>
      </c>
      <c r="O560" s="18"/>
      <c r="P560" s="15">
        <f>SUMIFS(المرجع!$G$2:$G$19,المرجع!$B$2:$B$19,$G560,المرجع!$E$2:$E$19,$I560)</f>
        <v>25</v>
      </c>
      <c r="Q560" s="20">
        <f t="shared" si="9"/>
        <v>18.25</v>
      </c>
      <c r="R560" s="21" t="str">
        <f>IF($N560&gt;المرجع!$K$3,"متقدم",IF($N560&lt;=المرجع!$K$2,"أولي","جزئي"))</f>
        <v>متقدم</v>
      </c>
    </row>
    <row r="561" spans="1:18">
      <c r="A561" s="16" t="s">
        <v>2001</v>
      </c>
      <c r="B561" s="16" t="s">
        <v>214</v>
      </c>
      <c r="C561" s="15" t="str">
        <f>IFERROR(INDEX('قائمة الوحدات'!$B$2:$B$41,MATCH($B561,'قائمة الوحدات'!$A$2:$A$41,0)),"")</f>
        <v>MIL</v>
      </c>
      <c r="D561" s="14" t="str">
        <f>IFERROR(INDEX('قائمة الوحدات'!$C$2:$C$41,MATCH($B561,'قائمة الوحدات'!$A$2:$A$41,0)),"")</f>
        <v>الجهاز العسكري</v>
      </c>
      <c r="E561" s="14" t="str">
        <f>IFERROR(INDEX('قائمة الوحدات'!$D$2:$D$41,MATCH($B561,'قائمة الوحدات'!$A$2:$A$41,0)),"")</f>
        <v>الإدارة العامة للخدمات الطبية العسكرية</v>
      </c>
      <c r="F561" s="14" t="str">
        <f>IFERROR(INDEX('قائمة الوحدات'!$F$2:$F$41,MATCH($B561,'قائمة الوحدات'!$A$2:$A$41,0)),"")</f>
        <v>الإدارة العامة للخدمات الطبية العسكرية</v>
      </c>
      <c r="G561" s="16" t="s">
        <v>43</v>
      </c>
      <c r="H561" s="14" t="str">
        <f>IFERROR(INDEX(المرجع!$A$2:$A$19,MATCH($G561,المرجع!$B$2:$B$19,0)),"")</f>
        <v>التصميم</v>
      </c>
      <c r="I561" s="16" t="s">
        <v>48</v>
      </c>
      <c r="J561" s="14" t="str">
        <f>IFERROR(INDEX(المرجع!$D$2:$D$19,MATCH($I561,المرجع!$E$2:$E$19,0)),"")</f>
        <v>الأهداف ومؤشرات الأداء</v>
      </c>
      <c r="K561" s="15">
        <f>IFERROR(INDEX(المرجع!$F$2:$F$19,MATCH($I561,المرجع!$E$2:$E$19,0)),"")</f>
        <v>2</v>
      </c>
      <c r="L561" s="15">
        <f>SUMIFS(المرجع!$H$2:$H$19,المرجع!$B$2:$B$19,$G561,المرجع!$E$2:$E$19,$I561)</f>
        <v>2</v>
      </c>
      <c r="M561" s="15">
        <f>COUNTIFS('المرتبطة بسمو الوزير'!$B$2:$B$151,$B561,'المرتبطة بسمو الوزير'!$G$2:$G$151,$G561,'المرتبطة بسمو الوزير'!$I$2:$I$151,$I561,'المرتبطة بسمو الوزير'!$M$2:$M$151,"&lt;&gt;")+COUNTIFS('الشؤون التنفيذية'!$B$2:$B$421,$B561,'الشؤون التنفيذية'!$G$2:$G$421,$G561,'الشؤون التنفيذية'!$I$2:$I$421,$I561,'الشؤون التنفيذية'!$N$2:$N$421,"&lt;&gt;")+COUNTIFS('الجهاز العسكري'!$B$2:$B$631,$B561,'الجهاز العسكري'!$G$2:$G$631,$G561,'الجهاز العسكري'!$I$2:$I$631,$I561,'الجهاز العسكري'!$M$2:$M$631,"&lt;&gt;")</f>
        <v>2</v>
      </c>
      <c r="N561" s="19">
        <f>IF($L561=0,0,ROUND((SUMIFS('المرتبطة بسمو الوزير'!$M$2:$M$151,'المرتبطة بسمو الوزير'!$B$2:$B$151,$B561,'المرتبطة بسمو الوزير'!$G$2:$G$151,$G561,'المرتبطة بسمو الوزير'!$I$2:$I$151,$I561)+SUMIFS('الشؤون التنفيذية'!$N$2:$N$421,'الشؤون التنفيذية'!$B$2:$B$421,$B561,'الشؤون التنفيذية'!$G$2:$G$421,$G561,'الشؤون التنفيذية'!$I$2:$I$421,$I561)+SUMIFS('الجهاز العسكري'!$M$2:$M$631,'الجهاز العسكري'!$B$2:$B$631,$B561,'الجهاز العسكري'!$G$2:$G$631,$G561,'الجهاز العسكري'!$I$2:$I$631,$I561))/$L561,0))</f>
        <v>85</v>
      </c>
      <c r="O561" s="18"/>
      <c r="P561" s="15">
        <f>SUMIFS(المرجع!$G$2:$G$19,المرجع!$B$2:$B$19,$G561,المرجع!$E$2:$E$19,$I561)</f>
        <v>15</v>
      </c>
      <c r="Q561" s="20">
        <f t="shared" si="9"/>
        <v>12.75</v>
      </c>
      <c r="R561" s="21" t="str">
        <f>IF($N561&gt;المرجع!$K$3,"متقدم",IF($N561&lt;=المرجع!$K$2,"أولي","جزئي"))</f>
        <v>متقدم</v>
      </c>
    </row>
    <row r="562" spans="1:18">
      <c r="A562" s="16" t="s">
        <v>2002</v>
      </c>
      <c r="B562" s="16" t="s">
        <v>214</v>
      </c>
      <c r="C562" s="15" t="str">
        <f>IFERROR(INDEX('قائمة الوحدات'!$B$2:$B$41,MATCH($B562,'قائمة الوحدات'!$A$2:$A$41,0)),"")</f>
        <v>MIL</v>
      </c>
      <c r="D562" s="14" t="str">
        <f>IFERROR(INDEX('قائمة الوحدات'!$C$2:$C$41,MATCH($B562,'قائمة الوحدات'!$A$2:$A$41,0)),"")</f>
        <v>الجهاز العسكري</v>
      </c>
      <c r="E562" s="14" t="str">
        <f>IFERROR(INDEX('قائمة الوحدات'!$D$2:$D$41,MATCH($B562,'قائمة الوحدات'!$A$2:$A$41,0)),"")</f>
        <v>الإدارة العامة للخدمات الطبية العسكرية</v>
      </c>
      <c r="F562" s="14" t="str">
        <f>IFERROR(INDEX('قائمة الوحدات'!$F$2:$F$41,MATCH($B562,'قائمة الوحدات'!$A$2:$A$41,0)),"")</f>
        <v>الإدارة العامة للخدمات الطبية العسكرية</v>
      </c>
      <c r="G562" s="16" t="s">
        <v>43</v>
      </c>
      <c r="H562" s="14" t="str">
        <f>IFERROR(INDEX(المرجع!$A$2:$A$19,MATCH($G562,المرجع!$B$2:$B$19,0)),"")</f>
        <v>التصميم</v>
      </c>
      <c r="I562" s="16" t="s">
        <v>51</v>
      </c>
      <c r="J562" s="14" t="str">
        <f>IFERROR(INDEX(المرجع!$D$2:$D$19,MATCH($I562,المرجع!$E$2:$E$19,0)),"")</f>
        <v>الحوكمة</v>
      </c>
      <c r="K562" s="15">
        <f>IFERROR(INDEX(المرجع!$F$2:$F$19,MATCH($I562,المرجع!$E$2:$E$19,0)),"")</f>
        <v>3</v>
      </c>
      <c r="L562" s="15">
        <f>SUMIFS(المرجع!$H$2:$H$19,المرجع!$B$2:$B$19,$G562,المرجع!$E$2:$E$19,$I562)</f>
        <v>1</v>
      </c>
      <c r="M562" s="15">
        <f>COUNTIFS('المرتبطة بسمو الوزير'!$B$2:$B$151,$B562,'المرتبطة بسمو الوزير'!$G$2:$G$151,$G562,'المرتبطة بسمو الوزير'!$I$2:$I$151,$I562,'المرتبطة بسمو الوزير'!$M$2:$M$151,"&lt;&gt;")+COUNTIFS('الشؤون التنفيذية'!$B$2:$B$421,$B562,'الشؤون التنفيذية'!$G$2:$G$421,$G562,'الشؤون التنفيذية'!$I$2:$I$421,$I562,'الشؤون التنفيذية'!$N$2:$N$421,"&lt;&gt;")+COUNTIFS('الجهاز العسكري'!$B$2:$B$631,$B562,'الجهاز العسكري'!$G$2:$G$631,$G562,'الجهاز العسكري'!$I$2:$I$631,$I562,'الجهاز العسكري'!$M$2:$M$631,"&lt;&gt;")</f>
        <v>1</v>
      </c>
      <c r="N562" s="19">
        <f>IF($L562=0,0,ROUND((SUMIFS('المرتبطة بسمو الوزير'!$M$2:$M$151,'المرتبطة بسمو الوزير'!$B$2:$B$151,$B562,'المرتبطة بسمو الوزير'!$G$2:$G$151,$G562,'المرتبطة بسمو الوزير'!$I$2:$I$151,$I562)+SUMIFS('الشؤون التنفيذية'!$N$2:$N$421,'الشؤون التنفيذية'!$B$2:$B$421,$B562,'الشؤون التنفيذية'!$G$2:$G$421,$G562,'الشؤون التنفيذية'!$I$2:$I$421,$I562)+SUMIFS('الجهاز العسكري'!$M$2:$M$631,'الجهاز العسكري'!$B$2:$B$631,$B562,'الجهاز العسكري'!$G$2:$G$631,$G562,'الجهاز العسكري'!$I$2:$I$631,$I562))/$L562,0))</f>
        <v>92</v>
      </c>
      <c r="O562" s="18"/>
      <c r="P562" s="15">
        <f>SUMIFS(المرجع!$G$2:$G$19,المرجع!$B$2:$B$19,$G562,المرجع!$E$2:$E$19,$I562)</f>
        <v>15</v>
      </c>
      <c r="Q562" s="20">
        <f t="shared" si="9"/>
        <v>13.8</v>
      </c>
      <c r="R562" s="21" t="str">
        <f>IF($N562&gt;المرجع!$K$3,"متقدم",IF($N562&lt;=المرجع!$K$2,"أولي","جزئي"))</f>
        <v>متقدم</v>
      </c>
    </row>
    <row r="563" spans="1:18">
      <c r="A563" s="16" t="s">
        <v>2003</v>
      </c>
      <c r="B563" s="16" t="s">
        <v>214</v>
      </c>
      <c r="C563" s="15" t="str">
        <f>IFERROR(INDEX('قائمة الوحدات'!$B$2:$B$41,MATCH($B563,'قائمة الوحدات'!$A$2:$A$41,0)),"")</f>
        <v>MIL</v>
      </c>
      <c r="D563" s="14" t="str">
        <f>IFERROR(INDEX('قائمة الوحدات'!$C$2:$C$41,MATCH($B563,'قائمة الوحدات'!$A$2:$A$41,0)),"")</f>
        <v>الجهاز العسكري</v>
      </c>
      <c r="E563" s="14" t="str">
        <f>IFERROR(INDEX('قائمة الوحدات'!$D$2:$D$41,MATCH($B563,'قائمة الوحدات'!$A$2:$A$41,0)),"")</f>
        <v>الإدارة العامة للخدمات الطبية العسكرية</v>
      </c>
      <c r="F563" s="14" t="str">
        <f>IFERROR(INDEX('قائمة الوحدات'!$F$2:$F$41,MATCH($B563,'قائمة الوحدات'!$A$2:$A$41,0)),"")</f>
        <v>الإدارة العامة للخدمات الطبية العسكرية</v>
      </c>
      <c r="G563" s="16" t="s">
        <v>43</v>
      </c>
      <c r="H563" s="14" t="str">
        <f>IFERROR(INDEX(المرجع!$A$2:$A$19,MATCH($G563,المرجع!$B$2:$B$19,0)),"")</f>
        <v>التصميم</v>
      </c>
      <c r="I563" s="16" t="s">
        <v>54</v>
      </c>
      <c r="J563" s="14" t="str">
        <f>IFERROR(INDEX(المرجع!$D$2:$D$19,MATCH($I563,المرجع!$E$2:$E$19,0)),"")</f>
        <v>التنظيم</v>
      </c>
      <c r="K563" s="15">
        <f>IFERROR(INDEX(المرجع!$F$2:$F$19,MATCH($I563,المرجع!$E$2:$E$19,0)),"")</f>
        <v>4</v>
      </c>
      <c r="L563" s="15">
        <f>SUMIFS(المرجع!$H$2:$H$19,المرجع!$B$2:$B$19,$G563,المرجع!$E$2:$E$19,$I563)</f>
        <v>1</v>
      </c>
      <c r="M563" s="15">
        <f>COUNTIFS('المرتبطة بسمو الوزير'!$B$2:$B$151,$B563,'المرتبطة بسمو الوزير'!$G$2:$G$151,$G563,'المرتبطة بسمو الوزير'!$I$2:$I$151,$I563,'المرتبطة بسمو الوزير'!$M$2:$M$151,"&lt;&gt;")+COUNTIFS('الشؤون التنفيذية'!$B$2:$B$421,$B563,'الشؤون التنفيذية'!$G$2:$G$421,$G563,'الشؤون التنفيذية'!$I$2:$I$421,$I563,'الشؤون التنفيذية'!$N$2:$N$421,"&lt;&gt;")+COUNTIFS('الجهاز العسكري'!$B$2:$B$631,$B563,'الجهاز العسكري'!$G$2:$G$631,$G563,'الجهاز العسكري'!$I$2:$I$631,$I563,'الجهاز العسكري'!$M$2:$M$631,"&lt;&gt;")</f>
        <v>1</v>
      </c>
      <c r="N563" s="19">
        <f>IF($L563=0,0,ROUND((SUMIFS('المرتبطة بسمو الوزير'!$M$2:$M$151,'المرتبطة بسمو الوزير'!$B$2:$B$151,$B563,'المرتبطة بسمو الوزير'!$G$2:$G$151,$G563,'المرتبطة بسمو الوزير'!$I$2:$I$151,$I563)+SUMIFS('الشؤون التنفيذية'!$N$2:$N$421,'الشؤون التنفيذية'!$B$2:$B$421,$B563,'الشؤون التنفيذية'!$G$2:$G$421,$G563,'الشؤون التنفيذية'!$I$2:$I$421,$I563)+SUMIFS('الجهاز العسكري'!$M$2:$M$631,'الجهاز العسكري'!$B$2:$B$631,$B563,'الجهاز العسكري'!$G$2:$G$631,$G563,'الجهاز العسكري'!$I$2:$I$631,$I563))/$L563,0))</f>
        <v>80</v>
      </c>
      <c r="O563" s="18"/>
      <c r="P563" s="15">
        <f>SUMIFS(المرجع!$G$2:$G$19,المرجع!$B$2:$B$19,$G563,المرجع!$E$2:$E$19,$I563)</f>
        <v>20</v>
      </c>
      <c r="Q563" s="20">
        <f t="shared" si="9"/>
        <v>16</v>
      </c>
      <c r="R563" s="21" t="str">
        <f>IF($N563&gt;المرجع!$K$3,"متقدم",IF($N563&lt;=المرجع!$K$2,"أولي","جزئي"))</f>
        <v>متقدم</v>
      </c>
    </row>
    <row r="564" spans="1:18">
      <c r="A564" s="16" t="s">
        <v>2004</v>
      </c>
      <c r="B564" s="16" t="s">
        <v>214</v>
      </c>
      <c r="C564" s="15" t="str">
        <f>IFERROR(INDEX('قائمة الوحدات'!$B$2:$B$41,MATCH($B564,'قائمة الوحدات'!$A$2:$A$41,0)),"")</f>
        <v>MIL</v>
      </c>
      <c r="D564" s="14" t="str">
        <f>IFERROR(INDEX('قائمة الوحدات'!$C$2:$C$41,MATCH($B564,'قائمة الوحدات'!$A$2:$A$41,0)),"")</f>
        <v>الجهاز العسكري</v>
      </c>
      <c r="E564" s="14" t="str">
        <f>IFERROR(INDEX('قائمة الوحدات'!$D$2:$D$41,MATCH($B564,'قائمة الوحدات'!$A$2:$A$41,0)),"")</f>
        <v>الإدارة العامة للخدمات الطبية العسكرية</v>
      </c>
      <c r="F564" s="14" t="str">
        <f>IFERROR(INDEX('قائمة الوحدات'!$F$2:$F$41,MATCH($B564,'قائمة الوحدات'!$A$2:$A$41,0)),"")</f>
        <v>الإدارة العامة للخدمات الطبية العسكرية</v>
      </c>
      <c r="G564" s="16" t="s">
        <v>43</v>
      </c>
      <c r="H564" s="14" t="str">
        <f>IFERROR(INDEX(المرجع!$A$2:$A$19,MATCH($G564,المرجع!$B$2:$B$19,0)),"")</f>
        <v>التصميم</v>
      </c>
      <c r="I564" s="16" t="s">
        <v>56</v>
      </c>
      <c r="J564" s="14" t="str">
        <f>IFERROR(INDEX(المرجع!$D$2:$D$19,MATCH($I564,المرجع!$E$2:$E$19,0)),"")</f>
        <v>الموارد</v>
      </c>
      <c r="K564" s="15">
        <f>IFERROR(INDEX(المرجع!$F$2:$F$19,MATCH($I564,المرجع!$E$2:$E$19,0)),"")</f>
        <v>5</v>
      </c>
      <c r="L564" s="15">
        <f>SUMIFS(المرجع!$H$2:$H$19,المرجع!$B$2:$B$19,$G564,المرجع!$E$2:$E$19,$I564)</f>
        <v>1</v>
      </c>
      <c r="M564" s="15">
        <f>COUNTIFS('المرتبطة بسمو الوزير'!$B$2:$B$151,$B564,'المرتبطة بسمو الوزير'!$G$2:$G$151,$G564,'المرتبطة بسمو الوزير'!$I$2:$I$151,$I564,'المرتبطة بسمو الوزير'!$M$2:$M$151,"&lt;&gt;")+COUNTIFS('الشؤون التنفيذية'!$B$2:$B$421,$B564,'الشؤون التنفيذية'!$G$2:$G$421,$G564,'الشؤون التنفيذية'!$I$2:$I$421,$I564,'الشؤون التنفيذية'!$N$2:$N$421,"&lt;&gt;")+COUNTIFS('الجهاز العسكري'!$B$2:$B$631,$B564,'الجهاز العسكري'!$G$2:$G$631,$G564,'الجهاز العسكري'!$I$2:$I$631,$I564,'الجهاز العسكري'!$M$2:$M$631,"&lt;&gt;")</f>
        <v>1</v>
      </c>
      <c r="N564" s="19">
        <f>IF($L564=0,0,ROUND((SUMIFS('المرتبطة بسمو الوزير'!$M$2:$M$151,'المرتبطة بسمو الوزير'!$B$2:$B$151,$B564,'المرتبطة بسمو الوزير'!$G$2:$G$151,$G564,'المرتبطة بسمو الوزير'!$I$2:$I$151,$I564)+SUMIFS('الشؤون التنفيذية'!$N$2:$N$421,'الشؤون التنفيذية'!$B$2:$B$421,$B564,'الشؤون التنفيذية'!$G$2:$G$421,$G564,'الشؤون التنفيذية'!$I$2:$I$421,$I564)+SUMIFS('الجهاز العسكري'!$M$2:$M$631,'الجهاز العسكري'!$B$2:$B$631,$B564,'الجهاز العسكري'!$G$2:$G$631,$G564,'الجهاز العسكري'!$I$2:$I$631,$I564))/$L564,0))</f>
        <v>95</v>
      </c>
      <c r="O564" s="18"/>
      <c r="P564" s="15">
        <f>SUMIFS(المرجع!$G$2:$G$19,المرجع!$B$2:$B$19,$G564,المرجع!$E$2:$E$19,$I564)</f>
        <v>20</v>
      </c>
      <c r="Q564" s="20">
        <f t="shared" si="9"/>
        <v>19</v>
      </c>
      <c r="R564" s="21" t="str">
        <f>IF($N564&gt;المرجع!$K$3,"متقدم",IF($N564&lt;=المرجع!$K$2,"أولي","جزئي"))</f>
        <v>متقدم</v>
      </c>
    </row>
    <row r="565" spans="1:18">
      <c r="A565" s="16" t="s">
        <v>2005</v>
      </c>
      <c r="B565" s="16" t="s">
        <v>214</v>
      </c>
      <c r="C565" s="15" t="str">
        <f>IFERROR(INDEX('قائمة الوحدات'!$B$2:$B$41,MATCH($B565,'قائمة الوحدات'!$A$2:$A$41,0)),"")</f>
        <v>MIL</v>
      </c>
      <c r="D565" s="14" t="str">
        <f>IFERROR(INDEX('قائمة الوحدات'!$C$2:$C$41,MATCH($B565,'قائمة الوحدات'!$A$2:$A$41,0)),"")</f>
        <v>الجهاز العسكري</v>
      </c>
      <c r="E565" s="14" t="str">
        <f>IFERROR(INDEX('قائمة الوحدات'!$D$2:$D$41,MATCH($B565,'قائمة الوحدات'!$A$2:$A$41,0)),"")</f>
        <v>الإدارة العامة للخدمات الطبية العسكرية</v>
      </c>
      <c r="F565" s="14" t="str">
        <f>IFERROR(INDEX('قائمة الوحدات'!$F$2:$F$41,MATCH($B565,'قائمة الوحدات'!$A$2:$A$41,0)),"")</f>
        <v>الإدارة العامة للخدمات الطبية العسكرية</v>
      </c>
      <c r="G565" s="16" t="s">
        <v>43</v>
      </c>
      <c r="H565" s="14" t="str">
        <f>IFERROR(INDEX(المرجع!$A$2:$A$19,MATCH($G565,المرجع!$B$2:$B$19,0)),"")</f>
        <v>التصميم</v>
      </c>
      <c r="I565" s="16" t="s">
        <v>59</v>
      </c>
      <c r="J565" s="14" t="str">
        <f>IFERROR(INDEX(المرجع!$D$2:$D$19,MATCH($I565,المرجع!$E$2:$E$19,0)),"")</f>
        <v>الإجراءات</v>
      </c>
      <c r="K565" s="15">
        <f>IFERROR(INDEX(المرجع!$F$2:$F$19,MATCH($I565,المرجع!$E$2:$E$19,0)),"")</f>
        <v>6</v>
      </c>
      <c r="L565" s="15">
        <f>SUMIFS(المرجع!$H$2:$H$19,المرجع!$B$2:$B$19,$G565,المرجع!$E$2:$E$19,$I565)</f>
        <v>1</v>
      </c>
      <c r="M565" s="15">
        <f>COUNTIFS('المرتبطة بسمو الوزير'!$B$2:$B$151,$B565,'المرتبطة بسمو الوزير'!$G$2:$G$151,$G565,'المرتبطة بسمو الوزير'!$I$2:$I$151,$I565,'المرتبطة بسمو الوزير'!$M$2:$M$151,"&lt;&gt;")+COUNTIFS('الشؤون التنفيذية'!$B$2:$B$421,$B565,'الشؤون التنفيذية'!$G$2:$G$421,$G565,'الشؤون التنفيذية'!$I$2:$I$421,$I565,'الشؤون التنفيذية'!$N$2:$N$421,"&lt;&gt;")+COUNTIFS('الجهاز العسكري'!$B$2:$B$631,$B565,'الجهاز العسكري'!$G$2:$G$631,$G565,'الجهاز العسكري'!$I$2:$I$631,$I565,'الجهاز العسكري'!$M$2:$M$631,"&lt;&gt;")</f>
        <v>1</v>
      </c>
      <c r="N565" s="19">
        <f>IF($L565=0,0,ROUND((SUMIFS('المرتبطة بسمو الوزير'!$M$2:$M$151,'المرتبطة بسمو الوزير'!$B$2:$B$151,$B565,'المرتبطة بسمو الوزير'!$G$2:$G$151,$G565,'المرتبطة بسمو الوزير'!$I$2:$I$151,$I565)+SUMIFS('الشؤون التنفيذية'!$N$2:$N$421,'الشؤون التنفيذية'!$B$2:$B$421,$B565,'الشؤون التنفيذية'!$G$2:$G$421,$G565,'الشؤون التنفيذية'!$I$2:$I$421,$I565)+SUMIFS('الجهاز العسكري'!$M$2:$M$631,'الجهاز العسكري'!$B$2:$B$631,$B565,'الجهاز العسكري'!$G$2:$G$631,$G565,'الجهاز العسكري'!$I$2:$I$631,$I565))/$L565,0))</f>
        <v>76</v>
      </c>
      <c r="O565" s="18"/>
      <c r="P565" s="15">
        <f>SUMIFS(المرجع!$G$2:$G$19,المرجع!$B$2:$B$19,$G565,المرجع!$E$2:$E$19,$I565)</f>
        <v>5</v>
      </c>
      <c r="Q565" s="20">
        <f t="shared" si="9"/>
        <v>3.8</v>
      </c>
      <c r="R565" s="21" t="str">
        <f>IF($N565&gt;المرجع!$K$3,"متقدم",IF($N565&lt;=المرجع!$K$2,"أولي","جزئي"))</f>
        <v>متقدم</v>
      </c>
    </row>
    <row r="566" spans="1:18">
      <c r="A566" s="16" t="s">
        <v>2006</v>
      </c>
      <c r="B566" s="16" t="s">
        <v>214</v>
      </c>
      <c r="C566" s="15" t="str">
        <f>IFERROR(INDEX('قائمة الوحدات'!$B$2:$B$41,MATCH($B566,'قائمة الوحدات'!$A$2:$A$41,0)),"")</f>
        <v>MIL</v>
      </c>
      <c r="D566" s="14" t="str">
        <f>IFERROR(INDEX('قائمة الوحدات'!$C$2:$C$41,MATCH($B566,'قائمة الوحدات'!$A$2:$A$41,0)),"")</f>
        <v>الجهاز العسكري</v>
      </c>
      <c r="E566" s="14" t="str">
        <f>IFERROR(INDEX('قائمة الوحدات'!$D$2:$D$41,MATCH($B566,'قائمة الوحدات'!$A$2:$A$41,0)),"")</f>
        <v>الإدارة العامة للخدمات الطبية العسكرية</v>
      </c>
      <c r="F566" s="14" t="str">
        <f>IFERROR(INDEX('قائمة الوحدات'!$F$2:$F$41,MATCH($B566,'قائمة الوحدات'!$A$2:$A$41,0)),"")</f>
        <v>الإدارة العامة للخدمات الطبية العسكرية</v>
      </c>
      <c r="G566" s="16" t="s">
        <v>61</v>
      </c>
      <c r="H566" s="14" t="str">
        <f>IFERROR(INDEX(المرجع!$A$2:$A$19,MATCH($G566,المرجع!$B$2:$B$19,0)),"")</f>
        <v>البناء المؤسسي</v>
      </c>
      <c r="I566" s="16" t="s">
        <v>45</v>
      </c>
      <c r="J566" s="14" t="str">
        <f>IFERROR(INDEX(المرجع!$D$2:$D$19,MATCH($I566,المرجع!$E$2:$E$19,0)),"")</f>
        <v>الدور</v>
      </c>
      <c r="K566" s="15">
        <f>IFERROR(INDEX(المرجع!$F$2:$F$19,MATCH($I566,المرجع!$E$2:$E$19,0)),"")</f>
        <v>1</v>
      </c>
      <c r="L566" s="15">
        <f>SUMIFS(المرجع!$H$2:$H$19,المرجع!$B$2:$B$19,$G566,المرجع!$E$2:$E$19,$I566)</f>
        <v>1</v>
      </c>
      <c r="M566" s="15">
        <f>COUNTIFS('المرتبطة بسمو الوزير'!$B$2:$B$151,$B566,'المرتبطة بسمو الوزير'!$G$2:$G$151,$G566,'المرتبطة بسمو الوزير'!$I$2:$I$151,$I566,'المرتبطة بسمو الوزير'!$M$2:$M$151,"&lt;&gt;")+COUNTIFS('الشؤون التنفيذية'!$B$2:$B$421,$B566,'الشؤون التنفيذية'!$G$2:$G$421,$G566,'الشؤون التنفيذية'!$I$2:$I$421,$I566,'الشؤون التنفيذية'!$N$2:$N$421,"&lt;&gt;")+COUNTIFS('الجهاز العسكري'!$B$2:$B$631,$B566,'الجهاز العسكري'!$G$2:$G$631,$G566,'الجهاز العسكري'!$I$2:$I$631,$I566,'الجهاز العسكري'!$M$2:$M$631,"&lt;&gt;")</f>
        <v>1</v>
      </c>
      <c r="N566" s="19">
        <f>IF($L566=0,0,ROUND((SUMIFS('المرتبطة بسمو الوزير'!$M$2:$M$151,'المرتبطة بسمو الوزير'!$B$2:$B$151,$B566,'المرتبطة بسمو الوزير'!$G$2:$G$151,$G566,'المرتبطة بسمو الوزير'!$I$2:$I$151,$I566)+SUMIFS('الشؤون التنفيذية'!$N$2:$N$421,'الشؤون التنفيذية'!$B$2:$B$421,$B566,'الشؤون التنفيذية'!$G$2:$G$421,$G566,'الشؤون التنفيذية'!$I$2:$I$421,$I566)+SUMIFS('الجهاز العسكري'!$M$2:$M$631,'الجهاز العسكري'!$B$2:$B$631,$B566,'الجهاز العسكري'!$G$2:$G$631,$G566,'الجهاز العسكري'!$I$2:$I$631,$I566))/$L566,0))</f>
        <v>65</v>
      </c>
      <c r="O566" s="18"/>
      <c r="P566" s="15">
        <f>SUMIFS(المرجع!$G$2:$G$19,المرجع!$B$2:$B$19,$G566,المرجع!$E$2:$E$19,$I566)</f>
        <v>15</v>
      </c>
      <c r="Q566" s="20">
        <f t="shared" si="9"/>
        <v>9.75</v>
      </c>
      <c r="R566" s="21" t="str">
        <f>IF($N566&gt;المرجع!$K$3,"متقدم",IF($N566&lt;=المرجع!$K$2,"أولي","جزئي"))</f>
        <v>جزئي</v>
      </c>
    </row>
    <row r="567" spans="1:18">
      <c r="A567" s="16" t="s">
        <v>2007</v>
      </c>
      <c r="B567" s="16" t="s">
        <v>214</v>
      </c>
      <c r="C567" s="15" t="str">
        <f>IFERROR(INDEX('قائمة الوحدات'!$B$2:$B$41,MATCH($B567,'قائمة الوحدات'!$A$2:$A$41,0)),"")</f>
        <v>MIL</v>
      </c>
      <c r="D567" s="14" t="str">
        <f>IFERROR(INDEX('قائمة الوحدات'!$C$2:$C$41,MATCH($B567,'قائمة الوحدات'!$A$2:$A$41,0)),"")</f>
        <v>الجهاز العسكري</v>
      </c>
      <c r="E567" s="14" t="str">
        <f>IFERROR(INDEX('قائمة الوحدات'!$D$2:$D$41,MATCH($B567,'قائمة الوحدات'!$A$2:$A$41,0)),"")</f>
        <v>الإدارة العامة للخدمات الطبية العسكرية</v>
      </c>
      <c r="F567" s="14" t="str">
        <f>IFERROR(INDEX('قائمة الوحدات'!$F$2:$F$41,MATCH($B567,'قائمة الوحدات'!$A$2:$A$41,0)),"")</f>
        <v>الإدارة العامة للخدمات الطبية العسكرية</v>
      </c>
      <c r="G567" s="16" t="s">
        <v>61</v>
      </c>
      <c r="H567" s="14" t="str">
        <f>IFERROR(INDEX(المرجع!$A$2:$A$19,MATCH($G567,المرجع!$B$2:$B$19,0)),"")</f>
        <v>البناء المؤسسي</v>
      </c>
      <c r="I567" s="16" t="s">
        <v>48</v>
      </c>
      <c r="J567" s="14" t="str">
        <f>IFERROR(INDEX(المرجع!$D$2:$D$19,MATCH($I567,المرجع!$E$2:$E$19,0)),"")</f>
        <v>الأهداف ومؤشرات الأداء</v>
      </c>
      <c r="K567" s="15">
        <f>IFERROR(INDEX(المرجع!$F$2:$F$19,MATCH($I567,المرجع!$E$2:$E$19,0)),"")</f>
        <v>2</v>
      </c>
      <c r="L567" s="15">
        <f>SUMIFS(المرجع!$H$2:$H$19,المرجع!$B$2:$B$19,$G567,المرجع!$E$2:$E$19,$I567)</f>
        <v>2</v>
      </c>
      <c r="M567" s="15">
        <f>COUNTIFS('المرتبطة بسمو الوزير'!$B$2:$B$151,$B567,'المرتبطة بسمو الوزير'!$G$2:$G$151,$G567,'المرتبطة بسمو الوزير'!$I$2:$I$151,$I567,'المرتبطة بسمو الوزير'!$M$2:$M$151,"&lt;&gt;")+COUNTIFS('الشؤون التنفيذية'!$B$2:$B$421,$B567,'الشؤون التنفيذية'!$G$2:$G$421,$G567,'الشؤون التنفيذية'!$I$2:$I$421,$I567,'الشؤون التنفيذية'!$N$2:$N$421,"&lt;&gt;")+COUNTIFS('الجهاز العسكري'!$B$2:$B$631,$B567,'الجهاز العسكري'!$G$2:$G$631,$G567,'الجهاز العسكري'!$I$2:$I$631,$I567,'الجهاز العسكري'!$M$2:$M$631,"&lt;&gt;")</f>
        <v>2</v>
      </c>
      <c r="N567" s="19">
        <f>IF($L567=0,0,ROUND((SUMIFS('المرتبطة بسمو الوزير'!$M$2:$M$151,'المرتبطة بسمو الوزير'!$B$2:$B$151,$B567,'المرتبطة بسمو الوزير'!$G$2:$G$151,$G567,'المرتبطة بسمو الوزير'!$I$2:$I$151,$I567)+SUMIFS('الشؤون التنفيذية'!$N$2:$N$421,'الشؤون التنفيذية'!$B$2:$B$421,$B567,'الشؤون التنفيذية'!$G$2:$G$421,$G567,'الشؤون التنفيذية'!$I$2:$I$421,$I567)+SUMIFS('الجهاز العسكري'!$M$2:$M$631,'الجهاز العسكري'!$B$2:$B$631,$B567,'الجهاز العسكري'!$G$2:$G$631,$G567,'الجهاز العسكري'!$I$2:$I$631,$I567))/$L567,0))</f>
        <v>53</v>
      </c>
      <c r="O567" s="18"/>
      <c r="P567" s="15">
        <f>SUMIFS(المرجع!$G$2:$G$19,المرجع!$B$2:$B$19,$G567,المرجع!$E$2:$E$19,$I567)</f>
        <v>15</v>
      </c>
      <c r="Q567" s="20">
        <f t="shared" si="9"/>
        <v>7.95</v>
      </c>
      <c r="R567" s="21" t="str">
        <f>IF($N567&gt;المرجع!$K$3,"متقدم",IF($N567&lt;=المرجع!$K$2,"أولي","جزئي"))</f>
        <v>جزئي</v>
      </c>
    </row>
    <row r="568" spans="1:18">
      <c r="A568" s="16" t="s">
        <v>2008</v>
      </c>
      <c r="B568" s="16" t="s">
        <v>214</v>
      </c>
      <c r="C568" s="15" t="str">
        <f>IFERROR(INDEX('قائمة الوحدات'!$B$2:$B$41,MATCH($B568,'قائمة الوحدات'!$A$2:$A$41,0)),"")</f>
        <v>MIL</v>
      </c>
      <c r="D568" s="14" t="str">
        <f>IFERROR(INDEX('قائمة الوحدات'!$C$2:$C$41,MATCH($B568,'قائمة الوحدات'!$A$2:$A$41,0)),"")</f>
        <v>الجهاز العسكري</v>
      </c>
      <c r="E568" s="14" t="str">
        <f>IFERROR(INDEX('قائمة الوحدات'!$D$2:$D$41,MATCH($B568,'قائمة الوحدات'!$A$2:$A$41,0)),"")</f>
        <v>الإدارة العامة للخدمات الطبية العسكرية</v>
      </c>
      <c r="F568" s="14" t="str">
        <f>IFERROR(INDEX('قائمة الوحدات'!$F$2:$F$41,MATCH($B568,'قائمة الوحدات'!$A$2:$A$41,0)),"")</f>
        <v>الإدارة العامة للخدمات الطبية العسكرية</v>
      </c>
      <c r="G568" s="16" t="s">
        <v>61</v>
      </c>
      <c r="H568" s="14" t="str">
        <f>IFERROR(INDEX(المرجع!$A$2:$A$19,MATCH($G568,المرجع!$B$2:$B$19,0)),"")</f>
        <v>البناء المؤسسي</v>
      </c>
      <c r="I568" s="16" t="s">
        <v>51</v>
      </c>
      <c r="J568" s="14" t="str">
        <f>IFERROR(INDEX(المرجع!$D$2:$D$19,MATCH($I568,المرجع!$E$2:$E$19,0)),"")</f>
        <v>الحوكمة</v>
      </c>
      <c r="K568" s="15">
        <f>IFERROR(INDEX(المرجع!$F$2:$F$19,MATCH($I568,المرجع!$E$2:$E$19,0)),"")</f>
        <v>3</v>
      </c>
      <c r="L568" s="15">
        <f>SUMIFS(المرجع!$H$2:$H$19,المرجع!$B$2:$B$19,$G568,المرجع!$E$2:$E$19,$I568)</f>
        <v>3</v>
      </c>
      <c r="M568" s="15">
        <f>COUNTIFS('المرتبطة بسمو الوزير'!$B$2:$B$151,$B568,'المرتبطة بسمو الوزير'!$G$2:$G$151,$G568,'المرتبطة بسمو الوزير'!$I$2:$I$151,$I568,'المرتبطة بسمو الوزير'!$M$2:$M$151,"&lt;&gt;")+COUNTIFS('الشؤون التنفيذية'!$B$2:$B$421,$B568,'الشؤون التنفيذية'!$G$2:$G$421,$G568,'الشؤون التنفيذية'!$I$2:$I$421,$I568,'الشؤون التنفيذية'!$N$2:$N$421,"&lt;&gt;")+COUNTIFS('الجهاز العسكري'!$B$2:$B$631,$B568,'الجهاز العسكري'!$G$2:$G$631,$G568,'الجهاز العسكري'!$I$2:$I$631,$I568,'الجهاز العسكري'!$M$2:$M$631,"&lt;&gt;")</f>
        <v>3</v>
      </c>
      <c r="N568" s="19">
        <f>IF($L568=0,0,ROUND((SUMIFS('المرتبطة بسمو الوزير'!$M$2:$M$151,'المرتبطة بسمو الوزير'!$B$2:$B$151,$B568,'المرتبطة بسمو الوزير'!$G$2:$G$151,$G568,'المرتبطة بسمو الوزير'!$I$2:$I$151,$I568)+SUMIFS('الشؤون التنفيذية'!$N$2:$N$421,'الشؤون التنفيذية'!$B$2:$B$421,$B568,'الشؤون التنفيذية'!$G$2:$G$421,$G568,'الشؤون التنفيذية'!$I$2:$I$421,$I568)+SUMIFS('الجهاز العسكري'!$M$2:$M$631,'الجهاز العسكري'!$B$2:$B$631,$B568,'الجهاز العسكري'!$G$2:$G$631,$G568,'الجهاز العسكري'!$I$2:$I$631,$I568))/$L568,0))</f>
        <v>65</v>
      </c>
      <c r="O568" s="18"/>
      <c r="P568" s="15">
        <f>SUMIFS(المرجع!$G$2:$G$19,المرجع!$B$2:$B$19,$G568,المرجع!$E$2:$E$19,$I568)</f>
        <v>15</v>
      </c>
      <c r="Q568" s="20">
        <f t="shared" si="9"/>
        <v>9.75</v>
      </c>
      <c r="R568" s="21" t="str">
        <f>IF($N568&gt;المرجع!$K$3,"متقدم",IF($N568&lt;=المرجع!$K$2,"أولي","جزئي"))</f>
        <v>جزئي</v>
      </c>
    </row>
    <row r="569" spans="1:18">
      <c r="A569" s="16" t="s">
        <v>2009</v>
      </c>
      <c r="B569" s="16" t="s">
        <v>214</v>
      </c>
      <c r="C569" s="15" t="str">
        <f>IFERROR(INDEX('قائمة الوحدات'!$B$2:$B$41,MATCH($B569,'قائمة الوحدات'!$A$2:$A$41,0)),"")</f>
        <v>MIL</v>
      </c>
      <c r="D569" s="14" t="str">
        <f>IFERROR(INDEX('قائمة الوحدات'!$C$2:$C$41,MATCH($B569,'قائمة الوحدات'!$A$2:$A$41,0)),"")</f>
        <v>الجهاز العسكري</v>
      </c>
      <c r="E569" s="14" t="str">
        <f>IFERROR(INDEX('قائمة الوحدات'!$D$2:$D$41,MATCH($B569,'قائمة الوحدات'!$A$2:$A$41,0)),"")</f>
        <v>الإدارة العامة للخدمات الطبية العسكرية</v>
      </c>
      <c r="F569" s="14" t="str">
        <f>IFERROR(INDEX('قائمة الوحدات'!$F$2:$F$41,MATCH($B569,'قائمة الوحدات'!$A$2:$A$41,0)),"")</f>
        <v>الإدارة العامة للخدمات الطبية العسكرية</v>
      </c>
      <c r="G569" s="16" t="s">
        <v>61</v>
      </c>
      <c r="H569" s="14" t="str">
        <f>IFERROR(INDEX(المرجع!$A$2:$A$19,MATCH($G569,المرجع!$B$2:$B$19,0)),"")</f>
        <v>البناء المؤسسي</v>
      </c>
      <c r="I569" s="16" t="s">
        <v>54</v>
      </c>
      <c r="J569" s="14" t="str">
        <f>IFERROR(INDEX(المرجع!$D$2:$D$19,MATCH($I569,المرجع!$E$2:$E$19,0)),"")</f>
        <v>التنظيم</v>
      </c>
      <c r="K569" s="15">
        <f>IFERROR(INDEX(المرجع!$F$2:$F$19,MATCH($I569,المرجع!$E$2:$E$19,0)),"")</f>
        <v>4</v>
      </c>
      <c r="L569" s="15">
        <f>SUMIFS(المرجع!$H$2:$H$19,المرجع!$B$2:$B$19,$G569,المرجع!$E$2:$E$19,$I569)</f>
        <v>3</v>
      </c>
      <c r="M569" s="15">
        <f>COUNTIFS('المرتبطة بسمو الوزير'!$B$2:$B$151,$B569,'المرتبطة بسمو الوزير'!$G$2:$G$151,$G569,'المرتبطة بسمو الوزير'!$I$2:$I$151,$I569,'المرتبطة بسمو الوزير'!$M$2:$M$151,"&lt;&gt;")+COUNTIFS('الشؤون التنفيذية'!$B$2:$B$421,$B569,'الشؤون التنفيذية'!$G$2:$G$421,$G569,'الشؤون التنفيذية'!$I$2:$I$421,$I569,'الشؤون التنفيذية'!$N$2:$N$421,"&lt;&gt;")+COUNTIFS('الجهاز العسكري'!$B$2:$B$631,$B569,'الجهاز العسكري'!$G$2:$G$631,$G569,'الجهاز العسكري'!$I$2:$I$631,$I569,'الجهاز العسكري'!$M$2:$M$631,"&lt;&gt;")</f>
        <v>3</v>
      </c>
      <c r="N569" s="19">
        <f>IF($L569=0,0,ROUND((SUMIFS('المرتبطة بسمو الوزير'!$M$2:$M$151,'المرتبطة بسمو الوزير'!$B$2:$B$151,$B569,'المرتبطة بسمو الوزير'!$G$2:$G$151,$G569,'المرتبطة بسمو الوزير'!$I$2:$I$151,$I569)+SUMIFS('الشؤون التنفيذية'!$N$2:$N$421,'الشؤون التنفيذية'!$B$2:$B$421,$B569,'الشؤون التنفيذية'!$G$2:$G$421,$G569,'الشؤون التنفيذية'!$I$2:$I$421,$I569)+SUMIFS('الجهاز العسكري'!$M$2:$M$631,'الجهاز العسكري'!$B$2:$B$631,$B569,'الجهاز العسكري'!$G$2:$G$631,$G569,'الجهاز العسكري'!$I$2:$I$631,$I569))/$L569,0))</f>
        <v>93</v>
      </c>
      <c r="O569" s="18"/>
      <c r="P569" s="15">
        <f>SUMIFS(المرجع!$G$2:$G$19,المرجع!$B$2:$B$19,$G569,المرجع!$E$2:$E$19,$I569)</f>
        <v>20</v>
      </c>
      <c r="Q569" s="20">
        <f t="shared" si="9"/>
        <v>18.600000000000001</v>
      </c>
      <c r="R569" s="21" t="str">
        <f>IF($N569&gt;المرجع!$K$3,"متقدم",IF($N569&lt;=المرجع!$K$2,"أولي","جزئي"))</f>
        <v>متقدم</v>
      </c>
    </row>
    <row r="570" spans="1:18">
      <c r="A570" s="16" t="s">
        <v>2010</v>
      </c>
      <c r="B570" s="16" t="s">
        <v>214</v>
      </c>
      <c r="C570" s="15" t="str">
        <f>IFERROR(INDEX('قائمة الوحدات'!$B$2:$B$41,MATCH($B570,'قائمة الوحدات'!$A$2:$A$41,0)),"")</f>
        <v>MIL</v>
      </c>
      <c r="D570" s="14" t="str">
        <f>IFERROR(INDEX('قائمة الوحدات'!$C$2:$C$41,MATCH($B570,'قائمة الوحدات'!$A$2:$A$41,0)),"")</f>
        <v>الجهاز العسكري</v>
      </c>
      <c r="E570" s="14" t="str">
        <f>IFERROR(INDEX('قائمة الوحدات'!$D$2:$D$41,MATCH($B570,'قائمة الوحدات'!$A$2:$A$41,0)),"")</f>
        <v>الإدارة العامة للخدمات الطبية العسكرية</v>
      </c>
      <c r="F570" s="14" t="str">
        <f>IFERROR(INDEX('قائمة الوحدات'!$F$2:$F$41,MATCH($B570,'قائمة الوحدات'!$A$2:$A$41,0)),"")</f>
        <v>الإدارة العامة للخدمات الطبية العسكرية</v>
      </c>
      <c r="G570" s="16" t="s">
        <v>61</v>
      </c>
      <c r="H570" s="14" t="str">
        <f>IFERROR(INDEX(المرجع!$A$2:$A$19,MATCH($G570,المرجع!$B$2:$B$19,0)),"")</f>
        <v>البناء المؤسسي</v>
      </c>
      <c r="I570" s="16" t="s">
        <v>56</v>
      </c>
      <c r="J570" s="14" t="str">
        <f>IFERROR(INDEX(المرجع!$D$2:$D$19,MATCH($I570,المرجع!$E$2:$E$19,0)),"")</f>
        <v>الموارد</v>
      </c>
      <c r="K570" s="15">
        <f>IFERROR(INDEX(المرجع!$F$2:$F$19,MATCH($I570,المرجع!$E$2:$E$19,0)),"")</f>
        <v>5</v>
      </c>
      <c r="L570" s="15">
        <f>SUMIFS(المرجع!$H$2:$H$19,المرجع!$B$2:$B$19,$G570,المرجع!$E$2:$E$19,$I570)</f>
        <v>4</v>
      </c>
      <c r="M570" s="15">
        <f>COUNTIFS('المرتبطة بسمو الوزير'!$B$2:$B$151,$B570,'المرتبطة بسمو الوزير'!$G$2:$G$151,$G570,'المرتبطة بسمو الوزير'!$I$2:$I$151,$I570,'المرتبطة بسمو الوزير'!$M$2:$M$151,"&lt;&gt;")+COUNTIFS('الشؤون التنفيذية'!$B$2:$B$421,$B570,'الشؤون التنفيذية'!$G$2:$G$421,$G570,'الشؤون التنفيذية'!$I$2:$I$421,$I570,'الشؤون التنفيذية'!$N$2:$N$421,"&lt;&gt;")+COUNTIFS('الجهاز العسكري'!$B$2:$B$631,$B570,'الجهاز العسكري'!$G$2:$G$631,$G570,'الجهاز العسكري'!$I$2:$I$631,$I570,'الجهاز العسكري'!$M$2:$M$631,"&lt;&gt;")</f>
        <v>4</v>
      </c>
      <c r="N570" s="19">
        <f>IF($L570=0,0,ROUND((SUMIFS('المرتبطة بسمو الوزير'!$M$2:$M$151,'المرتبطة بسمو الوزير'!$B$2:$B$151,$B570,'المرتبطة بسمو الوزير'!$G$2:$G$151,$G570,'المرتبطة بسمو الوزير'!$I$2:$I$151,$I570)+SUMIFS('الشؤون التنفيذية'!$N$2:$N$421,'الشؤون التنفيذية'!$B$2:$B$421,$B570,'الشؤون التنفيذية'!$G$2:$G$421,$G570,'الشؤون التنفيذية'!$I$2:$I$421,$I570)+SUMIFS('الجهاز العسكري'!$M$2:$M$631,'الجهاز العسكري'!$B$2:$B$631,$B570,'الجهاز العسكري'!$G$2:$G$631,$G570,'الجهاز العسكري'!$I$2:$I$631,$I570))/$L570,0))</f>
        <v>53</v>
      </c>
      <c r="O570" s="18"/>
      <c r="P570" s="15">
        <f>SUMIFS(المرجع!$G$2:$G$19,المرجع!$B$2:$B$19,$G570,المرجع!$E$2:$E$19,$I570)</f>
        <v>25</v>
      </c>
      <c r="Q570" s="20">
        <f t="shared" si="9"/>
        <v>13.25</v>
      </c>
      <c r="R570" s="21" t="str">
        <f>IF($N570&gt;المرجع!$K$3,"متقدم",IF($N570&lt;=المرجع!$K$2,"أولي","جزئي"))</f>
        <v>جزئي</v>
      </c>
    </row>
    <row r="571" spans="1:18">
      <c r="A571" s="16" t="s">
        <v>2011</v>
      </c>
      <c r="B571" s="16" t="s">
        <v>214</v>
      </c>
      <c r="C571" s="15" t="str">
        <f>IFERROR(INDEX('قائمة الوحدات'!$B$2:$B$41,MATCH($B571,'قائمة الوحدات'!$A$2:$A$41,0)),"")</f>
        <v>MIL</v>
      </c>
      <c r="D571" s="14" t="str">
        <f>IFERROR(INDEX('قائمة الوحدات'!$C$2:$C$41,MATCH($B571,'قائمة الوحدات'!$A$2:$A$41,0)),"")</f>
        <v>الجهاز العسكري</v>
      </c>
      <c r="E571" s="14" t="str">
        <f>IFERROR(INDEX('قائمة الوحدات'!$D$2:$D$41,MATCH($B571,'قائمة الوحدات'!$A$2:$A$41,0)),"")</f>
        <v>الإدارة العامة للخدمات الطبية العسكرية</v>
      </c>
      <c r="F571" s="14" t="str">
        <f>IFERROR(INDEX('قائمة الوحدات'!$F$2:$F$41,MATCH($B571,'قائمة الوحدات'!$A$2:$A$41,0)),"")</f>
        <v>الإدارة العامة للخدمات الطبية العسكرية</v>
      </c>
      <c r="G571" s="16" t="s">
        <v>61</v>
      </c>
      <c r="H571" s="14" t="str">
        <f>IFERROR(INDEX(المرجع!$A$2:$A$19,MATCH($G571,المرجع!$B$2:$B$19,0)),"")</f>
        <v>البناء المؤسسي</v>
      </c>
      <c r="I571" s="16" t="s">
        <v>59</v>
      </c>
      <c r="J571" s="14" t="str">
        <f>IFERROR(INDEX(المرجع!$D$2:$D$19,MATCH($I571,المرجع!$E$2:$E$19,0)),"")</f>
        <v>الإجراءات</v>
      </c>
      <c r="K571" s="15">
        <f>IFERROR(INDEX(المرجع!$F$2:$F$19,MATCH($I571,المرجع!$E$2:$E$19,0)),"")</f>
        <v>6</v>
      </c>
      <c r="L571" s="15">
        <f>SUMIFS(المرجع!$H$2:$H$19,المرجع!$B$2:$B$19,$G571,المرجع!$E$2:$E$19,$I571)</f>
        <v>1</v>
      </c>
      <c r="M571" s="15">
        <f>COUNTIFS('المرتبطة بسمو الوزير'!$B$2:$B$151,$B571,'المرتبطة بسمو الوزير'!$G$2:$G$151,$G571,'المرتبطة بسمو الوزير'!$I$2:$I$151,$I571,'المرتبطة بسمو الوزير'!$M$2:$M$151,"&lt;&gt;")+COUNTIFS('الشؤون التنفيذية'!$B$2:$B$421,$B571,'الشؤون التنفيذية'!$G$2:$G$421,$G571,'الشؤون التنفيذية'!$I$2:$I$421,$I571,'الشؤون التنفيذية'!$N$2:$N$421,"&lt;&gt;")+COUNTIFS('الجهاز العسكري'!$B$2:$B$631,$B571,'الجهاز العسكري'!$G$2:$G$631,$G571,'الجهاز العسكري'!$I$2:$I$631,$I571,'الجهاز العسكري'!$M$2:$M$631,"&lt;&gt;")</f>
        <v>1</v>
      </c>
      <c r="N571" s="19">
        <f>IF($L571=0,0,ROUND((SUMIFS('المرتبطة بسمو الوزير'!$M$2:$M$151,'المرتبطة بسمو الوزير'!$B$2:$B$151,$B571,'المرتبطة بسمو الوزير'!$G$2:$G$151,$G571,'المرتبطة بسمو الوزير'!$I$2:$I$151,$I571)+SUMIFS('الشؤون التنفيذية'!$N$2:$N$421,'الشؤون التنفيذية'!$B$2:$B$421,$B571,'الشؤون التنفيذية'!$G$2:$G$421,$G571,'الشؤون التنفيذية'!$I$2:$I$421,$I571)+SUMIFS('الجهاز العسكري'!$M$2:$M$631,'الجهاز العسكري'!$B$2:$B$631,$B571,'الجهاز العسكري'!$G$2:$G$631,$G571,'الجهاز العسكري'!$I$2:$I$631,$I571))/$L571,0))</f>
        <v>77</v>
      </c>
      <c r="O571" s="18"/>
      <c r="P571" s="15">
        <f>SUMIFS(المرجع!$G$2:$G$19,المرجع!$B$2:$B$19,$G571,المرجع!$E$2:$E$19,$I571)</f>
        <v>5</v>
      </c>
      <c r="Q571" s="20">
        <f t="shared" si="9"/>
        <v>3.85</v>
      </c>
      <c r="R571" s="21" t="str">
        <f>IF($N571&gt;المرجع!$K$3,"متقدم",IF($N571&lt;=المرجع!$K$2,"أولي","جزئي"))</f>
        <v>متقدم</v>
      </c>
    </row>
    <row r="572" spans="1:18">
      <c r="A572" s="16" t="s">
        <v>2012</v>
      </c>
      <c r="B572" s="16" t="s">
        <v>214</v>
      </c>
      <c r="C572" s="15" t="str">
        <f>IFERROR(INDEX('قائمة الوحدات'!$B$2:$B$41,MATCH($B572,'قائمة الوحدات'!$A$2:$A$41,0)),"")</f>
        <v>MIL</v>
      </c>
      <c r="D572" s="14" t="str">
        <f>IFERROR(INDEX('قائمة الوحدات'!$C$2:$C$41,MATCH($B572,'قائمة الوحدات'!$A$2:$A$41,0)),"")</f>
        <v>الجهاز العسكري</v>
      </c>
      <c r="E572" s="14" t="str">
        <f>IFERROR(INDEX('قائمة الوحدات'!$D$2:$D$41,MATCH($B572,'قائمة الوحدات'!$A$2:$A$41,0)),"")</f>
        <v>الإدارة العامة للخدمات الطبية العسكرية</v>
      </c>
      <c r="F572" s="14" t="str">
        <f>IFERROR(INDEX('قائمة الوحدات'!$F$2:$F$41,MATCH($B572,'قائمة الوحدات'!$A$2:$A$41,0)),"")</f>
        <v>الإدارة العامة للخدمات الطبية العسكرية</v>
      </c>
      <c r="G572" s="16" t="s">
        <v>61</v>
      </c>
      <c r="H572" s="14" t="str">
        <f>IFERROR(INDEX(المرجع!$A$2:$A$19,MATCH($G572,المرجع!$B$2:$B$19,0)),"")</f>
        <v>البناء المؤسسي</v>
      </c>
      <c r="I572" s="16" t="s">
        <v>63</v>
      </c>
      <c r="J572" s="14" t="str">
        <f>IFERROR(INDEX(المرجع!$D$2:$D$19,MATCH($I572,المرجع!$E$2:$E$19,0)),"")</f>
        <v>إنتاج المخرج الأول</v>
      </c>
      <c r="K572" s="15">
        <f>IFERROR(INDEX(المرجع!$F$2:$F$19,MATCH($I572,المرجع!$E$2:$E$19,0)),"")</f>
        <v>7</v>
      </c>
      <c r="L572" s="15">
        <f>SUMIFS(المرجع!$H$2:$H$19,المرجع!$B$2:$B$19,$G572,المرجع!$E$2:$E$19,$I572)</f>
        <v>1</v>
      </c>
      <c r="M572" s="15">
        <f>COUNTIFS('المرتبطة بسمو الوزير'!$B$2:$B$151,$B572,'المرتبطة بسمو الوزير'!$G$2:$G$151,$G572,'المرتبطة بسمو الوزير'!$I$2:$I$151,$I572,'المرتبطة بسمو الوزير'!$M$2:$M$151,"&lt;&gt;")+COUNTIFS('الشؤون التنفيذية'!$B$2:$B$421,$B572,'الشؤون التنفيذية'!$G$2:$G$421,$G572,'الشؤون التنفيذية'!$I$2:$I$421,$I572,'الشؤون التنفيذية'!$N$2:$N$421,"&lt;&gt;")+COUNTIFS('الجهاز العسكري'!$B$2:$B$631,$B572,'الجهاز العسكري'!$G$2:$G$631,$G572,'الجهاز العسكري'!$I$2:$I$631,$I572,'الجهاز العسكري'!$M$2:$M$631,"&lt;&gt;")</f>
        <v>1</v>
      </c>
      <c r="N572" s="19">
        <f>IF($L572=0,0,ROUND((SUMIFS('المرتبطة بسمو الوزير'!$M$2:$M$151,'المرتبطة بسمو الوزير'!$B$2:$B$151,$B572,'المرتبطة بسمو الوزير'!$G$2:$G$151,$G572,'المرتبطة بسمو الوزير'!$I$2:$I$151,$I572)+SUMIFS('الشؤون التنفيذية'!$N$2:$N$421,'الشؤون التنفيذية'!$B$2:$B$421,$B572,'الشؤون التنفيذية'!$G$2:$G$421,$G572,'الشؤون التنفيذية'!$I$2:$I$421,$I572)+SUMIFS('الجهاز العسكري'!$M$2:$M$631,'الجهاز العسكري'!$B$2:$B$631,$B572,'الجهاز العسكري'!$G$2:$G$631,$G572,'الجهاز العسكري'!$I$2:$I$631,$I572))/$L572,0))</f>
        <v>64</v>
      </c>
      <c r="O572" s="18"/>
      <c r="P572" s="15">
        <f>SUMIFS(المرجع!$G$2:$G$19,المرجع!$B$2:$B$19,$G572,المرجع!$E$2:$E$19,$I572)</f>
        <v>5</v>
      </c>
      <c r="Q572" s="20">
        <f t="shared" si="9"/>
        <v>3.2</v>
      </c>
      <c r="R572" s="21" t="str">
        <f>IF($N572&gt;المرجع!$K$3,"متقدم",IF($N572&lt;=المرجع!$K$2,"أولي","جزئي"))</f>
        <v>جزئي</v>
      </c>
    </row>
    <row r="573" spans="1:18">
      <c r="A573" s="16" t="s">
        <v>2013</v>
      </c>
      <c r="B573" s="16" t="s">
        <v>214</v>
      </c>
      <c r="C573" s="15" t="str">
        <f>IFERROR(INDEX('قائمة الوحدات'!$B$2:$B$41,MATCH($B573,'قائمة الوحدات'!$A$2:$A$41,0)),"")</f>
        <v>MIL</v>
      </c>
      <c r="D573" s="14" t="str">
        <f>IFERROR(INDEX('قائمة الوحدات'!$C$2:$C$41,MATCH($B573,'قائمة الوحدات'!$A$2:$A$41,0)),"")</f>
        <v>الجهاز العسكري</v>
      </c>
      <c r="E573" s="14" t="str">
        <f>IFERROR(INDEX('قائمة الوحدات'!$D$2:$D$41,MATCH($B573,'قائمة الوحدات'!$A$2:$A$41,0)),"")</f>
        <v>الإدارة العامة للخدمات الطبية العسكرية</v>
      </c>
      <c r="F573" s="14" t="str">
        <f>IFERROR(INDEX('قائمة الوحدات'!$F$2:$F$41,MATCH($B573,'قائمة الوحدات'!$A$2:$A$41,0)),"")</f>
        <v>الإدارة العامة للخدمات الطبية العسكرية</v>
      </c>
      <c r="G573" s="16" t="s">
        <v>65</v>
      </c>
      <c r="H573" s="14" t="str">
        <f>IFERROR(INDEX(المرجع!$A$2:$A$19,MATCH($G573,المرجع!$B$2:$B$19,0)),"")</f>
        <v>التشغيل</v>
      </c>
      <c r="I573" s="16" t="s">
        <v>48</v>
      </c>
      <c r="J573" s="14" t="str">
        <f>IFERROR(INDEX(المرجع!$D$2:$D$19,MATCH($I573,المرجع!$E$2:$E$19,0)),"")</f>
        <v>الأهداف ومؤشرات الأداء</v>
      </c>
      <c r="K573" s="15">
        <f>IFERROR(INDEX(المرجع!$F$2:$F$19,MATCH($I573,المرجع!$E$2:$E$19,0)),"")</f>
        <v>2</v>
      </c>
      <c r="L573" s="15">
        <f>SUMIFS(المرجع!$H$2:$H$19,المرجع!$B$2:$B$19,$G573,المرجع!$E$2:$E$19,$I573)</f>
        <v>2</v>
      </c>
      <c r="M573" s="15">
        <f>COUNTIFS('المرتبطة بسمو الوزير'!$B$2:$B$151,$B573,'المرتبطة بسمو الوزير'!$G$2:$G$151,$G573,'المرتبطة بسمو الوزير'!$I$2:$I$151,$I573,'المرتبطة بسمو الوزير'!$M$2:$M$151,"&lt;&gt;")+COUNTIFS('الشؤون التنفيذية'!$B$2:$B$421,$B573,'الشؤون التنفيذية'!$G$2:$G$421,$G573,'الشؤون التنفيذية'!$I$2:$I$421,$I573,'الشؤون التنفيذية'!$N$2:$N$421,"&lt;&gt;")+COUNTIFS('الجهاز العسكري'!$B$2:$B$631,$B573,'الجهاز العسكري'!$G$2:$G$631,$G573,'الجهاز العسكري'!$I$2:$I$631,$I573,'الجهاز العسكري'!$M$2:$M$631,"&lt;&gt;")</f>
        <v>2</v>
      </c>
      <c r="N573" s="19">
        <f>IF($L573=0,0,ROUND((SUMIFS('المرتبطة بسمو الوزير'!$M$2:$M$151,'المرتبطة بسمو الوزير'!$B$2:$B$151,$B573,'المرتبطة بسمو الوزير'!$G$2:$G$151,$G573,'المرتبطة بسمو الوزير'!$I$2:$I$151,$I573)+SUMIFS('الشؤون التنفيذية'!$N$2:$N$421,'الشؤون التنفيذية'!$B$2:$B$421,$B573,'الشؤون التنفيذية'!$G$2:$G$421,$G573,'الشؤون التنفيذية'!$I$2:$I$421,$I573)+SUMIFS('الجهاز العسكري'!$M$2:$M$631,'الجهاز العسكري'!$B$2:$B$631,$B573,'الجهاز العسكري'!$G$2:$G$631,$G573,'الجهاز العسكري'!$I$2:$I$631,$I573))/$L573,0))</f>
        <v>63</v>
      </c>
      <c r="O573" s="18"/>
      <c r="P573" s="15">
        <f>SUMIFS(المرجع!$G$2:$G$19,المرجع!$B$2:$B$19,$G573,المرجع!$E$2:$E$19,$I573)</f>
        <v>25</v>
      </c>
      <c r="Q573" s="20">
        <f t="shared" si="9"/>
        <v>15.75</v>
      </c>
      <c r="R573" s="21" t="str">
        <f>IF($N573&gt;المرجع!$K$3,"متقدم",IF($N573&lt;=المرجع!$K$2,"أولي","جزئي"))</f>
        <v>جزئي</v>
      </c>
    </row>
    <row r="574" spans="1:18">
      <c r="A574" s="16" t="s">
        <v>2014</v>
      </c>
      <c r="B574" s="16" t="s">
        <v>214</v>
      </c>
      <c r="C574" s="15" t="str">
        <f>IFERROR(INDEX('قائمة الوحدات'!$B$2:$B$41,MATCH($B574,'قائمة الوحدات'!$A$2:$A$41,0)),"")</f>
        <v>MIL</v>
      </c>
      <c r="D574" s="14" t="str">
        <f>IFERROR(INDEX('قائمة الوحدات'!$C$2:$C$41,MATCH($B574,'قائمة الوحدات'!$A$2:$A$41,0)),"")</f>
        <v>الجهاز العسكري</v>
      </c>
      <c r="E574" s="14" t="str">
        <f>IFERROR(INDEX('قائمة الوحدات'!$D$2:$D$41,MATCH($B574,'قائمة الوحدات'!$A$2:$A$41,0)),"")</f>
        <v>الإدارة العامة للخدمات الطبية العسكرية</v>
      </c>
      <c r="F574" s="14" t="str">
        <f>IFERROR(INDEX('قائمة الوحدات'!$F$2:$F$41,MATCH($B574,'قائمة الوحدات'!$A$2:$A$41,0)),"")</f>
        <v>الإدارة العامة للخدمات الطبية العسكرية</v>
      </c>
      <c r="G574" s="16" t="s">
        <v>65</v>
      </c>
      <c r="H574" s="14" t="str">
        <f>IFERROR(INDEX(المرجع!$A$2:$A$19,MATCH($G574,المرجع!$B$2:$B$19,0)),"")</f>
        <v>التشغيل</v>
      </c>
      <c r="I574" s="16" t="s">
        <v>51</v>
      </c>
      <c r="J574" s="14" t="str">
        <f>IFERROR(INDEX(المرجع!$D$2:$D$19,MATCH($I574,المرجع!$E$2:$E$19,0)),"")</f>
        <v>الحوكمة</v>
      </c>
      <c r="K574" s="15">
        <f>IFERROR(INDEX(المرجع!$F$2:$F$19,MATCH($I574,المرجع!$E$2:$E$19,0)),"")</f>
        <v>3</v>
      </c>
      <c r="L574" s="15">
        <f>SUMIFS(المرجع!$H$2:$H$19,المرجع!$B$2:$B$19,$G574,المرجع!$E$2:$E$19,$I574)</f>
        <v>3</v>
      </c>
      <c r="M574" s="15">
        <f>COUNTIFS('المرتبطة بسمو الوزير'!$B$2:$B$151,$B574,'المرتبطة بسمو الوزير'!$G$2:$G$151,$G574,'المرتبطة بسمو الوزير'!$I$2:$I$151,$I574,'المرتبطة بسمو الوزير'!$M$2:$M$151,"&lt;&gt;")+COUNTIFS('الشؤون التنفيذية'!$B$2:$B$421,$B574,'الشؤون التنفيذية'!$G$2:$G$421,$G574,'الشؤون التنفيذية'!$I$2:$I$421,$I574,'الشؤون التنفيذية'!$N$2:$N$421,"&lt;&gt;")+COUNTIFS('الجهاز العسكري'!$B$2:$B$631,$B574,'الجهاز العسكري'!$G$2:$G$631,$G574,'الجهاز العسكري'!$I$2:$I$631,$I574,'الجهاز العسكري'!$M$2:$M$631,"&lt;&gt;")</f>
        <v>3</v>
      </c>
      <c r="N574" s="19">
        <f>IF($L574=0,0,ROUND((SUMIFS('المرتبطة بسمو الوزير'!$M$2:$M$151,'المرتبطة بسمو الوزير'!$B$2:$B$151,$B574,'المرتبطة بسمو الوزير'!$G$2:$G$151,$G574,'المرتبطة بسمو الوزير'!$I$2:$I$151,$I574)+SUMIFS('الشؤون التنفيذية'!$N$2:$N$421,'الشؤون التنفيذية'!$B$2:$B$421,$B574,'الشؤون التنفيذية'!$G$2:$G$421,$G574,'الشؤون التنفيذية'!$I$2:$I$421,$I574)+SUMIFS('الجهاز العسكري'!$M$2:$M$631,'الجهاز العسكري'!$B$2:$B$631,$B574,'الجهاز العسكري'!$G$2:$G$631,$G574,'الجهاز العسكري'!$I$2:$I$631,$I574))/$L574,0))</f>
        <v>48</v>
      </c>
      <c r="O574" s="18"/>
      <c r="P574" s="15">
        <f>SUMIFS(المرجع!$G$2:$G$19,المرجع!$B$2:$B$19,$G574,المرجع!$E$2:$E$19,$I574)</f>
        <v>15</v>
      </c>
      <c r="Q574" s="20">
        <f t="shared" si="9"/>
        <v>7.2</v>
      </c>
      <c r="R574" s="21" t="str">
        <f>IF($N574&gt;المرجع!$K$3,"متقدم",IF($N574&lt;=المرجع!$K$2,"أولي","جزئي"))</f>
        <v>جزئي</v>
      </c>
    </row>
    <row r="575" spans="1:18">
      <c r="A575" s="16" t="s">
        <v>2015</v>
      </c>
      <c r="B575" s="16" t="s">
        <v>214</v>
      </c>
      <c r="C575" s="15" t="str">
        <f>IFERROR(INDEX('قائمة الوحدات'!$B$2:$B$41,MATCH($B575,'قائمة الوحدات'!$A$2:$A$41,0)),"")</f>
        <v>MIL</v>
      </c>
      <c r="D575" s="14" t="str">
        <f>IFERROR(INDEX('قائمة الوحدات'!$C$2:$C$41,MATCH($B575,'قائمة الوحدات'!$A$2:$A$41,0)),"")</f>
        <v>الجهاز العسكري</v>
      </c>
      <c r="E575" s="14" t="str">
        <f>IFERROR(INDEX('قائمة الوحدات'!$D$2:$D$41,MATCH($B575,'قائمة الوحدات'!$A$2:$A$41,0)),"")</f>
        <v>الإدارة العامة للخدمات الطبية العسكرية</v>
      </c>
      <c r="F575" s="14" t="str">
        <f>IFERROR(INDEX('قائمة الوحدات'!$F$2:$F$41,MATCH($B575,'قائمة الوحدات'!$A$2:$A$41,0)),"")</f>
        <v>الإدارة العامة للخدمات الطبية العسكرية</v>
      </c>
      <c r="G575" s="16" t="s">
        <v>65</v>
      </c>
      <c r="H575" s="14" t="str">
        <f>IFERROR(INDEX(المرجع!$A$2:$A$19,MATCH($G575,المرجع!$B$2:$B$19,0)),"")</f>
        <v>التشغيل</v>
      </c>
      <c r="I575" s="16" t="s">
        <v>56</v>
      </c>
      <c r="J575" s="14" t="str">
        <f>IFERROR(INDEX(المرجع!$D$2:$D$19,MATCH($I575,المرجع!$E$2:$E$19,0)),"")</f>
        <v>الموارد</v>
      </c>
      <c r="K575" s="15">
        <f>IFERROR(INDEX(المرجع!$F$2:$F$19,MATCH($I575,المرجع!$E$2:$E$19,0)),"")</f>
        <v>5</v>
      </c>
      <c r="L575" s="15">
        <f>SUMIFS(المرجع!$H$2:$H$19,المرجع!$B$2:$B$19,$G575,المرجع!$E$2:$E$19,$I575)</f>
        <v>1</v>
      </c>
      <c r="M575" s="15">
        <f>COUNTIFS('المرتبطة بسمو الوزير'!$B$2:$B$151,$B575,'المرتبطة بسمو الوزير'!$G$2:$G$151,$G575,'المرتبطة بسمو الوزير'!$I$2:$I$151,$I575,'المرتبطة بسمو الوزير'!$M$2:$M$151,"&lt;&gt;")+COUNTIFS('الشؤون التنفيذية'!$B$2:$B$421,$B575,'الشؤون التنفيذية'!$G$2:$G$421,$G575,'الشؤون التنفيذية'!$I$2:$I$421,$I575,'الشؤون التنفيذية'!$N$2:$N$421,"&lt;&gt;")+COUNTIFS('الجهاز العسكري'!$B$2:$B$631,$B575,'الجهاز العسكري'!$G$2:$G$631,$G575,'الجهاز العسكري'!$I$2:$I$631,$I575,'الجهاز العسكري'!$M$2:$M$631,"&lt;&gt;")</f>
        <v>1</v>
      </c>
      <c r="N575" s="19">
        <f>IF($L575=0,0,ROUND((SUMIFS('المرتبطة بسمو الوزير'!$M$2:$M$151,'المرتبطة بسمو الوزير'!$B$2:$B$151,$B575,'المرتبطة بسمو الوزير'!$G$2:$G$151,$G575,'المرتبطة بسمو الوزير'!$I$2:$I$151,$I575)+SUMIFS('الشؤون التنفيذية'!$N$2:$N$421,'الشؤون التنفيذية'!$B$2:$B$421,$B575,'الشؤون التنفيذية'!$G$2:$G$421,$G575,'الشؤون التنفيذية'!$I$2:$I$421,$I575)+SUMIFS('الجهاز العسكري'!$M$2:$M$631,'الجهاز العسكري'!$B$2:$B$631,$B575,'الجهاز العسكري'!$G$2:$G$631,$G575,'الجهاز العسكري'!$I$2:$I$631,$I575))/$L575,0))</f>
        <v>49</v>
      </c>
      <c r="O575" s="18"/>
      <c r="P575" s="15">
        <f>SUMIFS(المرجع!$G$2:$G$19,المرجع!$B$2:$B$19,$G575,المرجع!$E$2:$E$19,$I575)</f>
        <v>15</v>
      </c>
      <c r="Q575" s="20">
        <f t="shared" si="9"/>
        <v>7.35</v>
      </c>
      <c r="R575" s="21" t="str">
        <f>IF($N575&gt;المرجع!$K$3,"متقدم",IF($N575&lt;=المرجع!$K$2,"أولي","جزئي"))</f>
        <v>جزئي</v>
      </c>
    </row>
    <row r="576" spans="1:18">
      <c r="A576" s="16" t="s">
        <v>2016</v>
      </c>
      <c r="B576" s="16" t="s">
        <v>214</v>
      </c>
      <c r="C576" s="15" t="str">
        <f>IFERROR(INDEX('قائمة الوحدات'!$B$2:$B$41,MATCH($B576,'قائمة الوحدات'!$A$2:$A$41,0)),"")</f>
        <v>MIL</v>
      </c>
      <c r="D576" s="14" t="str">
        <f>IFERROR(INDEX('قائمة الوحدات'!$C$2:$C$41,MATCH($B576,'قائمة الوحدات'!$A$2:$A$41,0)),"")</f>
        <v>الجهاز العسكري</v>
      </c>
      <c r="E576" s="14" t="str">
        <f>IFERROR(INDEX('قائمة الوحدات'!$D$2:$D$41,MATCH($B576,'قائمة الوحدات'!$A$2:$A$41,0)),"")</f>
        <v>الإدارة العامة للخدمات الطبية العسكرية</v>
      </c>
      <c r="F576" s="14" t="str">
        <f>IFERROR(INDEX('قائمة الوحدات'!$F$2:$F$41,MATCH($B576,'قائمة الوحدات'!$A$2:$A$41,0)),"")</f>
        <v>الإدارة العامة للخدمات الطبية العسكرية</v>
      </c>
      <c r="G576" s="16" t="s">
        <v>65</v>
      </c>
      <c r="H576" s="14" t="str">
        <f>IFERROR(INDEX(المرجع!$A$2:$A$19,MATCH($G576,المرجع!$B$2:$B$19,0)),"")</f>
        <v>التشغيل</v>
      </c>
      <c r="I576" s="16" t="s">
        <v>59</v>
      </c>
      <c r="J576" s="14" t="str">
        <f>IFERROR(INDEX(المرجع!$D$2:$D$19,MATCH($I576,المرجع!$E$2:$E$19,0)),"")</f>
        <v>الإجراءات</v>
      </c>
      <c r="K576" s="15">
        <f>IFERROR(INDEX(المرجع!$F$2:$F$19,MATCH($I576,المرجع!$E$2:$E$19,0)),"")</f>
        <v>6</v>
      </c>
      <c r="L576" s="15">
        <f>SUMIFS(المرجع!$H$2:$H$19,المرجع!$B$2:$B$19,$G576,المرجع!$E$2:$E$19,$I576)</f>
        <v>1</v>
      </c>
      <c r="M576" s="15">
        <f>COUNTIFS('المرتبطة بسمو الوزير'!$B$2:$B$151,$B576,'المرتبطة بسمو الوزير'!$G$2:$G$151,$G576,'المرتبطة بسمو الوزير'!$I$2:$I$151,$I576,'المرتبطة بسمو الوزير'!$M$2:$M$151,"&lt;&gt;")+COUNTIFS('الشؤون التنفيذية'!$B$2:$B$421,$B576,'الشؤون التنفيذية'!$G$2:$G$421,$G576,'الشؤون التنفيذية'!$I$2:$I$421,$I576,'الشؤون التنفيذية'!$N$2:$N$421,"&lt;&gt;")+COUNTIFS('الجهاز العسكري'!$B$2:$B$631,$B576,'الجهاز العسكري'!$G$2:$G$631,$G576,'الجهاز العسكري'!$I$2:$I$631,$I576,'الجهاز العسكري'!$M$2:$M$631,"&lt;&gt;")</f>
        <v>1</v>
      </c>
      <c r="N576" s="19">
        <f>IF($L576=0,0,ROUND((SUMIFS('المرتبطة بسمو الوزير'!$M$2:$M$151,'المرتبطة بسمو الوزير'!$B$2:$B$151,$B576,'المرتبطة بسمو الوزير'!$G$2:$G$151,$G576,'المرتبطة بسمو الوزير'!$I$2:$I$151,$I576)+SUMIFS('الشؤون التنفيذية'!$N$2:$N$421,'الشؤون التنفيذية'!$B$2:$B$421,$B576,'الشؤون التنفيذية'!$G$2:$G$421,$G576,'الشؤون التنفيذية'!$I$2:$I$421,$I576)+SUMIFS('الجهاز العسكري'!$M$2:$M$631,'الجهاز العسكري'!$B$2:$B$631,$B576,'الجهاز العسكري'!$G$2:$G$631,$G576,'الجهاز العسكري'!$I$2:$I$631,$I576))/$L576,0))</f>
        <v>44</v>
      </c>
      <c r="O576" s="18"/>
      <c r="P576" s="15">
        <f>SUMIFS(المرجع!$G$2:$G$19,المرجع!$B$2:$B$19,$G576,المرجع!$E$2:$E$19,$I576)</f>
        <v>15</v>
      </c>
      <c r="Q576" s="20">
        <f t="shared" si="9"/>
        <v>6.6</v>
      </c>
      <c r="R576" s="21" t="str">
        <f>IF($N576&gt;المرجع!$K$3,"متقدم",IF($N576&lt;=المرجع!$K$2,"أولي","جزئي"))</f>
        <v>جزئي</v>
      </c>
    </row>
    <row r="577" spans="1:18">
      <c r="A577" s="16" t="s">
        <v>2017</v>
      </c>
      <c r="B577" s="16" t="s">
        <v>214</v>
      </c>
      <c r="C577" s="15" t="str">
        <f>IFERROR(INDEX('قائمة الوحدات'!$B$2:$B$41,MATCH($B577,'قائمة الوحدات'!$A$2:$A$41,0)),"")</f>
        <v>MIL</v>
      </c>
      <c r="D577" s="14" t="str">
        <f>IFERROR(INDEX('قائمة الوحدات'!$C$2:$C$41,MATCH($B577,'قائمة الوحدات'!$A$2:$A$41,0)),"")</f>
        <v>الجهاز العسكري</v>
      </c>
      <c r="E577" s="14" t="str">
        <f>IFERROR(INDEX('قائمة الوحدات'!$D$2:$D$41,MATCH($B577,'قائمة الوحدات'!$A$2:$A$41,0)),"")</f>
        <v>الإدارة العامة للخدمات الطبية العسكرية</v>
      </c>
      <c r="F577" s="14" t="str">
        <f>IFERROR(INDEX('قائمة الوحدات'!$F$2:$F$41,MATCH($B577,'قائمة الوحدات'!$A$2:$A$41,0)),"")</f>
        <v>الإدارة العامة للخدمات الطبية العسكرية</v>
      </c>
      <c r="G577" s="16" t="s">
        <v>65</v>
      </c>
      <c r="H577" s="14" t="str">
        <f>IFERROR(INDEX(المرجع!$A$2:$A$19,MATCH($G577,المرجع!$B$2:$B$19,0)),"")</f>
        <v>التشغيل</v>
      </c>
      <c r="I577" s="16" t="s">
        <v>67</v>
      </c>
      <c r="J577" s="14" t="str">
        <f>IFERROR(INDEX(المرجع!$D$2:$D$19,MATCH($I577,المرجع!$E$2:$E$19,0)),"")</f>
        <v>اكتمال المخرجات المستهدفة</v>
      </c>
      <c r="K577" s="15">
        <f>IFERROR(INDEX(المرجع!$F$2:$F$19,MATCH($I577,المرجع!$E$2:$E$19,0)),"")</f>
        <v>8</v>
      </c>
      <c r="L577" s="15">
        <f>SUMIFS(المرجع!$H$2:$H$19,المرجع!$B$2:$B$19,$G577,المرجع!$E$2:$E$19,$I577)</f>
        <v>1</v>
      </c>
      <c r="M577" s="15">
        <f>COUNTIFS('المرتبطة بسمو الوزير'!$B$2:$B$151,$B577,'المرتبطة بسمو الوزير'!$G$2:$G$151,$G577,'المرتبطة بسمو الوزير'!$I$2:$I$151,$I577,'المرتبطة بسمو الوزير'!$M$2:$M$151,"&lt;&gt;")+COUNTIFS('الشؤون التنفيذية'!$B$2:$B$421,$B577,'الشؤون التنفيذية'!$G$2:$G$421,$G577,'الشؤون التنفيذية'!$I$2:$I$421,$I577,'الشؤون التنفيذية'!$N$2:$N$421,"&lt;&gt;")+COUNTIFS('الجهاز العسكري'!$B$2:$B$631,$B577,'الجهاز العسكري'!$G$2:$G$631,$G577,'الجهاز العسكري'!$I$2:$I$631,$I577,'الجهاز العسكري'!$M$2:$M$631,"&lt;&gt;")</f>
        <v>1</v>
      </c>
      <c r="N577" s="19">
        <f>IF($L577=0,0,ROUND((SUMIFS('المرتبطة بسمو الوزير'!$M$2:$M$151,'المرتبطة بسمو الوزير'!$B$2:$B$151,$B577,'المرتبطة بسمو الوزير'!$G$2:$G$151,$G577,'المرتبطة بسمو الوزير'!$I$2:$I$151,$I577)+SUMIFS('الشؤون التنفيذية'!$N$2:$N$421,'الشؤون التنفيذية'!$B$2:$B$421,$B577,'الشؤون التنفيذية'!$G$2:$G$421,$G577,'الشؤون التنفيذية'!$I$2:$I$421,$I577)+SUMIFS('الجهاز العسكري'!$M$2:$M$631,'الجهاز العسكري'!$B$2:$B$631,$B577,'الجهاز العسكري'!$G$2:$G$631,$G577,'الجهاز العسكري'!$I$2:$I$631,$I577))/$L577,0))</f>
        <v>48</v>
      </c>
      <c r="O577" s="18"/>
      <c r="P577" s="15">
        <f>SUMIFS(المرجع!$G$2:$G$19,المرجع!$B$2:$B$19,$G577,المرجع!$E$2:$E$19,$I577)</f>
        <v>30</v>
      </c>
      <c r="Q577" s="20">
        <f t="shared" si="9"/>
        <v>14.4</v>
      </c>
      <c r="R577" s="21" t="str">
        <f>IF($N577&gt;المرجع!$K$3,"متقدم",IF($N577&lt;=المرجع!$K$2,"أولي","جزئي"))</f>
        <v>جزئي</v>
      </c>
    </row>
    <row r="578" spans="1:18">
      <c r="A578" s="16" t="s">
        <v>2018</v>
      </c>
      <c r="B578" s="16" t="s">
        <v>216</v>
      </c>
      <c r="C578" s="15" t="str">
        <f>IFERROR(INDEX('قائمة الوحدات'!$B$2:$B$41,MATCH($B578,'قائمة الوحدات'!$A$2:$A$41,0)),"")</f>
        <v>MIL</v>
      </c>
      <c r="D578" s="14" t="str">
        <f>IFERROR(INDEX('قائمة الوحدات'!$C$2:$C$41,MATCH($B578,'قائمة الوحدات'!$A$2:$A$41,0)),"")</f>
        <v>الجهاز العسكري</v>
      </c>
      <c r="E578" s="14" t="str">
        <f>IFERROR(INDEX('قائمة الوحدات'!$D$2:$D$41,MATCH($B578,'قائمة الوحدات'!$A$2:$A$41,0)),"")</f>
        <v>الإدارة العامة للقوى البشرية العسكرية</v>
      </c>
      <c r="F578" s="14" t="str">
        <f>IFERROR(INDEX('قائمة الوحدات'!$F$2:$F$41,MATCH($B578,'قائمة الوحدات'!$A$2:$A$41,0)),"")</f>
        <v>الإدارة العامة للقوى البشرية العسكرية</v>
      </c>
      <c r="G578" s="16" t="s">
        <v>43</v>
      </c>
      <c r="H578" s="14" t="str">
        <f>IFERROR(INDEX(المرجع!$A$2:$A$19,MATCH($G578,المرجع!$B$2:$B$19,0)),"")</f>
        <v>التصميم</v>
      </c>
      <c r="I578" s="16" t="s">
        <v>45</v>
      </c>
      <c r="J578" s="14" t="str">
        <f>IFERROR(INDEX(المرجع!$D$2:$D$19,MATCH($I578,المرجع!$E$2:$E$19,0)),"")</f>
        <v>الدور</v>
      </c>
      <c r="K578" s="15">
        <f>IFERROR(INDEX(المرجع!$F$2:$F$19,MATCH($I578,المرجع!$E$2:$E$19,0)),"")</f>
        <v>1</v>
      </c>
      <c r="L578" s="15">
        <f>SUMIFS(المرجع!$H$2:$H$19,المرجع!$B$2:$B$19,$G578,المرجع!$E$2:$E$19,$I578)</f>
        <v>1</v>
      </c>
      <c r="M578" s="15">
        <f>COUNTIFS('المرتبطة بسمو الوزير'!$B$2:$B$151,$B578,'المرتبطة بسمو الوزير'!$G$2:$G$151,$G578,'المرتبطة بسمو الوزير'!$I$2:$I$151,$I578,'المرتبطة بسمو الوزير'!$M$2:$M$151,"&lt;&gt;")+COUNTIFS('الشؤون التنفيذية'!$B$2:$B$421,$B578,'الشؤون التنفيذية'!$G$2:$G$421,$G578,'الشؤون التنفيذية'!$I$2:$I$421,$I578,'الشؤون التنفيذية'!$N$2:$N$421,"&lt;&gt;")+COUNTIFS('الجهاز العسكري'!$B$2:$B$631,$B578,'الجهاز العسكري'!$G$2:$G$631,$G578,'الجهاز العسكري'!$I$2:$I$631,$I578,'الجهاز العسكري'!$M$2:$M$631,"&lt;&gt;")</f>
        <v>1</v>
      </c>
      <c r="N578" s="19">
        <f>IF($L578=0,0,ROUND((SUMIFS('المرتبطة بسمو الوزير'!$M$2:$M$151,'المرتبطة بسمو الوزير'!$B$2:$B$151,$B578,'المرتبطة بسمو الوزير'!$G$2:$G$151,$G578,'المرتبطة بسمو الوزير'!$I$2:$I$151,$I578)+SUMIFS('الشؤون التنفيذية'!$N$2:$N$421,'الشؤون التنفيذية'!$B$2:$B$421,$B578,'الشؤون التنفيذية'!$G$2:$G$421,$G578,'الشؤون التنفيذية'!$I$2:$I$421,$I578)+SUMIFS('الجهاز العسكري'!$M$2:$M$631,'الجهاز العسكري'!$B$2:$B$631,$B578,'الجهاز العسكري'!$G$2:$G$631,$G578,'الجهاز العسكري'!$I$2:$I$631,$I578))/$L578,0))</f>
        <v>72</v>
      </c>
      <c r="O578" s="18"/>
      <c r="P578" s="15">
        <f>SUMIFS(المرجع!$G$2:$G$19,المرجع!$B$2:$B$19,$G578,المرجع!$E$2:$E$19,$I578)</f>
        <v>25</v>
      </c>
      <c r="Q578" s="20">
        <f t="shared" ref="Q578:Q641" si="10">ROUND($P578*$N578/100,2)</f>
        <v>18</v>
      </c>
      <c r="R578" s="21" t="str">
        <f>IF($N578&gt;المرجع!$K$3,"متقدم",IF($N578&lt;=المرجع!$K$2,"أولي","جزئي"))</f>
        <v>متقدم</v>
      </c>
    </row>
    <row r="579" spans="1:18">
      <c r="A579" s="16" t="s">
        <v>2019</v>
      </c>
      <c r="B579" s="16" t="s">
        <v>216</v>
      </c>
      <c r="C579" s="15" t="str">
        <f>IFERROR(INDEX('قائمة الوحدات'!$B$2:$B$41,MATCH($B579,'قائمة الوحدات'!$A$2:$A$41,0)),"")</f>
        <v>MIL</v>
      </c>
      <c r="D579" s="14" t="str">
        <f>IFERROR(INDEX('قائمة الوحدات'!$C$2:$C$41,MATCH($B579,'قائمة الوحدات'!$A$2:$A$41,0)),"")</f>
        <v>الجهاز العسكري</v>
      </c>
      <c r="E579" s="14" t="str">
        <f>IFERROR(INDEX('قائمة الوحدات'!$D$2:$D$41,MATCH($B579,'قائمة الوحدات'!$A$2:$A$41,0)),"")</f>
        <v>الإدارة العامة للقوى البشرية العسكرية</v>
      </c>
      <c r="F579" s="14" t="str">
        <f>IFERROR(INDEX('قائمة الوحدات'!$F$2:$F$41,MATCH($B579,'قائمة الوحدات'!$A$2:$A$41,0)),"")</f>
        <v>الإدارة العامة للقوى البشرية العسكرية</v>
      </c>
      <c r="G579" s="16" t="s">
        <v>43</v>
      </c>
      <c r="H579" s="14" t="str">
        <f>IFERROR(INDEX(المرجع!$A$2:$A$19,MATCH($G579,المرجع!$B$2:$B$19,0)),"")</f>
        <v>التصميم</v>
      </c>
      <c r="I579" s="16" t="s">
        <v>48</v>
      </c>
      <c r="J579" s="14" t="str">
        <f>IFERROR(INDEX(المرجع!$D$2:$D$19,MATCH($I579,المرجع!$E$2:$E$19,0)),"")</f>
        <v>الأهداف ومؤشرات الأداء</v>
      </c>
      <c r="K579" s="15">
        <f>IFERROR(INDEX(المرجع!$F$2:$F$19,MATCH($I579,المرجع!$E$2:$E$19,0)),"")</f>
        <v>2</v>
      </c>
      <c r="L579" s="15">
        <f>SUMIFS(المرجع!$H$2:$H$19,المرجع!$B$2:$B$19,$G579,المرجع!$E$2:$E$19,$I579)</f>
        <v>2</v>
      </c>
      <c r="M579" s="15">
        <f>COUNTIFS('المرتبطة بسمو الوزير'!$B$2:$B$151,$B579,'المرتبطة بسمو الوزير'!$G$2:$G$151,$G579,'المرتبطة بسمو الوزير'!$I$2:$I$151,$I579,'المرتبطة بسمو الوزير'!$M$2:$M$151,"&lt;&gt;")+COUNTIFS('الشؤون التنفيذية'!$B$2:$B$421,$B579,'الشؤون التنفيذية'!$G$2:$G$421,$G579,'الشؤون التنفيذية'!$I$2:$I$421,$I579,'الشؤون التنفيذية'!$N$2:$N$421,"&lt;&gt;")+COUNTIFS('الجهاز العسكري'!$B$2:$B$631,$B579,'الجهاز العسكري'!$G$2:$G$631,$G579,'الجهاز العسكري'!$I$2:$I$631,$I579,'الجهاز العسكري'!$M$2:$M$631,"&lt;&gt;")</f>
        <v>2</v>
      </c>
      <c r="N579" s="19">
        <f>IF($L579=0,0,ROUND((SUMIFS('المرتبطة بسمو الوزير'!$M$2:$M$151,'المرتبطة بسمو الوزير'!$B$2:$B$151,$B579,'المرتبطة بسمو الوزير'!$G$2:$G$151,$G579,'المرتبطة بسمو الوزير'!$I$2:$I$151,$I579)+SUMIFS('الشؤون التنفيذية'!$N$2:$N$421,'الشؤون التنفيذية'!$B$2:$B$421,$B579,'الشؤون التنفيذية'!$G$2:$G$421,$G579,'الشؤون التنفيذية'!$I$2:$I$421,$I579)+SUMIFS('الجهاز العسكري'!$M$2:$M$631,'الجهاز العسكري'!$B$2:$B$631,$B579,'الجهاز العسكري'!$G$2:$G$631,$G579,'الجهاز العسكري'!$I$2:$I$631,$I579))/$L579,0))</f>
        <v>88</v>
      </c>
      <c r="O579" s="18"/>
      <c r="P579" s="15">
        <f>SUMIFS(المرجع!$G$2:$G$19,المرجع!$B$2:$B$19,$G579,المرجع!$E$2:$E$19,$I579)</f>
        <v>15</v>
      </c>
      <c r="Q579" s="20">
        <f t="shared" si="10"/>
        <v>13.2</v>
      </c>
      <c r="R579" s="21" t="str">
        <f>IF($N579&gt;المرجع!$K$3,"متقدم",IF($N579&lt;=المرجع!$K$2,"أولي","جزئي"))</f>
        <v>متقدم</v>
      </c>
    </row>
    <row r="580" spans="1:18">
      <c r="A580" s="16" t="s">
        <v>2020</v>
      </c>
      <c r="B580" s="16" t="s">
        <v>216</v>
      </c>
      <c r="C580" s="15" t="str">
        <f>IFERROR(INDEX('قائمة الوحدات'!$B$2:$B$41,MATCH($B580,'قائمة الوحدات'!$A$2:$A$41,0)),"")</f>
        <v>MIL</v>
      </c>
      <c r="D580" s="14" t="str">
        <f>IFERROR(INDEX('قائمة الوحدات'!$C$2:$C$41,MATCH($B580,'قائمة الوحدات'!$A$2:$A$41,0)),"")</f>
        <v>الجهاز العسكري</v>
      </c>
      <c r="E580" s="14" t="str">
        <f>IFERROR(INDEX('قائمة الوحدات'!$D$2:$D$41,MATCH($B580,'قائمة الوحدات'!$A$2:$A$41,0)),"")</f>
        <v>الإدارة العامة للقوى البشرية العسكرية</v>
      </c>
      <c r="F580" s="14" t="str">
        <f>IFERROR(INDEX('قائمة الوحدات'!$F$2:$F$41,MATCH($B580,'قائمة الوحدات'!$A$2:$A$41,0)),"")</f>
        <v>الإدارة العامة للقوى البشرية العسكرية</v>
      </c>
      <c r="G580" s="16" t="s">
        <v>43</v>
      </c>
      <c r="H580" s="14" t="str">
        <f>IFERROR(INDEX(المرجع!$A$2:$A$19,MATCH($G580,المرجع!$B$2:$B$19,0)),"")</f>
        <v>التصميم</v>
      </c>
      <c r="I580" s="16" t="s">
        <v>51</v>
      </c>
      <c r="J580" s="14" t="str">
        <f>IFERROR(INDEX(المرجع!$D$2:$D$19,MATCH($I580,المرجع!$E$2:$E$19,0)),"")</f>
        <v>الحوكمة</v>
      </c>
      <c r="K580" s="15">
        <f>IFERROR(INDEX(المرجع!$F$2:$F$19,MATCH($I580,المرجع!$E$2:$E$19,0)),"")</f>
        <v>3</v>
      </c>
      <c r="L580" s="15">
        <f>SUMIFS(المرجع!$H$2:$H$19,المرجع!$B$2:$B$19,$G580,المرجع!$E$2:$E$19,$I580)</f>
        <v>1</v>
      </c>
      <c r="M580" s="15">
        <f>COUNTIFS('المرتبطة بسمو الوزير'!$B$2:$B$151,$B580,'المرتبطة بسمو الوزير'!$G$2:$G$151,$G580,'المرتبطة بسمو الوزير'!$I$2:$I$151,$I580,'المرتبطة بسمو الوزير'!$M$2:$M$151,"&lt;&gt;")+COUNTIFS('الشؤون التنفيذية'!$B$2:$B$421,$B580,'الشؤون التنفيذية'!$G$2:$G$421,$G580,'الشؤون التنفيذية'!$I$2:$I$421,$I580,'الشؤون التنفيذية'!$N$2:$N$421,"&lt;&gt;")+COUNTIFS('الجهاز العسكري'!$B$2:$B$631,$B580,'الجهاز العسكري'!$G$2:$G$631,$G580,'الجهاز العسكري'!$I$2:$I$631,$I580,'الجهاز العسكري'!$M$2:$M$631,"&lt;&gt;")</f>
        <v>1</v>
      </c>
      <c r="N580" s="19">
        <f>IF($L580=0,0,ROUND((SUMIFS('المرتبطة بسمو الوزير'!$M$2:$M$151,'المرتبطة بسمو الوزير'!$B$2:$B$151,$B580,'المرتبطة بسمو الوزير'!$G$2:$G$151,$G580,'المرتبطة بسمو الوزير'!$I$2:$I$151,$I580)+SUMIFS('الشؤون التنفيذية'!$N$2:$N$421,'الشؤون التنفيذية'!$B$2:$B$421,$B580,'الشؤون التنفيذية'!$G$2:$G$421,$G580,'الشؤون التنفيذية'!$I$2:$I$421,$I580)+SUMIFS('الجهاز العسكري'!$M$2:$M$631,'الجهاز العسكري'!$B$2:$B$631,$B580,'الجهاز العسكري'!$G$2:$G$631,$G580,'الجهاز العسكري'!$I$2:$I$631,$I580))/$L580,0))</f>
        <v>82</v>
      </c>
      <c r="O580" s="18"/>
      <c r="P580" s="15">
        <f>SUMIFS(المرجع!$G$2:$G$19,المرجع!$B$2:$B$19,$G580,المرجع!$E$2:$E$19,$I580)</f>
        <v>15</v>
      </c>
      <c r="Q580" s="20">
        <f t="shared" si="10"/>
        <v>12.3</v>
      </c>
      <c r="R580" s="21" t="str">
        <f>IF($N580&gt;المرجع!$K$3,"متقدم",IF($N580&lt;=المرجع!$K$2,"أولي","جزئي"))</f>
        <v>متقدم</v>
      </c>
    </row>
    <row r="581" spans="1:18">
      <c r="A581" s="16" t="s">
        <v>2021</v>
      </c>
      <c r="B581" s="16" t="s">
        <v>216</v>
      </c>
      <c r="C581" s="15" t="str">
        <f>IFERROR(INDEX('قائمة الوحدات'!$B$2:$B$41,MATCH($B581,'قائمة الوحدات'!$A$2:$A$41,0)),"")</f>
        <v>MIL</v>
      </c>
      <c r="D581" s="14" t="str">
        <f>IFERROR(INDEX('قائمة الوحدات'!$C$2:$C$41,MATCH($B581,'قائمة الوحدات'!$A$2:$A$41,0)),"")</f>
        <v>الجهاز العسكري</v>
      </c>
      <c r="E581" s="14" t="str">
        <f>IFERROR(INDEX('قائمة الوحدات'!$D$2:$D$41,MATCH($B581,'قائمة الوحدات'!$A$2:$A$41,0)),"")</f>
        <v>الإدارة العامة للقوى البشرية العسكرية</v>
      </c>
      <c r="F581" s="14" t="str">
        <f>IFERROR(INDEX('قائمة الوحدات'!$F$2:$F$41,MATCH($B581,'قائمة الوحدات'!$A$2:$A$41,0)),"")</f>
        <v>الإدارة العامة للقوى البشرية العسكرية</v>
      </c>
      <c r="G581" s="16" t="s">
        <v>43</v>
      </c>
      <c r="H581" s="14" t="str">
        <f>IFERROR(INDEX(المرجع!$A$2:$A$19,MATCH($G581,المرجع!$B$2:$B$19,0)),"")</f>
        <v>التصميم</v>
      </c>
      <c r="I581" s="16" t="s">
        <v>54</v>
      </c>
      <c r="J581" s="14" t="str">
        <f>IFERROR(INDEX(المرجع!$D$2:$D$19,MATCH($I581,المرجع!$E$2:$E$19,0)),"")</f>
        <v>التنظيم</v>
      </c>
      <c r="K581" s="15">
        <f>IFERROR(INDEX(المرجع!$F$2:$F$19,MATCH($I581,المرجع!$E$2:$E$19,0)),"")</f>
        <v>4</v>
      </c>
      <c r="L581" s="15">
        <f>SUMIFS(المرجع!$H$2:$H$19,المرجع!$B$2:$B$19,$G581,المرجع!$E$2:$E$19,$I581)</f>
        <v>1</v>
      </c>
      <c r="M581" s="15">
        <f>COUNTIFS('المرتبطة بسمو الوزير'!$B$2:$B$151,$B581,'المرتبطة بسمو الوزير'!$G$2:$G$151,$G581,'المرتبطة بسمو الوزير'!$I$2:$I$151,$I581,'المرتبطة بسمو الوزير'!$M$2:$M$151,"&lt;&gt;")+COUNTIFS('الشؤون التنفيذية'!$B$2:$B$421,$B581,'الشؤون التنفيذية'!$G$2:$G$421,$G581,'الشؤون التنفيذية'!$I$2:$I$421,$I581,'الشؤون التنفيذية'!$N$2:$N$421,"&lt;&gt;")+COUNTIFS('الجهاز العسكري'!$B$2:$B$631,$B581,'الجهاز العسكري'!$G$2:$G$631,$G581,'الجهاز العسكري'!$I$2:$I$631,$I581,'الجهاز العسكري'!$M$2:$M$631,"&lt;&gt;")</f>
        <v>1</v>
      </c>
      <c r="N581" s="19">
        <f>IF($L581=0,0,ROUND((SUMIFS('المرتبطة بسمو الوزير'!$M$2:$M$151,'المرتبطة بسمو الوزير'!$B$2:$B$151,$B581,'المرتبطة بسمو الوزير'!$G$2:$G$151,$G581,'المرتبطة بسمو الوزير'!$I$2:$I$151,$I581)+SUMIFS('الشؤون التنفيذية'!$N$2:$N$421,'الشؤون التنفيذية'!$B$2:$B$421,$B581,'الشؤون التنفيذية'!$G$2:$G$421,$G581,'الشؤون التنفيذية'!$I$2:$I$421,$I581)+SUMIFS('الجهاز العسكري'!$M$2:$M$631,'الجهاز العسكري'!$B$2:$B$631,$B581,'الجهاز العسكري'!$G$2:$G$631,$G581,'الجهاز العسكري'!$I$2:$I$631,$I581))/$L581,0))</f>
        <v>90</v>
      </c>
      <c r="O581" s="18"/>
      <c r="P581" s="15">
        <f>SUMIFS(المرجع!$G$2:$G$19,المرجع!$B$2:$B$19,$G581,المرجع!$E$2:$E$19,$I581)</f>
        <v>20</v>
      </c>
      <c r="Q581" s="20">
        <f t="shared" si="10"/>
        <v>18</v>
      </c>
      <c r="R581" s="21" t="str">
        <f>IF($N581&gt;المرجع!$K$3,"متقدم",IF($N581&lt;=المرجع!$K$2,"أولي","جزئي"))</f>
        <v>متقدم</v>
      </c>
    </row>
    <row r="582" spans="1:18">
      <c r="A582" s="16" t="s">
        <v>2022</v>
      </c>
      <c r="B582" s="16" t="s">
        <v>216</v>
      </c>
      <c r="C582" s="15" t="str">
        <f>IFERROR(INDEX('قائمة الوحدات'!$B$2:$B$41,MATCH($B582,'قائمة الوحدات'!$A$2:$A$41,0)),"")</f>
        <v>MIL</v>
      </c>
      <c r="D582" s="14" t="str">
        <f>IFERROR(INDEX('قائمة الوحدات'!$C$2:$C$41,MATCH($B582,'قائمة الوحدات'!$A$2:$A$41,0)),"")</f>
        <v>الجهاز العسكري</v>
      </c>
      <c r="E582" s="14" t="str">
        <f>IFERROR(INDEX('قائمة الوحدات'!$D$2:$D$41,MATCH($B582,'قائمة الوحدات'!$A$2:$A$41,0)),"")</f>
        <v>الإدارة العامة للقوى البشرية العسكرية</v>
      </c>
      <c r="F582" s="14" t="str">
        <f>IFERROR(INDEX('قائمة الوحدات'!$F$2:$F$41,MATCH($B582,'قائمة الوحدات'!$A$2:$A$41,0)),"")</f>
        <v>الإدارة العامة للقوى البشرية العسكرية</v>
      </c>
      <c r="G582" s="16" t="s">
        <v>43</v>
      </c>
      <c r="H582" s="14" t="str">
        <f>IFERROR(INDEX(المرجع!$A$2:$A$19,MATCH($G582,المرجع!$B$2:$B$19,0)),"")</f>
        <v>التصميم</v>
      </c>
      <c r="I582" s="16" t="s">
        <v>56</v>
      </c>
      <c r="J582" s="14" t="str">
        <f>IFERROR(INDEX(المرجع!$D$2:$D$19,MATCH($I582,المرجع!$E$2:$E$19,0)),"")</f>
        <v>الموارد</v>
      </c>
      <c r="K582" s="15">
        <f>IFERROR(INDEX(المرجع!$F$2:$F$19,MATCH($I582,المرجع!$E$2:$E$19,0)),"")</f>
        <v>5</v>
      </c>
      <c r="L582" s="15">
        <f>SUMIFS(المرجع!$H$2:$H$19,المرجع!$B$2:$B$19,$G582,المرجع!$E$2:$E$19,$I582)</f>
        <v>1</v>
      </c>
      <c r="M582" s="15">
        <f>COUNTIFS('المرتبطة بسمو الوزير'!$B$2:$B$151,$B582,'المرتبطة بسمو الوزير'!$G$2:$G$151,$G582,'المرتبطة بسمو الوزير'!$I$2:$I$151,$I582,'المرتبطة بسمو الوزير'!$M$2:$M$151,"&lt;&gt;")+COUNTIFS('الشؤون التنفيذية'!$B$2:$B$421,$B582,'الشؤون التنفيذية'!$G$2:$G$421,$G582,'الشؤون التنفيذية'!$I$2:$I$421,$I582,'الشؤون التنفيذية'!$N$2:$N$421,"&lt;&gt;")+COUNTIFS('الجهاز العسكري'!$B$2:$B$631,$B582,'الجهاز العسكري'!$G$2:$G$631,$G582,'الجهاز العسكري'!$I$2:$I$631,$I582,'الجهاز العسكري'!$M$2:$M$631,"&lt;&gt;")</f>
        <v>1</v>
      </c>
      <c r="N582" s="19">
        <f>IF($L582=0,0,ROUND((SUMIFS('المرتبطة بسمو الوزير'!$M$2:$M$151,'المرتبطة بسمو الوزير'!$B$2:$B$151,$B582,'المرتبطة بسمو الوزير'!$G$2:$G$151,$G582,'المرتبطة بسمو الوزير'!$I$2:$I$151,$I582)+SUMIFS('الشؤون التنفيذية'!$N$2:$N$421,'الشؤون التنفيذية'!$B$2:$B$421,$B582,'الشؤون التنفيذية'!$G$2:$G$421,$G582,'الشؤون التنفيذية'!$I$2:$I$421,$I582)+SUMIFS('الجهاز العسكري'!$M$2:$M$631,'الجهاز العسكري'!$B$2:$B$631,$B582,'الجهاز العسكري'!$G$2:$G$631,$G582,'الجهاز العسكري'!$I$2:$I$631,$I582))/$L582,0))</f>
        <v>91</v>
      </c>
      <c r="O582" s="18"/>
      <c r="P582" s="15">
        <f>SUMIFS(المرجع!$G$2:$G$19,المرجع!$B$2:$B$19,$G582,المرجع!$E$2:$E$19,$I582)</f>
        <v>20</v>
      </c>
      <c r="Q582" s="20">
        <f t="shared" si="10"/>
        <v>18.2</v>
      </c>
      <c r="R582" s="21" t="str">
        <f>IF($N582&gt;المرجع!$K$3,"متقدم",IF($N582&lt;=المرجع!$K$2,"أولي","جزئي"))</f>
        <v>متقدم</v>
      </c>
    </row>
    <row r="583" spans="1:18">
      <c r="A583" s="16" t="s">
        <v>2023</v>
      </c>
      <c r="B583" s="16" t="s">
        <v>216</v>
      </c>
      <c r="C583" s="15" t="str">
        <f>IFERROR(INDEX('قائمة الوحدات'!$B$2:$B$41,MATCH($B583,'قائمة الوحدات'!$A$2:$A$41,0)),"")</f>
        <v>MIL</v>
      </c>
      <c r="D583" s="14" t="str">
        <f>IFERROR(INDEX('قائمة الوحدات'!$C$2:$C$41,MATCH($B583,'قائمة الوحدات'!$A$2:$A$41,0)),"")</f>
        <v>الجهاز العسكري</v>
      </c>
      <c r="E583" s="14" t="str">
        <f>IFERROR(INDEX('قائمة الوحدات'!$D$2:$D$41,MATCH($B583,'قائمة الوحدات'!$A$2:$A$41,0)),"")</f>
        <v>الإدارة العامة للقوى البشرية العسكرية</v>
      </c>
      <c r="F583" s="14" t="str">
        <f>IFERROR(INDEX('قائمة الوحدات'!$F$2:$F$41,MATCH($B583,'قائمة الوحدات'!$A$2:$A$41,0)),"")</f>
        <v>الإدارة العامة للقوى البشرية العسكرية</v>
      </c>
      <c r="G583" s="16" t="s">
        <v>43</v>
      </c>
      <c r="H583" s="14" t="str">
        <f>IFERROR(INDEX(المرجع!$A$2:$A$19,MATCH($G583,المرجع!$B$2:$B$19,0)),"")</f>
        <v>التصميم</v>
      </c>
      <c r="I583" s="16" t="s">
        <v>59</v>
      </c>
      <c r="J583" s="14" t="str">
        <f>IFERROR(INDEX(المرجع!$D$2:$D$19,MATCH($I583,المرجع!$E$2:$E$19,0)),"")</f>
        <v>الإجراءات</v>
      </c>
      <c r="K583" s="15">
        <f>IFERROR(INDEX(المرجع!$F$2:$F$19,MATCH($I583,المرجع!$E$2:$E$19,0)),"")</f>
        <v>6</v>
      </c>
      <c r="L583" s="15">
        <f>SUMIFS(المرجع!$H$2:$H$19,المرجع!$B$2:$B$19,$G583,المرجع!$E$2:$E$19,$I583)</f>
        <v>1</v>
      </c>
      <c r="M583" s="15">
        <f>COUNTIFS('المرتبطة بسمو الوزير'!$B$2:$B$151,$B583,'المرتبطة بسمو الوزير'!$G$2:$G$151,$G583,'المرتبطة بسمو الوزير'!$I$2:$I$151,$I583,'المرتبطة بسمو الوزير'!$M$2:$M$151,"&lt;&gt;")+COUNTIFS('الشؤون التنفيذية'!$B$2:$B$421,$B583,'الشؤون التنفيذية'!$G$2:$G$421,$G583,'الشؤون التنفيذية'!$I$2:$I$421,$I583,'الشؤون التنفيذية'!$N$2:$N$421,"&lt;&gt;")+COUNTIFS('الجهاز العسكري'!$B$2:$B$631,$B583,'الجهاز العسكري'!$G$2:$G$631,$G583,'الجهاز العسكري'!$I$2:$I$631,$I583,'الجهاز العسكري'!$M$2:$M$631,"&lt;&gt;")</f>
        <v>1</v>
      </c>
      <c r="N583" s="19">
        <f>IF($L583=0,0,ROUND((SUMIFS('المرتبطة بسمو الوزير'!$M$2:$M$151,'المرتبطة بسمو الوزير'!$B$2:$B$151,$B583,'المرتبطة بسمو الوزير'!$G$2:$G$151,$G583,'المرتبطة بسمو الوزير'!$I$2:$I$151,$I583)+SUMIFS('الشؤون التنفيذية'!$N$2:$N$421,'الشؤون التنفيذية'!$B$2:$B$421,$B583,'الشؤون التنفيذية'!$G$2:$G$421,$G583,'الشؤون التنفيذية'!$I$2:$I$421,$I583)+SUMIFS('الجهاز العسكري'!$M$2:$M$631,'الجهاز العسكري'!$B$2:$B$631,$B583,'الجهاز العسكري'!$G$2:$G$631,$G583,'الجهاز العسكري'!$I$2:$I$631,$I583))/$L583,0))</f>
        <v>70</v>
      </c>
      <c r="O583" s="18"/>
      <c r="P583" s="15">
        <f>SUMIFS(المرجع!$G$2:$G$19,المرجع!$B$2:$B$19,$G583,المرجع!$E$2:$E$19,$I583)</f>
        <v>5</v>
      </c>
      <c r="Q583" s="20">
        <f t="shared" si="10"/>
        <v>3.5</v>
      </c>
      <c r="R583" s="21" t="str">
        <f>IF($N583&gt;المرجع!$K$3,"متقدم",IF($N583&lt;=المرجع!$K$2,"أولي","جزئي"))</f>
        <v>جزئي</v>
      </c>
    </row>
    <row r="584" spans="1:18">
      <c r="A584" s="16" t="s">
        <v>2024</v>
      </c>
      <c r="B584" s="16" t="s">
        <v>216</v>
      </c>
      <c r="C584" s="15" t="str">
        <f>IFERROR(INDEX('قائمة الوحدات'!$B$2:$B$41,MATCH($B584,'قائمة الوحدات'!$A$2:$A$41,0)),"")</f>
        <v>MIL</v>
      </c>
      <c r="D584" s="14" t="str">
        <f>IFERROR(INDEX('قائمة الوحدات'!$C$2:$C$41,MATCH($B584,'قائمة الوحدات'!$A$2:$A$41,0)),"")</f>
        <v>الجهاز العسكري</v>
      </c>
      <c r="E584" s="14" t="str">
        <f>IFERROR(INDEX('قائمة الوحدات'!$D$2:$D$41,MATCH($B584,'قائمة الوحدات'!$A$2:$A$41,0)),"")</f>
        <v>الإدارة العامة للقوى البشرية العسكرية</v>
      </c>
      <c r="F584" s="14" t="str">
        <f>IFERROR(INDEX('قائمة الوحدات'!$F$2:$F$41,MATCH($B584,'قائمة الوحدات'!$A$2:$A$41,0)),"")</f>
        <v>الإدارة العامة للقوى البشرية العسكرية</v>
      </c>
      <c r="G584" s="16" t="s">
        <v>61</v>
      </c>
      <c r="H584" s="14" t="str">
        <f>IFERROR(INDEX(المرجع!$A$2:$A$19,MATCH($G584,المرجع!$B$2:$B$19,0)),"")</f>
        <v>البناء المؤسسي</v>
      </c>
      <c r="I584" s="16" t="s">
        <v>45</v>
      </c>
      <c r="J584" s="14" t="str">
        <f>IFERROR(INDEX(المرجع!$D$2:$D$19,MATCH($I584,المرجع!$E$2:$E$19,0)),"")</f>
        <v>الدور</v>
      </c>
      <c r="K584" s="15">
        <f>IFERROR(INDEX(المرجع!$F$2:$F$19,MATCH($I584,المرجع!$E$2:$E$19,0)),"")</f>
        <v>1</v>
      </c>
      <c r="L584" s="15">
        <f>SUMIFS(المرجع!$H$2:$H$19,المرجع!$B$2:$B$19,$G584,المرجع!$E$2:$E$19,$I584)</f>
        <v>1</v>
      </c>
      <c r="M584" s="15">
        <f>COUNTIFS('المرتبطة بسمو الوزير'!$B$2:$B$151,$B584,'المرتبطة بسمو الوزير'!$G$2:$G$151,$G584,'المرتبطة بسمو الوزير'!$I$2:$I$151,$I584,'المرتبطة بسمو الوزير'!$M$2:$M$151,"&lt;&gt;")+COUNTIFS('الشؤون التنفيذية'!$B$2:$B$421,$B584,'الشؤون التنفيذية'!$G$2:$G$421,$G584,'الشؤون التنفيذية'!$I$2:$I$421,$I584,'الشؤون التنفيذية'!$N$2:$N$421,"&lt;&gt;")+COUNTIFS('الجهاز العسكري'!$B$2:$B$631,$B584,'الجهاز العسكري'!$G$2:$G$631,$G584,'الجهاز العسكري'!$I$2:$I$631,$I584,'الجهاز العسكري'!$M$2:$M$631,"&lt;&gt;")</f>
        <v>1</v>
      </c>
      <c r="N584" s="19">
        <f>IF($L584=0,0,ROUND((SUMIFS('المرتبطة بسمو الوزير'!$M$2:$M$151,'المرتبطة بسمو الوزير'!$B$2:$B$151,$B584,'المرتبطة بسمو الوزير'!$G$2:$G$151,$G584,'المرتبطة بسمو الوزير'!$I$2:$I$151,$I584)+SUMIFS('الشؤون التنفيذية'!$N$2:$N$421,'الشؤون التنفيذية'!$B$2:$B$421,$B584,'الشؤون التنفيذية'!$G$2:$G$421,$G584,'الشؤون التنفيذية'!$I$2:$I$421,$I584)+SUMIFS('الجهاز العسكري'!$M$2:$M$631,'الجهاز العسكري'!$B$2:$B$631,$B584,'الجهاز العسكري'!$G$2:$G$631,$G584,'الجهاز العسكري'!$I$2:$I$631,$I584))/$L584,0))</f>
        <v>49</v>
      </c>
      <c r="O584" s="18"/>
      <c r="P584" s="15">
        <f>SUMIFS(المرجع!$G$2:$G$19,المرجع!$B$2:$B$19,$G584,المرجع!$E$2:$E$19,$I584)</f>
        <v>15</v>
      </c>
      <c r="Q584" s="20">
        <f t="shared" si="10"/>
        <v>7.35</v>
      </c>
      <c r="R584" s="21" t="str">
        <f>IF($N584&gt;المرجع!$K$3,"متقدم",IF($N584&lt;=المرجع!$K$2,"أولي","جزئي"))</f>
        <v>جزئي</v>
      </c>
    </row>
    <row r="585" spans="1:18">
      <c r="A585" s="16" t="s">
        <v>2025</v>
      </c>
      <c r="B585" s="16" t="s">
        <v>216</v>
      </c>
      <c r="C585" s="15" t="str">
        <f>IFERROR(INDEX('قائمة الوحدات'!$B$2:$B$41,MATCH($B585,'قائمة الوحدات'!$A$2:$A$41,0)),"")</f>
        <v>MIL</v>
      </c>
      <c r="D585" s="14" t="str">
        <f>IFERROR(INDEX('قائمة الوحدات'!$C$2:$C$41,MATCH($B585,'قائمة الوحدات'!$A$2:$A$41,0)),"")</f>
        <v>الجهاز العسكري</v>
      </c>
      <c r="E585" s="14" t="str">
        <f>IFERROR(INDEX('قائمة الوحدات'!$D$2:$D$41,MATCH($B585,'قائمة الوحدات'!$A$2:$A$41,0)),"")</f>
        <v>الإدارة العامة للقوى البشرية العسكرية</v>
      </c>
      <c r="F585" s="14" t="str">
        <f>IFERROR(INDEX('قائمة الوحدات'!$F$2:$F$41,MATCH($B585,'قائمة الوحدات'!$A$2:$A$41,0)),"")</f>
        <v>الإدارة العامة للقوى البشرية العسكرية</v>
      </c>
      <c r="G585" s="16" t="s">
        <v>61</v>
      </c>
      <c r="H585" s="14" t="str">
        <f>IFERROR(INDEX(المرجع!$A$2:$A$19,MATCH($G585,المرجع!$B$2:$B$19,0)),"")</f>
        <v>البناء المؤسسي</v>
      </c>
      <c r="I585" s="16" t="s">
        <v>48</v>
      </c>
      <c r="J585" s="14" t="str">
        <f>IFERROR(INDEX(المرجع!$D$2:$D$19,MATCH($I585,المرجع!$E$2:$E$19,0)),"")</f>
        <v>الأهداف ومؤشرات الأداء</v>
      </c>
      <c r="K585" s="15">
        <f>IFERROR(INDEX(المرجع!$F$2:$F$19,MATCH($I585,المرجع!$E$2:$E$19,0)),"")</f>
        <v>2</v>
      </c>
      <c r="L585" s="15">
        <f>SUMIFS(المرجع!$H$2:$H$19,المرجع!$B$2:$B$19,$G585,المرجع!$E$2:$E$19,$I585)</f>
        <v>2</v>
      </c>
      <c r="M585" s="15">
        <f>COUNTIFS('المرتبطة بسمو الوزير'!$B$2:$B$151,$B585,'المرتبطة بسمو الوزير'!$G$2:$G$151,$G585,'المرتبطة بسمو الوزير'!$I$2:$I$151,$I585,'المرتبطة بسمو الوزير'!$M$2:$M$151,"&lt;&gt;")+COUNTIFS('الشؤون التنفيذية'!$B$2:$B$421,$B585,'الشؤون التنفيذية'!$G$2:$G$421,$G585,'الشؤون التنفيذية'!$I$2:$I$421,$I585,'الشؤون التنفيذية'!$N$2:$N$421,"&lt;&gt;")+COUNTIFS('الجهاز العسكري'!$B$2:$B$631,$B585,'الجهاز العسكري'!$G$2:$G$631,$G585,'الجهاز العسكري'!$I$2:$I$631,$I585,'الجهاز العسكري'!$M$2:$M$631,"&lt;&gt;")</f>
        <v>2</v>
      </c>
      <c r="N585" s="19">
        <f>IF($L585=0,0,ROUND((SUMIFS('المرتبطة بسمو الوزير'!$M$2:$M$151,'المرتبطة بسمو الوزير'!$B$2:$B$151,$B585,'المرتبطة بسمو الوزير'!$G$2:$G$151,$G585,'المرتبطة بسمو الوزير'!$I$2:$I$151,$I585)+SUMIFS('الشؤون التنفيذية'!$N$2:$N$421,'الشؤون التنفيذية'!$B$2:$B$421,$B585,'الشؤون التنفيذية'!$G$2:$G$421,$G585,'الشؤون التنفيذية'!$I$2:$I$421,$I585)+SUMIFS('الجهاز العسكري'!$M$2:$M$631,'الجهاز العسكري'!$B$2:$B$631,$B585,'الجهاز العسكري'!$G$2:$G$631,$G585,'الجهاز العسكري'!$I$2:$I$631,$I585))/$L585,0))</f>
        <v>55</v>
      </c>
      <c r="O585" s="18"/>
      <c r="P585" s="15">
        <f>SUMIFS(المرجع!$G$2:$G$19,المرجع!$B$2:$B$19,$G585,المرجع!$E$2:$E$19,$I585)</f>
        <v>15</v>
      </c>
      <c r="Q585" s="20">
        <f t="shared" si="10"/>
        <v>8.25</v>
      </c>
      <c r="R585" s="21" t="str">
        <f>IF($N585&gt;المرجع!$K$3,"متقدم",IF($N585&lt;=المرجع!$K$2,"أولي","جزئي"))</f>
        <v>جزئي</v>
      </c>
    </row>
    <row r="586" spans="1:18">
      <c r="A586" s="16" t="s">
        <v>2026</v>
      </c>
      <c r="B586" s="16" t="s">
        <v>216</v>
      </c>
      <c r="C586" s="15" t="str">
        <f>IFERROR(INDEX('قائمة الوحدات'!$B$2:$B$41,MATCH($B586,'قائمة الوحدات'!$A$2:$A$41,0)),"")</f>
        <v>MIL</v>
      </c>
      <c r="D586" s="14" t="str">
        <f>IFERROR(INDEX('قائمة الوحدات'!$C$2:$C$41,MATCH($B586,'قائمة الوحدات'!$A$2:$A$41,0)),"")</f>
        <v>الجهاز العسكري</v>
      </c>
      <c r="E586" s="14" t="str">
        <f>IFERROR(INDEX('قائمة الوحدات'!$D$2:$D$41,MATCH($B586,'قائمة الوحدات'!$A$2:$A$41,0)),"")</f>
        <v>الإدارة العامة للقوى البشرية العسكرية</v>
      </c>
      <c r="F586" s="14" t="str">
        <f>IFERROR(INDEX('قائمة الوحدات'!$F$2:$F$41,MATCH($B586,'قائمة الوحدات'!$A$2:$A$41,0)),"")</f>
        <v>الإدارة العامة للقوى البشرية العسكرية</v>
      </c>
      <c r="G586" s="16" t="s">
        <v>61</v>
      </c>
      <c r="H586" s="14" t="str">
        <f>IFERROR(INDEX(المرجع!$A$2:$A$19,MATCH($G586,المرجع!$B$2:$B$19,0)),"")</f>
        <v>البناء المؤسسي</v>
      </c>
      <c r="I586" s="16" t="s">
        <v>51</v>
      </c>
      <c r="J586" s="14" t="str">
        <f>IFERROR(INDEX(المرجع!$D$2:$D$19,MATCH($I586,المرجع!$E$2:$E$19,0)),"")</f>
        <v>الحوكمة</v>
      </c>
      <c r="K586" s="15">
        <f>IFERROR(INDEX(المرجع!$F$2:$F$19,MATCH($I586,المرجع!$E$2:$E$19,0)),"")</f>
        <v>3</v>
      </c>
      <c r="L586" s="15">
        <f>SUMIFS(المرجع!$H$2:$H$19,المرجع!$B$2:$B$19,$G586,المرجع!$E$2:$E$19,$I586)</f>
        <v>3</v>
      </c>
      <c r="M586" s="15">
        <f>COUNTIFS('المرتبطة بسمو الوزير'!$B$2:$B$151,$B586,'المرتبطة بسمو الوزير'!$G$2:$G$151,$G586,'المرتبطة بسمو الوزير'!$I$2:$I$151,$I586,'المرتبطة بسمو الوزير'!$M$2:$M$151,"&lt;&gt;")+COUNTIFS('الشؤون التنفيذية'!$B$2:$B$421,$B586,'الشؤون التنفيذية'!$G$2:$G$421,$G586,'الشؤون التنفيذية'!$I$2:$I$421,$I586,'الشؤون التنفيذية'!$N$2:$N$421,"&lt;&gt;")+COUNTIFS('الجهاز العسكري'!$B$2:$B$631,$B586,'الجهاز العسكري'!$G$2:$G$631,$G586,'الجهاز العسكري'!$I$2:$I$631,$I586,'الجهاز العسكري'!$M$2:$M$631,"&lt;&gt;")</f>
        <v>3</v>
      </c>
      <c r="N586" s="19">
        <f>IF($L586=0,0,ROUND((SUMIFS('المرتبطة بسمو الوزير'!$M$2:$M$151,'المرتبطة بسمو الوزير'!$B$2:$B$151,$B586,'المرتبطة بسمو الوزير'!$G$2:$G$151,$G586,'المرتبطة بسمو الوزير'!$I$2:$I$151,$I586)+SUMIFS('الشؤون التنفيذية'!$N$2:$N$421,'الشؤون التنفيذية'!$B$2:$B$421,$B586,'الشؤون التنفيذية'!$G$2:$G$421,$G586,'الشؤون التنفيذية'!$I$2:$I$421,$I586)+SUMIFS('الجهاز العسكري'!$M$2:$M$631,'الجهاز العسكري'!$B$2:$B$631,$B586,'الجهاز العسكري'!$G$2:$G$631,$G586,'الجهاز العسكري'!$I$2:$I$631,$I586))/$L586,0))</f>
        <v>47</v>
      </c>
      <c r="O586" s="18"/>
      <c r="P586" s="15">
        <f>SUMIFS(المرجع!$G$2:$G$19,المرجع!$B$2:$B$19,$G586,المرجع!$E$2:$E$19,$I586)</f>
        <v>15</v>
      </c>
      <c r="Q586" s="20">
        <f t="shared" si="10"/>
        <v>7.05</v>
      </c>
      <c r="R586" s="21" t="str">
        <f>IF($N586&gt;المرجع!$K$3,"متقدم",IF($N586&lt;=المرجع!$K$2,"أولي","جزئي"))</f>
        <v>جزئي</v>
      </c>
    </row>
    <row r="587" spans="1:18">
      <c r="A587" s="16" t="s">
        <v>2027</v>
      </c>
      <c r="B587" s="16" t="s">
        <v>216</v>
      </c>
      <c r="C587" s="15" t="str">
        <f>IFERROR(INDEX('قائمة الوحدات'!$B$2:$B$41,MATCH($B587,'قائمة الوحدات'!$A$2:$A$41,0)),"")</f>
        <v>MIL</v>
      </c>
      <c r="D587" s="14" t="str">
        <f>IFERROR(INDEX('قائمة الوحدات'!$C$2:$C$41,MATCH($B587,'قائمة الوحدات'!$A$2:$A$41,0)),"")</f>
        <v>الجهاز العسكري</v>
      </c>
      <c r="E587" s="14" t="str">
        <f>IFERROR(INDEX('قائمة الوحدات'!$D$2:$D$41,MATCH($B587,'قائمة الوحدات'!$A$2:$A$41,0)),"")</f>
        <v>الإدارة العامة للقوى البشرية العسكرية</v>
      </c>
      <c r="F587" s="14" t="str">
        <f>IFERROR(INDEX('قائمة الوحدات'!$F$2:$F$41,MATCH($B587,'قائمة الوحدات'!$A$2:$A$41,0)),"")</f>
        <v>الإدارة العامة للقوى البشرية العسكرية</v>
      </c>
      <c r="G587" s="16" t="s">
        <v>61</v>
      </c>
      <c r="H587" s="14" t="str">
        <f>IFERROR(INDEX(المرجع!$A$2:$A$19,MATCH($G587,المرجع!$B$2:$B$19,0)),"")</f>
        <v>البناء المؤسسي</v>
      </c>
      <c r="I587" s="16" t="s">
        <v>54</v>
      </c>
      <c r="J587" s="14" t="str">
        <f>IFERROR(INDEX(المرجع!$D$2:$D$19,MATCH($I587,المرجع!$E$2:$E$19,0)),"")</f>
        <v>التنظيم</v>
      </c>
      <c r="K587" s="15">
        <f>IFERROR(INDEX(المرجع!$F$2:$F$19,MATCH($I587,المرجع!$E$2:$E$19,0)),"")</f>
        <v>4</v>
      </c>
      <c r="L587" s="15">
        <f>SUMIFS(المرجع!$H$2:$H$19,المرجع!$B$2:$B$19,$G587,المرجع!$E$2:$E$19,$I587)</f>
        <v>3</v>
      </c>
      <c r="M587" s="15">
        <f>COUNTIFS('المرتبطة بسمو الوزير'!$B$2:$B$151,$B587,'المرتبطة بسمو الوزير'!$G$2:$G$151,$G587,'المرتبطة بسمو الوزير'!$I$2:$I$151,$I587,'المرتبطة بسمو الوزير'!$M$2:$M$151,"&lt;&gt;")+COUNTIFS('الشؤون التنفيذية'!$B$2:$B$421,$B587,'الشؤون التنفيذية'!$G$2:$G$421,$G587,'الشؤون التنفيذية'!$I$2:$I$421,$I587,'الشؤون التنفيذية'!$N$2:$N$421,"&lt;&gt;")+COUNTIFS('الجهاز العسكري'!$B$2:$B$631,$B587,'الجهاز العسكري'!$G$2:$G$631,$G587,'الجهاز العسكري'!$I$2:$I$631,$I587,'الجهاز العسكري'!$M$2:$M$631,"&lt;&gt;")</f>
        <v>3</v>
      </c>
      <c r="N587" s="19">
        <f>IF($L587=0,0,ROUND((SUMIFS('المرتبطة بسمو الوزير'!$M$2:$M$151,'المرتبطة بسمو الوزير'!$B$2:$B$151,$B587,'المرتبطة بسمو الوزير'!$G$2:$G$151,$G587,'المرتبطة بسمو الوزير'!$I$2:$I$151,$I587)+SUMIFS('الشؤون التنفيذية'!$N$2:$N$421,'الشؤون التنفيذية'!$B$2:$B$421,$B587,'الشؤون التنفيذية'!$G$2:$G$421,$G587,'الشؤون التنفيذية'!$I$2:$I$421,$I587)+SUMIFS('الجهاز العسكري'!$M$2:$M$631,'الجهاز العسكري'!$B$2:$B$631,$B587,'الجهاز العسكري'!$G$2:$G$631,$G587,'الجهاز العسكري'!$I$2:$I$631,$I587))/$L587,0))</f>
        <v>38</v>
      </c>
      <c r="O587" s="18"/>
      <c r="P587" s="15">
        <f>SUMIFS(المرجع!$G$2:$G$19,المرجع!$B$2:$B$19,$G587,المرجع!$E$2:$E$19,$I587)</f>
        <v>20</v>
      </c>
      <c r="Q587" s="20">
        <f t="shared" si="10"/>
        <v>7.6</v>
      </c>
      <c r="R587" s="21" t="str">
        <f>IF($N587&gt;المرجع!$K$3,"متقدم",IF($N587&lt;=المرجع!$K$2,"أولي","جزئي"))</f>
        <v>جزئي</v>
      </c>
    </row>
    <row r="588" spans="1:18">
      <c r="A588" s="16" t="s">
        <v>2028</v>
      </c>
      <c r="B588" s="16" t="s">
        <v>216</v>
      </c>
      <c r="C588" s="15" t="str">
        <f>IFERROR(INDEX('قائمة الوحدات'!$B$2:$B$41,MATCH($B588,'قائمة الوحدات'!$A$2:$A$41,0)),"")</f>
        <v>MIL</v>
      </c>
      <c r="D588" s="14" t="str">
        <f>IFERROR(INDEX('قائمة الوحدات'!$C$2:$C$41,MATCH($B588,'قائمة الوحدات'!$A$2:$A$41,0)),"")</f>
        <v>الجهاز العسكري</v>
      </c>
      <c r="E588" s="14" t="str">
        <f>IFERROR(INDEX('قائمة الوحدات'!$D$2:$D$41,MATCH($B588,'قائمة الوحدات'!$A$2:$A$41,0)),"")</f>
        <v>الإدارة العامة للقوى البشرية العسكرية</v>
      </c>
      <c r="F588" s="14" t="str">
        <f>IFERROR(INDEX('قائمة الوحدات'!$F$2:$F$41,MATCH($B588,'قائمة الوحدات'!$A$2:$A$41,0)),"")</f>
        <v>الإدارة العامة للقوى البشرية العسكرية</v>
      </c>
      <c r="G588" s="16" t="s">
        <v>61</v>
      </c>
      <c r="H588" s="14" t="str">
        <f>IFERROR(INDEX(المرجع!$A$2:$A$19,MATCH($G588,المرجع!$B$2:$B$19,0)),"")</f>
        <v>البناء المؤسسي</v>
      </c>
      <c r="I588" s="16" t="s">
        <v>56</v>
      </c>
      <c r="J588" s="14" t="str">
        <f>IFERROR(INDEX(المرجع!$D$2:$D$19,MATCH($I588,المرجع!$E$2:$E$19,0)),"")</f>
        <v>الموارد</v>
      </c>
      <c r="K588" s="15">
        <f>IFERROR(INDEX(المرجع!$F$2:$F$19,MATCH($I588,المرجع!$E$2:$E$19,0)),"")</f>
        <v>5</v>
      </c>
      <c r="L588" s="15">
        <f>SUMIFS(المرجع!$H$2:$H$19,المرجع!$B$2:$B$19,$G588,المرجع!$E$2:$E$19,$I588)</f>
        <v>4</v>
      </c>
      <c r="M588" s="15">
        <f>COUNTIFS('المرتبطة بسمو الوزير'!$B$2:$B$151,$B588,'المرتبطة بسمو الوزير'!$G$2:$G$151,$G588,'المرتبطة بسمو الوزير'!$I$2:$I$151,$I588,'المرتبطة بسمو الوزير'!$M$2:$M$151,"&lt;&gt;")+COUNTIFS('الشؤون التنفيذية'!$B$2:$B$421,$B588,'الشؤون التنفيذية'!$G$2:$G$421,$G588,'الشؤون التنفيذية'!$I$2:$I$421,$I588,'الشؤون التنفيذية'!$N$2:$N$421,"&lt;&gt;")+COUNTIFS('الجهاز العسكري'!$B$2:$B$631,$B588,'الجهاز العسكري'!$G$2:$G$631,$G588,'الجهاز العسكري'!$I$2:$I$631,$I588,'الجهاز العسكري'!$M$2:$M$631,"&lt;&gt;")</f>
        <v>4</v>
      </c>
      <c r="N588" s="19">
        <f>IF($L588=0,0,ROUND((SUMIFS('المرتبطة بسمو الوزير'!$M$2:$M$151,'المرتبطة بسمو الوزير'!$B$2:$B$151,$B588,'المرتبطة بسمو الوزير'!$G$2:$G$151,$G588,'المرتبطة بسمو الوزير'!$I$2:$I$151,$I588)+SUMIFS('الشؤون التنفيذية'!$N$2:$N$421,'الشؤون التنفيذية'!$B$2:$B$421,$B588,'الشؤون التنفيذية'!$G$2:$G$421,$G588,'الشؤون التنفيذية'!$I$2:$I$421,$I588)+SUMIFS('الجهاز العسكري'!$M$2:$M$631,'الجهاز العسكري'!$B$2:$B$631,$B588,'الجهاز العسكري'!$G$2:$G$631,$G588,'الجهاز العسكري'!$I$2:$I$631,$I588))/$L588,0))</f>
        <v>74</v>
      </c>
      <c r="O588" s="18"/>
      <c r="P588" s="15">
        <f>SUMIFS(المرجع!$G$2:$G$19,المرجع!$B$2:$B$19,$G588,المرجع!$E$2:$E$19,$I588)</f>
        <v>25</v>
      </c>
      <c r="Q588" s="20">
        <f t="shared" si="10"/>
        <v>18.5</v>
      </c>
      <c r="R588" s="21" t="str">
        <f>IF($N588&gt;المرجع!$K$3,"متقدم",IF($N588&lt;=المرجع!$K$2,"أولي","جزئي"))</f>
        <v>متقدم</v>
      </c>
    </row>
    <row r="589" spans="1:18">
      <c r="A589" s="16" t="s">
        <v>2029</v>
      </c>
      <c r="B589" s="16" t="s">
        <v>216</v>
      </c>
      <c r="C589" s="15" t="str">
        <f>IFERROR(INDEX('قائمة الوحدات'!$B$2:$B$41,MATCH($B589,'قائمة الوحدات'!$A$2:$A$41,0)),"")</f>
        <v>MIL</v>
      </c>
      <c r="D589" s="14" t="str">
        <f>IFERROR(INDEX('قائمة الوحدات'!$C$2:$C$41,MATCH($B589,'قائمة الوحدات'!$A$2:$A$41,0)),"")</f>
        <v>الجهاز العسكري</v>
      </c>
      <c r="E589" s="14" t="str">
        <f>IFERROR(INDEX('قائمة الوحدات'!$D$2:$D$41,MATCH($B589,'قائمة الوحدات'!$A$2:$A$41,0)),"")</f>
        <v>الإدارة العامة للقوى البشرية العسكرية</v>
      </c>
      <c r="F589" s="14" t="str">
        <f>IFERROR(INDEX('قائمة الوحدات'!$F$2:$F$41,MATCH($B589,'قائمة الوحدات'!$A$2:$A$41,0)),"")</f>
        <v>الإدارة العامة للقوى البشرية العسكرية</v>
      </c>
      <c r="G589" s="16" t="s">
        <v>61</v>
      </c>
      <c r="H589" s="14" t="str">
        <f>IFERROR(INDEX(المرجع!$A$2:$A$19,MATCH($G589,المرجع!$B$2:$B$19,0)),"")</f>
        <v>البناء المؤسسي</v>
      </c>
      <c r="I589" s="16" t="s">
        <v>59</v>
      </c>
      <c r="J589" s="14" t="str">
        <f>IFERROR(INDEX(المرجع!$D$2:$D$19,MATCH($I589,المرجع!$E$2:$E$19,0)),"")</f>
        <v>الإجراءات</v>
      </c>
      <c r="K589" s="15">
        <f>IFERROR(INDEX(المرجع!$F$2:$F$19,MATCH($I589,المرجع!$E$2:$E$19,0)),"")</f>
        <v>6</v>
      </c>
      <c r="L589" s="15">
        <f>SUMIFS(المرجع!$H$2:$H$19,المرجع!$B$2:$B$19,$G589,المرجع!$E$2:$E$19,$I589)</f>
        <v>1</v>
      </c>
      <c r="M589" s="15">
        <f>COUNTIFS('المرتبطة بسمو الوزير'!$B$2:$B$151,$B589,'المرتبطة بسمو الوزير'!$G$2:$G$151,$G589,'المرتبطة بسمو الوزير'!$I$2:$I$151,$I589,'المرتبطة بسمو الوزير'!$M$2:$M$151,"&lt;&gt;")+COUNTIFS('الشؤون التنفيذية'!$B$2:$B$421,$B589,'الشؤون التنفيذية'!$G$2:$G$421,$G589,'الشؤون التنفيذية'!$I$2:$I$421,$I589,'الشؤون التنفيذية'!$N$2:$N$421,"&lt;&gt;")+COUNTIFS('الجهاز العسكري'!$B$2:$B$631,$B589,'الجهاز العسكري'!$G$2:$G$631,$G589,'الجهاز العسكري'!$I$2:$I$631,$I589,'الجهاز العسكري'!$M$2:$M$631,"&lt;&gt;")</f>
        <v>1</v>
      </c>
      <c r="N589" s="19">
        <f>IF($L589=0,0,ROUND((SUMIFS('المرتبطة بسمو الوزير'!$M$2:$M$151,'المرتبطة بسمو الوزير'!$B$2:$B$151,$B589,'المرتبطة بسمو الوزير'!$G$2:$G$151,$G589,'المرتبطة بسمو الوزير'!$I$2:$I$151,$I589)+SUMIFS('الشؤون التنفيذية'!$N$2:$N$421,'الشؤون التنفيذية'!$B$2:$B$421,$B589,'الشؤون التنفيذية'!$G$2:$G$421,$G589,'الشؤون التنفيذية'!$I$2:$I$421,$I589)+SUMIFS('الجهاز العسكري'!$M$2:$M$631,'الجهاز العسكري'!$B$2:$B$631,$B589,'الجهاز العسكري'!$G$2:$G$631,$G589,'الجهاز العسكري'!$I$2:$I$631,$I589))/$L589,0))</f>
        <v>87</v>
      </c>
      <c r="O589" s="18"/>
      <c r="P589" s="15">
        <f>SUMIFS(المرجع!$G$2:$G$19,المرجع!$B$2:$B$19,$G589,المرجع!$E$2:$E$19,$I589)</f>
        <v>5</v>
      </c>
      <c r="Q589" s="20">
        <f t="shared" si="10"/>
        <v>4.3499999999999996</v>
      </c>
      <c r="R589" s="21" t="str">
        <f>IF($N589&gt;المرجع!$K$3,"متقدم",IF($N589&lt;=المرجع!$K$2,"أولي","جزئي"))</f>
        <v>متقدم</v>
      </c>
    </row>
    <row r="590" spans="1:18">
      <c r="A590" s="16" t="s">
        <v>2030</v>
      </c>
      <c r="B590" s="16" t="s">
        <v>216</v>
      </c>
      <c r="C590" s="15" t="str">
        <f>IFERROR(INDEX('قائمة الوحدات'!$B$2:$B$41,MATCH($B590,'قائمة الوحدات'!$A$2:$A$41,0)),"")</f>
        <v>MIL</v>
      </c>
      <c r="D590" s="14" t="str">
        <f>IFERROR(INDEX('قائمة الوحدات'!$C$2:$C$41,MATCH($B590,'قائمة الوحدات'!$A$2:$A$41,0)),"")</f>
        <v>الجهاز العسكري</v>
      </c>
      <c r="E590" s="14" t="str">
        <f>IFERROR(INDEX('قائمة الوحدات'!$D$2:$D$41,MATCH($B590,'قائمة الوحدات'!$A$2:$A$41,0)),"")</f>
        <v>الإدارة العامة للقوى البشرية العسكرية</v>
      </c>
      <c r="F590" s="14" t="str">
        <f>IFERROR(INDEX('قائمة الوحدات'!$F$2:$F$41,MATCH($B590,'قائمة الوحدات'!$A$2:$A$41,0)),"")</f>
        <v>الإدارة العامة للقوى البشرية العسكرية</v>
      </c>
      <c r="G590" s="16" t="s">
        <v>61</v>
      </c>
      <c r="H590" s="14" t="str">
        <f>IFERROR(INDEX(المرجع!$A$2:$A$19,MATCH($G590,المرجع!$B$2:$B$19,0)),"")</f>
        <v>البناء المؤسسي</v>
      </c>
      <c r="I590" s="16" t="s">
        <v>63</v>
      </c>
      <c r="J590" s="14" t="str">
        <f>IFERROR(INDEX(المرجع!$D$2:$D$19,MATCH($I590,المرجع!$E$2:$E$19,0)),"")</f>
        <v>إنتاج المخرج الأول</v>
      </c>
      <c r="K590" s="15">
        <f>IFERROR(INDEX(المرجع!$F$2:$F$19,MATCH($I590,المرجع!$E$2:$E$19,0)),"")</f>
        <v>7</v>
      </c>
      <c r="L590" s="15">
        <f>SUMIFS(المرجع!$H$2:$H$19,المرجع!$B$2:$B$19,$G590,المرجع!$E$2:$E$19,$I590)</f>
        <v>1</v>
      </c>
      <c r="M590" s="15">
        <f>COUNTIFS('المرتبطة بسمو الوزير'!$B$2:$B$151,$B590,'المرتبطة بسمو الوزير'!$G$2:$G$151,$G590,'المرتبطة بسمو الوزير'!$I$2:$I$151,$I590,'المرتبطة بسمو الوزير'!$M$2:$M$151,"&lt;&gt;")+COUNTIFS('الشؤون التنفيذية'!$B$2:$B$421,$B590,'الشؤون التنفيذية'!$G$2:$G$421,$G590,'الشؤون التنفيذية'!$I$2:$I$421,$I590,'الشؤون التنفيذية'!$N$2:$N$421,"&lt;&gt;")+COUNTIFS('الجهاز العسكري'!$B$2:$B$631,$B590,'الجهاز العسكري'!$G$2:$G$631,$G590,'الجهاز العسكري'!$I$2:$I$631,$I590,'الجهاز العسكري'!$M$2:$M$631,"&lt;&gt;")</f>
        <v>1</v>
      </c>
      <c r="N590" s="19">
        <f>IF($L590=0,0,ROUND((SUMIFS('المرتبطة بسمو الوزير'!$M$2:$M$151,'المرتبطة بسمو الوزير'!$B$2:$B$151,$B590,'المرتبطة بسمو الوزير'!$G$2:$G$151,$G590,'المرتبطة بسمو الوزير'!$I$2:$I$151,$I590)+SUMIFS('الشؤون التنفيذية'!$N$2:$N$421,'الشؤون التنفيذية'!$B$2:$B$421,$B590,'الشؤون التنفيذية'!$G$2:$G$421,$G590,'الشؤون التنفيذية'!$I$2:$I$421,$I590)+SUMIFS('الجهاز العسكري'!$M$2:$M$631,'الجهاز العسكري'!$B$2:$B$631,$B590,'الجهاز العسكري'!$G$2:$G$631,$G590,'الجهاز العسكري'!$I$2:$I$631,$I590))/$L590,0))</f>
        <v>51</v>
      </c>
      <c r="O590" s="18"/>
      <c r="P590" s="15">
        <f>SUMIFS(المرجع!$G$2:$G$19,المرجع!$B$2:$B$19,$G590,المرجع!$E$2:$E$19,$I590)</f>
        <v>5</v>
      </c>
      <c r="Q590" s="20">
        <f t="shared" si="10"/>
        <v>2.5499999999999998</v>
      </c>
      <c r="R590" s="21" t="str">
        <f>IF($N590&gt;المرجع!$K$3,"متقدم",IF($N590&lt;=المرجع!$K$2,"أولي","جزئي"))</f>
        <v>جزئي</v>
      </c>
    </row>
    <row r="591" spans="1:18">
      <c r="A591" s="16" t="s">
        <v>2031</v>
      </c>
      <c r="B591" s="16" t="s">
        <v>216</v>
      </c>
      <c r="C591" s="15" t="str">
        <f>IFERROR(INDEX('قائمة الوحدات'!$B$2:$B$41,MATCH($B591,'قائمة الوحدات'!$A$2:$A$41,0)),"")</f>
        <v>MIL</v>
      </c>
      <c r="D591" s="14" t="str">
        <f>IFERROR(INDEX('قائمة الوحدات'!$C$2:$C$41,MATCH($B591,'قائمة الوحدات'!$A$2:$A$41,0)),"")</f>
        <v>الجهاز العسكري</v>
      </c>
      <c r="E591" s="14" t="str">
        <f>IFERROR(INDEX('قائمة الوحدات'!$D$2:$D$41,MATCH($B591,'قائمة الوحدات'!$A$2:$A$41,0)),"")</f>
        <v>الإدارة العامة للقوى البشرية العسكرية</v>
      </c>
      <c r="F591" s="14" t="str">
        <f>IFERROR(INDEX('قائمة الوحدات'!$F$2:$F$41,MATCH($B591,'قائمة الوحدات'!$A$2:$A$41,0)),"")</f>
        <v>الإدارة العامة للقوى البشرية العسكرية</v>
      </c>
      <c r="G591" s="16" t="s">
        <v>65</v>
      </c>
      <c r="H591" s="14" t="str">
        <f>IFERROR(INDEX(المرجع!$A$2:$A$19,MATCH($G591,المرجع!$B$2:$B$19,0)),"")</f>
        <v>التشغيل</v>
      </c>
      <c r="I591" s="16" t="s">
        <v>48</v>
      </c>
      <c r="J591" s="14" t="str">
        <f>IFERROR(INDEX(المرجع!$D$2:$D$19,MATCH($I591,المرجع!$E$2:$E$19,0)),"")</f>
        <v>الأهداف ومؤشرات الأداء</v>
      </c>
      <c r="K591" s="15">
        <f>IFERROR(INDEX(المرجع!$F$2:$F$19,MATCH($I591,المرجع!$E$2:$E$19,0)),"")</f>
        <v>2</v>
      </c>
      <c r="L591" s="15">
        <f>SUMIFS(المرجع!$H$2:$H$19,المرجع!$B$2:$B$19,$G591,المرجع!$E$2:$E$19,$I591)</f>
        <v>2</v>
      </c>
      <c r="M591" s="15">
        <f>COUNTIFS('المرتبطة بسمو الوزير'!$B$2:$B$151,$B591,'المرتبطة بسمو الوزير'!$G$2:$G$151,$G591,'المرتبطة بسمو الوزير'!$I$2:$I$151,$I591,'المرتبطة بسمو الوزير'!$M$2:$M$151,"&lt;&gt;")+COUNTIFS('الشؤون التنفيذية'!$B$2:$B$421,$B591,'الشؤون التنفيذية'!$G$2:$G$421,$G591,'الشؤون التنفيذية'!$I$2:$I$421,$I591,'الشؤون التنفيذية'!$N$2:$N$421,"&lt;&gt;")+COUNTIFS('الجهاز العسكري'!$B$2:$B$631,$B591,'الجهاز العسكري'!$G$2:$G$631,$G591,'الجهاز العسكري'!$I$2:$I$631,$I591,'الجهاز العسكري'!$M$2:$M$631,"&lt;&gt;")</f>
        <v>2</v>
      </c>
      <c r="N591" s="19">
        <f>IF($L591=0,0,ROUND((SUMIFS('المرتبطة بسمو الوزير'!$M$2:$M$151,'المرتبطة بسمو الوزير'!$B$2:$B$151,$B591,'المرتبطة بسمو الوزير'!$G$2:$G$151,$G591,'المرتبطة بسمو الوزير'!$I$2:$I$151,$I591)+SUMIFS('الشؤون التنفيذية'!$N$2:$N$421,'الشؤون التنفيذية'!$B$2:$B$421,$B591,'الشؤون التنفيذية'!$G$2:$G$421,$G591,'الشؤون التنفيذية'!$I$2:$I$421,$I591)+SUMIFS('الجهاز العسكري'!$M$2:$M$631,'الجهاز العسكري'!$B$2:$B$631,$B591,'الجهاز العسكري'!$G$2:$G$631,$G591,'الجهاز العسكري'!$I$2:$I$631,$I591))/$L591,0))</f>
        <v>65</v>
      </c>
      <c r="O591" s="18"/>
      <c r="P591" s="15">
        <f>SUMIFS(المرجع!$G$2:$G$19,المرجع!$B$2:$B$19,$G591,المرجع!$E$2:$E$19,$I591)</f>
        <v>25</v>
      </c>
      <c r="Q591" s="20">
        <f t="shared" si="10"/>
        <v>16.25</v>
      </c>
      <c r="R591" s="21" t="str">
        <f>IF($N591&gt;المرجع!$K$3,"متقدم",IF($N591&lt;=المرجع!$K$2,"أولي","جزئي"))</f>
        <v>جزئي</v>
      </c>
    </row>
    <row r="592" spans="1:18">
      <c r="A592" s="16" t="s">
        <v>2032</v>
      </c>
      <c r="B592" s="16" t="s">
        <v>216</v>
      </c>
      <c r="C592" s="15" t="str">
        <f>IFERROR(INDEX('قائمة الوحدات'!$B$2:$B$41,MATCH($B592,'قائمة الوحدات'!$A$2:$A$41,0)),"")</f>
        <v>MIL</v>
      </c>
      <c r="D592" s="14" t="str">
        <f>IFERROR(INDEX('قائمة الوحدات'!$C$2:$C$41,MATCH($B592,'قائمة الوحدات'!$A$2:$A$41,0)),"")</f>
        <v>الجهاز العسكري</v>
      </c>
      <c r="E592" s="14" t="str">
        <f>IFERROR(INDEX('قائمة الوحدات'!$D$2:$D$41,MATCH($B592,'قائمة الوحدات'!$A$2:$A$41,0)),"")</f>
        <v>الإدارة العامة للقوى البشرية العسكرية</v>
      </c>
      <c r="F592" s="14" t="str">
        <f>IFERROR(INDEX('قائمة الوحدات'!$F$2:$F$41,MATCH($B592,'قائمة الوحدات'!$A$2:$A$41,0)),"")</f>
        <v>الإدارة العامة للقوى البشرية العسكرية</v>
      </c>
      <c r="G592" s="16" t="s">
        <v>65</v>
      </c>
      <c r="H592" s="14" t="str">
        <f>IFERROR(INDEX(المرجع!$A$2:$A$19,MATCH($G592,المرجع!$B$2:$B$19,0)),"")</f>
        <v>التشغيل</v>
      </c>
      <c r="I592" s="16" t="s">
        <v>51</v>
      </c>
      <c r="J592" s="14" t="str">
        <f>IFERROR(INDEX(المرجع!$D$2:$D$19,MATCH($I592,المرجع!$E$2:$E$19,0)),"")</f>
        <v>الحوكمة</v>
      </c>
      <c r="K592" s="15">
        <f>IFERROR(INDEX(المرجع!$F$2:$F$19,MATCH($I592,المرجع!$E$2:$E$19,0)),"")</f>
        <v>3</v>
      </c>
      <c r="L592" s="15">
        <f>SUMIFS(المرجع!$H$2:$H$19,المرجع!$B$2:$B$19,$G592,المرجع!$E$2:$E$19,$I592)</f>
        <v>3</v>
      </c>
      <c r="M592" s="15">
        <f>COUNTIFS('المرتبطة بسمو الوزير'!$B$2:$B$151,$B592,'المرتبطة بسمو الوزير'!$G$2:$G$151,$G592,'المرتبطة بسمو الوزير'!$I$2:$I$151,$I592,'المرتبطة بسمو الوزير'!$M$2:$M$151,"&lt;&gt;")+COUNTIFS('الشؤون التنفيذية'!$B$2:$B$421,$B592,'الشؤون التنفيذية'!$G$2:$G$421,$G592,'الشؤون التنفيذية'!$I$2:$I$421,$I592,'الشؤون التنفيذية'!$N$2:$N$421,"&lt;&gt;")+COUNTIFS('الجهاز العسكري'!$B$2:$B$631,$B592,'الجهاز العسكري'!$G$2:$G$631,$G592,'الجهاز العسكري'!$I$2:$I$631,$I592,'الجهاز العسكري'!$M$2:$M$631,"&lt;&gt;")</f>
        <v>3</v>
      </c>
      <c r="N592" s="19">
        <f>IF($L592=0,0,ROUND((SUMIFS('المرتبطة بسمو الوزير'!$M$2:$M$151,'المرتبطة بسمو الوزير'!$B$2:$B$151,$B592,'المرتبطة بسمو الوزير'!$G$2:$G$151,$G592,'المرتبطة بسمو الوزير'!$I$2:$I$151,$I592)+SUMIFS('الشؤون التنفيذية'!$N$2:$N$421,'الشؤون التنفيذية'!$B$2:$B$421,$B592,'الشؤون التنفيذية'!$G$2:$G$421,$G592,'الشؤون التنفيذية'!$I$2:$I$421,$I592)+SUMIFS('الجهاز العسكري'!$M$2:$M$631,'الجهاز العسكري'!$B$2:$B$631,$B592,'الجهاز العسكري'!$G$2:$G$631,$G592,'الجهاز العسكري'!$I$2:$I$631,$I592))/$L592,0))</f>
        <v>55</v>
      </c>
      <c r="O592" s="18"/>
      <c r="P592" s="15">
        <f>SUMIFS(المرجع!$G$2:$G$19,المرجع!$B$2:$B$19,$G592,المرجع!$E$2:$E$19,$I592)</f>
        <v>15</v>
      </c>
      <c r="Q592" s="20">
        <f t="shared" si="10"/>
        <v>8.25</v>
      </c>
      <c r="R592" s="21" t="str">
        <f>IF($N592&gt;المرجع!$K$3,"متقدم",IF($N592&lt;=المرجع!$K$2,"أولي","جزئي"))</f>
        <v>جزئي</v>
      </c>
    </row>
    <row r="593" spans="1:18">
      <c r="A593" s="16" t="s">
        <v>2033</v>
      </c>
      <c r="B593" s="16" t="s">
        <v>216</v>
      </c>
      <c r="C593" s="15" t="str">
        <f>IFERROR(INDEX('قائمة الوحدات'!$B$2:$B$41,MATCH($B593,'قائمة الوحدات'!$A$2:$A$41,0)),"")</f>
        <v>MIL</v>
      </c>
      <c r="D593" s="14" t="str">
        <f>IFERROR(INDEX('قائمة الوحدات'!$C$2:$C$41,MATCH($B593,'قائمة الوحدات'!$A$2:$A$41,0)),"")</f>
        <v>الجهاز العسكري</v>
      </c>
      <c r="E593" s="14" t="str">
        <f>IFERROR(INDEX('قائمة الوحدات'!$D$2:$D$41,MATCH($B593,'قائمة الوحدات'!$A$2:$A$41,0)),"")</f>
        <v>الإدارة العامة للقوى البشرية العسكرية</v>
      </c>
      <c r="F593" s="14" t="str">
        <f>IFERROR(INDEX('قائمة الوحدات'!$F$2:$F$41,MATCH($B593,'قائمة الوحدات'!$A$2:$A$41,0)),"")</f>
        <v>الإدارة العامة للقوى البشرية العسكرية</v>
      </c>
      <c r="G593" s="16" t="s">
        <v>65</v>
      </c>
      <c r="H593" s="14" t="str">
        <f>IFERROR(INDEX(المرجع!$A$2:$A$19,MATCH($G593,المرجع!$B$2:$B$19,0)),"")</f>
        <v>التشغيل</v>
      </c>
      <c r="I593" s="16" t="s">
        <v>56</v>
      </c>
      <c r="J593" s="14" t="str">
        <f>IFERROR(INDEX(المرجع!$D$2:$D$19,MATCH($I593,المرجع!$E$2:$E$19,0)),"")</f>
        <v>الموارد</v>
      </c>
      <c r="K593" s="15">
        <f>IFERROR(INDEX(المرجع!$F$2:$F$19,MATCH($I593,المرجع!$E$2:$E$19,0)),"")</f>
        <v>5</v>
      </c>
      <c r="L593" s="15">
        <f>SUMIFS(المرجع!$H$2:$H$19,المرجع!$B$2:$B$19,$G593,المرجع!$E$2:$E$19,$I593)</f>
        <v>1</v>
      </c>
      <c r="M593" s="15">
        <f>COUNTIFS('المرتبطة بسمو الوزير'!$B$2:$B$151,$B593,'المرتبطة بسمو الوزير'!$G$2:$G$151,$G593,'المرتبطة بسمو الوزير'!$I$2:$I$151,$I593,'المرتبطة بسمو الوزير'!$M$2:$M$151,"&lt;&gt;")+COUNTIFS('الشؤون التنفيذية'!$B$2:$B$421,$B593,'الشؤون التنفيذية'!$G$2:$G$421,$G593,'الشؤون التنفيذية'!$I$2:$I$421,$I593,'الشؤون التنفيذية'!$N$2:$N$421,"&lt;&gt;")+COUNTIFS('الجهاز العسكري'!$B$2:$B$631,$B593,'الجهاز العسكري'!$G$2:$G$631,$G593,'الجهاز العسكري'!$I$2:$I$631,$I593,'الجهاز العسكري'!$M$2:$M$631,"&lt;&gt;")</f>
        <v>1</v>
      </c>
      <c r="N593" s="19">
        <f>IF($L593=0,0,ROUND((SUMIFS('المرتبطة بسمو الوزير'!$M$2:$M$151,'المرتبطة بسمو الوزير'!$B$2:$B$151,$B593,'المرتبطة بسمو الوزير'!$G$2:$G$151,$G593,'المرتبطة بسمو الوزير'!$I$2:$I$151,$I593)+SUMIFS('الشؤون التنفيذية'!$N$2:$N$421,'الشؤون التنفيذية'!$B$2:$B$421,$B593,'الشؤون التنفيذية'!$G$2:$G$421,$G593,'الشؤون التنفيذية'!$I$2:$I$421,$I593)+SUMIFS('الجهاز العسكري'!$M$2:$M$631,'الجهاز العسكري'!$B$2:$B$631,$B593,'الجهاز العسكري'!$G$2:$G$631,$G593,'الجهاز العسكري'!$I$2:$I$631,$I593))/$L593,0))</f>
        <v>27</v>
      </c>
      <c r="O593" s="18"/>
      <c r="P593" s="15">
        <f>SUMIFS(المرجع!$G$2:$G$19,المرجع!$B$2:$B$19,$G593,المرجع!$E$2:$E$19,$I593)</f>
        <v>15</v>
      </c>
      <c r="Q593" s="20">
        <f t="shared" si="10"/>
        <v>4.05</v>
      </c>
      <c r="R593" s="21" t="str">
        <f>IF($N593&gt;المرجع!$K$3,"متقدم",IF($N593&lt;=المرجع!$K$2,"أولي","جزئي"))</f>
        <v>أولي</v>
      </c>
    </row>
    <row r="594" spans="1:18">
      <c r="A594" s="16" t="s">
        <v>2034</v>
      </c>
      <c r="B594" s="16" t="s">
        <v>216</v>
      </c>
      <c r="C594" s="15" t="str">
        <f>IFERROR(INDEX('قائمة الوحدات'!$B$2:$B$41,MATCH($B594,'قائمة الوحدات'!$A$2:$A$41,0)),"")</f>
        <v>MIL</v>
      </c>
      <c r="D594" s="14" t="str">
        <f>IFERROR(INDEX('قائمة الوحدات'!$C$2:$C$41,MATCH($B594,'قائمة الوحدات'!$A$2:$A$41,0)),"")</f>
        <v>الجهاز العسكري</v>
      </c>
      <c r="E594" s="14" t="str">
        <f>IFERROR(INDEX('قائمة الوحدات'!$D$2:$D$41,MATCH($B594,'قائمة الوحدات'!$A$2:$A$41,0)),"")</f>
        <v>الإدارة العامة للقوى البشرية العسكرية</v>
      </c>
      <c r="F594" s="14" t="str">
        <f>IFERROR(INDEX('قائمة الوحدات'!$F$2:$F$41,MATCH($B594,'قائمة الوحدات'!$A$2:$A$41,0)),"")</f>
        <v>الإدارة العامة للقوى البشرية العسكرية</v>
      </c>
      <c r="G594" s="16" t="s">
        <v>65</v>
      </c>
      <c r="H594" s="14" t="str">
        <f>IFERROR(INDEX(المرجع!$A$2:$A$19,MATCH($G594,المرجع!$B$2:$B$19,0)),"")</f>
        <v>التشغيل</v>
      </c>
      <c r="I594" s="16" t="s">
        <v>59</v>
      </c>
      <c r="J594" s="14" t="str">
        <f>IFERROR(INDEX(المرجع!$D$2:$D$19,MATCH($I594,المرجع!$E$2:$E$19,0)),"")</f>
        <v>الإجراءات</v>
      </c>
      <c r="K594" s="15">
        <f>IFERROR(INDEX(المرجع!$F$2:$F$19,MATCH($I594,المرجع!$E$2:$E$19,0)),"")</f>
        <v>6</v>
      </c>
      <c r="L594" s="15">
        <f>SUMIFS(المرجع!$H$2:$H$19,المرجع!$B$2:$B$19,$G594,المرجع!$E$2:$E$19,$I594)</f>
        <v>1</v>
      </c>
      <c r="M594" s="15">
        <f>COUNTIFS('المرتبطة بسمو الوزير'!$B$2:$B$151,$B594,'المرتبطة بسمو الوزير'!$G$2:$G$151,$G594,'المرتبطة بسمو الوزير'!$I$2:$I$151,$I594,'المرتبطة بسمو الوزير'!$M$2:$M$151,"&lt;&gt;")+COUNTIFS('الشؤون التنفيذية'!$B$2:$B$421,$B594,'الشؤون التنفيذية'!$G$2:$G$421,$G594,'الشؤون التنفيذية'!$I$2:$I$421,$I594,'الشؤون التنفيذية'!$N$2:$N$421,"&lt;&gt;")+COUNTIFS('الجهاز العسكري'!$B$2:$B$631,$B594,'الجهاز العسكري'!$G$2:$G$631,$G594,'الجهاز العسكري'!$I$2:$I$631,$I594,'الجهاز العسكري'!$M$2:$M$631,"&lt;&gt;")</f>
        <v>1</v>
      </c>
      <c r="N594" s="19">
        <f>IF($L594=0,0,ROUND((SUMIFS('المرتبطة بسمو الوزير'!$M$2:$M$151,'المرتبطة بسمو الوزير'!$B$2:$B$151,$B594,'المرتبطة بسمو الوزير'!$G$2:$G$151,$G594,'المرتبطة بسمو الوزير'!$I$2:$I$151,$I594)+SUMIFS('الشؤون التنفيذية'!$N$2:$N$421,'الشؤون التنفيذية'!$B$2:$B$421,$B594,'الشؤون التنفيذية'!$G$2:$G$421,$G594,'الشؤون التنفيذية'!$I$2:$I$421,$I594)+SUMIFS('الجهاز العسكري'!$M$2:$M$631,'الجهاز العسكري'!$B$2:$B$631,$B594,'الجهاز العسكري'!$G$2:$G$631,$G594,'الجهاز العسكري'!$I$2:$I$631,$I594))/$L594,0))</f>
        <v>32</v>
      </c>
      <c r="O594" s="18"/>
      <c r="P594" s="15">
        <f>SUMIFS(المرجع!$G$2:$G$19,المرجع!$B$2:$B$19,$G594,المرجع!$E$2:$E$19,$I594)</f>
        <v>15</v>
      </c>
      <c r="Q594" s="20">
        <f t="shared" si="10"/>
        <v>4.8</v>
      </c>
      <c r="R594" s="21" t="str">
        <f>IF($N594&gt;المرجع!$K$3,"متقدم",IF($N594&lt;=المرجع!$K$2,"أولي","جزئي"))</f>
        <v>جزئي</v>
      </c>
    </row>
    <row r="595" spans="1:18">
      <c r="A595" s="16" t="s">
        <v>2035</v>
      </c>
      <c r="B595" s="16" t="s">
        <v>216</v>
      </c>
      <c r="C595" s="15" t="str">
        <f>IFERROR(INDEX('قائمة الوحدات'!$B$2:$B$41,MATCH($B595,'قائمة الوحدات'!$A$2:$A$41,0)),"")</f>
        <v>MIL</v>
      </c>
      <c r="D595" s="14" t="str">
        <f>IFERROR(INDEX('قائمة الوحدات'!$C$2:$C$41,MATCH($B595,'قائمة الوحدات'!$A$2:$A$41,0)),"")</f>
        <v>الجهاز العسكري</v>
      </c>
      <c r="E595" s="14" t="str">
        <f>IFERROR(INDEX('قائمة الوحدات'!$D$2:$D$41,MATCH($B595,'قائمة الوحدات'!$A$2:$A$41,0)),"")</f>
        <v>الإدارة العامة للقوى البشرية العسكرية</v>
      </c>
      <c r="F595" s="14" t="str">
        <f>IFERROR(INDEX('قائمة الوحدات'!$F$2:$F$41,MATCH($B595,'قائمة الوحدات'!$A$2:$A$41,0)),"")</f>
        <v>الإدارة العامة للقوى البشرية العسكرية</v>
      </c>
      <c r="G595" s="16" t="s">
        <v>65</v>
      </c>
      <c r="H595" s="14" t="str">
        <f>IFERROR(INDEX(المرجع!$A$2:$A$19,MATCH($G595,المرجع!$B$2:$B$19,0)),"")</f>
        <v>التشغيل</v>
      </c>
      <c r="I595" s="16" t="s">
        <v>67</v>
      </c>
      <c r="J595" s="14" t="str">
        <f>IFERROR(INDEX(المرجع!$D$2:$D$19,MATCH($I595,المرجع!$E$2:$E$19,0)),"")</f>
        <v>اكتمال المخرجات المستهدفة</v>
      </c>
      <c r="K595" s="15">
        <f>IFERROR(INDEX(المرجع!$F$2:$F$19,MATCH($I595,المرجع!$E$2:$E$19,0)),"")</f>
        <v>8</v>
      </c>
      <c r="L595" s="15">
        <f>SUMIFS(المرجع!$H$2:$H$19,المرجع!$B$2:$B$19,$G595,المرجع!$E$2:$E$19,$I595)</f>
        <v>1</v>
      </c>
      <c r="M595" s="15">
        <f>COUNTIFS('المرتبطة بسمو الوزير'!$B$2:$B$151,$B595,'المرتبطة بسمو الوزير'!$G$2:$G$151,$G595,'المرتبطة بسمو الوزير'!$I$2:$I$151,$I595,'المرتبطة بسمو الوزير'!$M$2:$M$151,"&lt;&gt;")+COUNTIFS('الشؤون التنفيذية'!$B$2:$B$421,$B595,'الشؤون التنفيذية'!$G$2:$G$421,$G595,'الشؤون التنفيذية'!$I$2:$I$421,$I595,'الشؤون التنفيذية'!$N$2:$N$421,"&lt;&gt;")+COUNTIFS('الجهاز العسكري'!$B$2:$B$631,$B595,'الجهاز العسكري'!$G$2:$G$631,$G595,'الجهاز العسكري'!$I$2:$I$631,$I595,'الجهاز العسكري'!$M$2:$M$631,"&lt;&gt;")</f>
        <v>1</v>
      </c>
      <c r="N595" s="19">
        <f>IF($L595=0,0,ROUND((SUMIFS('المرتبطة بسمو الوزير'!$M$2:$M$151,'المرتبطة بسمو الوزير'!$B$2:$B$151,$B595,'المرتبطة بسمو الوزير'!$G$2:$G$151,$G595,'المرتبطة بسمو الوزير'!$I$2:$I$151,$I595)+SUMIFS('الشؤون التنفيذية'!$N$2:$N$421,'الشؤون التنفيذية'!$B$2:$B$421,$B595,'الشؤون التنفيذية'!$G$2:$G$421,$G595,'الشؤون التنفيذية'!$I$2:$I$421,$I595)+SUMIFS('الجهاز العسكري'!$M$2:$M$631,'الجهاز العسكري'!$B$2:$B$631,$B595,'الجهاز العسكري'!$G$2:$G$631,$G595,'الجهاز العسكري'!$I$2:$I$631,$I595))/$L595,0))</f>
        <v>53</v>
      </c>
      <c r="O595" s="18"/>
      <c r="P595" s="15">
        <f>SUMIFS(المرجع!$G$2:$G$19,المرجع!$B$2:$B$19,$G595,المرجع!$E$2:$E$19,$I595)</f>
        <v>30</v>
      </c>
      <c r="Q595" s="20">
        <f t="shared" si="10"/>
        <v>15.9</v>
      </c>
      <c r="R595" s="21" t="str">
        <f>IF($N595&gt;المرجع!$K$3,"متقدم",IF($N595&lt;=المرجع!$K$2,"أولي","جزئي"))</f>
        <v>جزئي</v>
      </c>
    </row>
    <row r="596" spans="1:18">
      <c r="A596" s="16" t="s">
        <v>2036</v>
      </c>
      <c r="B596" s="16" t="s">
        <v>218</v>
      </c>
      <c r="C596" s="15" t="str">
        <f>IFERROR(INDEX('قائمة الوحدات'!$B$2:$B$41,MATCH($B596,'قائمة الوحدات'!$A$2:$A$41,0)),"")</f>
        <v>MIL</v>
      </c>
      <c r="D596" s="14" t="str">
        <f>IFERROR(INDEX('قائمة الوحدات'!$C$2:$C$41,MATCH($B596,'قائمة الوحدات'!$A$2:$A$41,0)),"")</f>
        <v>الجهاز العسكري</v>
      </c>
      <c r="E596" s="14" t="str">
        <f>IFERROR(INDEX('قائمة الوحدات'!$D$2:$D$41,MATCH($B596,'قائمة الوحدات'!$A$2:$A$41,0)),"")</f>
        <v>الإدارة العامة للتدريب والتأهيل العسكري</v>
      </c>
      <c r="F596" s="14" t="str">
        <f>IFERROR(INDEX('قائمة الوحدات'!$F$2:$F$41,MATCH($B596,'قائمة الوحدات'!$A$2:$A$41,0)),"")</f>
        <v>الإدارة العامة للتدريب والتأهيل العسكري</v>
      </c>
      <c r="G596" s="16" t="s">
        <v>43</v>
      </c>
      <c r="H596" s="14" t="str">
        <f>IFERROR(INDEX(المرجع!$A$2:$A$19,MATCH($G596,المرجع!$B$2:$B$19,0)),"")</f>
        <v>التصميم</v>
      </c>
      <c r="I596" s="16" t="s">
        <v>45</v>
      </c>
      <c r="J596" s="14" t="str">
        <f>IFERROR(INDEX(المرجع!$D$2:$D$19,MATCH($I596,المرجع!$E$2:$E$19,0)),"")</f>
        <v>الدور</v>
      </c>
      <c r="K596" s="15">
        <f>IFERROR(INDEX(المرجع!$F$2:$F$19,MATCH($I596,المرجع!$E$2:$E$19,0)),"")</f>
        <v>1</v>
      </c>
      <c r="L596" s="15">
        <f>SUMIFS(المرجع!$H$2:$H$19,المرجع!$B$2:$B$19,$G596,المرجع!$E$2:$E$19,$I596)</f>
        <v>1</v>
      </c>
      <c r="M596" s="15">
        <f>COUNTIFS('المرتبطة بسمو الوزير'!$B$2:$B$151,$B596,'المرتبطة بسمو الوزير'!$G$2:$G$151,$G596,'المرتبطة بسمو الوزير'!$I$2:$I$151,$I596,'المرتبطة بسمو الوزير'!$M$2:$M$151,"&lt;&gt;")+COUNTIFS('الشؤون التنفيذية'!$B$2:$B$421,$B596,'الشؤون التنفيذية'!$G$2:$G$421,$G596,'الشؤون التنفيذية'!$I$2:$I$421,$I596,'الشؤون التنفيذية'!$N$2:$N$421,"&lt;&gt;")+COUNTIFS('الجهاز العسكري'!$B$2:$B$631,$B596,'الجهاز العسكري'!$G$2:$G$631,$G596,'الجهاز العسكري'!$I$2:$I$631,$I596,'الجهاز العسكري'!$M$2:$M$631,"&lt;&gt;")</f>
        <v>1</v>
      </c>
      <c r="N596" s="19">
        <f>IF($L596=0,0,ROUND((SUMIFS('المرتبطة بسمو الوزير'!$M$2:$M$151,'المرتبطة بسمو الوزير'!$B$2:$B$151,$B596,'المرتبطة بسمو الوزير'!$G$2:$G$151,$G596,'المرتبطة بسمو الوزير'!$I$2:$I$151,$I596)+SUMIFS('الشؤون التنفيذية'!$N$2:$N$421,'الشؤون التنفيذية'!$B$2:$B$421,$B596,'الشؤون التنفيذية'!$G$2:$G$421,$G596,'الشؤون التنفيذية'!$I$2:$I$421,$I596)+SUMIFS('الجهاز العسكري'!$M$2:$M$631,'الجهاز العسكري'!$B$2:$B$631,$B596,'الجهاز العسكري'!$G$2:$G$631,$G596,'الجهاز العسكري'!$I$2:$I$631,$I596))/$L596,0))</f>
        <v>83</v>
      </c>
      <c r="O596" s="18"/>
      <c r="P596" s="15">
        <f>SUMIFS(المرجع!$G$2:$G$19,المرجع!$B$2:$B$19,$G596,المرجع!$E$2:$E$19,$I596)</f>
        <v>25</v>
      </c>
      <c r="Q596" s="20">
        <f t="shared" si="10"/>
        <v>20.75</v>
      </c>
      <c r="R596" s="21" t="str">
        <f>IF($N596&gt;المرجع!$K$3,"متقدم",IF($N596&lt;=المرجع!$K$2,"أولي","جزئي"))</f>
        <v>متقدم</v>
      </c>
    </row>
    <row r="597" spans="1:18">
      <c r="A597" s="16" t="s">
        <v>2037</v>
      </c>
      <c r="B597" s="16" t="s">
        <v>218</v>
      </c>
      <c r="C597" s="15" t="str">
        <f>IFERROR(INDEX('قائمة الوحدات'!$B$2:$B$41,MATCH($B597,'قائمة الوحدات'!$A$2:$A$41,0)),"")</f>
        <v>MIL</v>
      </c>
      <c r="D597" s="14" t="str">
        <f>IFERROR(INDEX('قائمة الوحدات'!$C$2:$C$41,MATCH($B597,'قائمة الوحدات'!$A$2:$A$41,0)),"")</f>
        <v>الجهاز العسكري</v>
      </c>
      <c r="E597" s="14" t="str">
        <f>IFERROR(INDEX('قائمة الوحدات'!$D$2:$D$41,MATCH($B597,'قائمة الوحدات'!$A$2:$A$41,0)),"")</f>
        <v>الإدارة العامة للتدريب والتأهيل العسكري</v>
      </c>
      <c r="F597" s="14" t="str">
        <f>IFERROR(INDEX('قائمة الوحدات'!$F$2:$F$41,MATCH($B597,'قائمة الوحدات'!$A$2:$A$41,0)),"")</f>
        <v>الإدارة العامة للتدريب والتأهيل العسكري</v>
      </c>
      <c r="G597" s="16" t="s">
        <v>43</v>
      </c>
      <c r="H597" s="14" t="str">
        <f>IFERROR(INDEX(المرجع!$A$2:$A$19,MATCH($G597,المرجع!$B$2:$B$19,0)),"")</f>
        <v>التصميم</v>
      </c>
      <c r="I597" s="16" t="s">
        <v>48</v>
      </c>
      <c r="J597" s="14" t="str">
        <f>IFERROR(INDEX(المرجع!$D$2:$D$19,MATCH($I597,المرجع!$E$2:$E$19,0)),"")</f>
        <v>الأهداف ومؤشرات الأداء</v>
      </c>
      <c r="K597" s="15">
        <f>IFERROR(INDEX(المرجع!$F$2:$F$19,MATCH($I597,المرجع!$E$2:$E$19,0)),"")</f>
        <v>2</v>
      </c>
      <c r="L597" s="15">
        <f>SUMIFS(المرجع!$H$2:$H$19,المرجع!$B$2:$B$19,$G597,المرجع!$E$2:$E$19,$I597)</f>
        <v>2</v>
      </c>
      <c r="M597" s="15">
        <f>COUNTIFS('المرتبطة بسمو الوزير'!$B$2:$B$151,$B597,'المرتبطة بسمو الوزير'!$G$2:$G$151,$G597,'المرتبطة بسمو الوزير'!$I$2:$I$151,$I597,'المرتبطة بسمو الوزير'!$M$2:$M$151,"&lt;&gt;")+COUNTIFS('الشؤون التنفيذية'!$B$2:$B$421,$B597,'الشؤون التنفيذية'!$G$2:$G$421,$G597,'الشؤون التنفيذية'!$I$2:$I$421,$I597,'الشؤون التنفيذية'!$N$2:$N$421,"&lt;&gt;")+COUNTIFS('الجهاز العسكري'!$B$2:$B$631,$B597,'الجهاز العسكري'!$G$2:$G$631,$G597,'الجهاز العسكري'!$I$2:$I$631,$I597,'الجهاز العسكري'!$M$2:$M$631,"&lt;&gt;")</f>
        <v>2</v>
      </c>
      <c r="N597" s="19">
        <f>IF($L597=0,0,ROUND((SUMIFS('المرتبطة بسمو الوزير'!$M$2:$M$151,'المرتبطة بسمو الوزير'!$B$2:$B$151,$B597,'المرتبطة بسمو الوزير'!$G$2:$G$151,$G597,'المرتبطة بسمو الوزير'!$I$2:$I$151,$I597)+SUMIFS('الشؤون التنفيذية'!$N$2:$N$421,'الشؤون التنفيذية'!$B$2:$B$421,$B597,'الشؤون التنفيذية'!$G$2:$G$421,$G597,'الشؤون التنفيذية'!$I$2:$I$421,$I597)+SUMIFS('الجهاز العسكري'!$M$2:$M$631,'الجهاز العسكري'!$B$2:$B$631,$B597,'الجهاز العسكري'!$G$2:$G$631,$G597,'الجهاز العسكري'!$I$2:$I$631,$I597))/$L597,0))</f>
        <v>90</v>
      </c>
      <c r="O597" s="18"/>
      <c r="P597" s="15">
        <f>SUMIFS(المرجع!$G$2:$G$19,المرجع!$B$2:$B$19,$G597,المرجع!$E$2:$E$19,$I597)</f>
        <v>15</v>
      </c>
      <c r="Q597" s="20">
        <f t="shared" si="10"/>
        <v>13.5</v>
      </c>
      <c r="R597" s="21" t="str">
        <f>IF($N597&gt;المرجع!$K$3,"متقدم",IF($N597&lt;=المرجع!$K$2,"أولي","جزئي"))</f>
        <v>متقدم</v>
      </c>
    </row>
    <row r="598" spans="1:18">
      <c r="A598" s="16" t="s">
        <v>2038</v>
      </c>
      <c r="B598" s="16" t="s">
        <v>218</v>
      </c>
      <c r="C598" s="15" t="str">
        <f>IFERROR(INDEX('قائمة الوحدات'!$B$2:$B$41,MATCH($B598,'قائمة الوحدات'!$A$2:$A$41,0)),"")</f>
        <v>MIL</v>
      </c>
      <c r="D598" s="14" t="str">
        <f>IFERROR(INDEX('قائمة الوحدات'!$C$2:$C$41,MATCH($B598,'قائمة الوحدات'!$A$2:$A$41,0)),"")</f>
        <v>الجهاز العسكري</v>
      </c>
      <c r="E598" s="14" t="str">
        <f>IFERROR(INDEX('قائمة الوحدات'!$D$2:$D$41,MATCH($B598,'قائمة الوحدات'!$A$2:$A$41,0)),"")</f>
        <v>الإدارة العامة للتدريب والتأهيل العسكري</v>
      </c>
      <c r="F598" s="14" t="str">
        <f>IFERROR(INDEX('قائمة الوحدات'!$F$2:$F$41,MATCH($B598,'قائمة الوحدات'!$A$2:$A$41,0)),"")</f>
        <v>الإدارة العامة للتدريب والتأهيل العسكري</v>
      </c>
      <c r="G598" s="16" t="s">
        <v>43</v>
      </c>
      <c r="H598" s="14" t="str">
        <f>IFERROR(INDEX(المرجع!$A$2:$A$19,MATCH($G598,المرجع!$B$2:$B$19,0)),"")</f>
        <v>التصميم</v>
      </c>
      <c r="I598" s="16" t="s">
        <v>51</v>
      </c>
      <c r="J598" s="14" t="str">
        <f>IFERROR(INDEX(المرجع!$D$2:$D$19,MATCH($I598,المرجع!$E$2:$E$19,0)),"")</f>
        <v>الحوكمة</v>
      </c>
      <c r="K598" s="15">
        <f>IFERROR(INDEX(المرجع!$F$2:$F$19,MATCH($I598,المرجع!$E$2:$E$19,0)),"")</f>
        <v>3</v>
      </c>
      <c r="L598" s="15">
        <f>SUMIFS(المرجع!$H$2:$H$19,المرجع!$B$2:$B$19,$G598,المرجع!$E$2:$E$19,$I598)</f>
        <v>1</v>
      </c>
      <c r="M598" s="15">
        <f>COUNTIFS('المرتبطة بسمو الوزير'!$B$2:$B$151,$B598,'المرتبطة بسمو الوزير'!$G$2:$G$151,$G598,'المرتبطة بسمو الوزير'!$I$2:$I$151,$I598,'المرتبطة بسمو الوزير'!$M$2:$M$151,"&lt;&gt;")+COUNTIFS('الشؤون التنفيذية'!$B$2:$B$421,$B598,'الشؤون التنفيذية'!$G$2:$G$421,$G598,'الشؤون التنفيذية'!$I$2:$I$421,$I598,'الشؤون التنفيذية'!$N$2:$N$421,"&lt;&gt;")+COUNTIFS('الجهاز العسكري'!$B$2:$B$631,$B598,'الجهاز العسكري'!$G$2:$G$631,$G598,'الجهاز العسكري'!$I$2:$I$631,$I598,'الجهاز العسكري'!$M$2:$M$631,"&lt;&gt;")</f>
        <v>1</v>
      </c>
      <c r="N598" s="19">
        <f>IF($L598=0,0,ROUND((SUMIFS('المرتبطة بسمو الوزير'!$M$2:$M$151,'المرتبطة بسمو الوزير'!$B$2:$B$151,$B598,'المرتبطة بسمو الوزير'!$G$2:$G$151,$G598,'المرتبطة بسمو الوزير'!$I$2:$I$151,$I598)+SUMIFS('الشؤون التنفيذية'!$N$2:$N$421,'الشؤون التنفيذية'!$B$2:$B$421,$B598,'الشؤون التنفيذية'!$G$2:$G$421,$G598,'الشؤون التنفيذية'!$I$2:$I$421,$I598)+SUMIFS('الجهاز العسكري'!$M$2:$M$631,'الجهاز العسكري'!$B$2:$B$631,$B598,'الجهاز العسكري'!$G$2:$G$631,$G598,'الجهاز العسكري'!$I$2:$I$631,$I598))/$L598,0))</f>
        <v>91</v>
      </c>
      <c r="O598" s="18"/>
      <c r="P598" s="15">
        <f>SUMIFS(المرجع!$G$2:$G$19,المرجع!$B$2:$B$19,$G598,المرجع!$E$2:$E$19,$I598)</f>
        <v>15</v>
      </c>
      <c r="Q598" s="20">
        <f t="shared" si="10"/>
        <v>13.65</v>
      </c>
      <c r="R598" s="21" t="str">
        <f>IF($N598&gt;المرجع!$K$3,"متقدم",IF($N598&lt;=المرجع!$K$2,"أولي","جزئي"))</f>
        <v>متقدم</v>
      </c>
    </row>
    <row r="599" spans="1:18">
      <c r="A599" s="16" t="s">
        <v>2039</v>
      </c>
      <c r="B599" s="16" t="s">
        <v>218</v>
      </c>
      <c r="C599" s="15" t="str">
        <f>IFERROR(INDEX('قائمة الوحدات'!$B$2:$B$41,MATCH($B599,'قائمة الوحدات'!$A$2:$A$41,0)),"")</f>
        <v>MIL</v>
      </c>
      <c r="D599" s="14" t="str">
        <f>IFERROR(INDEX('قائمة الوحدات'!$C$2:$C$41,MATCH($B599,'قائمة الوحدات'!$A$2:$A$41,0)),"")</f>
        <v>الجهاز العسكري</v>
      </c>
      <c r="E599" s="14" t="str">
        <f>IFERROR(INDEX('قائمة الوحدات'!$D$2:$D$41,MATCH($B599,'قائمة الوحدات'!$A$2:$A$41,0)),"")</f>
        <v>الإدارة العامة للتدريب والتأهيل العسكري</v>
      </c>
      <c r="F599" s="14" t="str">
        <f>IFERROR(INDEX('قائمة الوحدات'!$F$2:$F$41,MATCH($B599,'قائمة الوحدات'!$A$2:$A$41,0)),"")</f>
        <v>الإدارة العامة للتدريب والتأهيل العسكري</v>
      </c>
      <c r="G599" s="16" t="s">
        <v>43</v>
      </c>
      <c r="H599" s="14" t="str">
        <f>IFERROR(INDEX(المرجع!$A$2:$A$19,MATCH($G599,المرجع!$B$2:$B$19,0)),"")</f>
        <v>التصميم</v>
      </c>
      <c r="I599" s="16" t="s">
        <v>54</v>
      </c>
      <c r="J599" s="14" t="str">
        <f>IFERROR(INDEX(المرجع!$D$2:$D$19,MATCH($I599,المرجع!$E$2:$E$19,0)),"")</f>
        <v>التنظيم</v>
      </c>
      <c r="K599" s="15">
        <f>IFERROR(INDEX(المرجع!$F$2:$F$19,MATCH($I599,المرجع!$E$2:$E$19,0)),"")</f>
        <v>4</v>
      </c>
      <c r="L599" s="15">
        <f>SUMIFS(المرجع!$H$2:$H$19,المرجع!$B$2:$B$19,$G599,المرجع!$E$2:$E$19,$I599)</f>
        <v>1</v>
      </c>
      <c r="M599" s="15">
        <f>COUNTIFS('المرتبطة بسمو الوزير'!$B$2:$B$151,$B599,'المرتبطة بسمو الوزير'!$G$2:$G$151,$G599,'المرتبطة بسمو الوزير'!$I$2:$I$151,$I599,'المرتبطة بسمو الوزير'!$M$2:$M$151,"&lt;&gt;")+COUNTIFS('الشؤون التنفيذية'!$B$2:$B$421,$B599,'الشؤون التنفيذية'!$G$2:$G$421,$G599,'الشؤون التنفيذية'!$I$2:$I$421,$I599,'الشؤون التنفيذية'!$N$2:$N$421,"&lt;&gt;")+COUNTIFS('الجهاز العسكري'!$B$2:$B$631,$B599,'الجهاز العسكري'!$G$2:$G$631,$G599,'الجهاز العسكري'!$I$2:$I$631,$I599,'الجهاز العسكري'!$M$2:$M$631,"&lt;&gt;")</f>
        <v>1</v>
      </c>
      <c r="N599" s="19">
        <f>IF($L599=0,0,ROUND((SUMIFS('المرتبطة بسمو الوزير'!$M$2:$M$151,'المرتبطة بسمو الوزير'!$B$2:$B$151,$B599,'المرتبطة بسمو الوزير'!$G$2:$G$151,$G599,'المرتبطة بسمو الوزير'!$I$2:$I$151,$I599)+SUMIFS('الشؤون التنفيذية'!$N$2:$N$421,'الشؤون التنفيذية'!$B$2:$B$421,$B599,'الشؤون التنفيذية'!$G$2:$G$421,$G599,'الشؤون التنفيذية'!$I$2:$I$421,$I599)+SUMIFS('الجهاز العسكري'!$M$2:$M$631,'الجهاز العسكري'!$B$2:$B$631,$B599,'الجهاز العسكري'!$G$2:$G$631,$G599,'الجهاز العسكري'!$I$2:$I$631,$I599))/$L599,0))</f>
        <v>94</v>
      </c>
      <c r="O599" s="18"/>
      <c r="P599" s="15">
        <f>SUMIFS(المرجع!$G$2:$G$19,المرجع!$B$2:$B$19,$G599,المرجع!$E$2:$E$19,$I599)</f>
        <v>20</v>
      </c>
      <c r="Q599" s="20">
        <f t="shared" si="10"/>
        <v>18.8</v>
      </c>
      <c r="R599" s="21" t="str">
        <f>IF($N599&gt;المرجع!$K$3,"متقدم",IF($N599&lt;=المرجع!$K$2,"أولي","جزئي"))</f>
        <v>متقدم</v>
      </c>
    </row>
    <row r="600" spans="1:18">
      <c r="A600" s="16" t="s">
        <v>2040</v>
      </c>
      <c r="B600" s="16" t="s">
        <v>218</v>
      </c>
      <c r="C600" s="15" t="str">
        <f>IFERROR(INDEX('قائمة الوحدات'!$B$2:$B$41,MATCH($B600,'قائمة الوحدات'!$A$2:$A$41,0)),"")</f>
        <v>MIL</v>
      </c>
      <c r="D600" s="14" t="str">
        <f>IFERROR(INDEX('قائمة الوحدات'!$C$2:$C$41,MATCH($B600,'قائمة الوحدات'!$A$2:$A$41,0)),"")</f>
        <v>الجهاز العسكري</v>
      </c>
      <c r="E600" s="14" t="str">
        <f>IFERROR(INDEX('قائمة الوحدات'!$D$2:$D$41,MATCH($B600,'قائمة الوحدات'!$A$2:$A$41,0)),"")</f>
        <v>الإدارة العامة للتدريب والتأهيل العسكري</v>
      </c>
      <c r="F600" s="14" t="str">
        <f>IFERROR(INDEX('قائمة الوحدات'!$F$2:$F$41,MATCH($B600,'قائمة الوحدات'!$A$2:$A$41,0)),"")</f>
        <v>الإدارة العامة للتدريب والتأهيل العسكري</v>
      </c>
      <c r="G600" s="16" t="s">
        <v>43</v>
      </c>
      <c r="H600" s="14" t="str">
        <f>IFERROR(INDEX(المرجع!$A$2:$A$19,MATCH($G600,المرجع!$B$2:$B$19,0)),"")</f>
        <v>التصميم</v>
      </c>
      <c r="I600" s="16" t="s">
        <v>56</v>
      </c>
      <c r="J600" s="14" t="str">
        <f>IFERROR(INDEX(المرجع!$D$2:$D$19,MATCH($I600,المرجع!$E$2:$E$19,0)),"")</f>
        <v>الموارد</v>
      </c>
      <c r="K600" s="15">
        <f>IFERROR(INDEX(المرجع!$F$2:$F$19,MATCH($I600,المرجع!$E$2:$E$19,0)),"")</f>
        <v>5</v>
      </c>
      <c r="L600" s="15">
        <f>SUMIFS(المرجع!$H$2:$H$19,المرجع!$B$2:$B$19,$G600,المرجع!$E$2:$E$19,$I600)</f>
        <v>1</v>
      </c>
      <c r="M600" s="15">
        <f>COUNTIFS('المرتبطة بسمو الوزير'!$B$2:$B$151,$B600,'المرتبطة بسمو الوزير'!$G$2:$G$151,$G600,'المرتبطة بسمو الوزير'!$I$2:$I$151,$I600,'المرتبطة بسمو الوزير'!$M$2:$M$151,"&lt;&gt;")+COUNTIFS('الشؤون التنفيذية'!$B$2:$B$421,$B600,'الشؤون التنفيذية'!$G$2:$G$421,$G600,'الشؤون التنفيذية'!$I$2:$I$421,$I600,'الشؤون التنفيذية'!$N$2:$N$421,"&lt;&gt;")+COUNTIFS('الجهاز العسكري'!$B$2:$B$631,$B600,'الجهاز العسكري'!$G$2:$G$631,$G600,'الجهاز العسكري'!$I$2:$I$631,$I600,'الجهاز العسكري'!$M$2:$M$631,"&lt;&gt;")</f>
        <v>1</v>
      </c>
      <c r="N600" s="19">
        <f>IF($L600=0,0,ROUND((SUMIFS('المرتبطة بسمو الوزير'!$M$2:$M$151,'المرتبطة بسمو الوزير'!$B$2:$B$151,$B600,'المرتبطة بسمو الوزير'!$G$2:$G$151,$G600,'المرتبطة بسمو الوزير'!$I$2:$I$151,$I600)+SUMIFS('الشؤون التنفيذية'!$N$2:$N$421,'الشؤون التنفيذية'!$B$2:$B$421,$B600,'الشؤون التنفيذية'!$G$2:$G$421,$G600,'الشؤون التنفيذية'!$I$2:$I$421,$I600)+SUMIFS('الجهاز العسكري'!$M$2:$M$631,'الجهاز العسكري'!$B$2:$B$631,$B600,'الجهاز العسكري'!$G$2:$G$631,$G600,'الجهاز العسكري'!$I$2:$I$631,$I600))/$L600,0))</f>
        <v>95</v>
      </c>
      <c r="O600" s="18"/>
      <c r="P600" s="15">
        <f>SUMIFS(المرجع!$G$2:$G$19,المرجع!$B$2:$B$19,$G600,المرجع!$E$2:$E$19,$I600)</f>
        <v>20</v>
      </c>
      <c r="Q600" s="20">
        <f t="shared" si="10"/>
        <v>19</v>
      </c>
      <c r="R600" s="21" t="str">
        <f>IF($N600&gt;المرجع!$K$3,"متقدم",IF($N600&lt;=المرجع!$K$2,"أولي","جزئي"))</f>
        <v>متقدم</v>
      </c>
    </row>
    <row r="601" spans="1:18">
      <c r="A601" s="16" t="s">
        <v>2041</v>
      </c>
      <c r="B601" s="16" t="s">
        <v>218</v>
      </c>
      <c r="C601" s="15" t="str">
        <f>IFERROR(INDEX('قائمة الوحدات'!$B$2:$B$41,MATCH($B601,'قائمة الوحدات'!$A$2:$A$41,0)),"")</f>
        <v>MIL</v>
      </c>
      <c r="D601" s="14" t="str">
        <f>IFERROR(INDEX('قائمة الوحدات'!$C$2:$C$41,MATCH($B601,'قائمة الوحدات'!$A$2:$A$41,0)),"")</f>
        <v>الجهاز العسكري</v>
      </c>
      <c r="E601" s="14" t="str">
        <f>IFERROR(INDEX('قائمة الوحدات'!$D$2:$D$41,MATCH($B601,'قائمة الوحدات'!$A$2:$A$41,0)),"")</f>
        <v>الإدارة العامة للتدريب والتأهيل العسكري</v>
      </c>
      <c r="F601" s="14" t="str">
        <f>IFERROR(INDEX('قائمة الوحدات'!$F$2:$F$41,MATCH($B601,'قائمة الوحدات'!$A$2:$A$41,0)),"")</f>
        <v>الإدارة العامة للتدريب والتأهيل العسكري</v>
      </c>
      <c r="G601" s="16" t="s">
        <v>43</v>
      </c>
      <c r="H601" s="14" t="str">
        <f>IFERROR(INDEX(المرجع!$A$2:$A$19,MATCH($G601,المرجع!$B$2:$B$19,0)),"")</f>
        <v>التصميم</v>
      </c>
      <c r="I601" s="16" t="s">
        <v>59</v>
      </c>
      <c r="J601" s="14" t="str">
        <f>IFERROR(INDEX(المرجع!$D$2:$D$19,MATCH($I601,المرجع!$E$2:$E$19,0)),"")</f>
        <v>الإجراءات</v>
      </c>
      <c r="K601" s="15">
        <f>IFERROR(INDEX(المرجع!$F$2:$F$19,MATCH($I601,المرجع!$E$2:$E$19,0)),"")</f>
        <v>6</v>
      </c>
      <c r="L601" s="15">
        <f>SUMIFS(المرجع!$H$2:$H$19,المرجع!$B$2:$B$19,$G601,المرجع!$E$2:$E$19,$I601)</f>
        <v>1</v>
      </c>
      <c r="M601" s="15">
        <f>COUNTIFS('المرتبطة بسمو الوزير'!$B$2:$B$151,$B601,'المرتبطة بسمو الوزير'!$G$2:$G$151,$G601,'المرتبطة بسمو الوزير'!$I$2:$I$151,$I601,'المرتبطة بسمو الوزير'!$M$2:$M$151,"&lt;&gt;")+COUNTIFS('الشؤون التنفيذية'!$B$2:$B$421,$B601,'الشؤون التنفيذية'!$G$2:$G$421,$G601,'الشؤون التنفيذية'!$I$2:$I$421,$I601,'الشؤون التنفيذية'!$N$2:$N$421,"&lt;&gt;")+COUNTIFS('الجهاز العسكري'!$B$2:$B$631,$B601,'الجهاز العسكري'!$G$2:$G$631,$G601,'الجهاز العسكري'!$I$2:$I$631,$I601,'الجهاز العسكري'!$M$2:$M$631,"&lt;&gt;")</f>
        <v>1</v>
      </c>
      <c r="N601" s="19">
        <f>IF($L601=0,0,ROUND((SUMIFS('المرتبطة بسمو الوزير'!$M$2:$M$151,'المرتبطة بسمو الوزير'!$B$2:$B$151,$B601,'المرتبطة بسمو الوزير'!$G$2:$G$151,$G601,'المرتبطة بسمو الوزير'!$I$2:$I$151,$I601)+SUMIFS('الشؤون التنفيذية'!$N$2:$N$421,'الشؤون التنفيذية'!$B$2:$B$421,$B601,'الشؤون التنفيذية'!$G$2:$G$421,$G601,'الشؤون التنفيذية'!$I$2:$I$421,$I601)+SUMIFS('الجهاز العسكري'!$M$2:$M$631,'الجهاز العسكري'!$B$2:$B$631,$B601,'الجهاز العسكري'!$G$2:$G$631,$G601,'الجهاز العسكري'!$I$2:$I$631,$I601))/$L601,0))</f>
        <v>97</v>
      </c>
      <c r="O601" s="18"/>
      <c r="P601" s="15">
        <f>SUMIFS(المرجع!$G$2:$G$19,المرجع!$B$2:$B$19,$G601,المرجع!$E$2:$E$19,$I601)</f>
        <v>5</v>
      </c>
      <c r="Q601" s="20">
        <f t="shared" si="10"/>
        <v>4.8499999999999996</v>
      </c>
      <c r="R601" s="21" t="str">
        <f>IF($N601&gt;المرجع!$K$3,"متقدم",IF($N601&lt;=المرجع!$K$2,"أولي","جزئي"))</f>
        <v>متقدم</v>
      </c>
    </row>
    <row r="602" spans="1:18">
      <c r="A602" s="16" t="s">
        <v>2042</v>
      </c>
      <c r="B602" s="16" t="s">
        <v>218</v>
      </c>
      <c r="C602" s="15" t="str">
        <f>IFERROR(INDEX('قائمة الوحدات'!$B$2:$B$41,MATCH($B602,'قائمة الوحدات'!$A$2:$A$41,0)),"")</f>
        <v>MIL</v>
      </c>
      <c r="D602" s="14" t="str">
        <f>IFERROR(INDEX('قائمة الوحدات'!$C$2:$C$41,MATCH($B602,'قائمة الوحدات'!$A$2:$A$41,0)),"")</f>
        <v>الجهاز العسكري</v>
      </c>
      <c r="E602" s="14" t="str">
        <f>IFERROR(INDEX('قائمة الوحدات'!$D$2:$D$41,MATCH($B602,'قائمة الوحدات'!$A$2:$A$41,0)),"")</f>
        <v>الإدارة العامة للتدريب والتأهيل العسكري</v>
      </c>
      <c r="F602" s="14" t="str">
        <f>IFERROR(INDEX('قائمة الوحدات'!$F$2:$F$41,MATCH($B602,'قائمة الوحدات'!$A$2:$A$41,0)),"")</f>
        <v>الإدارة العامة للتدريب والتأهيل العسكري</v>
      </c>
      <c r="G602" s="16" t="s">
        <v>61</v>
      </c>
      <c r="H602" s="14" t="str">
        <f>IFERROR(INDEX(المرجع!$A$2:$A$19,MATCH($G602,المرجع!$B$2:$B$19,0)),"")</f>
        <v>البناء المؤسسي</v>
      </c>
      <c r="I602" s="16" t="s">
        <v>45</v>
      </c>
      <c r="J602" s="14" t="str">
        <f>IFERROR(INDEX(المرجع!$D$2:$D$19,MATCH($I602,المرجع!$E$2:$E$19,0)),"")</f>
        <v>الدور</v>
      </c>
      <c r="K602" s="15">
        <f>IFERROR(INDEX(المرجع!$F$2:$F$19,MATCH($I602,المرجع!$E$2:$E$19,0)),"")</f>
        <v>1</v>
      </c>
      <c r="L602" s="15">
        <f>SUMIFS(المرجع!$H$2:$H$19,المرجع!$B$2:$B$19,$G602,المرجع!$E$2:$E$19,$I602)</f>
        <v>1</v>
      </c>
      <c r="M602" s="15">
        <f>COUNTIFS('المرتبطة بسمو الوزير'!$B$2:$B$151,$B602,'المرتبطة بسمو الوزير'!$G$2:$G$151,$G602,'المرتبطة بسمو الوزير'!$I$2:$I$151,$I602,'المرتبطة بسمو الوزير'!$M$2:$M$151,"&lt;&gt;")+COUNTIFS('الشؤون التنفيذية'!$B$2:$B$421,$B602,'الشؤون التنفيذية'!$G$2:$G$421,$G602,'الشؤون التنفيذية'!$I$2:$I$421,$I602,'الشؤون التنفيذية'!$N$2:$N$421,"&lt;&gt;")+COUNTIFS('الجهاز العسكري'!$B$2:$B$631,$B602,'الجهاز العسكري'!$G$2:$G$631,$G602,'الجهاز العسكري'!$I$2:$I$631,$I602,'الجهاز العسكري'!$M$2:$M$631,"&lt;&gt;")</f>
        <v>1</v>
      </c>
      <c r="N602" s="19">
        <f>IF($L602=0,0,ROUND((SUMIFS('المرتبطة بسمو الوزير'!$M$2:$M$151,'المرتبطة بسمو الوزير'!$B$2:$B$151,$B602,'المرتبطة بسمو الوزير'!$G$2:$G$151,$G602,'المرتبطة بسمو الوزير'!$I$2:$I$151,$I602)+SUMIFS('الشؤون التنفيذية'!$N$2:$N$421,'الشؤون التنفيذية'!$B$2:$B$421,$B602,'الشؤون التنفيذية'!$G$2:$G$421,$G602,'الشؤون التنفيذية'!$I$2:$I$421,$I602)+SUMIFS('الجهاز العسكري'!$M$2:$M$631,'الجهاز العسكري'!$B$2:$B$631,$B602,'الجهاز العسكري'!$G$2:$G$631,$G602,'الجهاز العسكري'!$I$2:$I$631,$I602))/$L602,0))</f>
        <v>80</v>
      </c>
      <c r="O602" s="18"/>
      <c r="P602" s="15">
        <f>SUMIFS(المرجع!$G$2:$G$19,المرجع!$B$2:$B$19,$G602,المرجع!$E$2:$E$19,$I602)</f>
        <v>15</v>
      </c>
      <c r="Q602" s="20">
        <f t="shared" si="10"/>
        <v>12</v>
      </c>
      <c r="R602" s="21" t="str">
        <f>IF($N602&gt;المرجع!$K$3,"متقدم",IF($N602&lt;=المرجع!$K$2,"أولي","جزئي"))</f>
        <v>متقدم</v>
      </c>
    </row>
    <row r="603" spans="1:18">
      <c r="A603" s="16" t="s">
        <v>2043</v>
      </c>
      <c r="B603" s="16" t="s">
        <v>218</v>
      </c>
      <c r="C603" s="15" t="str">
        <f>IFERROR(INDEX('قائمة الوحدات'!$B$2:$B$41,MATCH($B603,'قائمة الوحدات'!$A$2:$A$41,0)),"")</f>
        <v>MIL</v>
      </c>
      <c r="D603" s="14" t="str">
        <f>IFERROR(INDEX('قائمة الوحدات'!$C$2:$C$41,MATCH($B603,'قائمة الوحدات'!$A$2:$A$41,0)),"")</f>
        <v>الجهاز العسكري</v>
      </c>
      <c r="E603" s="14" t="str">
        <f>IFERROR(INDEX('قائمة الوحدات'!$D$2:$D$41,MATCH($B603,'قائمة الوحدات'!$A$2:$A$41,0)),"")</f>
        <v>الإدارة العامة للتدريب والتأهيل العسكري</v>
      </c>
      <c r="F603" s="14" t="str">
        <f>IFERROR(INDEX('قائمة الوحدات'!$F$2:$F$41,MATCH($B603,'قائمة الوحدات'!$A$2:$A$41,0)),"")</f>
        <v>الإدارة العامة للتدريب والتأهيل العسكري</v>
      </c>
      <c r="G603" s="16" t="s">
        <v>61</v>
      </c>
      <c r="H603" s="14" t="str">
        <f>IFERROR(INDEX(المرجع!$A$2:$A$19,MATCH($G603,المرجع!$B$2:$B$19,0)),"")</f>
        <v>البناء المؤسسي</v>
      </c>
      <c r="I603" s="16" t="s">
        <v>48</v>
      </c>
      <c r="J603" s="14" t="str">
        <f>IFERROR(INDEX(المرجع!$D$2:$D$19,MATCH($I603,المرجع!$E$2:$E$19,0)),"")</f>
        <v>الأهداف ومؤشرات الأداء</v>
      </c>
      <c r="K603" s="15">
        <f>IFERROR(INDEX(المرجع!$F$2:$F$19,MATCH($I603,المرجع!$E$2:$E$19,0)),"")</f>
        <v>2</v>
      </c>
      <c r="L603" s="15">
        <f>SUMIFS(المرجع!$H$2:$H$19,المرجع!$B$2:$B$19,$G603,المرجع!$E$2:$E$19,$I603)</f>
        <v>2</v>
      </c>
      <c r="M603" s="15">
        <f>COUNTIFS('المرتبطة بسمو الوزير'!$B$2:$B$151,$B603,'المرتبطة بسمو الوزير'!$G$2:$G$151,$G603,'المرتبطة بسمو الوزير'!$I$2:$I$151,$I603,'المرتبطة بسمو الوزير'!$M$2:$M$151,"&lt;&gt;")+COUNTIFS('الشؤون التنفيذية'!$B$2:$B$421,$B603,'الشؤون التنفيذية'!$G$2:$G$421,$G603,'الشؤون التنفيذية'!$I$2:$I$421,$I603,'الشؤون التنفيذية'!$N$2:$N$421,"&lt;&gt;")+COUNTIFS('الجهاز العسكري'!$B$2:$B$631,$B603,'الجهاز العسكري'!$G$2:$G$631,$G603,'الجهاز العسكري'!$I$2:$I$631,$I603,'الجهاز العسكري'!$M$2:$M$631,"&lt;&gt;")</f>
        <v>2</v>
      </c>
      <c r="N603" s="19">
        <f>IF($L603=0,0,ROUND((SUMIFS('المرتبطة بسمو الوزير'!$M$2:$M$151,'المرتبطة بسمو الوزير'!$B$2:$B$151,$B603,'المرتبطة بسمو الوزير'!$G$2:$G$151,$G603,'المرتبطة بسمو الوزير'!$I$2:$I$151,$I603)+SUMIFS('الشؤون التنفيذية'!$N$2:$N$421,'الشؤون التنفيذية'!$B$2:$B$421,$B603,'الشؤون التنفيذية'!$G$2:$G$421,$G603,'الشؤون التنفيذية'!$I$2:$I$421,$I603)+SUMIFS('الجهاز العسكري'!$M$2:$M$631,'الجهاز العسكري'!$B$2:$B$631,$B603,'الجهاز العسكري'!$G$2:$G$631,$G603,'الجهاز العسكري'!$I$2:$I$631,$I603))/$L603,0))</f>
        <v>63</v>
      </c>
      <c r="O603" s="18"/>
      <c r="P603" s="15">
        <f>SUMIFS(المرجع!$G$2:$G$19,المرجع!$B$2:$B$19,$G603,المرجع!$E$2:$E$19,$I603)</f>
        <v>15</v>
      </c>
      <c r="Q603" s="20">
        <f t="shared" si="10"/>
        <v>9.4499999999999993</v>
      </c>
      <c r="R603" s="21" t="str">
        <f>IF($N603&gt;المرجع!$K$3,"متقدم",IF($N603&lt;=المرجع!$K$2,"أولي","جزئي"))</f>
        <v>جزئي</v>
      </c>
    </row>
    <row r="604" spans="1:18">
      <c r="A604" s="16" t="s">
        <v>2044</v>
      </c>
      <c r="B604" s="16" t="s">
        <v>218</v>
      </c>
      <c r="C604" s="15" t="str">
        <f>IFERROR(INDEX('قائمة الوحدات'!$B$2:$B$41,MATCH($B604,'قائمة الوحدات'!$A$2:$A$41,0)),"")</f>
        <v>MIL</v>
      </c>
      <c r="D604" s="14" t="str">
        <f>IFERROR(INDEX('قائمة الوحدات'!$C$2:$C$41,MATCH($B604,'قائمة الوحدات'!$A$2:$A$41,0)),"")</f>
        <v>الجهاز العسكري</v>
      </c>
      <c r="E604" s="14" t="str">
        <f>IFERROR(INDEX('قائمة الوحدات'!$D$2:$D$41,MATCH($B604,'قائمة الوحدات'!$A$2:$A$41,0)),"")</f>
        <v>الإدارة العامة للتدريب والتأهيل العسكري</v>
      </c>
      <c r="F604" s="14" t="str">
        <f>IFERROR(INDEX('قائمة الوحدات'!$F$2:$F$41,MATCH($B604,'قائمة الوحدات'!$A$2:$A$41,0)),"")</f>
        <v>الإدارة العامة للتدريب والتأهيل العسكري</v>
      </c>
      <c r="G604" s="16" t="s">
        <v>61</v>
      </c>
      <c r="H604" s="14" t="str">
        <f>IFERROR(INDEX(المرجع!$A$2:$A$19,MATCH($G604,المرجع!$B$2:$B$19,0)),"")</f>
        <v>البناء المؤسسي</v>
      </c>
      <c r="I604" s="16" t="s">
        <v>51</v>
      </c>
      <c r="J604" s="14" t="str">
        <f>IFERROR(INDEX(المرجع!$D$2:$D$19,MATCH($I604,المرجع!$E$2:$E$19,0)),"")</f>
        <v>الحوكمة</v>
      </c>
      <c r="K604" s="15">
        <f>IFERROR(INDEX(المرجع!$F$2:$F$19,MATCH($I604,المرجع!$E$2:$E$19,0)),"")</f>
        <v>3</v>
      </c>
      <c r="L604" s="15">
        <f>SUMIFS(المرجع!$H$2:$H$19,المرجع!$B$2:$B$19,$G604,المرجع!$E$2:$E$19,$I604)</f>
        <v>3</v>
      </c>
      <c r="M604" s="15">
        <f>COUNTIFS('المرتبطة بسمو الوزير'!$B$2:$B$151,$B604,'المرتبطة بسمو الوزير'!$G$2:$G$151,$G604,'المرتبطة بسمو الوزير'!$I$2:$I$151,$I604,'المرتبطة بسمو الوزير'!$M$2:$M$151,"&lt;&gt;")+COUNTIFS('الشؤون التنفيذية'!$B$2:$B$421,$B604,'الشؤون التنفيذية'!$G$2:$G$421,$G604,'الشؤون التنفيذية'!$I$2:$I$421,$I604,'الشؤون التنفيذية'!$N$2:$N$421,"&lt;&gt;")+COUNTIFS('الجهاز العسكري'!$B$2:$B$631,$B604,'الجهاز العسكري'!$G$2:$G$631,$G604,'الجهاز العسكري'!$I$2:$I$631,$I604,'الجهاز العسكري'!$M$2:$M$631,"&lt;&gt;")</f>
        <v>3</v>
      </c>
      <c r="N604" s="19">
        <f>IF($L604=0,0,ROUND((SUMIFS('المرتبطة بسمو الوزير'!$M$2:$M$151,'المرتبطة بسمو الوزير'!$B$2:$B$151,$B604,'المرتبطة بسمو الوزير'!$G$2:$G$151,$G604,'المرتبطة بسمو الوزير'!$I$2:$I$151,$I604)+SUMIFS('الشؤون التنفيذية'!$N$2:$N$421,'الشؤون التنفيذية'!$B$2:$B$421,$B604,'الشؤون التنفيذية'!$G$2:$G$421,$G604,'الشؤون التنفيذية'!$I$2:$I$421,$I604)+SUMIFS('الجهاز العسكري'!$M$2:$M$631,'الجهاز العسكري'!$B$2:$B$631,$B604,'الجهاز العسكري'!$G$2:$G$631,$G604,'الجهاز العسكري'!$I$2:$I$631,$I604))/$L604,0))</f>
        <v>60</v>
      </c>
      <c r="O604" s="18"/>
      <c r="P604" s="15">
        <f>SUMIFS(المرجع!$G$2:$G$19,المرجع!$B$2:$B$19,$G604,المرجع!$E$2:$E$19,$I604)</f>
        <v>15</v>
      </c>
      <c r="Q604" s="20">
        <f t="shared" si="10"/>
        <v>9</v>
      </c>
      <c r="R604" s="21" t="str">
        <f>IF($N604&gt;المرجع!$K$3,"متقدم",IF($N604&lt;=المرجع!$K$2,"أولي","جزئي"))</f>
        <v>جزئي</v>
      </c>
    </row>
    <row r="605" spans="1:18">
      <c r="A605" s="16" t="s">
        <v>2045</v>
      </c>
      <c r="B605" s="16" t="s">
        <v>218</v>
      </c>
      <c r="C605" s="15" t="str">
        <f>IFERROR(INDEX('قائمة الوحدات'!$B$2:$B$41,MATCH($B605,'قائمة الوحدات'!$A$2:$A$41,0)),"")</f>
        <v>MIL</v>
      </c>
      <c r="D605" s="14" t="str">
        <f>IFERROR(INDEX('قائمة الوحدات'!$C$2:$C$41,MATCH($B605,'قائمة الوحدات'!$A$2:$A$41,0)),"")</f>
        <v>الجهاز العسكري</v>
      </c>
      <c r="E605" s="14" t="str">
        <f>IFERROR(INDEX('قائمة الوحدات'!$D$2:$D$41,MATCH($B605,'قائمة الوحدات'!$A$2:$A$41,0)),"")</f>
        <v>الإدارة العامة للتدريب والتأهيل العسكري</v>
      </c>
      <c r="F605" s="14" t="str">
        <f>IFERROR(INDEX('قائمة الوحدات'!$F$2:$F$41,MATCH($B605,'قائمة الوحدات'!$A$2:$A$41,0)),"")</f>
        <v>الإدارة العامة للتدريب والتأهيل العسكري</v>
      </c>
      <c r="G605" s="16" t="s">
        <v>61</v>
      </c>
      <c r="H605" s="14" t="str">
        <f>IFERROR(INDEX(المرجع!$A$2:$A$19,MATCH($G605,المرجع!$B$2:$B$19,0)),"")</f>
        <v>البناء المؤسسي</v>
      </c>
      <c r="I605" s="16" t="s">
        <v>54</v>
      </c>
      <c r="J605" s="14" t="str">
        <f>IFERROR(INDEX(المرجع!$D$2:$D$19,MATCH($I605,المرجع!$E$2:$E$19,0)),"")</f>
        <v>التنظيم</v>
      </c>
      <c r="K605" s="15">
        <f>IFERROR(INDEX(المرجع!$F$2:$F$19,MATCH($I605,المرجع!$E$2:$E$19,0)),"")</f>
        <v>4</v>
      </c>
      <c r="L605" s="15">
        <f>SUMIFS(المرجع!$H$2:$H$19,المرجع!$B$2:$B$19,$G605,المرجع!$E$2:$E$19,$I605)</f>
        <v>3</v>
      </c>
      <c r="M605" s="15">
        <f>COUNTIFS('المرتبطة بسمو الوزير'!$B$2:$B$151,$B605,'المرتبطة بسمو الوزير'!$G$2:$G$151,$G605,'المرتبطة بسمو الوزير'!$I$2:$I$151,$I605,'المرتبطة بسمو الوزير'!$M$2:$M$151,"&lt;&gt;")+COUNTIFS('الشؤون التنفيذية'!$B$2:$B$421,$B605,'الشؤون التنفيذية'!$G$2:$G$421,$G605,'الشؤون التنفيذية'!$I$2:$I$421,$I605,'الشؤون التنفيذية'!$N$2:$N$421,"&lt;&gt;")+COUNTIFS('الجهاز العسكري'!$B$2:$B$631,$B605,'الجهاز العسكري'!$G$2:$G$631,$G605,'الجهاز العسكري'!$I$2:$I$631,$I605,'الجهاز العسكري'!$M$2:$M$631,"&lt;&gt;")</f>
        <v>3</v>
      </c>
      <c r="N605" s="19">
        <f>IF($L605=0,0,ROUND((SUMIFS('المرتبطة بسمو الوزير'!$M$2:$M$151,'المرتبطة بسمو الوزير'!$B$2:$B$151,$B605,'المرتبطة بسمو الوزير'!$G$2:$G$151,$G605,'المرتبطة بسمو الوزير'!$I$2:$I$151,$I605)+SUMIFS('الشؤون التنفيذية'!$N$2:$N$421,'الشؤون التنفيذية'!$B$2:$B$421,$B605,'الشؤون التنفيذية'!$G$2:$G$421,$G605,'الشؤون التنفيذية'!$I$2:$I$421,$I605)+SUMIFS('الجهاز العسكري'!$M$2:$M$631,'الجهاز العسكري'!$B$2:$B$631,$B605,'الجهاز العسكري'!$G$2:$G$631,$G605,'الجهاز العسكري'!$I$2:$I$631,$I605))/$L605,0))</f>
        <v>80</v>
      </c>
      <c r="O605" s="18"/>
      <c r="P605" s="15">
        <f>SUMIFS(المرجع!$G$2:$G$19,المرجع!$B$2:$B$19,$G605,المرجع!$E$2:$E$19,$I605)</f>
        <v>20</v>
      </c>
      <c r="Q605" s="20">
        <f t="shared" si="10"/>
        <v>16</v>
      </c>
      <c r="R605" s="21" t="str">
        <f>IF($N605&gt;المرجع!$K$3,"متقدم",IF($N605&lt;=المرجع!$K$2,"أولي","جزئي"))</f>
        <v>متقدم</v>
      </c>
    </row>
    <row r="606" spans="1:18">
      <c r="A606" s="16" t="s">
        <v>2046</v>
      </c>
      <c r="B606" s="16" t="s">
        <v>218</v>
      </c>
      <c r="C606" s="15" t="str">
        <f>IFERROR(INDEX('قائمة الوحدات'!$B$2:$B$41,MATCH($B606,'قائمة الوحدات'!$A$2:$A$41,0)),"")</f>
        <v>MIL</v>
      </c>
      <c r="D606" s="14" t="str">
        <f>IFERROR(INDEX('قائمة الوحدات'!$C$2:$C$41,MATCH($B606,'قائمة الوحدات'!$A$2:$A$41,0)),"")</f>
        <v>الجهاز العسكري</v>
      </c>
      <c r="E606" s="14" t="str">
        <f>IFERROR(INDEX('قائمة الوحدات'!$D$2:$D$41,MATCH($B606,'قائمة الوحدات'!$A$2:$A$41,0)),"")</f>
        <v>الإدارة العامة للتدريب والتأهيل العسكري</v>
      </c>
      <c r="F606" s="14" t="str">
        <f>IFERROR(INDEX('قائمة الوحدات'!$F$2:$F$41,MATCH($B606,'قائمة الوحدات'!$A$2:$A$41,0)),"")</f>
        <v>الإدارة العامة للتدريب والتأهيل العسكري</v>
      </c>
      <c r="G606" s="16" t="s">
        <v>61</v>
      </c>
      <c r="H606" s="14" t="str">
        <f>IFERROR(INDEX(المرجع!$A$2:$A$19,MATCH($G606,المرجع!$B$2:$B$19,0)),"")</f>
        <v>البناء المؤسسي</v>
      </c>
      <c r="I606" s="16" t="s">
        <v>56</v>
      </c>
      <c r="J606" s="14" t="str">
        <f>IFERROR(INDEX(المرجع!$D$2:$D$19,MATCH($I606,المرجع!$E$2:$E$19,0)),"")</f>
        <v>الموارد</v>
      </c>
      <c r="K606" s="15">
        <f>IFERROR(INDEX(المرجع!$F$2:$F$19,MATCH($I606,المرجع!$E$2:$E$19,0)),"")</f>
        <v>5</v>
      </c>
      <c r="L606" s="15">
        <f>SUMIFS(المرجع!$H$2:$H$19,المرجع!$B$2:$B$19,$G606,المرجع!$E$2:$E$19,$I606)</f>
        <v>4</v>
      </c>
      <c r="M606" s="15">
        <f>COUNTIFS('المرتبطة بسمو الوزير'!$B$2:$B$151,$B606,'المرتبطة بسمو الوزير'!$G$2:$G$151,$G606,'المرتبطة بسمو الوزير'!$I$2:$I$151,$I606,'المرتبطة بسمو الوزير'!$M$2:$M$151,"&lt;&gt;")+COUNTIFS('الشؤون التنفيذية'!$B$2:$B$421,$B606,'الشؤون التنفيذية'!$G$2:$G$421,$G606,'الشؤون التنفيذية'!$I$2:$I$421,$I606,'الشؤون التنفيذية'!$N$2:$N$421,"&lt;&gt;")+COUNTIFS('الجهاز العسكري'!$B$2:$B$631,$B606,'الجهاز العسكري'!$G$2:$G$631,$G606,'الجهاز العسكري'!$I$2:$I$631,$I606,'الجهاز العسكري'!$M$2:$M$631,"&lt;&gt;")</f>
        <v>4</v>
      </c>
      <c r="N606" s="19">
        <f>IF($L606=0,0,ROUND((SUMIFS('المرتبطة بسمو الوزير'!$M$2:$M$151,'المرتبطة بسمو الوزير'!$B$2:$B$151,$B606,'المرتبطة بسمو الوزير'!$G$2:$G$151,$G606,'المرتبطة بسمو الوزير'!$I$2:$I$151,$I606)+SUMIFS('الشؤون التنفيذية'!$N$2:$N$421,'الشؤون التنفيذية'!$B$2:$B$421,$B606,'الشؤون التنفيذية'!$G$2:$G$421,$G606,'الشؤون التنفيذية'!$I$2:$I$421,$I606)+SUMIFS('الجهاز العسكري'!$M$2:$M$631,'الجهاز العسكري'!$B$2:$B$631,$B606,'الجهاز العسكري'!$G$2:$G$631,$G606,'الجهاز العسكري'!$I$2:$I$631,$I606))/$L606,0))</f>
        <v>74</v>
      </c>
      <c r="O606" s="18"/>
      <c r="P606" s="15">
        <f>SUMIFS(المرجع!$G$2:$G$19,المرجع!$B$2:$B$19,$G606,المرجع!$E$2:$E$19,$I606)</f>
        <v>25</v>
      </c>
      <c r="Q606" s="20">
        <f t="shared" si="10"/>
        <v>18.5</v>
      </c>
      <c r="R606" s="21" t="str">
        <f>IF($N606&gt;المرجع!$K$3,"متقدم",IF($N606&lt;=المرجع!$K$2,"أولي","جزئي"))</f>
        <v>متقدم</v>
      </c>
    </row>
    <row r="607" spans="1:18">
      <c r="A607" s="16" t="s">
        <v>2047</v>
      </c>
      <c r="B607" s="16" t="s">
        <v>218</v>
      </c>
      <c r="C607" s="15" t="str">
        <f>IFERROR(INDEX('قائمة الوحدات'!$B$2:$B$41,MATCH($B607,'قائمة الوحدات'!$A$2:$A$41,0)),"")</f>
        <v>MIL</v>
      </c>
      <c r="D607" s="14" t="str">
        <f>IFERROR(INDEX('قائمة الوحدات'!$C$2:$C$41,MATCH($B607,'قائمة الوحدات'!$A$2:$A$41,0)),"")</f>
        <v>الجهاز العسكري</v>
      </c>
      <c r="E607" s="14" t="str">
        <f>IFERROR(INDEX('قائمة الوحدات'!$D$2:$D$41,MATCH($B607,'قائمة الوحدات'!$A$2:$A$41,0)),"")</f>
        <v>الإدارة العامة للتدريب والتأهيل العسكري</v>
      </c>
      <c r="F607" s="14" t="str">
        <f>IFERROR(INDEX('قائمة الوحدات'!$F$2:$F$41,MATCH($B607,'قائمة الوحدات'!$A$2:$A$41,0)),"")</f>
        <v>الإدارة العامة للتدريب والتأهيل العسكري</v>
      </c>
      <c r="G607" s="16" t="s">
        <v>61</v>
      </c>
      <c r="H607" s="14" t="str">
        <f>IFERROR(INDEX(المرجع!$A$2:$A$19,MATCH($G607,المرجع!$B$2:$B$19,0)),"")</f>
        <v>البناء المؤسسي</v>
      </c>
      <c r="I607" s="16" t="s">
        <v>59</v>
      </c>
      <c r="J607" s="14" t="str">
        <f>IFERROR(INDEX(المرجع!$D$2:$D$19,MATCH($I607,المرجع!$E$2:$E$19,0)),"")</f>
        <v>الإجراءات</v>
      </c>
      <c r="K607" s="15">
        <f>IFERROR(INDEX(المرجع!$F$2:$F$19,MATCH($I607,المرجع!$E$2:$E$19,0)),"")</f>
        <v>6</v>
      </c>
      <c r="L607" s="15">
        <f>SUMIFS(المرجع!$H$2:$H$19,المرجع!$B$2:$B$19,$G607,المرجع!$E$2:$E$19,$I607)</f>
        <v>1</v>
      </c>
      <c r="M607" s="15">
        <f>COUNTIFS('المرتبطة بسمو الوزير'!$B$2:$B$151,$B607,'المرتبطة بسمو الوزير'!$G$2:$G$151,$G607,'المرتبطة بسمو الوزير'!$I$2:$I$151,$I607,'المرتبطة بسمو الوزير'!$M$2:$M$151,"&lt;&gt;")+COUNTIFS('الشؤون التنفيذية'!$B$2:$B$421,$B607,'الشؤون التنفيذية'!$G$2:$G$421,$G607,'الشؤون التنفيذية'!$I$2:$I$421,$I607,'الشؤون التنفيذية'!$N$2:$N$421,"&lt;&gt;")+COUNTIFS('الجهاز العسكري'!$B$2:$B$631,$B607,'الجهاز العسكري'!$G$2:$G$631,$G607,'الجهاز العسكري'!$I$2:$I$631,$I607,'الجهاز العسكري'!$M$2:$M$631,"&lt;&gt;")</f>
        <v>1</v>
      </c>
      <c r="N607" s="19">
        <f>IF($L607=0,0,ROUND((SUMIFS('المرتبطة بسمو الوزير'!$M$2:$M$151,'المرتبطة بسمو الوزير'!$B$2:$B$151,$B607,'المرتبطة بسمو الوزير'!$G$2:$G$151,$G607,'المرتبطة بسمو الوزير'!$I$2:$I$151,$I607)+SUMIFS('الشؤون التنفيذية'!$N$2:$N$421,'الشؤون التنفيذية'!$B$2:$B$421,$B607,'الشؤون التنفيذية'!$G$2:$G$421,$G607,'الشؤون التنفيذية'!$I$2:$I$421,$I607)+SUMIFS('الجهاز العسكري'!$M$2:$M$631,'الجهاز العسكري'!$B$2:$B$631,$B607,'الجهاز العسكري'!$G$2:$G$631,$G607,'الجهاز العسكري'!$I$2:$I$631,$I607))/$L607,0))</f>
        <v>53</v>
      </c>
      <c r="O607" s="18"/>
      <c r="P607" s="15">
        <f>SUMIFS(المرجع!$G$2:$G$19,المرجع!$B$2:$B$19,$G607,المرجع!$E$2:$E$19,$I607)</f>
        <v>5</v>
      </c>
      <c r="Q607" s="20">
        <f t="shared" si="10"/>
        <v>2.65</v>
      </c>
      <c r="R607" s="21" t="str">
        <f>IF($N607&gt;المرجع!$K$3,"متقدم",IF($N607&lt;=المرجع!$K$2,"أولي","جزئي"))</f>
        <v>جزئي</v>
      </c>
    </row>
    <row r="608" spans="1:18">
      <c r="A608" s="16" t="s">
        <v>2048</v>
      </c>
      <c r="B608" s="16" t="s">
        <v>218</v>
      </c>
      <c r="C608" s="15" t="str">
        <f>IFERROR(INDEX('قائمة الوحدات'!$B$2:$B$41,MATCH($B608,'قائمة الوحدات'!$A$2:$A$41,0)),"")</f>
        <v>MIL</v>
      </c>
      <c r="D608" s="14" t="str">
        <f>IFERROR(INDEX('قائمة الوحدات'!$C$2:$C$41,MATCH($B608,'قائمة الوحدات'!$A$2:$A$41,0)),"")</f>
        <v>الجهاز العسكري</v>
      </c>
      <c r="E608" s="14" t="str">
        <f>IFERROR(INDEX('قائمة الوحدات'!$D$2:$D$41,MATCH($B608,'قائمة الوحدات'!$A$2:$A$41,0)),"")</f>
        <v>الإدارة العامة للتدريب والتأهيل العسكري</v>
      </c>
      <c r="F608" s="14" t="str">
        <f>IFERROR(INDEX('قائمة الوحدات'!$F$2:$F$41,MATCH($B608,'قائمة الوحدات'!$A$2:$A$41,0)),"")</f>
        <v>الإدارة العامة للتدريب والتأهيل العسكري</v>
      </c>
      <c r="G608" s="16" t="s">
        <v>61</v>
      </c>
      <c r="H608" s="14" t="str">
        <f>IFERROR(INDEX(المرجع!$A$2:$A$19,MATCH($G608,المرجع!$B$2:$B$19,0)),"")</f>
        <v>البناء المؤسسي</v>
      </c>
      <c r="I608" s="16" t="s">
        <v>63</v>
      </c>
      <c r="J608" s="14" t="str">
        <f>IFERROR(INDEX(المرجع!$D$2:$D$19,MATCH($I608,المرجع!$E$2:$E$19,0)),"")</f>
        <v>إنتاج المخرج الأول</v>
      </c>
      <c r="K608" s="15">
        <f>IFERROR(INDEX(المرجع!$F$2:$F$19,MATCH($I608,المرجع!$E$2:$E$19,0)),"")</f>
        <v>7</v>
      </c>
      <c r="L608" s="15">
        <f>SUMIFS(المرجع!$H$2:$H$19,المرجع!$B$2:$B$19,$G608,المرجع!$E$2:$E$19,$I608)</f>
        <v>1</v>
      </c>
      <c r="M608" s="15">
        <f>COUNTIFS('المرتبطة بسمو الوزير'!$B$2:$B$151,$B608,'المرتبطة بسمو الوزير'!$G$2:$G$151,$G608,'المرتبطة بسمو الوزير'!$I$2:$I$151,$I608,'المرتبطة بسمو الوزير'!$M$2:$M$151,"&lt;&gt;")+COUNTIFS('الشؤون التنفيذية'!$B$2:$B$421,$B608,'الشؤون التنفيذية'!$G$2:$G$421,$G608,'الشؤون التنفيذية'!$I$2:$I$421,$I608,'الشؤون التنفيذية'!$N$2:$N$421,"&lt;&gt;")+COUNTIFS('الجهاز العسكري'!$B$2:$B$631,$B608,'الجهاز العسكري'!$G$2:$G$631,$G608,'الجهاز العسكري'!$I$2:$I$631,$I608,'الجهاز العسكري'!$M$2:$M$631,"&lt;&gt;")</f>
        <v>1</v>
      </c>
      <c r="N608" s="19">
        <f>IF($L608=0,0,ROUND((SUMIFS('المرتبطة بسمو الوزير'!$M$2:$M$151,'المرتبطة بسمو الوزير'!$B$2:$B$151,$B608,'المرتبطة بسمو الوزير'!$G$2:$G$151,$G608,'المرتبطة بسمو الوزير'!$I$2:$I$151,$I608)+SUMIFS('الشؤون التنفيذية'!$N$2:$N$421,'الشؤون التنفيذية'!$B$2:$B$421,$B608,'الشؤون التنفيذية'!$G$2:$G$421,$G608,'الشؤون التنفيذية'!$I$2:$I$421,$I608)+SUMIFS('الجهاز العسكري'!$M$2:$M$631,'الجهاز العسكري'!$B$2:$B$631,$B608,'الجهاز العسكري'!$G$2:$G$631,$G608,'الجهاز العسكري'!$I$2:$I$631,$I608))/$L608,0))</f>
        <v>43</v>
      </c>
      <c r="O608" s="18"/>
      <c r="P608" s="15">
        <f>SUMIFS(المرجع!$G$2:$G$19,المرجع!$B$2:$B$19,$G608,المرجع!$E$2:$E$19,$I608)</f>
        <v>5</v>
      </c>
      <c r="Q608" s="20">
        <f t="shared" si="10"/>
        <v>2.15</v>
      </c>
      <c r="R608" s="21" t="str">
        <f>IF($N608&gt;المرجع!$K$3,"متقدم",IF($N608&lt;=المرجع!$K$2,"أولي","جزئي"))</f>
        <v>جزئي</v>
      </c>
    </row>
    <row r="609" spans="1:18">
      <c r="A609" s="16" t="s">
        <v>2049</v>
      </c>
      <c r="B609" s="16" t="s">
        <v>218</v>
      </c>
      <c r="C609" s="15" t="str">
        <f>IFERROR(INDEX('قائمة الوحدات'!$B$2:$B$41,MATCH($B609,'قائمة الوحدات'!$A$2:$A$41,0)),"")</f>
        <v>MIL</v>
      </c>
      <c r="D609" s="14" t="str">
        <f>IFERROR(INDEX('قائمة الوحدات'!$C$2:$C$41,MATCH($B609,'قائمة الوحدات'!$A$2:$A$41,0)),"")</f>
        <v>الجهاز العسكري</v>
      </c>
      <c r="E609" s="14" t="str">
        <f>IFERROR(INDEX('قائمة الوحدات'!$D$2:$D$41,MATCH($B609,'قائمة الوحدات'!$A$2:$A$41,0)),"")</f>
        <v>الإدارة العامة للتدريب والتأهيل العسكري</v>
      </c>
      <c r="F609" s="14" t="str">
        <f>IFERROR(INDEX('قائمة الوحدات'!$F$2:$F$41,MATCH($B609,'قائمة الوحدات'!$A$2:$A$41,0)),"")</f>
        <v>الإدارة العامة للتدريب والتأهيل العسكري</v>
      </c>
      <c r="G609" s="16" t="s">
        <v>65</v>
      </c>
      <c r="H609" s="14" t="str">
        <f>IFERROR(INDEX(المرجع!$A$2:$A$19,MATCH($G609,المرجع!$B$2:$B$19,0)),"")</f>
        <v>التشغيل</v>
      </c>
      <c r="I609" s="16" t="s">
        <v>48</v>
      </c>
      <c r="J609" s="14" t="str">
        <f>IFERROR(INDEX(المرجع!$D$2:$D$19,MATCH($I609,المرجع!$E$2:$E$19,0)),"")</f>
        <v>الأهداف ومؤشرات الأداء</v>
      </c>
      <c r="K609" s="15">
        <f>IFERROR(INDEX(المرجع!$F$2:$F$19,MATCH($I609,المرجع!$E$2:$E$19,0)),"")</f>
        <v>2</v>
      </c>
      <c r="L609" s="15">
        <f>SUMIFS(المرجع!$H$2:$H$19,المرجع!$B$2:$B$19,$G609,المرجع!$E$2:$E$19,$I609)</f>
        <v>2</v>
      </c>
      <c r="M609" s="15">
        <f>COUNTIFS('المرتبطة بسمو الوزير'!$B$2:$B$151,$B609,'المرتبطة بسمو الوزير'!$G$2:$G$151,$G609,'المرتبطة بسمو الوزير'!$I$2:$I$151,$I609,'المرتبطة بسمو الوزير'!$M$2:$M$151,"&lt;&gt;")+COUNTIFS('الشؤون التنفيذية'!$B$2:$B$421,$B609,'الشؤون التنفيذية'!$G$2:$G$421,$G609,'الشؤون التنفيذية'!$I$2:$I$421,$I609,'الشؤون التنفيذية'!$N$2:$N$421,"&lt;&gt;")+COUNTIFS('الجهاز العسكري'!$B$2:$B$631,$B609,'الجهاز العسكري'!$G$2:$G$631,$G609,'الجهاز العسكري'!$I$2:$I$631,$I609,'الجهاز العسكري'!$M$2:$M$631,"&lt;&gt;")</f>
        <v>2</v>
      </c>
      <c r="N609" s="19">
        <f>IF($L609=0,0,ROUND((SUMIFS('المرتبطة بسمو الوزير'!$M$2:$M$151,'المرتبطة بسمو الوزير'!$B$2:$B$151,$B609,'المرتبطة بسمو الوزير'!$G$2:$G$151,$G609,'المرتبطة بسمو الوزير'!$I$2:$I$151,$I609)+SUMIFS('الشؤون التنفيذية'!$N$2:$N$421,'الشؤون التنفيذية'!$B$2:$B$421,$B609,'الشؤون التنفيذية'!$G$2:$G$421,$G609,'الشؤون التنفيذية'!$I$2:$I$421,$I609)+SUMIFS('الجهاز العسكري'!$M$2:$M$631,'الجهاز العسكري'!$B$2:$B$631,$B609,'الجهاز العسكري'!$G$2:$G$631,$G609,'الجهاز العسكري'!$I$2:$I$631,$I609))/$L609,0))</f>
        <v>58</v>
      </c>
      <c r="O609" s="18"/>
      <c r="P609" s="15">
        <f>SUMIFS(المرجع!$G$2:$G$19,المرجع!$B$2:$B$19,$G609,المرجع!$E$2:$E$19,$I609)</f>
        <v>25</v>
      </c>
      <c r="Q609" s="20">
        <f t="shared" si="10"/>
        <v>14.5</v>
      </c>
      <c r="R609" s="21" t="str">
        <f>IF($N609&gt;المرجع!$K$3,"متقدم",IF($N609&lt;=المرجع!$K$2,"أولي","جزئي"))</f>
        <v>جزئي</v>
      </c>
    </row>
    <row r="610" spans="1:18">
      <c r="A610" s="16" t="s">
        <v>2050</v>
      </c>
      <c r="B610" s="16" t="s">
        <v>218</v>
      </c>
      <c r="C610" s="15" t="str">
        <f>IFERROR(INDEX('قائمة الوحدات'!$B$2:$B$41,MATCH($B610,'قائمة الوحدات'!$A$2:$A$41,0)),"")</f>
        <v>MIL</v>
      </c>
      <c r="D610" s="14" t="str">
        <f>IFERROR(INDEX('قائمة الوحدات'!$C$2:$C$41,MATCH($B610,'قائمة الوحدات'!$A$2:$A$41,0)),"")</f>
        <v>الجهاز العسكري</v>
      </c>
      <c r="E610" s="14" t="str">
        <f>IFERROR(INDEX('قائمة الوحدات'!$D$2:$D$41,MATCH($B610,'قائمة الوحدات'!$A$2:$A$41,0)),"")</f>
        <v>الإدارة العامة للتدريب والتأهيل العسكري</v>
      </c>
      <c r="F610" s="14" t="str">
        <f>IFERROR(INDEX('قائمة الوحدات'!$F$2:$F$41,MATCH($B610,'قائمة الوحدات'!$A$2:$A$41,0)),"")</f>
        <v>الإدارة العامة للتدريب والتأهيل العسكري</v>
      </c>
      <c r="G610" s="16" t="s">
        <v>65</v>
      </c>
      <c r="H610" s="14" t="str">
        <f>IFERROR(INDEX(المرجع!$A$2:$A$19,MATCH($G610,المرجع!$B$2:$B$19,0)),"")</f>
        <v>التشغيل</v>
      </c>
      <c r="I610" s="16" t="s">
        <v>51</v>
      </c>
      <c r="J610" s="14" t="str">
        <f>IFERROR(INDEX(المرجع!$D$2:$D$19,MATCH($I610,المرجع!$E$2:$E$19,0)),"")</f>
        <v>الحوكمة</v>
      </c>
      <c r="K610" s="15">
        <f>IFERROR(INDEX(المرجع!$F$2:$F$19,MATCH($I610,المرجع!$E$2:$E$19,0)),"")</f>
        <v>3</v>
      </c>
      <c r="L610" s="15">
        <f>SUMIFS(المرجع!$H$2:$H$19,المرجع!$B$2:$B$19,$G610,المرجع!$E$2:$E$19,$I610)</f>
        <v>3</v>
      </c>
      <c r="M610" s="15">
        <f>COUNTIFS('المرتبطة بسمو الوزير'!$B$2:$B$151,$B610,'المرتبطة بسمو الوزير'!$G$2:$G$151,$G610,'المرتبطة بسمو الوزير'!$I$2:$I$151,$I610,'المرتبطة بسمو الوزير'!$M$2:$M$151,"&lt;&gt;")+COUNTIFS('الشؤون التنفيذية'!$B$2:$B$421,$B610,'الشؤون التنفيذية'!$G$2:$G$421,$G610,'الشؤون التنفيذية'!$I$2:$I$421,$I610,'الشؤون التنفيذية'!$N$2:$N$421,"&lt;&gt;")+COUNTIFS('الجهاز العسكري'!$B$2:$B$631,$B610,'الجهاز العسكري'!$G$2:$G$631,$G610,'الجهاز العسكري'!$I$2:$I$631,$I610,'الجهاز العسكري'!$M$2:$M$631,"&lt;&gt;")</f>
        <v>3</v>
      </c>
      <c r="N610" s="19">
        <f>IF($L610=0,0,ROUND((SUMIFS('المرتبطة بسمو الوزير'!$M$2:$M$151,'المرتبطة بسمو الوزير'!$B$2:$B$151,$B610,'المرتبطة بسمو الوزير'!$G$2:$G$151,$G610,'المرتبطة بسمو الوزير'!$I$2:$I$151,$I610)+SUMIFS('الشؤون التنفيذية'!$N$2:$N$421,'الشؤون التنفيذية'!$B$2:$B$421,$B610,'الشؤون التنفيذية'!$G$2:$G$421,$G610,'الشؤون التنفيذية'!$I$2:$I$421,$I610)+SUMIFS('الجهاز العسكري'!$M$2:$M$631,'الجهاز العسكري'!$B$2:$B$631,$B610,'الجهاز العسكري'!$G$2:$G$631,$G610,'الجهاز العسكري'!$I$2:$I$631,$I610))/$L610,0))</f>
        <v>27</v>
      </c>
      <c r="O610" s="18"/>
      <c r="P610" s="15">
        <f>SUMIFS(المرجع!$G$2:$G$19,المرجع!$B$2:$B$19,$G610,المرجع!$E$2:$E$19,$I610)</f>
        <v>15</v>
      </c>
      <c r="Q610" s="20">
        <f t="shared" si="10"/>
        <v>4.05</v>
      </c>
      <c r="R610" s="21" t="str">
        <f>IF($N610&gt;المرجع!$K$3,"متقدم",IF($N610&lt;=المرجع!$K$2,"أولي","جزئي"))</f>
        <v>أولي</v>
      </c>
    </row>
    <row r="611" spans="1:18">
      <c r="A611" s="16" t="s">
        <v>2051</v>
      </c>
      <c r="B611" s="16" t="s">
        <v>218</v>
      </c>
      <c r="C611" s="15" t="str">
        <f>IFERROR(INDEX('قائمة الوحدات'!$B$2:$B$41,MATCH($B611,'قائمة الوحدات'!$A$2:$A$41,0)),"")</f>
        <v>MIL</v>
      </c>
      <c r="D611" s="14" t="str">
        <f>IFERROR(INDEX('قائمة الوحدات'!$C$2:$C$41,MATCH($B611,'قائمة الوحدات'!$A$2:$A$41,0)),"")</f>
        <v>الجهاز العسكري</v>
      </c>
      <c r="E611" s="14" t="str">
        <f>IFERROR(INDEX('قائمة الوحدات'!$D$2:$D$41,MATCH($B611,'قائمة الوحدات'!$A$2:$A$41,0)),"")</f>
        <v>الإدارة العامة للتدريب والتأهيل العسكري</v>
      </c>
      <c r="F611" s="14" t="str">
        <f>IFERROR(INDEX('قائمة الوحدات'!$F$2:$F$41,MATCH($B611,'قائمة الوحدات'!$A$2:$A$41,0)),"")</f>
        <v>الإدارة العامة للتدريب والتأهيل العسكري</v>
      </c>
      <c r="G611" s="16" t="s">
        <v>65</v>
      </c>
      <c r="H611" s="14" t="str">
        <f>IFERROR(INDEX(المرجع!$A$2:$A$19,MATCH($G611,المرجع!$B$2:$B$19,0)),"")</f>
        <v>التشغيل</v>
      </c>
      <c r="I611" s="16" t="s">
        <v>56</v>
      </c>
      <c r="J611" s="14" t="str">
        <f>IFERROR(INDEX(المرجع!$D$2:$D$19,MATCH($I611,المرجع!$E$2:$E$19,0)),"")</f>
        <v>الموارد</v>
      </c>
      <c r="K611" s="15">
        <f>IFERROR(INDEX(المرجع!$F$2:$F$19,MATCH($I611,المرجع!$E$2:$E$19,0)),"")</f>
        <v>5</v>
      </c>
      <c r="L611" s="15">
        <f>SUMIFS(المرجع!$H$2:$H$19,المرجع!$B$2:$B$19,$G611,المرجع!$E$2:$E$19,$I611)</f>
        <v>1</v>
      </c>
      <c r="M611" s="15">
        <f>COUNTIFS('المرتبطة بسمو الوزير'!$B$2:$B$151,$B611,'المرتبطة بسمو الوزير'!$G$2:$G$151,$G611,'المرتبطة بسمو الوزير'!$I$2:$I$151,$I611,'المرتبطة بسمو الوزير'!$M$2:$M$151,"&lt;&gt;")+COUNTIFS('الشؤون التنفيذية'!$B$2:$B$421,$B611,'الشؤون التنفيذية'!$G$2:$G$421,$G611,'الشؤون التنفيذية'!$I$2:$I$421,$I611,'الشؤون التنفيذية'!$N$2:$N$421,"&lt;&gt;")+COUNTIFS('الجهاز العسكري'!$B$2:$B$631,$B611,'الجهاز العسكري'!$G$2:$G$631,$G611,'الجهاز العسكري'!$I$2:$I$631,$I611,'الجهاز العسكري'!$M$2:$M$631,"&lt;&gt;")</f>
        <v>1</v>
      </c>
      <c r="N611" s="19">
        <f>IF($L611=0,0,ROUND((SUMIFS('المرتبطة بسمو الوزير'!$M$2:$M$151,'المرتبطة بسمو الوزير'!$B$2:$B$151,$B611,'المرتبطة بسمو الوزير'!$G$2:$G$151,$G611,'المرتبطة بسمو الوزير'!$I$2:$I$151,$I611)+SUMIFS('الشؤون التنفيذية'!$N$2:$N$421,'الشؤون التنفيذية'!$B$2:$B$421,$B611,'الشؤون التنفيذية'!$G$2:$G$421,$G611,'الشؤون التنفيذية'!$I$2:$I$421,$I611)+SUMIFS('الجهاز العسكري'!$M$2:$M$631,'الجهاز العسكري'!$B$2:$B$631,$B611,'الجهاز العسكري'!$G$2:$G$631,$G611,'الجهاز العسكري'!$I$2:$I$631,$I611))/$L611,0))</f>
        <v>44</v>
      </c>
      <c r="O611" s="18"/>
      <c r="P611" s="15">
        <f>SUMIFS(المرجع!$G$2:$G$19,المرجع!$B$2:$B$19,$G611,المرجع!$E$2:$E$19,$I611)</f>
        <v>15</v>
      </c>
      <c r="Q611" s="20">
        <f t="shared" si="10"/>
        <v>6.6</v>
      </c>
      <c r="R611" s="21" t="str">
        <f>IF($N611&gt;المرجع!$K$3,"متقدم",IF($N611&lt;=المرجع!$K$2,"أولي","جزئي"))</f>
        <v>جزئي</v>
      </c>
    </row>
    <row r="612" spans="1:18">
      <c r="A612" s="16" t="s">
        <v>2052</v>
      </c>
      <c r="B612" s="16" t="s">
        <v>218</v>
      </c>
      <c r="C612" s="15" t="str">
        <f>IFERROR(INDEX('قائمة الوحدات'!$B$2:$B$41,MATCH($B612,'قائمة الوحدات'!$A$2:$A$41,0)),"")</f>
        <v>MIL</v>
      </c>
      <c r="D612" s="14" t="str">
        <f>IFERROR(INDEX('قائمة الوحدات'!$C$2:$C$41,MATCH($B612,'قائمة الوحدات'!$A$2:$A$41,0)),"")</f>
        <v>الجهاز العسكري</v>
      </c>
      <c r="E612" s="14" t="str">
        <f>IFERROR(INDEX('قائمة الوحدات'!$D$2:$D$41,MATCH($B612,'قائمة الوحدات'!$A$2:$A$41,0)),"")</f>
        <v>الإدارة العامة للتدريب والتأهيل العسكري</v>
      </c>
      <c r="F612" s="14" t="str">
        <f>IFERROR(INDEX('قائمة الوحدات'!$F$2:$F$41,MATCH($B612,'قائمة الوحدات'!$A$2:$A$41,0)),"")</f>
        <v>الإدارة العامة للتدريب والتأهيل العسكري</v>
      </c>
      <c r="G612" s="16" t="s">
        <v>65</v>
      </c>
      <c r="H612" s="14" t="str">
        <f>IFERROR(INDEX(المرجع!$A$2:$A$19,MATCH($G612,المرجع!$B$2:$B$19,0)),"")</f>
        <v>التشغيل</v>
      </c>
      <c r="I612" s="16" t="s">
        <v>59</v>
      </c>
      <c r="J612" s="14" t="str">
        <f>IFERROR(INDEX(المرجع!$D$2:$D$19,MATCH($I612,المرجع!$E$2:$E$19,0)),"")</f>
        <v>الإجراءات</v>
      </c>
      <c r="K612" s="15">
        <f>IFERROR(INDEX(المرجع!$F$2:$F$19,MATCH($I612,المرجع!$E$2:$E$19,0)),"")</f>
        <v>6</v>
      </c>
      <c r="L612" s="15">
        <f>SUMIFS(المرجع!$H$2:$H$19,المرجع!$B$2:$B$19,$G612,المرجع!$E$2:$E$19,$I612)</f>
        <v>1</v>
      </c>
      <c r="M612" s="15">
        <f>COUNTIFS('المرتبطة بسمو الوزير'!$B$2:$B$151,$B612,'المرتبطة بسمو الوزير'!$G$2:$G$151,$G612,'المرتبطة بسمو الوزير'!$I$2:$I$151,$I612,'المرتبطة بسمو الوزير'!$M$2:$M$151,"&lt;&gt;")+COUNTIFS('الشؤون التنفيذية'!$B$2:$B$421,$B612,'الشؤون التنفيذية'!$G$2:$G$421,$G612,'الشؤون التنفيذية'!$I$2:$I$421,$I612,'الشؤون التنفيذية'!$N$2:$N$421,"&lt;&gt;")+COUNTIFS('الجهاز العسكري'!$B$2:$B$631,$B612,'الجهاز العسكري'!$G$2:$G$631,$G612,'الجهاز العسكري'!$I$2:$I$631,$I612,'الجهاز العسكري'!$M$2:$M$631,"&lt;&gt;")</f>
        <v>1</v>
      </c>
      <c r="N612" s="19">
        <f>IF($L612=0,0,ROUND((SUMIFS('المرتبطة بسمو الوزير'!$M$2:$M$151,'المرتبطة بسمو الوزير'!$B$2:$B$151,$B612,'المرتبطة بسمو الوزير'!$G$2:$G$151,$G612,'المرتبطة بسمو الوزير'!$I$2:$I$151,$I612)+SUMIFS('الشؤون التنفيذية'!$N$2:$N$421,'الشؤون التنفيذية'!$B$2:$B$421,$B612,'الشؤون التنفيذية'!$G$2:$G$421,$G612,'الشؤون التنفيذية'!$I$2:$I$421,$I612)+SUMIFS('الجهاز العسكري'!$M$2:$M$631,'الجهاز العسكري'!$B$2:$B$631,$B612,'الجهاز العسكري'!$G$2:$G$631,$G612,'الجهاز العسكري'!$I$2:$I$631,$I612))/$L612,0))</f>
        <v>49</v>
      </c>
      <c r="O612" s="18"/>
      <c r="P612" s="15">
        <f>SUMIFS(المرجع!$G$2:$G$19,المرجع!$B$2:$B$19,$G612,المرجع!$E$2:$E$19,$I612)</f>
        <v>15</v>
      </c>
      <c r="Q612" s="20">
        <f t="shared" si="10"/>
        <v>7.35</v>
      </c>
      <c r="R612" s="21" t="str">
        <f>IF($N612&gt;المرجع!$K$3,"متقدم",IF($N612&lt;=المرجع!$K$2,"أولي","جزئي"))</f>
        <v>جزئي</v>
      </c>
    </row>
    <row r="613" spans="1:18">
      <c r="A613" s="16" t="s">
        <v>2053</v>
      </c>
      <c r="B613" s="16" t="s">
        <v>218</v>
      </c>
      <c r="C613" s="15" t="str">
        <f>IFERROR(INDEX('قائمة الوحدات'!$B$2:$B$41,MATCH($B613,'قائمة الوحدات'!$A$2:$A$41,0)),"")</f>
        <v>MIL</v>
      </c>
      <c r="D613" s="14" t="str">
        <f>IFERROR(INDEX('قائمة الوحدات'!$C$2:$C$41,MATCH($B613,'قائمة الوحدات'!$A$2:$A$41,0)),"")</f>
        <v>الجهاز العسكري</v>
      </c>
      <c r="E613" s="14" t="str">
        <f>IFERROR(INDEX('قائمة الوحدات'!$D$2:$D$41,MATCH($B613,'قائمة الوحدات'!$A$2:$A$41,0)),"")</f>
        <v>الإدارة العامة للتدريب والتأهيل العسكري</v>
      </c>
      <c r="F613" s="14" t="str">
        <f>IFERROR(INDEX('قائمة الوحدات'!$F$2:$F$41,MATCH($B613,'قائمة الوحدات'!$A$2:$A$41,0)),"")</f>
        <v>الإدارة العامة للتدريب والتأهيل العسكري</v>
      </c>
      <c r="G613" s="16" t="s">
        <v>65</v>
      </c>
      <c r="H613" s="14" t="str">
        <f>IFERROR(INDEX(المرجع!$A$2:$A$19,MATCH($G613,المرجع!$B$2:$B$19,0)),"")</f>
        <v>التشغيل</v>
      </c>
      <c r="I613" s="16" t="s">
        <v>67</v>
      </c>
      <c r="J613" s="14" t="str">
        <f>IFERROR(INDEX(المرجع!$D$2:$D$19,MATCH($I613,المرجع!$E$2:$E$19,0)),"")</f>
        <v>اكتمال المخرجات المستهدفة</v>
      </c>
      <c r="K613" s="15">
        <f>IFERROR(INDEX(المرجع!$F$2:$F$19,MATCH($I613,المرجع!$E$2:$E$19,0)),"")</f>
        <v>8</v>
      </c>
      <c r="L613" s="15">
        <f>SUMIFS(المرجع!$H$2:$H$19,المرجع!$B$2:$B$19,$G613,المرجع!$E$2:$E$19,$I613)</f>
        <v>1</v>
      </c>
      <c r="M613" s="15">
        <f>COUNTIFS('المرتبطة بسمو الوزير'!$B$2:$B$151,$B613,'المرتبطة بسمو الوزير'!$G$2:$G$151,$G613,'المرتبطة بسمو الوزير'!$I$2:$I$151,$I613,'المرتبطة بسمو الوزير'!$M$2:$M$151,"&lt;&gt;")+COUNTIFS('الشؤون التنفيذية'!$B$2:$B$421,$B613,'الشؤون التنفيذية'!$G$2:$G$421,$G613,'الشؤون التنفيذية'!$I$2:$I$421,$I613,'الشؤون التنفيذية'!$N$2:$N$421,"&lt;&gt;")+COUNTIFS('الجهاز العسكري'!$B$2:$B$631,$B613,'الجهاز العسكري'!$G$2:$G$631,$G613,'الجهاز العسكري'!$I$2:$I$631,$I613,'الجهاز العسكري'!$M$2:$M$631,"&lt;&gt;")</f>
        <v>1</v>
      </c>
      <c r="N613" s="19">
        <f>IF($L613=0,0,ROUND((SUMIFS('المرتبطة بسمو الوزير'!$M$2:$M$151,'المرتبطة بسمو الوزير'!$B$2:$B$151,$B613,'المرتبطة بسمو الوزير'!$G$2:$G$151,$G613,'المرتبطة بسمو الوزير'!$I$2:$I$151,$I613)+SUMIFS('الشؤون التنفيذية'!$N$2:$N$421,'الشؤون التنفيذية'!$B$2:$B$421,$B613,'الشؤون التنفيذية'!$G$2:$G$421,$G613,'الشؤون التنفيذية'!$I$2:$I$421,$I613)+SUMIFS('الجهاز العسكري'!$M$2:$M$631,'الجهاز العسكري'!$B$2:$B$631,$B613,'الجهاز العسكري'!$G$2:$G$631,$G613,'الجهاز العسكري'!$I$2:$I$631,$I613))/$L613,0))</f>
        <v>31</v>
      </c>
      <c r="O613" s="18"/>
      <c r="P613" s="15">
        <f>SUMIFS(المرجع!$G$2:$G$19,المرجع!$B$2:$B$19,$G613,المرجع!$E$2:$E$19,$I613)</f>
        <v>30</v>
      </c>
      <c r="Q613" s="20">
        <f t="shared" si="10"/>
        <v>9.3000000000000007</v>
      </c>
      <c r="R613" s="21" t="str">
        <f>IF($N613&gt;المرجع!$K$3,"متقدم",IF($N613&lt;=المرجع!$K$2,"أولي","جزئي"))</f>
        <v>جزئي</v>
      </c>
    </row>
    <row r="614" spans="1:18">
      <c r="A614" s="16" t="s">
        <v>2054</v>
      </c>
      <c r="B614" s="16" t="s">
        <v>220</v>
      </c>
      <c r="C614" s="15" t="str">
        <f>IFERROR(INDEX('قائمة الوحدات'!$B$2:$B$41,MATCH($B614,'قائمة الوحدات'!$A$2:$A$41,0)),"")</f>
        <v>MIL</v>
      </c>
      <c r="D614" s="14" t="str">
        <f>IFERROR(INDEX('قائمة الوحدات'!$C$2:$C$41,MATCH($B614,'قائمة الوحدات'!$A$2:$A$41,0)),"")</f>
        <v>الجهاز العسكري</v>
      </c>
      <c r="E614" s="14" t="str">
        <f>IFERROR(INDEX('قائمة الوحدات'!$D$2:$D$41,MATCH($B614,'قائمة الوحدات'!$A$2:$A$41,0)),"")</f>
        <v>الإدارة العامة للتسليح والعتاد</v>
      </c>
      <c r="F614" s="14" t="str">
        <f>IFERROR(INDEX('قائمة الوحدات'!$F$2:$F$41,MATCH($B614,'قائمة الوحدات'!$A$2:$A$41,0)),"")</f>
        <v>الإدارة العامة للتسليح والعتاد</v>
      </c>
      <c r="G614" s="16" t="s">
        <v>43</v>
      </c>
      <c r="H614" s="14" t="str">
        <f>IFERROR(INDEX(المرجع!$A$2:$A$19,MATCH($G614,المرجع!$B$2:$B$19,0)),"")</f>
        <v>التصميم</v>
      </c>
      <c r="I614" s="16" t="s">
        <v>45</v>
      </c>
      <c r="J614" s="14" t="str">
        <f>IFERROR(INDEX(المرجع!$D$2:$D$19,MATCH($I614,المرجع!$E$2:$E$19,0)),"")</f>
        <v>الدور</v>
      </c>
      <c r="K614" s="15">
        <f>IFERROR(INDEX(المرجع!$F$2:$F$19,MATCH($I614,المرجع!$E$2:$E$19,0)),"")</f>
        <v>1</v>
      </c>
      <c r="L614" s="15">
        <f>SUMIFS(المرجع!$H$2:$H$19,المرجع!$B$2:$B$19,$G614,المرجع!$E$2:$E$19,$I614)</f>
        <v>1</v>
      </c>
      <c r="M614" s="15">
        <f>COUNTIFS('المرتبطة بسمو الوزير'!$B$2:$B$151,$B614,'المرتبطة بسمو الوزير'!$G$2:$G$151,$G614,'المرتبطة بسمو الوزير'!$I$2:$I$151,$I614,'المرتبطة بسمو الوزير'!$M$2:$M$151,"&lt;&gt;")+COUNTIFS('الشؤون التنفيذية'!$B$2:$B$421,$B614,'الشؤون التنفيذية'!$G$2:$G$421,$G614,'الشؤون التنفيذية'!$I$2:$I$421,$I614,'الشؤون التنفيذية'!$N$2:$N$421,"&lt;&gt;")+COUNTIFS('الجهاز العسكري'!$B$2:$B$631,$B614,'الجهاز العسكري'!$G$2:$G$631,$G614,'الجهاز العسكري'!$I$2:$I$631,$I614,'الجهاز العسكري'!$M$2:$M$631,"&lt;&gt;")</f>
        <v>1</v>
      </c>
      <c r="N614" s="19">
        <f>IF($L614=0,0,ROUND((SUMIFS('المرتبطة بسمو الوزير'!$M$2:$M$151,'المرتبطة بسمو الوزير'!$B$2:$B$151,$B614,'المرتبطة بسمو الوزير'!$G$2:$G$151,$G614,'المرتبطة بسمو الوزير'!$I$2:$I$151,$I614)+SUMIFS('الشؤون التنفيذية'!$N$2:$N$421,'الشؤون التنفيذية'!$B$2:$B$421,$B614,'الشؤون التنفيذية'!$G$2:$G$421,$G614,'الشؤون التنفيذية'!$I$2:$I$421,$I614)+SUMIFS('الجهاز العسكري'!$M$2:$M$631,'الجهاز العسكري'!$B$2:$B$631,$B614,'الجهاز العسكري'!$G$2:$G$631,$G614,'الجهاز العسكري'!$I$2:$I$631,$I614))/$L614,0))</f>
        <v>79</v>
      </c>
      <c r="O614" s="18"/>
      <c r="P614" s="15">
        <f>SUMIFS(المرجع!$G$2:$G$19,المرجع!$B$2:$B$19,$G614,المرجع!$E$2:$E$19,$I614)</f>
        <v>25</v>
      </c>
      <c r="Q614" s="20">
        <f t="shared" si="10"/>
        <v>19.75</v>
      </c>
      <c r="R614" s="21" t="str">
        <f>IF($N614&gt;المرجع!$K$3,"متقدم",IF($N614&lt;=المرجع!$K$2,"أولي","جزئي"))</f>
        <v>متقدم</v>
      </c>
    </row>
    <row r="615" spans="1:18">
      <c r="A615" s="16" t="s">
        <v>2055</v>
      </c>
      <c r="B615" s="16" t="s">
        <v>220</v>
      </c>
      <c r="C615" s="15" t="str">
        <f>IFERROR(INDEX('قائمة الوحدات'!$B$2:$B$41,MATCH($B615,'قائمة الوحدات'!$A$2:$A$41,0)),"")</f>
        <v>MIL</v>
      </c>
      <c r="D615" s="14" t="str">
        <f>IFERROR(INDEX('قائمة الوحدات'!$C$2:$C$41,MATCH($B615,'قائمة الوحدات'!$A$2:$A$41,0)),"")</f>
        <v>الجهاز العسكري</v>
      </c>
      <c r="E615" s="14" t="str">
        <f>IFERROR(INDEX('قائمة الوحدات'!$D$2:$D$41,MATCH($B615,'قائمة الوحدات'!$A$2:$A$41,0)),"")</f>
        <v>الإدارة العامة للتسليح والعتاد</v>
      </c>
      <c r="F615" s="14" t="str">
        <f>IFERROR(INDEX('قائمة الوحدات'!$F$2:$F$41,MATCH($B615,'قائمة الوحدات'!$A$2:$A$41,0)),"")</f>
        <v>الإدارة العامة للتسليح والعتاد</v>
      </c>
      <c r="G615" s="16" t="s">
        <v>43</v>
      </c>
      <c r="H615" s="14" t="str">
        <f>IFERROR(INDEX(المرجع!$A$2:$A$19,MATCH($G615,المرجع!$B$2:$B$19,0)),"")</f>
        <v>التصميم</v>
      </c>
      <c r="I615" s="16" t="s">
        <v>48</v>
      </c>
      <c r="J615" s="14" t="str">
        <f>IFERROR(INDEX(المرجع!$D$2:$D$19,MATCH($I615,المرجع!$E$2:$E$19,0)),"")</f>
        <v>الأهداف ومؤشرات الأداء</v>
      </c>
      <c r="K615" s="15">
        <f>IFERROR(INDEX(المرجع!$F$2:$F$19,MATCH($I615,المرجع!$E$2:$E$19,0)),"")</f>
        <v>2</v>
      </c>
      <c r="L615" s="15">
        <f>SUMIFS(المرجع!$H$2:$H$19,المرجع!$B$2:$B$19,$G615,المرجع!$E$2:$E$19,$I615)</f>
        <v>2</v>
      </c>
      <c r="M615" s="15">
        <f>COUNTIFS('المرتبطة بسمو الوزير'!$B$2:$B$151,$B615,'المرتبطة بسمو الوزير'!$G$2:$G$151,$G615,'المرتبطة بسمو الوزير'!$I$2:$I$151,$I615,'المرتبطة بسمو الوزير'!$M$2:$M$151,"&lt;&gt;")+COUNTIFS('الشؤون التنفيذية'!$B$2:$B$421,$B615,'الشؤون التنفيذية'!$G$2:$G$421,$G615,'الشؤون التنفيذية'!$I$2:$I$421,$I615,'الشؤون التنفيذية'!$N$2:$N$421,"&lt;&gt;")+COUNTIFS('الجهاز العسكري'!$B$2:$B$631,$B615,'الجهاز العسكري'!$G$2:$G$631,$G615,'الجهاز العسكري'!$I$2:$I$631,$I615,'الجهاز العسكري'!$M$2:$M$631,"&lt;&gt;")</f>
        <v>2</v>
      </c>
      <c r="N615" s="19">
        <f>IF($L615=0,0,ROUND((SUMIFS('المرتبطة بسمو الوزير'!$M$2:$M$151,'المرتبطة بسمو الوزير'!$B$2:$B$151,$B615,'المرتبطة بسمو الوزير'!$G$2:$G$151,$G615,'المرتبطة بسمو الوزير'!$I$2:$I$151,$I615)+SUMIFS('الشؤون التنفيذية'!$N$2:$N$421,'الشؤون التنفيذية'!$B$2:$B$421,$B615,'الشؤون التنفيذية'!$G$2:$G$421,$G615,'الشؤون التنفيذية'!$I$2:$I$421,$I615)+SUMIFS('الجهاز العسكري'!$M$2:$M$631,'الجهاز العسكري'!$B$2:$B$631,$B615,'الجهاز العسكري'!$G$2:$G$631,$G615,'الجهاز العسكري'!$I$2:$I$631,$I615))/$L615,0))</f>
        <v>93</v>
      </c>
      <c r="O615" s="18"/>
      <c r="P615" s="15">
        <f>SUMIFS(المرجع!$G$2:$G$19,المرجع!$B$2:$B$19,$G615,المرجع!$E$2:$E$19,$I615)</f>
        <v>15</v>
      </c>
      <c r="Q615" s="20">
        <f t="shared" si="10"/>
        <v>13.95</v>
      </c>
      <c r="R615" s="21" t="str">
        <f>IF($N615&gt;المرجع!$K$3,"متقدم",IF($N615&lt;=المرجع!$K$2,"أولي","جزئي"))</f>
        <v>متقدم</v>
      </c>
    </row>
    <row r="616" spans="1:18">
      <c r="A616" s="16" t="s">
        <v>2056</v>
      </c>
      <c r="B616" s="16" t="s">
        <v>220</v>
      </c>
      <c r="C616" s="15" t="str">
        <f>IFERROR(INDEX('قائمة الوحدات'!$B$2:$B$41,MATCH($B616,'قائمة الوحدات'!$A$2:$A$41,0)),"")</f>
        <v>MIL</v>
      </c>
      <c r="D616" s="14" t="str">
        <f>IFERROR(INDEX('قائمة الوحدات'!$C$2:$C$41,MATCH($B616,'قائمة الوحدات'!$A$2:$A$41,0)),"")</f>
        <v>الجهاز العسكري</v>
      </c>
      <c r="E616" s="14" t="str">
        <f>IFERROR(INDEX('قائمة الوحدات'!$D$2:$D$41,MATCH($B616,'قائمة الوحدات'!$A$2:$A$41,0)),"")</f>
        <v>الإدارة العامة للتسليح والعتاد</v>
      </c>
      <c r="F616" s="14" t="str">
        <f>IFERROR(INDEX('قائمة الوحدات'!$F$2:$F$41,MATCH($B616,'قائمة الوحدات'!$A$2:$A$41,0)),"")</f>
        <v>الإدارة العامة للتسليح والعتاد</v>
      </c>
      <c r="G616" s="16" t="s">
        <v>43</v>
      </c>
      <c r="H616" s="14" t="str">
        <f>IFERROR(INDEX(المرجع!$A$2:$A$19,MATCH($G616,المرجع!$B$2:$B$19,0)),"")</f>
        <v>التصميم</v>
      </c>
      <c r="I616" s="16" t="s">
        <v>51</v>
      </c>
      <c r="J616" s="14" t="str">
        <f>IFERROR(INDEX(المرجع!$D$2:$D$19,MATCH($I616,المرجع!$E$2:$E$19,0)),"")</f>
        <v>الحوكمة</v>
      </c>
      <c r="K616" s="15">
        <f>IFERROR(INDEX(المرجع!$F$2:$F$19,MATCH($I616,المرجع!$E$2:$E$19,0)),"")</f>
        <v>3</v>
      </c>
      <c r="L616" s="15">
        <f>SUMIFS(المرجع!$H$2:$H$19,المرجع!$B$2:$B$19,$G616,المرجع!$E$2:$E$19,$I616)</f>
        <v>1</v>
      </c>
      <c r="M616" s="15">
        <f>COUNTIFS('المرتبطة بسمو الوزير'!$B$2:$B$151,$B616,'المرتبطة بسمو الوزير'!$G$2:$G$151,$G616,'المرتبطة بسمو الوزير'!$I$2:$I$151,$I616,'المرتبطة بسمو الوزير'!$M$2:$M$151,"&lt;&gt;")+COUNTIFS('الشؤون التنفيذية'!$B$2:$B$421,$B616,'الشؤون التنفيذية'!$G$2:$G$421,$G616,'الشؤون التنفيذية'!$I$2:$I$421,$I616,'الشؤون التنفيذية'!$N$2:$N$421,"&lt;&gt;")+COUNTIFS('الجهاز العسكري'!$B$2:$B$631,$B616,'الجهاز العسكري'!$G$2:$G$631,$G616,'الجهاز العسكري'!$I$2:$I$631,$I616,'الجهاز العسكري'!$M$2:$M$631,"&lt;&gt;")</f>
        <v>1</v>
      </c>
      <c r="N616" s="19">
        <f>IF($L616=0,0,ROUND((SUMIFS('المرتبطة بسمو الوزير'!$M$2:$M$151,'المرتبطة بسمو الوزير'!$B$2:$B$151,$B616,'المرتبطة بسمو الوزير'!$G$2:$G$151,$G616,'المرتبطة بسمو الوزير'!$I$2:$I$151,$I616)+SUMIFS('الشؤون التنفيذية'!$N$2:$N$421,'الشؤون التنفيذية'!$B$2:$B$421,$B616,'الشؤون التنفيذية'!$G$2:$G$421,$G616,'الشؤون التنفيذية'!$I$2:$I$421,$I616)+SUMIFS('الجهاز العسكري'!$M$2:$M$631,'الجهاز العسكري'!$B$2:$B$631,$B616,'الجهاز العسكري'!$G$2:$G$631,$G616,'الجهاز العسكري'!$I$2:$I$631,$I616))/$L616,0))</f>
        <v>69</v>
      </c>
      <c r="O616" s="18"/>
      <c r="P616" s="15">
        <f>SUMIFS(المرجع!$G$2:$G$19,المرجع!$B$2:$B$19,$G616,المرجع!$E$2:$E$19,$I616)</f>
        <v>15</v>
      </c>
      <c r="Q616" s="20">
        <f t="shared" si="10"/>
        <v>10.35</v>
      </c>
      <c r="R616" s="21" t="str">
        <f>IF($N616&gt;المرجع!$K$3,"متقدم",IF($N616&lt;=المرجع!$K$2,"أولي","جزئي"))</f>
        <v>جزئي</v>
      </c>
    </row>
    <row r="617" spans="1:18">
      <c r="A617" s="16" t="s">
        <v>2057</v>
      </c>
      <c r="B617" s="16" t="s">
        <v>220</v>
      </c>
      <c r="C617" s="15" t="str">
        <f>IFERROR(INDEX('قائمة الوحدات'!$B$2:$B$41,MATCH($B617,'قائمة الوحدات'!$A$2:$A$41,0)),"")</f>
        <v>MIL</v>
      </c>
      <c r="D617" s="14" t="str">
        <f>IFERROR(INDEX('قائمة الوحدات'!$C$2:$C$41,MATCH($B617,'قائمة الوحدات'!$A$2:$A$41,0)),"")</f>
        <v>الجهاز العسكري</v>
      </c>
      <c r="E617" s="14" t="str">
        <f>IFERROR(INDEX('قائمة الوحدات'!$D$2:$D$41,MATCH($B617,'قائمة الوحدات'!$A$2:$A$41,0)),"")</f>
        <v>الإدارة العامة للتسليح والعتاد</v>
      </c>
      <c r="F617" s="14" t="str">
        <f>IFERROR(INDEX('قائمة الوحدات'!$F$2:$F$41,MATCH($B617,'قائمة الوحدات'!$A$2:$A$41,0)),"")</f>
        <v>الإدارة العامة للتسليح والعتاد</v>
      </c>
      <c r="G617" s="16" t="s">
        <v>43</v>
      </c>
      <c r="H617" s="14" t="str">
        <f>IFERROR(INDEX(المرجع!$A$2:$A$19,MATCH($G617,المرجع!$B$2:$B$19,0)),"")</f>
        <v>التصميم</v>
      </c>
      <c r="I617" s="16" t="s">
        <v>54</v>
      </c>
      <c r="J617" s="14" t="str">
        <f>IFERROR(INDEX(المرجع!$D$2:$D$19,MATCH($I617,المرجع!$E$2:$E$19,0)),"")</f>
        <v>التنظيم</v>
      </c>
      <c r="K617" s="15">
        <f>IFERROR(INDEX(المرجع!$F$2:$F$19,MATCH($I617,المرجع!$E$2:$E$19,0)),"")</f>
        <v>4</v>
      </c>
      <c r="L617" s="15">
        <f>SUMIFS(المرجع!$H$2:$H$19,المرجع!$B$2:$B$19,$G617,المرجع!$E$2:$E$19,$I617)</f>
        <v>1</v>
      </c>
      <c r="M617" s="15">
        <f>COUNTIFS('المرتبطة بسمو الوزير'!$B$2:$B$151,$B617,'المرتبطة بسمو الوزير'!$G$2:$G$151,$G617,'المرتبطة بسمو الوزير'!$I$2:$I$151,$I617,'المرتبطة بسمو الوزير'!$M$2:$M$151,"&lt;&gt;")+COUNTIFS('الشؤون التنفيذية'!$B$2:$B$421,$B617,'الشؤون التنفيذية'!$G$2:$G$421,$G617,'الشؤون التنفيذية'!$I$2:$I$421,$I617,'الشؤون التنفيذية'!$N$2:$N$421,"&lt;&gt;")+COUNTIFS('الجهاز العسكري'!$B$2:$B$631,$B617,'الجهاز العسكري'!$G$2:$G$631,$G617,'الجهاز العسكري'!$I$2:$I$631,$I617,'الجهاز العسكري'!$M$2:$M$631,"&lt;&gt;")</f>
        <v>1</v>
      </c>
      <c r="N617" s="19">
        <f>IF($L617=0,0,ROUND((SUMIFS('المرتبطة بسمو الوزير'!$M$2:$M$151,'المرتبطة بسمو الوزير'!$B$2:$B$151,$B617,'المرتبطة بسمو الوزير'!$G$2:$G$151,$G617,'المرتبطة بسمو الوزير'!$I$2:$I$151,$I617)+SUMIFS('الشؤون التنفيذية'!$N$2:$N$421,'الشؤون التنفيذية'!$B$2:$B$421,$B617,'الشؤون التنفيذية'!$G$2:$G$421,$G617,'الشؤون التنفيذية'!$I$2:$I$421,$I617)+SUMIFS('الجهاز العسكري'!$M$2:$M$631,'الجهاز العسكري'!$B$2:$B$631,$B617,'الجهاز العسكري'!$G$2:$G$631,$G617,'الجهاز العسكري'!$I$2:$I$631,$I617))/$L617,0))</f>
        <v>90</v>
      </c>
      <c r="O617" s="18"/>
      <c r="P617" s="15">
        <f>SUMIFS(المرجع!$G$2:$G$19,المرجع!$B$2:$B$19,$G617,المرجع!$E$2:$E$19,$I617)</f>
        <v>20</v>
      </c>
      <c r="Q617" s="20">
        <f t="shared" si="10"/>
        <v>18</v>
      </c>
      <c r="R617" s="21" t="str">
        <f>IF($N617&gt;المرجع!$K$3,"متقدم",IF($N617&lt;=المرجع!$K$2,"أولي","جزئي"))</f>
        <v>متقدم</v>
      </c>
    </row>
    <row r="618" spans="1:18">
      <c r="A618" s="16" t="s">
        <v>2058</v>
      </c>
      <c r="B618" s="16" t="s">
        <v>220</v>
      </c>
      <c r="C618" s="15" t="str">
        <f>IFERROR(INDEX('قائمة الوحدات'!$B$2:$B$41,MATCH($B618,'قائمة الوحدات'!$A$2:$A$41,0)),"")</f>
        <v>MIL</v>
      </c>
      <c r="D618" s="14" t="str">
        <f>IFERROR(INDEX('قائمة الوحدات'!$C$2:$C$41,MATCH($B618,'قائمة الوحدات'!$A$2:$A$41,0)),"")</f>
        <v>الجهاز العسكري</v>
      </c>
      <c r="E618" s="14" t="str">
        <f>IFERROR(INDEX('قائمة الوحدات'!$D$2:$D$41,MATCH($B618,'قائمة الوحدات'!$A$2:$A$41,0)),"")</f>
        <v>الإدارة العامة للتسليح والعتاد</v>
      </c>
      <c r="F618" s="14" t="str">
        <f>IFERROR(INDEX('قائمة الوحدات'!$F$2:$F$41,MATCH($B618,'قائمة الوحدات'!$A$2:$A$41,0)),"")</f>
        <v>الإدارة العامة للتسليح والعتاد</v>
      </c>
      <c r="G618" s="16" t="s">
        <v>43</v>
      </c>
      <c r="H618" s="14" t="str">
        <f>IFERROR(INDEX(المرجع!$A$2:$A$19,MATCH($G618,المرجع!$B$2:$B$19,0)),"")</f>
        <v>التصميم</v>
      </c>
      <c r="I618" s="16" t="s">
        <v>56</v>
      </c>
      <c r="J618" s="14" t="str">
        <f>IFERROR(INDEX(المرجع!$D$2:$D$19,MATCH($I618,المرجع!$E$2:$E$19,0)),"")</f>
        <v>الموارد</v>
      </c>
      <c r="K618" s="15">
        <f>IFERROR(INDEX(المرجع!$F$2:$F$19,MATCH($I618,المرجع!$E$2:$E$19,0)),"")</f>
        <v>5</v>
      </c>
      <c r="L618" s="15">
        <f>SUMIFS(المرجع!$H$2:$H$19,المرجع!$B$2:$B$19,$G618,المرجع!$E$2:$E$19,$I618)</f>
        <v>1</v>
      </c>
      <c r="M618" s="15">
        <f>COUNTIFS('المرتبطة بسمو الوزير'!$B$2:$B$151,$B618,'المرتبطة بسمو الوزير'!$G$2:$G$151,$G618,'المرتبطة بسمو الوزير'!$I$2:$I$151,$I618,'المرتبطة بسمو الوزير'!$M$2:$M$151,"&lt;&gt;")+COUNTIFS('الشؤون التنفيذية'!$B$2:$B$421,$B618,'الشؤون التنفيذية'!$G$2:$G$421,$G618,'الشؤون التنفيذية'!$I$2:$I$421,$I618,'الشؤون التنفيذية'!$N$2:$N$421,"&lt;&gt;")+COUNTIFS('الجهاز العسكري'!$B$2:$B$631,$B618,'الجهاز العسكري'!$G$2:$G$631,$G618,'الجهاز العسكري'!$I$2:$I$631,$I618,'الجهاز العسكري'!$M$2:$M$631,"&lt;&gt;")</f>
        <v>1</v>
      </c>
      <c r="N618" s="19">
        <f>IF($L618=0,0,ROUND((SUMIFS('المرتبطة بسمو الوزير'!$M$2:$M$151,'المرتبطة بسمو الوزير'!$B$2:$B$151,$B618,'المرتبطة بسمو الوزير'!$G$2:$G$151,$G618,'المرتبطة بسمو الوزير'!$I$2:$I$151,$I618)+SUMIFS('الشؤون التنفيذية'!$N$2:$N$421,'الشؤون التنفيذية'!$B$2:$B$421,$B618,'الشؤون التنفيذية'!$G$2:$G$421,$G618,'الشؤون التنفيذية'!$I$2:$I$421,$I618)+SUMIFS('الجهاز العسكري'!$M$2:$M$631,'الجهاز العسكري'!$B$2:$B$631,$B618,'الجهاز العسكري'!$G$2:$G$631,$G618,'الجهاز العسكري'!$I$2:$I$631,$I618))/$L618,0))</f>
        <v>81</v>
      </c>
      <c r="O618" s="18"/>
      <c r="P618" s="15">
        <f>SUMIFS(المرجع!$G$2:$G$19,المرجع!$B$2:$B$19,$G618,المرجع!$E$2:$E$19,$I618)</f>
        <v>20</v>
      </c>
      <c r="Q618" s="20">
        <f t="shared" si="10"/>
        <v>16.2</v>
      </c>
      <c r="R618" s="21" t="str">
        <f>IF($N618&gt;المرجع!$K$3,"متقدم",IF($N618&lt;=المرجع!$K$2,"أولي","جزئي"))</f>
        <v>متقدم</v>
      </c>
    </row>
    <row r="619" spans="1:18">
      <c r="A619" s="16" t="s">
        <v>2059</v>
      </c>
      <c r="B619" s="16" t="s">
        <v>220</v>
      </c>
      <c r="C619" s="15" t="str">
        <f>IFERROR(INDEX('قائمة الوحدات'!$B$2:$B$41,MATCH($B619,'قائمة الوحدات'!$A$2:$A$41,0)),"")</f>
        <v>MIL</v>
      </c>
      <c r="D619" s="14" t="str">
        <f>IFERROR(INDEX('قائمة الوحدات'!$C$2:$C$41,MATCH($B619,'قائمة الوحدات'!$A$2:$A$41,0)),"")</f>
        <v>الجهاز العسكري</v>
      </c>
      <c r="E619" s="14" t="str">
        <f>IFERROR(INDEX('قائمة الوحدات'!$D$2:$D$41,MATCH($B619,'قائمة الوحدات'!$A$2:$A$41,0)),"")</f>
        <v>الإدارة العامة للتسليح والعتاد</v>
      </c>
      <c r="F619" s="14" t="str">
        <f>IFERROR(INDEX('قائمة الوحدات'!$F$2:$F$41,MATCH($B619,'قائمة الوحدات'!$A$2:$A$41,0)),"")</f>
        <v>الإدارة العامة للتسليح والعتاد</v>
      </c>
      <c r="G619" s="16" t="s">
        <v>43</v>
      </c>
      <c r="H619" s="14" t="str">
        <f>IFERROR(INDEX(المرجع!$A$2:$A$19,MATCH($G619,المرجع!$B$2:$B$19,0)),"")</f>
        <v>التصميم</v>
      </c>
      <c r="I619" s="16" t="s">
        <v>59</v>
      </c>
      <c r="J619" s="14" t="str">
        <f>IFERROR(INDEX(المرجع!$D$2:$D$19,MATCH($I619,المرجع!$E$2:$E$19,0)),"")</f>
        <v>الإجراءات</v>
      </c>
      <c r="K619" s="15">
        <f>IFERROR(INDEX(المرجع!$F$2:$F$19,MATCH($I619,المرجع!$E$2:$E$19,0)),"")</f>
        <v>6</v>
      </c>
      <c r="L619" s="15">
        <f>SUMIFS(المرجع!$H$2:$H$19,المرجع!$B$2:$B$19,$G619,المرجع!$E$2:$E$19,$I619)</f>
        <v>1</v>
      </c>
      <c r="M619" s="15">
        <f>COUNTIFS('المرتبطة بسمو الوزير'!$B$2:$B$151,$B619,'المرتبطة بسمو الوزير'!$G$2:$G$151,$G619,'المرتبطة بسمو الوزير'!$I$2:$I$151,$I619,'المرتبطة بسمو الوزير'!$M$2:$M$151,"&lt;&gt;")+COUNTIFS('الشؤون التنفيذية'!$B$2:$B$421,$B619,'الشؤون التنفيذية'!$G$2:$G$421,$G619,'الشؤون التنفيذية'!$I$2:$I$421,$I619,'الشؤون التنفيذية'!$N$2:$N$421,"&lt;&gt;")+COUNTIFS('الجهاز العسكري'!$B$2:$B$631,$B619,'الجهاز العسكري'!$G$2:$G$631,$G619,'الجهاز العسكري'!$I$2:$I$631,$I619,'الجهاز العسكري'!$M$2:$M$631,"&lt;&gt;")</f>
        <v>1</v>
      </c>
      <c r="N619" s="19">
        <f>IF($L619=0,0,ROUND((SUMIFS('المرتبطة بسمو الوزير'!$M$2:$M$151,'المرتبطة بسمو الوزير'!$B$2:$B$151,$B619,'المرتبطة بسمو الوزير'!$G$2:$G$151,$G619,'المرتبطة بسمو الوزير'!$I$2:$I$151,$I619)+SUMIFS('الشؤون التنفيذية'!$N$2:$N$421,'الشؤون التنفيذية'!$B$2:$B$421,$B619,'الشؤون التنفيذية'!$G$2:$G$421,$G619,'الشؤون التنفيذية'!$I$2:$I$421,$I619)+SUMIFS('الجهاز العسكري'!$M$2:$M$631,'الجهاز العسكري'!$B$2:$B$631,$B619,'الجهاز العسكري'!$G$2:$G$631,$G619,'الجهاز العسكري'!$I$2:$I$631,$I619))/$L619,0))</f>
        <v>81</v>
      </c>
      <c r="O619" s="18"/>
      <c r="P619" s="15">
        <f>SUMIFS(المرجع!$G$2:$G$19,المرجع!$B$2:$B$19,$G619,المرجع!$E$2:$E$19,$I619)</f>
        <v>5</v>
      </c>
      <c r="Q619" s="20">
        <f t="shared" si="10"/>
        <v>4.05</v>
      </c>
      <c r="R619" s="21" t="str">
        <f>IF($N619&gt;المرجع!$K$3,"متقدم",IF($N619&lt;=المرجع!$K$2,"أولي","جزئي"))</f>
        <v>متقدم</v>
      </c>
    </row>
    <row r="620" spans="1:18">
      <c r="A620" s="16" t="s">
        <v>2060</v>
      </c>
      <c r="B620" s="16" t="s">
        <v>220</v>
      </c>
      <c r="C620" s="15" t="str">
        <f>IFERROR(INDEX('قائمة الوحدات'!$B$2:$B$41,MATCH($B620,'قائمة الوحدات'!$A$2:$A$41,0)),"")</f>
        <v>MIL</v>
      </c>
      <c r="D620" s="14" t="str">
        <f>IFERROR(INDEX('قائمة الوحدات'!$C$2:$C$41,MATCH($B620,'قائمة الوحدات'!$A$2:$A$41,0)),"")</f>
        <v>الجهاز العسكري</v>
      </c>
      <c r="E620" s="14" t="str">
        <f>IFERROR(INDEX('قائمة الوحدات'!$D$2:$D$41,MATCH($B620,'قائمة الوحدات'!$A$2:$A$41,0)),"")</f>
        <v>الإدارة العامة للتسليح والعتاد</v>
      </c>
      <c r="F620" s="14" t="str">
        <f>IFERROR(INDEX('قائمة الوحدات'!$F$2:$F$41,MATCH($B620,'قائمة الوحدات'!$A$2:$A$41,0)),"")</f>
        <v>الإدارة العامة للتسليح والعتاد</v>
      </c>
      <c r="G620" s="16" t="s">
        <v>61</v>
      </c>
      <c r="H620" s="14" t="str">
        <f>IFERROR(INDEX(المرجع!$A$2:$A$19,MATCH($G620,المرجع!$B$2:$B$19,0)),"")</f>
        <v>البناء المؤسسي</v>
      </c>
      <c r="I620" s="16" t="s">
        <v>45</v>
      </c>
      <c r="J620" s="14" t="str">
        <f>IFERROR(INDEX(المرجع!$D$2:$D$19,MATCH($I620,المرجع!$E$2:$E$19,0)),"")</f>
        <v>الدور</v>
      </c>
      <c r="K620" s="15">
        <f>IFERROR(INDEX(المرجع!$F$2:$F$19,MATCH($I620,المرجع!$E$2:$E$19,0)),"")</f>
        <v>1</v>
      </c>
      <c r="L620" s="15">
        <f>SUMIFS(المرجع!$H$2:$H$19,المرجع!$B$2:$B$19,$G620,المرجع!$E$2:$E$19,$I620)</f>
        <v>1</v>
      </c>
      <c r="M620" s="15">
        <f>COUNTIFS('المرتبطة بسمو الوزير'!$B$2:$B$151,$B620,'المرتبطة بسمو الوزير'!$G$2:$G$151,$G620,'المرتبطة بسمو الوزير'!$I$2:$I$151,$I620,'المرتبطة بسمو الوزير'!$M$2:$M$151,"&lt;&gt;")+COUNTIFS('الشؤون التنفيذية'!$B$2:$B$421,$B620,'الشؤون التنفيذية'!$G$2:$G$421,$G620,'الشؤون التنفيذية'!$I$2:$I$421,$I620,'الشؤون التنفيذية'!$N$2:$N$421,"&lt;&gt;")+COUNTIFS('الجهاز العسكري'!$B$2:$B$631,$B620,'الجهاز العسكري'!$G$2:$G$631,$G620,'الجهاز العسكري'!$I$2:$I$631,$I620,'الجهاز العسكري'!$M$2:$M$631,"&lt;&gt;")</f>
        <v>1</v>
      </c>
      <c r="N620" s="19">
        <f>IF($L620=0,0,ROUND((SUMIFS('المرتبطة بسمو الوزير'!$M$2:$M$151,'المرتبطة بسمو الوزير'!$B$2:$B$151,$B620,'المرتبطة بسمو الوزير'!$G$2:$G$151,$G620,'المرتبطة بسمو الوزير'!$I$2:$I$151,$I620)+SUMIFS('الشؤون التنفيذية'!$N$2:$N$421,'الشؤون التنفيذية'!$B$2:$B$421,$B620,'الشؤون التنفيذية'!$G$2:$G$421,$G620,'الشؤون التنفيذية'!$I$2:$I$421,$I620)+SUMIFS('الجهاز العسكري'!$M$2:$M$631,'الجهاز العسكري'!$B$2:$B$631,$B620,'الجهاز العسكري'!$G$2:$G$631,$G620,'الجهاز العسكري'!$I$2:$I$631,$I620))/$L620,0))</f>
        <v>88</v>
      </c>
      <c r="O620" s="18"/>
      <c r="P620" s="15">
        <f>SUMIFS(المرجع!$G$2:$G$19,المرجع!$B$2:$B$19,$G620,المرجع!$E$2:$E$19,$I620)</f>
        <v>15</v>
      </c>
      <c r="Q620" s="20">
        <f t="shared" si="10"/>
        <v>13.2</v>
      </c>
      <c r="R620" s="21" t="str">
        <f>IF($N620&gt;المرجع!$K$3,"متقدم",IF($N620&lt;=المرجع!$K$2,"أولي","جزئي"))</f>
        <v>متقدم</v>
      </c>
    </row>
    <row r="621" spans="1:18">
      <c r="A621" s="16" t="s">
        <v>2061</v>
      </c>
      <c r="B621" s="16" t="s">
        <v>220</v>
      </c>
      <c r="C621" s="15" t="str">
        <f>IFERROR(INDEX('قائمة الوحدات'!$B$2:$B$41,MATCH($B621,'قائمة الوحدات'!$A$2:$A$41,0)),"")</f>
        <v>MIL</v>
      </c>
      <c r="D621" s="14" t="str">
        <f>IFERROR(INDEX('قائمة الوحدات'!$C$2:$C$41,MATCH($B621,'قائمة الوحدات'!$A$2:$A$41,0)),"")</f>
        <v>الجهاز العسكري</v>
      </c>
      <c r="E621" s="14" t="str">
        <f>IFERROR(INDEX('قائمة الوحدات'!$D$2:$D$41,MATCH($B621,'قائمة الوحدات'!$A$2:$A$41,0)),"")</f>
        <v>الإدارة العامة للتسليح والعتاد</v>
      </c>
      <c r="F621" s="14" t="str">
        <f>IFERROR(INDEX('قائمة الوحدات'!$F$2:$F$41,MATCH($B621,'قائمة الوحدات'!$A$2:$A$41,0)),"")</f>
        <v>الإدارة العامة للتسليح والعتاد</v>
      </c>
      <c r="G621" s="16" t="s">
        <v>61</v>
      </c>
      <c r="H621" s="14" t="str">
        <f>IFERROR(INDEX(المرجع!$A$2:$A$19,MATCH($G621,المرجع!$B$2:$B$19,0)),"")</f>
        <v>البناء المؤسسي</v>
      </c>
      <c r="I621" s="16" t="s">
        <v>48</v>
      </c>
      <c r="J621" s="14" t="str">
        <f>IFERROR(INDEX(المرجع!$D$2:$D$19,MATCH($I621,المرجع!$E$2:$E$19,0)),"")</f>
        <v>الأهداف ومؤشرات الأداء</v>
      </c>
      <c r="K621" s="15">
        <f>IFERROR(INDEX(المرجع!$F$2:$F$19,MATCH($I621,المرجع!$E$2:$E$19,0)),"")</f>
        <v>2</v>
      </c>
      <c r="L621" s="15">
        <f>SUMIFS(المرجع!$H$2:$H$19,المرجع!$B$2:$B$19,$G621,المرجع!$E$2:$E$19,$I621)</f>
        <v>2</v>
      </c>
      <c r="M621" s="15">
        <f>COUNTIFS('المرتبطة بسمو الوزير'!$B$2:$B$151,$B621,'المرتبطة بسمو الوزير'!$G$2:$G$151,$G621,'المرتبطة بسمو الوزير'!$I$2:$I$151,$I621,'المرتبطة بسمو الوزير'!$M$2:$M$151,"&lt;&gt;")+COUNTIFS('الشؤون التنفيذية'!$B$2:$B$421,$B621,'الشؤون التنفيذية'!$G$2:$G$421,$G621,'الشؤون التنفيذية'!$I$2:$I$421,$I621,'الشؤون التنفيذية'!$N$2:$N$421,"&lt;&gt;")+COUNTIFS('الجهاز العسكري'!$B$2:$B$631,$B621,'الجهاز العسكري'!$G$2:$G$631,$G621,'الجهاز العسكري'!$I$2:$I$631,$I621,'الجهاز العسكري'!$M$2:$M$631,"&lt;&gt;")</f>
        <v>2</v>
      </c>
      <c r="N621" s="19">
        <f>IF($L621=0,0,ROUND((SUMIFS('المرتبطة بسمو الوزير'!$M$2:$M$151,'المرتبطة بسمو الوزير'!$B$2:$B$151,$B621,'المرتبطة بسمو الوزير'!$G$2:$G$151,$G621,'المرتبطة بسمو الوزير'!$I$2:$I$151,$I621)+SUMIFS('الشؤون التنفيذية'!$N$2:$N$421,'الشؤون التنفيذية'!$B$2:$B$421,$B621,'الشؤون التنفيذية'!$G$2:$G$421,$G621,'الشؤون التنفيذية'!$I$2:$I$421,$I621)+SUMIFS('الجهاز العسكري'!$M$2:$M$631,'الجهاز العسكري'!$B$2:$B$631,$B621,'الجهاز العسكري'!$G$2:$G$631,$G621,'الجهاز العسكري'!$I$2:$I$631,$I621))/$L621,0))</f>
        <v>63</v>
      </c>
      <c r="O621" s="18"/>
      <c r="P621" s="15">
        <f>SUMIFS(المرجع!$G$2:$G$19,المرجع!$B$2:$B$19,$G621,المرجع!$E$2:$E$19,$I621)</f>
        <v>15</v>
      </c>
      <c r="Q621" s="20">
        <f t="shared" si="10"/>
        <v>9.4499999999999993</v>
      </c>
      <c r="R621" s="21" t="str">
        <f>IF($N621&gt;المرجع!$K$3,"متقدم",IF($N621&lt;=المرجع!$K$2,"أولي","جزئي"))</f>
        <v>جزئي</v>
      </c>
    </row>
    <row r="622" spans="1:18">
      <c r="A622" s="16" t="s">
        <v>2062</v>
      </c>
      <c r="B622" s="16" t="s">
        <v>220</v>
      </c>
      <c r="C622" s="15" t="str">
        <f>IFERROR(INDEX('قائمة الوحدات'!$B$2:$B$41,MATCH($B622,'قائمة الوحدات'!$A$2:$A$41,0)),"")</f>
        <v>MIL</v>
      </c>
      <c r="D622" s="14" t="str">
        <f>IFERROR(INDEX('قائمة الوحدات'!$C$2:$C$41,MATCH($B622,'قائمة الوحدات'!$A$2:$A$41,0)),"")</f>
        <v>الجهاز العسكري</v>
      </c>
      <c r="E622" s="14" t="str">
        <f>IFERROR(INDEX('قائمة الوحدات'!$D$2:$D$41,MATCH($B622,'قائمة الوحدات'!$A$2:$A$41,0)),"")</f>
        <v>الإدارة العامة للتسليح والعتاد</v>
      </c>
      <c r="F622" s="14" t="str">
        <f>IFERROR(INDEX('قائمة الوحدات'!$F$2:$F$41,MATCH($B622,'قائمة الوحدات'!$A$2:$A$41,0)),"")</f>
        <v>الإدارة العامة للتسليح والعتاد</v>
      </c>
      <c r="G622" s="16" t="s">
        <v>61</v>
      </c>
      <c r="H622" s="14" t="str">
        <f>IFERROR(INDEX(المرجع!$A$2:$A$19,MATCH($G622,المرجع!$B$2:$B$19,0)),"")</f>
        <v>البناء المؤسسي</v>
      </c>
      <c r="I622" s="16" t="s">
        <v>51</v>
      </c>
      <c r="J622" s="14" t="str">
        <f>IFERROR(INDEX(المرجع!$D$2:$D$19,MATCH($I622,المرجع!$E$2:$E$19,0)),"")</f>
        <v>الحوكمة</v>
      </c>
      <c r="K622" s="15">
        <f>IFERROR(INDEX(المرجع!$F$2:$F$19,MATCH($I622,المرجع!$E$2:$E$19,0)),"")</f>
        <v>3</v>
      </c>
      <c r="L622" s="15">
        <f>SUMIFS(المرجع!$H$2:$H$19,المرجع!$B$2:$B$19,$G622,المرجع!$E$2:$E$19,$I622)</f>
        <v>3</v>
      </c>
      <c r="M622" s="15">
        <f>COUNTIFS('المرتبطة بسمو الوزير'!$B$2:$B$151,$B622,'المرتبطة بسمو الوزير'!$G$2:$G$151,$G622,'المرتبطة بسمو الوزير'!$I$2:$I$151,$I622,'المرتبطة بسمو الوزير'!$M$2:$M$151,"&lt;&gt;")+COUNTIFS('الشؤون التنفيذية'!$B$2:$B$421,$B622,'الشؤون التنفيذية'!$G$2:$G$421,$G622,'الشؤون التنفيذية'!$I$2:$I$421,$I622,'الشؤون التنفيذية'!$N$2:$N$421,"&lt;&gt;")+COUNTIFS('الجهاز العسكري'!$B$2:$B$631,$B622,'الجهاز العسكري'!$G$2:$G$631,$G622,'الجهاز العسكري'!$I$2:$I$631,$I622,'الجهاز العسكري'!$M$2:$M$631,"&lt;&gt;")</f>
        <v>3</v>
      </c>
      <c r="N622" s="19">
        <f>IF($L622=0,0,ROUND((SUMIFS('المرتبطة بسمو الوزير'!$M$2:$M$151,'المرتبطة بسمو الوزير'!$B$2:$B$151,$B622,'المرتبطة بسمو الوزير'!$G$2:$G$151,$G622,'المرتبطة بسمو الوزير'!$I$2:$I$151,$I622)+SUMIFS('الشؤون التنفيذية'!$N$2:$N$421,'الشؤون التنفيذية'!$B$2:$B$421,$B622,'الشؤون التنفيذية'!$G$2:$G$421,$G622,'الشؤون التنفيذية'!$I$2:$I$421,$I622)+SUMIFS('الجهاز العسكري'!$M$2:$M$631,'الجهاز العسكري'!$B$2:$B$631,$B622,'الجهاز العسكري'!$G$2:$G$631,$G622,'الجهاز العسكري'!$I$2:$I$631,$I622))/$L622,0))</f>
        <v>83</v>
      </c>
      <c r="O622" s="18"/>
      <c r="P622" s="15">
        <f>SUMIFS(المرجع!$G$2:$G$19,المرجع!$B$2:$B$19,$G622,المرجع!$E$2:$E$19,$I622)</f>
        <v>15</v>
      </c>
      <c r="Q622" s="20">
        <f t="shared" si="10"/>
        <v>12.45</v>
      </c>
      <c r="R622" s="21" t="str">
        <f>IF($N622&gt;المرجع!$K$3,"متقدم",IF($N622&lt;=المرجع!$K$2,"أولي","جزئي"))</f>
        <v>متقدم</v>
      </c>
    </row>
    <row r="623" spans="1:18">
      <c r="A623" s="16" t="s">
        <v>2063</v>
      </c>
      <c r="B623" s="16" t="s">
        <v>220</v>
      </c>
      <c r="C623" s="15" t="str">
        <f>IFERROR(INDEX('قائمة الوحدات'!$B$2:$B$41,MATCH($B623,'قائمة الوحدات'!$A$2:$A$41,0)),"")</f>
        <v>MIL</v>
      </c>
      <c r="D623" s="14" t="str">
        <f>IFERROR(INDEX('قائمة الوحدات'!$C$2:$C$41,MATCH($B623,'قائمة الوحدات'!$A$2:$A$41,0)),"")</f>
        <v>الجهاز العسكري</v>
      </c>
      <c r="E623" s="14" t="str">
        <f>IFERROR(INDEX('قائمة الوحدات'!$D$2:$D$41,MATCH($B623,'قائمة الوحدات'!$A$2:$A$41,0)),"")</f>
        <v>الإدارة العامة للتسليح والعتاد</v>
      </c>
      <c r="F623" s="14" t="str">
        <f>IFERROR(INDEX('قائمة الوحدات'!$F$2:$F$41,MATCH($B623,'قائمة الوحدات'!$A$2:$A$41,0)),"")</f>
        <v>الإدارة العامة للتسليح والعتاد</v>
      </c>
      <c r="G623" s="16" t="s">
        <v>61</v>
      </c>
      <c r="H623" s="14" t="str">
        <f>IFERROR(INDEX(المرجع!$A$2:$A$19,MATCH($G623,المرجع!$B$2:$B$19,0)),"")</f>
        <v>البناء المؤسسي</v>
      </c>
      <c r="I623" s="16" t="s">
        <v>54</v>
      </c>
      <c r="J623" s="14" t="str">
        <f>IFERROR(INDEX(المرجع!$D$2:$D$19,MATCH($I623,المرجع!$E$2:$E$19,0)),"")</f>
        <v>التنظيم</v>
      </c>
      <c r="K623" s="15">
        <f>IFERROR(INDEX(المرجع!$F$2:$F$19,MATCH($I623,المرجع!$E$2:$E$19,0)),"")</f>
        <v>4</v>
      </c>
      <c r="L623" s="15">
        <f>SUMIFS(المرجع!$H$2:$H$19,المرجع!$B$2:$B$19,$G623,المرجع!$E$2:$E$19,$I623)</f>
        <v>3</v>
      </c>
      <c r="M623" s="15">
        <f>COUNTIFS('المرتبطة بسمو الوزير'!$B$2:$B$151,$B623,'المرتبطة بسمو الوزير'!$G$2:$G$151,$G623,'المرتبطة بسمو الوزير'!$I$2:$I$151,$I623,'المرتبطة بسمو الوزير'!$M$2:$M$151,"&lt;&gt;")+COUNTIFS('الشؤون التنفيذية'!$B$2:$B$421,$B623,'الشؤون التنفيذية'!$G$2:$G$421,$G623,'الشؤون التنفيذية'!$I$2:$I$421,$I623,'الشؤون التنفيذية'!$N$2:$N$421,"&lt;&gt;")+COUNTIFS('الجهاز العسكري'!$B$2:$B$631,$B623,'الجهاز العسكري'!$G$2:$G$631,$G623,'الجهاز العسكري'!$I$2:$I$631,$I623,'الجهاز العسكري'!$M$2:$M$631,"&lt;&gt;")</f>
        <v>3</v>
      </c>
      <c r="N623" s="19">
        <f>IF($L623=0,0,ROUND((SUMIFS('المرتبطة بسمو الوزير'!$M$2:$M$151,'المرتبطة بسمو الوزير'!$B$2:$B$151,$B623,'المرتبطة بسمو الوزير'!$G$2:$G$151,$G623,'المرتبطة بسمو الوزير'!$I$2:$I$151,$I623)+SUMIFS('الشؤون التنفيذية'!$N$2:$N$421,'الشؤون التنفيذية'!$B$2:$B$421,$B623,'الشؤون التنفيذية'!$G$2:$G$421,$G623,'الشؤون التنفيذية'!$I$2:$I$421,$I623)+SUMIFS('الجهاز العسكري'!$M$2:$M$631,'الجهاز العسكري'!$B$2:$B$631,$B623,'الجهاز العسكري'!$G$2:$G$631,$G623,'الجهاز العسكري'!$I$2:$I$631,$I623))/$L623,0))</f>
        <v>80</v>
      </c>
      <c r="O623" s="18"/>
      <c r="P623" s="15">
        <f>SUMIFS(المرجع!$G$2:$G$19,المرجع!$B$2:$B$19,$G623,المرجع!$E$2:$E$19,$I623)</f>
        <v>20</v>
      </c>
      <c r="Q623" s="20">
        <f t="shared" si="10"/>
        <v>16</v>
      </c>
      <c r="R623" s="21" t="str">
        <f>IF($N623&gt;المرجع!$K$3,"متقدم",IF($N623&lt;=المرجع!$K$2,"أولي","جزئي"))</f>
        <v>متقدم</v>
      </c>
    </row>
    <row r="624" spans="1:18">
      <c r="A624" s="16" t="s">
        <v>2064</v>
      </c>
      <c r="B624" s="16" t="s">
        <v>220</v>
      </c>
      <c r="C624" s="15" t="str">
        <f>IFERROR(INDEX('قائمة الوحدات'!$B$2:$B$41,MATCH($B624,'قائمة الوحدات'!$A$2:$A$41,0)),"")</f>
        <v>MIL</v>
      </c>
      <c r="D624" s="14" t="str">
        <f>IFERROR(INDEX('قائمة الوحدات'!$C$2:$C$41,MATCH($B624,'قائمة الوحدات'!$A$2:$A$41,0)),"")</f>
        <v>الجهاز العسكري</v>
      </c>
      <c r="E624" s="14" t="str">
        <f>IFERROR(INDEX('قائمة الوحدات'!$D$2:$D$41,MATCH($B624,'قائمة الوحدات'!$A$2:$A$41,0)),"")</f>
        <v>الإدارة العامة للتسليح والعتاد</v>
      </c>
      <c r="F624" s="14" t="str">
        <f>IFERROR(INDEX('قائمة الوحدات'!$F$2:$F$41,MATCH($B624,'قائمة الوحدات'!$A$2:$A$41,0)),"")</f>
        <v>الإدارة العامة للتسليح والعتاد</v>
      </c>
      <c r="G624" s="16" t="s">
        <v>61</v>
      </c>
      <c r="H624" s="14" t="str">
        <f>IFERROR(INDEX(المرجع!$A$2:$A$19,MATCH($G624,المرجع!$B$2:$B$19,0)),"")</f>
        <v>البناء المؤسسي</v>
      </c>
      <c r="I624" s="16" t="s">
        <v>56</v>
      </c>
      <c r="J624" s="14" t="str">
        <f>IFERROR(INDEX(المرجع!$D$2:$D$19,MATCH($I624,المرجع!$E$2:$E$19,0)),"")</f>
        <v>الموارد</v>
      </c>
      <c r="K624" s="15">
        <f>IFERROR(INDEX(المرجع!$F$2:$F$19,MATCH($I624,المرجع!$E$2:$E$19,0)),"")</f>
        <v>5</v>
      </c>
      <c r="L624" s="15">
        <f>SUMIFS(المرجع!$H$2:$H$19,المرجع!$B$2:$B$19,$G624,المرجع!$E$2:$E$19,$I624)</f>
        <v>4</v>
      </c>
      <c r="M624" s="15">
        <f>COUNTIFS('المرتبطة بسمو الوزير'!$B$2:$B$151,$B624,'المرتبطة بسمو الوزير'!$G$2:$G$151,$G624,'المرتبطة بسمو الوزير'!$I$2:$I$151,$I624,'المرتبطة بسمو الوزير'!$M$2:$M$151,"&lt;&gt;")+COUNTIFS('الشؤون التنفيذية'!$B$2:$B$421,$B624,'الشؤون التنفيذية'!$G$2:$G$421,$G624,'الشؤون التنفيذية'!$I$2:$I$421,$I624,'الشؤون التنفيذية'!$N$2:$N$421,"&lt;&gt;")+COUNTIFS('الجهاز العسكري'!$B$2:$B$631,$B624,'الجهاز العسكري'!$G$2:$G$631,$G624,'الجهاز العسكري'!$I$2:$I$631,$I624,'الجهاز العسكري'!$M$2:$M$631,"&lt;&gt;")</f>
        <v>4</v>
      </c>
      <c r="N624" s="19">
        <f>IF($L624=0,0,ROUND((SUMIFS('المرتبطة بسمو الوزير'!$M$2:$M$151,'المرتبطة بسمو الوزير'!$B$2:$B$151,$B624,'المرتبطة بسمو الوزير'!$G$2:$G$151,$G624,'المرتبطة بسمو الوزير'!$I$2:$I$151,$I624)+SUMIFS('الشؤون التنفيذية'!$N$2:$N$421,'الشؤون التنفيذية'!$B$2:$B$421,$B624,'الشؤون التنفيذية'!$G$2:$G$421,$G624,'الشؤون التنفيذية'!$I$2:$I$421,$I624)+SUMIFS('الجهاز العسكري'!$M$2:$M$631,'الجهاز العسكري'!$B$2:$B$631,$B624,'الجهاز العسكري'!$G$2:$G$631,$G624,'الجهاز العسكري'!$I$2:$I$631,$I624))/$L624,0))</f>
        <v>46</v>
      </c>
      <c r="O624" s="18"/>
      <c r="P624" s="15">
        <f>SUMIFS(المرجع!$G$2:$G$19,المرجع!$B$2:$B$19,$G624,المرجع!$E$2:$E$19,$I624)</f>
        <v>25</v>
      </c>
      <c r="Q624" s="20">
        <f t="shared" si="10"/>
        <v>11.5</v>
      </c>
      <c r="R624" s="21" t="str">
        <f>IF($N624&gt;المرجع!$K$3,"متقدم",IF($N624&lt;=المرجع!$K$2,"أولي","جزئي"))</f>
        <v>جزئي</v>
      </c>
    </row>
    <row r="625" spans="1:18">
      <c r="A625" s="16" t="s">
        <v>2065</v>
      </c>
      <c r="B625" s="16" t="s">
        <v>220</v>
      </c>
      <c r="C625" s="15" t="str">
        <f>IFERROR(INDEX('قائمة الوحدات'!$B$2:$B$41,MATCH($B625,'قائمة الوحدات'!$A$2:$A$41,0)),"")</f>
        <v>MIL</v>
      </c>
      <c r="D625" s="14" t="str">
        <f>IFERROR(INDEX('قائمة الوحدات'!$C$2:$C$41,MATCH($B625,'قائمة الوحدات'!$A$2:$A$41,0)),"")</f>
        <v>الجهاز العسكري</v>
      </c>
      <c r="E625" s="14" t="str">
        <f>IFERROR(INDEX('قائمة الوحدات'!$D$2:$D$41,MATCH($B625,'قائمة الوحدات'!$A$2:$A$41,0)),"")</f>
        <v>الإدارة العامة للتسليح والعتاد</v>
      </c>
      <c r="F625" s="14" t="str">
        <f>IFERROR(INDEX('قائمة الوحدات'!$F$2:$F$41,MATCH($B625,'قائمة الوحدات'!$A$2:$A$41,0)),"")</f>
        <v>الإدارة العامة للتسليح والعتاد</v>
      </c>
      <c r="G625" s="16" t="s">
        <v>61</v>
      </c>
      <c r="H625" s="14" t="str">
        <f>IFERROR(INDEX(المرجع!$A$2:$A$19,MATCH($G625,المرجع!$B$2:$B$19,0)),"")</f>
        <v>البناء المؤسسي</v>
      </c>
      <c r="I625" s="16" t="s">
        <v>59</v>
      </c>
      <c r="J625" s="14" t="str">
        <f>IFERROR(INDEX(المرجع!$D$2:$D$19,MATCH($I625,المرجع!$E$2:$E$19,0)),"")</f>
        <v>الإجراءات</v>
      </c>
      <c r="K625" s="15">
        <f>IFERROR(INDEX(المرجع!$F$2:$F$19,MATCH($I625,المرجع!$E$2:$E$19,0)),"")</f>
        <v>6</v>
      </c>
      <c r="L625" s="15">
        <f>SUMIFS(المرجع!$H$2:$H$19,المرجع!$B$2:$B$19,$G625,المرجع!$E$2:$E$19,$I625)</f>
        <v>1</v>
      </c>
      <c r="M625" s="15">
        <f>COUNTIFS('المرتبطة بسمو الوزير'!$B$2:$B$151,$B625,'المرتبطة بسمو الوزير'!$G$2:$G$151,$G625,'المرتبطة بسمو الوزير'!$I$2:$I$151,$I625,'المرتبطة بسمو الوزير'!$M$2:$M$151,"&lt;&gt;")+COUNTIFS('الشؤون التنفيذية'!$B$2:$B$421,$B625,'الشؤون التنفيذية'!$G$2:$G$421,$G625,'الشؤون التنفيذية'!$I$2:$I$421,$I625,'الشؤون التنفيذية'!$N$2:$N$421,"&lt;&gt;")+COUNTIFS('الجهاز العسكري'!$B$2:$B$631,$B625,'الجهاز العسكري'!$G$2:$G$631,$G625,'الجهاز العسكري'!$I$2:$I$631,$I625,'الجهاز العسكري'!$M$2:$M$631,"&lt;&gt;")</f>
        <v>1</v>
      </c>
      <c r="N625" s="19">
        <f>IF($L625=0,0,ROUND((SUMIFS('المرتبطة بسمو الوزير'!$M$2:$M$151,'المرتبطة بسمو الوزير'!$B$2:$B$151,$B625,'المرتبطة بسمو الوزير'!$G$2:$G$151,$G625,'المرتبطة بسمو الوزير'!$I$2:$I$151,$I625)+SUMIFS('الشؤون التنفيذية'!$N$2:$N$421,'الشؤون التنفيذية'!$B$2:$B$421,$B625,'الشؤون التنفيذية'!$G$2:$G$421,$G625,'الشؤون التنفيذية'!$I$2:$I$421,$I625)+SUMIFS('الجهاز العسكري'!$M$2:$M$631,'الجهاز العسكري'!$B$2:$B$631,$B625,'الجهاز العسكري'!$G$2:$G$631,$G625,'الجهاز العسكري'!$I$2:$I$631,$I625))/$L625,0))</f>
        <v>67</v>
      </c>
      <c r="O625" s="18"/>
      <c r="P625" s="15">
        <f>SUMIFS(المرجع!$G$2:$G$19,المرجع!$B$2:$B$19,$G625,المرجع!$E$2:$E$19,$I625)</f>
        <v>5</v>
      </c>
      <c r="Q625" s="20">
        <f t="shared" si="10"/>
        <v>3.35</v>
      </c>
      <c r="R625" s="21" t="str">
        <f>IF($N625&gt;المرجع!$K$3,"متقدم",IF($N625&lt;=المرجع!$K$2,"أولي","جزئي"))</f>
        <v>جزئي</v>
      </c>
    </row>
    <row r="626" spans="1:18">
      <c r="A626" s="16" t="s">
        <v>2066</v>
      </c>
      <c r="B626" s="16" t="s">
        <v>220</v>
      </c>
      <c r="C626" s="15" t="str">
        <f>IFERROR(INDEX('قائمة الوحدات'!$B$2:$B$41,MATCH($B626,'قائمة الوحدات'!$A$2:$A$41,0)),"")</f>
        <v>MIL</v>
      </c>
      <c r="D626" s="14" t="str">
        <f>IFERROR(INDEX('قائمة الوحدات'!$C$2:$C$41,MATCH($B626,'قائمة الوحدات'!$A$2:$A$41,0)),"")</f>
        <v>الجهاز العسكري</v>
      </c>
      <c r="E626" s="14" t="str">
        <f>IFERROR(INDEX('قائمة الوحدات'!$D$2:$D$41,MATCH($B626,'قائمة الوحدات'!$A$2:$A$41,0)),"")</f>
        <v>الإدارة العامة للتسليح والعتاد</v>
      </c>
      <c r="F626" s="14" t="str">
        <f>IFERROR(INDEX('قائمة الوحدات'!$F$2:$F$41,MATCH($B626,'قائمة الوحدات'!$A$2:$A$41,0)),"")</f>
        <v>الإدارة العامة للتسليح والعتاد</v>
      </c>
      <c r="G626" s="16" t="s">
        <v>61</v>
      </c>
      <c r="H626" s="14" t="str">
        <f>IFERROR(INDEX(المرجع!$A$2:$A$19,MATCH($G626,المرجع!$B$2:$B$19,0)),"")</f>
        <v>البناء المؤسسي</v>
      </c>
      <c r="I626" s="16" t="s">
        <v>63</v>
      </c>
      <c r="J626" s="14" t="str">
        <f>IFERROR(INDEX(المرجع!$D$2:$D$19,MATCH($I626,المرجع!$E$2:$E$19,0)),"")</f>
        <v>إنتاج المخرج الأول</v>
      </c>
      <c r="K626" s="15">
        <f>IFERROR(INDEX(المرجع!$F$2:$F$19,MATCH($I626,المرجع!$E$2:$E$19,0)),"")</f>
        <v>7</v>
      </c>
      <c r="L626" s="15">
        <f>SUMIFS(المرجع!$H$2:$H$19,المرجع!$B$2:$B$19,$G626,المرجع!$E$2:$E$19,$I626)</f>
        <v>1</v>
      </c>
      <c r="M626" s="15">
        <f>COUNTIFS('المرتبطة بسمو الوزير'!$B$2:$B$151,$B626,'المرتبطة بسمو الوزير'!$G$2:$G$151,$G626,'المرتبطة بسمو الوزير'!$I$2:$I$151,$I626,'المرتبطة بسمو الوزير'!$M$2:$M$151,"&lt;&gt;")+COUNTIFS('الشؤون التنفيذية'!$B$2:$B$421,$B626,'الشؤون التنفيذية'!$G$2:$G$421,$G626,'الشؤون التنفيذية'!$I$2:$I$421,$I626,'الشؤون التنفيذية'!$N$2:$N$421,"&lt;&gt;")+COUNTIFS('الجهاز العسكري'!$B$2:$B$631,$B626,'الجهاز العسكري'!$G$2:$G$631,$G626,'الجهاز العسكري'!$I$2:$I$631,$I626,'الجهاز العسكري'!$M$2:$M$631,"&lt;&gt;")</f>
        <v>1</v>
      </c>
      <c r="N626" s="19">
        <f>IF($L626=0,0,ROUND((SUMIFS('المرتبطة بسمو الوزير'!$M$2:$M$151,'المرتبطة بسمو الوزير'!$B$2:$B$151,$B626,'المرتبطة بسمو الوزير'!$G$2:$G$151,$G626,'المرتبطة بسمو الوزير'!$I$2:$I$151,$I626)+SUMIFS('الشؤون التنفيذية'!$N$2:$N$421,'الشؤون التنفيذية'!$B$2:$B$421,$B626,'الشؤون التنفيذية'!$G$2:$G$421,$G626,'الشؤون التنفيذية'!$I$2:$I$421,$I626)+SUMIFS('الجهاز العسكري'!$M$2:$M$631,'الجهاز العسكري'!$B$2:$B$631,$B626,'الجهاز العسكري'!$G$2:$G$631,$G626,'الجهاز العسكري'!$I$2:$I$631,$I626))/$L626,0))</f>
        <v>62</v>
      </c>
      <c r="O626" s="18"/>
      <c r="P626" s="15">
        <f>SUMIFS(المرجع!$G$2:$G$19,المرجع!$B$2:$B$19,$G626,المرجع!$E$2:$E$19,$I626)</f>
        <v>5</v>
      </c>
      <c r="Q626" s="20">
        <f t="shared" si="10"/>
        <v>3.1</v>
      </c>
      <c r="R626" s="21" t="str">
        <f>IF($N626&gt;المرجع!$K$3,"متقدم",IF($N626&lt;=المرجع!$K$2,"أولي","جزئي"))</f>
        <v>جزئي</v>
      </c>
    </row>
    <row r="627" spans="1:18">
      <c r="A627" s="16" t="s">
        <v>2067</v>
      </c>
      <c r="B627" s="16" t="s">
        <v>220</v>
      </c>
      <c r="C627" s="15" t="str">
        <f>IFERROR(INDEX('قائمة الوحدات'!$B$2:$B$41,MATCH($B627,'قائمة الوحدات'!$A$2:$A$41,0)),"")</f>
        <v>MIL</v>
      </c>
      <c r="D627" s="14" t="str">
        <f>IFERROR(INDEX('قائمة الوحدات'!$C$2:$C$41,MATCH($B627,'قائمة الوحدات'!$A$2:$A$41,0)),"")</f>
        <v>الجهاز العسكري</v>
      </c>
      <c r="E627" s="14" t="str">
        <f>IFERROR(INDEX('قائمة الوحدات'!$D$2:$D$41,MATCH($B627,'قائمة الوحدات'!$A$2:$A$41,0)),"")</f>
        <v>الإدارة العامة للتسليح والعتاد</v>
      </c>
      <c r="F627" s="14" t="str">
        <f>IFERROR(INDEX('قائمة الوحدات'!$F$2:$F$41,MATCH($B627,'قائمة الوحدات'!$A$2:$A$41,0)),"")</f>
        <v>الإدارة العامة للتسليح والعتاد</v>
      </c>
      <c r="G627" s="16" t="s">
        <v>65</v>
      </c>
      <c r="H627" s="14" t="str">
        <f>IFERROR(INDEX(المرجع!$A$2:$A$19,MATCH($G627,المرجع!$B$2:$B$19,0)),"")</f>
        <v>التشغيل</v>
      </c>
      <c r="I627" s="16" t="s">
        <v>48</v>
      </c>
      <c r="J627" s="14" t="str">
        <f>IFERROR(INDEX(المرجع!$D$2:$D$19,MATCH($I627,المرجع!$E$2:$E$19,0)),"")</f>
        <v>الأهداف ومؤشرات الأداء</v>
      </c>
      <c r="K627" s="15">
        <f>IFERROR(INDEX(المرجع!$F$2:$F$19,MATCH($I627,المرجع!$E$2:$E$19,0)),"")</f>
        <v>2</v>
      </c>
      <c r="L627" s="15">
        <f>SUMIFS(المرجع!$H$2:$H$19,المرجع!$B$2:$B$19,$G627,المرجع!$E$2:$E$19,$I627)</f>
        <v>2</v>
      </c>
      <c r="M627" s="15">
        <f>COUNTIFS('المرتبطة بسمو الوزير'!$B$2:$B$151,$B627,'المرتبطة بسمو الوزير'!$G$2:$G$151,$G627,'المرتبطة بسمو الوزير'!$I$2:$I$151,$I627,'المرتبطة بسمو الوزير'!$M$2:$M$151,"&lt;&gt;")+COUNTIFS('الشؤون التنفيذية'!$B$2:$B$421,$B627,'الشؤون التنفيذية'!$G$2:$G$421,$G627,'الشؤون التنفيذية'!$I$2:$I$421,$I627,'الشؤون التنفيذية'!$N$2:$N$421,"&lt;&gt;")+COUNTIFS('الجهاز العسكري'!$B$2:$B$631,$B627,'الجهاز العسكري'!$G$2:$G$631,$G627,'الجهاز العسكري'!$I$2:$I$631,$I627,'الجهاز العسكري'!$M$2:$M$631,"&lt;&gt;")</f>
        <v>2</v>
      </c>
      <c r="N627" s="19">
        <f>IF($L627=0,0,ROUND((SUMIFS('المرتبطة بسمو الوزير'!$M$2:$M$151,'المرتبطة بسمو الوزير'!$B$2:$B$151,$B627,'المرتبطة بسمو الوزير'!$G$2:$G$151,$G627,'المرتبطة بسمو الوزير'!$I$2:$I$151,$I627)+SUMIFS('الشؤون التنفيذية'!$N$2:$N$421,'الشؤون التنفيذية'!$B$2:$B$421,$B627,'الشؤون التنفيذية'!$G$2:$G$421,$G627,'الشؤون التنفيذية'!$I$2:$I$421,$I627)+SUMIFS('الجهاز العسكري'!$M$2:$M$631,'الجهاز العسكري'!$B$2:$B$631,$B627,'الجهاز العسكري'!$G$2:$G$631,$G627,'الجهاز العسكري'!$I$2:$I$631,$I627))/$L627,0))</f>
        <v>45</v>
      </c>
      <c r="O627" s="18"/>
      <c r="P627" s="15">
        <f>SUMIFS(المرجع!$G$2:$G$19,المرجع!$B$2:$B$19,$G627,المرجع!$E$2:$E$19,$I627)</f>
        <v>25</v>
      </c>
      <c r="Q627" s="20">
        <f t="shared" si="10"/>
        <v>11.25</v>
      </c>
      <c r="R627" s="21" t="str">
        <f>IF($N627&gt;المرجع!$K$3,"متقدم",IF($N627&lt;=المرجع!$K$2,"أولي","جزئي"))</f>
        <v>جزئي</v>
      </c>
    </row>
    <row r="628" spans="1:18">
      <c r="A628" s="16" t="s">
        <v>2068</v>
      </c>
      <c r="B628" s="16" t="s">
        <v>220</v>
      </c>
      <c r="C628" s="15" t="str">
        <f>IFERROR(INDEX('قائمة الوحدات'!$B$2:$B$41,MATCH($B628,'قائمة الوحدات'!$A$2:$A$41,0)),"")</f>
        <v>MIL</v>
      </c>
      <c r="D628" s="14" t="str">
        <f>IFERROR(INDEX('قائمة الوحدات'!$C$2:$C$41,MATCH($B628,'قائمة الوحدات'!$A$2:$A$41,0)),"")</f>
        <v>الجهاز العسكري</v>
      </c>
      <c r="E628" s="14" t="str">
        <f>IFERROR(INDEX('قائمة الوحدات'!$D$2:$D$41,MATCH($B628,'قائمة الوحدات'!$A$2:$A$41,0)),"")</f>
        <v>الإدارة العامة للتسليح والعتاد</v>
      </c>
      <c r="F628" s="14" t="str">
        <f>IFERROR(INDEX('قائمة الوحدات'!$F$2:$F$41,MATCH($B628,'قائمة الوحدات'!$A$2:$A$41,0)),"")</f>
        <v>الإدارة العامة للتسليح والعتاد</v>
      </c>
      <c r="G628" s="16" t="s">
        <v>65</v>
      </c>
      <c r="H628" s="14" t="str">
        <f>IFERROR(INDEX(المرجع!$A$2:$A$19,MATCH($G628,المرجع!$B$2:$B$19,0)),"")</f>
        <v>التشغيل</v>
      </c>
      <c r="I628" s="16" t="s">
        <v>51</v>
      </c>
      <c r="J628" s="14" t="str">
        <f>IFERROR(INDEX(المرجع!$D$2:$D$19,MATCH($I628,المرجع!$E$2:$E$19,0)),"")</f>
        <v>الحوكمة</v>
      </c>
      <c r="K628" s="15">
        <f>IFERROR(INDEX(المرجع!$F$2:$F$19,MATCH($I628,المرجع!$E$2:$E$19,0)),"")</f>
        <v>3</v>
      </c>
      <c r="L628" s="15">
        <f>SUMIFS(المرجع!$H$2:$H$19,المرجع!$B$2:$B$19,$G628,المرجع!$E$2:$E$19,$I628)</f>
        <v>3</v>
      </c>
      <c r="M628" s="15">
        <f>COUNTIFS('المرتبطة بسمو الوزير'!$B$2:$B$151,$B628,'المرتبطة بسمو الوزير'!$G$2:$G$151,$G628,'المرتبطة بسمو الوزير'!$I$2:$I$151,$I628,'المرتبطة بسمو الوزير'!$M$2:$M$151,"&lt;&gt;")+COUNTIFS('الشؤون التنفيذية'!$B$2:$B$421,$B628,'الشؤون التنفيذية'!$G$2:$G$421,$G628,'الشؤون التنفيذية'!$I$2:$I$421,$I628,'الشؤون التنفيذية'!$N$2:$N$421,"&lt;&gt;")+COUNTIFS('الجهاز العسكري'!$B$2:$B$631,$B628,'الجهاز العسكري'!$G$2:$G$631,$G628,'الجهاز العسكري'!$I$2:$I$631,$I628,'الجهاز العسكري'!$M$2:$M$631,"&lt;&gt;")</f>
        <v>3</v>
      </c>
      <c r="N628" s="19">
        <f>IF($L628=0,0,ROUND((SUMIFS('المرتبطة بسمو الوزير'!$M$2:$M$151,'المرتبطة بسمو الوزير'!$B$2:$B$151,$B628,'المرتبطة بسمو الوزير'!$G$2:$G$151,$G628,'المرتبطة بسمو الوزير'!$I$2:$I$151,$I628)+SUMIFS('الشؤون التنفيذية'!$N$2:$N$421,'الشؤون التنفيذية'!$B$2:$B$421,$B628,'الشؤون التنفيذية'!$G$2:$G$421,$G628,'الشؤون التنفيذية'!$I$2:$I$421,$I628)+SUMIFS('الجهاز العسكري'!$M$2:$M$631,'الجهاز العسكري'!$B$2:$B$631,$B628,'الجهاز العسكري'!$G$2:$G$631,$G628,'الجهاز العسكري'!$I$2:$I$631,$I628))/$L628,0))</f>
        <v>43</v>
      </c>
      <c r="O628" s="18"/>
      <c r="P628" s="15">
        <f>SUMIFS(المرجع!$G$2:$G$19,المرجع!$B$2:$B$19,$G628,المرجع!$E$2:$E$19,$I628)</f>
        <v>15</v>
      </c>
      <c r="Q628" s="20">
        <f t="shared" si="10"/>
        <v>6.45</v>
      </c>
      <c r="R628" s="21" t="str">
        <f>IF($N628&gt;المرجع!$K$3,"متقدم",IF($N628&lt;=المرجع!$K$2,"أولي","جزئي"))</f>
        <v>جزئي</v>
      </c>
    </row>
    <row r="629" spans="1:18">
      <c r="A629" s="16" t="s">
        <v>2069</v>
      </c>
      <c r="B629" s="16" t="s">
        <v>220</v>
      </c>
      <c r="C629" s="15" t="str">
        <f>IFERROR(INDEX('قائمة الوحدات'!$B$2:$B$41,MATCH($B629,'قائمة الوحدات'!$A$2:$A$41,0)),"")</f>
        <v>MIL</v>
      </c>
      <c r="D629" s="14" t="str">
        <f>IFERROR(INDEX('قائمة الوحدات'!$C$2:$C$41,MATCH($B629,'قائمة الوحدات'!$A$2:$A$41,0)),"")</f>
        <v>الجهاز العسكري</v>
      </c>
      <c r="E629" s="14" t="str">
        <f>IFERROR(INDEX('قائمة الوحدات'!$D$2:$D$41,MATCH($B629,'قائمة الوحدات'!$A$2:$A$41,0)),"")</f>
        <v>الإدارة العامة للتسليح والعتاد</v>
      </c>
      <c r="F629" s="14" t="str">
        <f>IFERROR(INDEX('قائمة الوحدات'!$F$2:$F$41,MATCH($B629,'قائمة الوحدات'!$A$2:$A$41,0)),"")</f>
        <v>الإدارة العامة للتسليح والعتاد</v>
      </c>
      <c r="G629" s="16" t="s">
        <v>65</v>
      </c>
      <c r="H629" s="14" t="str">
        <f>IFERROR(INDEX(المرجع!$A$2:$A$19,MATCH($G629,المرجع!$B$2:$B$19,0)),"")</f>
        <v>التشغيل</v>
      </c>
      <c r="I629" s="16" t="s">
        <v>56</v>
      </c>
      <c r="J629" s="14" t="str">
        <f>IFERROR(INDEX(المرجع!$D$2:$D$19,MATCH($I629,المرجع!$E$2:$E$19,0)),"")</f>
        <v>الموارد</v>
      </c>
      <c r="K629" s="15">
        <f>IFERROR(INDEX(المرجع!$F$2:$F$19,MATCH($I629,المرجع!$E$2:$E$19,0)),"")</f>
        <v>5</v>
      </c>
      <c r="L629" s="15">
        <f>SUMIFS(المرجع!$H$2:$H$19,المرجع!$B$2:$B$19,$G629,المرجع!$E$2:$E$19,$I629)</f>
        <v>1</v>
      </c>
      <c r="M629" s="15">
        <f>COUNTIFS('المرتبطة بسمو الوزير'!$B$2:$B$151,$B629,'المرتبطة بسمو الوزير'!$G$2:$G$151,$G629,'المرتبطة بسمو الوزير'!$I$2:$I$151,$I629,'المرتبطة بسمو الوزير'!$M$2:$M$151,"&lt;&gt;")+COUNTIFS('الشؤون التنفيذية'!$B$2:$B$421,$B629,'الشؤون التنفيذية'!$G$2:$G$421,$G629,'الشؤون التنفيذية'!$I$2:$I$421,$I629,'الشؤون التنفيذية'!$N$2:$N$421,"&lt;&gt;")+COUNTIFS('الجهاز العسكري'!$B$2:$B$631,$B629,'الجهاز العسكري'!$G$2:$G$631,$G629,'الجهاز العسكري'!$I$2:$I$631,$I629,'الجهاز العسكري'!$M$2:$M$631,"&lt;&gt;")</f>
        <v>1</v>
      </c>
      <c r="N629" s="19">
        <f>IF($L629=0,0,ROUND((SUMIFS('المرتبطة بسمو الوزير'!$M$2:$M$151,'المرتبطة بسمو الوزير'!$B$2:$B$151,$B629,'المرتبطة بسمو الوزير'!$G$2:$G$151,$G629,'المرتبطة بسمو الوزير'!$I$2:$I$151,$I629)+SUMIFS('الشؤون التنفيذية'!$N$2:$N$421,'الشؤون التنفيذية'!$B$2:$B$421,$B629,'الشؤون التنفيذية'!$G$2:$G$421,$G629,'الشؤون التنفيذية'!$I$2:$I$421,$I629)+SUMIFS('الجهاز العسكري'!$M$2:$M$631,'الجهاز العسكري'!$B$2:$B$631,$B629,'الجهاز العسكري'!$G$2:$G$631,$G629,'الجهاز العسكري'!$I$2:$I$631,$I629))/$L629,0))</f>
        <v>30</v>
      </c>
      <c r="O629" s="18"/>
      <c r="P629" s="15">
        <f>SUMIFS(المرجع!$G$2:$G$19,المرجع!$B$2:$B$19,$G629,المرجع!$E$2:$E$19,$I629)</f>
        <v>15</v>
      </c>
      <c r="Q629" s="20">
        <f t="shared" si="10"/>
        <v>4.5</v>
      </c>
      <c r="R629" s="21" t="str">
        <f>IF($N629&gt;المرجع!$K$3,"متقدم",IF($N629&lt;=المرجع!$K$2,"أولي","جزئي"))</f>
        <v>أولي</v>
      </c>
    </row>
    <row r="630" spans="1:18">
      <c r="A630" s="16" t="s">
        <v>2070</v>
      </c>
      <c r="B630" s="16" t="s">
        <v>220</v>
      </c>
      <c r="C630" s="15" t="str">
        <f>IFERROR(INDEX('قائمة الوحدات'!$B$2:$B$41,MATCH($B630,'قائمة الوحدات'!$A$2:$A$41,0)),"")</f>
        <v>MIL</v>
      </c>
      <c r="D630" s="14" t="str">
        <f>IFERROR(INDEX('قائمة الوحدات'!$C$2:$C$41,MATCH($B630,'قائمة الوحدات'!$A$2:$A$41,0)),"")</f>
        <v>الجهاز العسكري</v>
      </c>
      <c r="E630" s="14" t="str">
        <f>IFERROR(INDEX('قائمة الوحدات'!$D$2:$D$41,MATCH($B630,'قائمة الوحدات'!$A$2:$A$41,0)),"")</f>
        <v>الإدارة العامة للتسليح والعتاد</v>
      </c>
      <c r="F630" s="14" t="str">
        <f>IFERROR(INDEX('قائمة الوحدات'!$F$2:$F$41,MATCH($B630,'قائمة الوحدات'!$A$2:$A$41,0)),"")</f>
        <v>الإدارة العامة للتسليح والعتاد</v>
      </c>
      <c r="G630" s="16" t="s">
        <v>65</v>
      </c>
      <c r="H630" s="14" t="str">
        <f>IFERROR(INDEX(المرجع!$A$2:$A$19,MATCH($G630,المرجع!$B$2:$B$19,0)),"")</f>
        <v>التشغيل</v>
      </c>
      <c r="I630" s="16" t="s">
        <v>59</v>
      </c>
      <c r="J630" s="14" t="str">
        <f>IFERROR(INDEX(المرجع!$D$2:$D$19,MATCH($I630,المرجع!$E$2:$E$19,0)),"")</f>
        <v>الإجراءات</v>
      </c>
      <c r="K630" s="15">
        <f>IFERROR(INDEX(المرجع!$F$2:$F$19,MATCH($I630,المرجع!$E$2:$E$19,0)),"")</f>
        <v>6</v>
      </c>
      <c r="L630" s="15">
        <f>SUMIFS(المرجع!$H$2:$H$19,المرجع!$B$2:$B$19,$G630,المرجع!$E$2:$E$19,$I630)</f>
        <v>1</v>
      </c>
      <c r="M630" s="15">
        <f>COUNTIFS('المرتبطة بسمو الوزير'!$B$2:$B$151,$B630,'المرتبطة بسمو الوزير'!$G$2:$G$151,$G630,'المرتبطة بسمو الوزير'!$I$2:$I$151,$I630,'المرتبطة بسمو الوزير'!$M$2:$M$151,"&lt;&gt;")+COUNTIFS('الشؤون التنفيذية'!$B$2:$B$421,$B630,'الشؤون التنفيذية'!$G$2:$G$421,$G630,'الشؤون التنفيذية'!$I$2:$I$421,$I630,'الشؤون التنفيذية'!$N$2:$N$421,"&lt;&gt;")+COUNTIFS('الجهاز العسكري'!$B$2:$B$631,$B630,'الجهاز العسكري'!$G$2:$G$631,$G630,'الجهاز العسكري'!$I$2:$I$631,$I630,'الجهاز العسكري'!$M$2:$M$631,"&lt;&gt;")</f>
        <v>1</v>
      </c>
      <c r="N630" s="19">
        <f>IF($L630=0,0,ROUND((SUMIFS('المرتبطة بسمو الوزير'!$M$2:$M$151,'المرتبطة بسمو الوزير'!$B$2:$B$151,$B630,'المرتبطة بسمو الوزير'!$G$2:$G$151,$G630,'المرتبطة بسمو الوزير'!$I$2:$I$151,$I630)+SUMIFS('الشؤون التنفيذية'!$N$2:$N$421,'الشؤون التنفيذية'!$B$2:$B$421,$B630,'الشؤون التنفيذية'!$G$2:$G$421,$G630,'الشؤون التنفيذية'!$I$2:$I$421,$I630)+SUMIFS('الجهاز العسكري'!$M$2:$M$631,'الجهاز العسكري'!$B$2:$B$631,$B630,'الجهاز العسكري'!$G$2:$G$631,$G630,'الجهاز العسكري'!$I$2:$I$631,$I630))/$L630,0))</f>
        <v>25</v>
      </c>
      <c r="O630" s="18"/>
      <c r="P630" s="15">
        <f>SUMIFS(المرجع!$G$2:$G$19,المرجع!$B$2:$B$19,$G630,المرجع!$E$2:$E$19,$I630)</f>
        <v>15</v>
      </c>
      <c r="Q630" s="20">
        <f t="shared" si="10"/>
        <v>3.75</v>
      </c>
      <c r="R630" s="21" t="str">
        <f>IF($N630&gt;المرجع!$K$3,"متقدم",IF($N630&lt;=المرجع!$K$2,"أولي","جزئي"))</f>
        <v>أولي</v>
      </c>
    </row>
    <row r="631" spans="1:18">
      <c r="A631" s="16" t="s">
        <v>2071</v>
      </c>
      <c r="B631" s="16" t="s">
        <v>220</v>
      </c>
      <c r="C631" s="15" t="str">
        <f>IFERROR(INDEX('قائمة الوحدات'!$B$2:$B$41,MATCH($B631,'قائمة الوحدات'!$A$2:$A$41,0)),"")</f>
        <v>MIL</v>
      </c>
      <c r="D631" s="14" t="str">
        <f>IFERROR(INDEX('قائمة الوحدات'!$C$2:$C$41,MATCH($B631,'قائمة الوحدات'!$A$2:$A$41,0)),"")</f>
        <v>الجهاز العسكري</v>
      </c>
      <c r="E631" s="14" t="str">
        <f>IFERROR(INDEX('قائمة الوحدات'!$D$2:$D$41,MATCH($B631,'قائمة الوحدات'!$A$2:$A$41,0)),"")</f>
        <v>الإدارة العامة للتسليح والعتاد</v>
      </c>
      <c r="F631" s="14" t="str">
        <f>IFERROR(INDEX('قائمة الوحدات'!$F$2:$F$41,MATCH($B631,'قائمة الوحدات'!$A$2:$A$41,0)),"")</f>
        <v>الإدارة العامة للتسليح والعتاد</v>
      </c>
      <c r="G631" s="16" t="s">
        <v>65</v>
      </c>
      <c r="H631" s="14" t="str">
        <f>IFERROR(INDEX(المرجع!$A$2:$A$19,MATCH($G631,المرجع!$B$2:$B$19,0)),"")</f>
        <v>التشغيل</v>
      </c>
      <c r="I631" s="16" t="s">
        <v>67</v>
      </c>
      <c r="J631" s="14" t="str">
        <f>IFERROR(INDEX(المرجع!$D$2:$D$19,MATCH($I631,المرجع!$E$2:$E$19,0)),"")</f>
        <v>اكتمال المخرجات المستهدفة</v>
      </c>
      <c r="K631" s="15">
        <f>IFERROR(INDEX(المرجع!$F$2:$F$19,MATCH($I631,المرجع!$E$2:$E$19,0)),"")</f>
        <v>8</v>
      </c>
      <c r="L631" s="15">
        <f>SUMIFS(المرجع!$H$2:$H$19,المرجع!$B$2:$B$19,$G631,المرجع!$E$2:$E$19,$I631)</f>
        <v>1</v>
      </c>
      <c r="M631" s="15">
        <f>COUNTIFS('المرتبطة بسمو الوزير'!$B$2:$B$151,$B631,'المرتبطة بسمو الوزير'!$G$2:$G$151,$G631,'المرتبطة بسمو الوزير'!$I$2:$I$151,$I631,'المرتبطة بسمو الوزير'!$M$2:$M$151,"&lt;&gt;")+COUNTIFS('الشؤون التنفيذية'!$B$2:$B$421,$B631,'الشؤون التنفيذية'!$G$2:$G$421,$G631,'الشؤون التنفيذية'!$I$2:$I$421,$I631,'الشؤون التنفيذية'!$N$2:$N$421,"&lt;&gt;")+COUNTIFS('الجهاز العسكري'!$B$2:$B$631,$B631,'الجهاز العسكري'!$G$2:$G$631,$G631,'الجهاز العسكري'!$I$2:$I$631,$I631,'الجهاز العسكري'!$M$2:$M$631,"&lt;&gt;")</f>
        <v>1</v>
      </c>
      <c r="N631" s="19">
        <f>IF($L631=0,0,ROUND((SUMIFS('المرتبطة بسمو الوزير'!$M$2:$M$151,'المرتبطة بسمو الوزير'!$B$2:$B$151,$B631,'المرتبطة بسمو الوزير'!$G$2:$G$151,$G631,'المرتبطة بسمو الوزير'!$I$2:$I$151,$I631)+SUMIFS('الشؤون التنفيذية'!$N$2:$N$421,'الشؤون التنفيذية'!$B$2:$B$421,$B631,'الشؤون التنفيذية'!$G$2:$G$421,$G631,'الشؤون التنفيذية'!$I$2:$I$421,$I631)+SUMIFS('الجهاز العسكري'!$M$2:$M$631,'الجهاز العسكري'!$B$2:$B$631,$B631,'الجهاز العسكري'!$G$2:$G$631,$G631,'الجهاز العسكري'!$I$2:$I$631,$I631))/$L631,0))</f>
        <v>36</v>
      </c>
      <c r="O631" s="18"/>
      <c r="P631" s="15">
        <f>SUMIFS(المرجع!$G$2:$G$19,المرجع!$B$2:$B$19,$G631,المرجع!$E$2:$E$19,$I631)</f>
        <v>30</v>
      </c>
      <c r="Q631" s="20">
        <f t="shared" si="10"/>
        <v>10.8</v>
      </c>
      <c r="R631" s="21" t="str">
        <f>IF($N631&gt;المرجع!$K$3,"متقدم",IF($N631&lt;=المرجع!$K$2,"أولي","جزئي"))</f>
        <v>جزئي</v>
      </c>
    </row>
    <row r="632" spans="1:18">
      <c r="A632" s="16" t="s">
        <v>2072</v>
      </c>
      <c r="B632" s="16" t="s">
        <v>222</v>
      </c>
      <c r="C632" s="15" t="str">
        <f>IFERROR(INDEX('قائمة الوحدات'!$B$2:$B$41,MATCH($B632,'قائمة الوحدات'!$A$2:$A$41,0)),"")</f>
        <v>MIL</v>
      </c>
      <c r="D632" s="14" t="str">
        <f>IFERROR(INDEX('قائمة الوحدات'!$C$2:$C$41,MATCH($B632,'قائمة الوحدات'!$A$2:$A$41,0)),"")</f>
        <v>الجهاز العسكري</v>
      </c>
      <c r="E632" s="14" t="str">
        <f>IFERROR(INDEX('قائمة الوحدات'!$D$2:$D$41,MATCH($B632,'قائمة الوحدات'!$A$2:$A$41,0)),"")</f>
        <v>الإدارة العامة للقضاء العسكري</v>
      </c>
      <c r="F632" s="14" t="str">
        <f>IFERROR(INDEX('قائمة الوحدات'!$F$2:$F$41,MATCH($B632,'قائمة الوحدات'!$A$2:$A$41,0)),"")</f>
        <v>الإدارة العامة للقضاء العسكري</v>
      </c>
      <c r="G632" s="16" t="s">
        <v>43</v>
      </c>
      <c r="H632" s="14" t="str">
        <f>IFERROR(INDEX(المرجع!$A$2:$A$19,MATCH($G632,المرجع!$B$2:$B$19,0)),"")</f>
        <v>التصميم</v>
      </c>
      <c r="I632" s="16" t="s">
        <v>45</v>
      </c>
      <c r="J632" s="14" t="str">
        <f>IFERROR(INDEX(المرجع!$D$2:$D$19,MATCH($I632,المرجع!$E$2:$E$19,0)),"")</f>
        <v>الدور</v>
      </c>
      <c r="K632" s="15">
        <f>IFERROR(INDEX(المرجع!$F$2:$F$19,MATCH($I632,المرجع!$E$2:$E$19,0)),"")</f>
        <v>1</v>
      </c>
      <c r="L632" s="15">
        <f>SUMIFS(المرجع!$H$2:$H$19,المرجع!$B$2:$B$19,$G632,المرجع!$E$2:$E$19,$I632)</f>
        <v>1</v>
      </c>
      <c r="M632" s="15">
        <f>COUNTIFS('المرتبطة بسمو الوزير'!$B$2:$B$151,$B632,'المرتبطة بسمو الوزير'!$G$2:$G$151,$G632,'المرتبطة بسمو الوزير'!$I$2:$I$151,$I632,'المرتبطة بسمو الوزير'!$M$2:$M$151,"&lt;&gt;")+COUNTIFS('الشؤون التنفيذية'!$B$2:$B$421,$B632,'الشؤون التنفيذية'!$G$2:$G$421,$G632,'الشؤون التنفيذية'!$I$2:$I$421,$I632,'الشؤون التنفيذية'!$N$2:$N$421,"&lt;&gt;")+COUNTIFS('الجهاز العسكري'!$B$2:$B$631,$B632,'الجهاز العسكري'!$G$2:$G$631,$G632,'الجهاز العسكري'!$I$2:$I$631,$I632,'الجهاز العسكري'!$M$2:$M$631,"&lt;&gt;")</f>
        <v>1</v>
      </c>
      <c r="N632" s="19">
        <f>IF($L632=0,0,ROUND((SUMIFS('المرتبطة بسمو الوزير'!$M$2:$M$151,'المرتبطة بسمو الوزير'!$B$2:$B$151,$B632,'المرتبطة بسمو الوزير'!$G$2:$G$151,$G632,'المرتبطة بسمو الوزير'!$I$2:$I$151,$I632)+SUMIFS('الشؤون التنفيذية'!$N$2:$N$421,'الشؤون التنفيذية'!$B$2:$B$421,$B632,'الشؤون التنفيذية'!$G$2:$G$421,$G632,'الشؤون التنفيذية'!$I$2:$I$421,$I632)+SUMIFS('الجهاز العسكري'!$M$2:$M$631,'الجهاز العسكري'!$B$2:$B$631,$B632,'الجهاز العسكري'!$G$2:$G$631,$G632,'الجهاز العسكري'!$I$2:$I$631,$I632))/$L632,0))</f>
        <v>95</v>
      </c>
      <c r="O632" s="18"/>
      <c r="P632" s="15">
        <f>SUMIFS(المرجع!$G$2:$G$19,المرجع!$B$2:$B$19,$G632,المرجع!$E$2:$E$19,$I632)</f>
        <v>25</v>
      </c>
      <c r="Q632" s="20">
        <f t="shared" si="10"/>
        <v>23.75</v>
      </c>
      <c r="R632" s="21" t="str">
        <f>IF($N632&gt;المرجع!$K$3,"متقدم",IF($N632&lt;=المرجع!$K$2,"أولي","جزئي"))</f>
        <v>متقدم</v>
      </c>
    </row>
    <row r="633" spans="1:18">
      <c r="A633" s="16" t="s">
        <v>2073</v>
      </c>
      <c r="B633" s="16" t="s">
        <v>222</v>
      </c>
      <c r="C633" s="15" t="str">
        <f>IFERROR(INDEX('قائمة الوحدات'!$B$2:$B$41,MATCH($B633,'قائمة الوحدات'!$A$2:$A$41,0)),"")</f>
        <v>MIL</v>
      </c>
      <c r="D633" s="14" t="str">
        <f>IFERROR(INDEX('قائمة الوحدات'!$C$2:$C$41,MATCH($B633,'قائمة الوحدات'!$A$2:$A$41,0)),"")</f>
        <v>الجهاز العسكري</v>
      </c>
      <c r="E633" s="14" t="str">
        <f>IFERROR(INDEX('قائمة الوحدات'!$D$2:$D$41,MATCH($B633,'قائمة الوحدات'!$A$2:$A$41,0)),"")</f>
        <v>الإدارة العامة للقضاء العسكري</v>
      </c>
      <c r="F633" s="14" t="str">
        <f>IFERROR(INDEX('قائمة الوحدات'!$F$2:$F$41,MATCH($B633,'قائمة الوحدات'!$A$2:$A$41,0)),"")</f>
        <v>الإدارة العامة للقضاء العسكري</v>
      </c>
      <c r="G633" s="16" t="s">
        <v>43</v>
      </c>
      <c r="H633" s="14" t="str">
        <f>IFERROR(INDEX(المرجع!$A$2:$A$19,MATCH($G633,المرجع!$B$2:$B$19,0)),"")</f>
        <v>التصميم</v>
      </c>
      <c r="I633" s="16" t="s">
        <v>48</v>
      </c>
      <c r="J633" s="14" t="str">
        <f>IFERROR(INDEX(المرجع!$D$2:$D$19,MATCH($I633,المرجع!$E$2:$E$19,0)),"")</f>
        <v>الأهداف ومؤشرات الأداء</v>
      </c>
      <c r="K633" s="15">
        <f>IFERROR(INDEX(المرجع!$F$2:$F$19,MATCH($I633,المرجع!$E$2:$E$19,0)),"")</f>
        <v>2</v>
      </c>
      <c r="L633" s="15">
        <f>SUMIFS(المرجع!$H$2:$H$19,المرجع!$B$2:$B$19,$G633,المرجع!$E$2:$E$19,$I633)</f>
        <v>2</v>
      </c>
      <c r="M633" s="15">
        <f>COUNTIFS('المرتبطة بسمو الوزير'!$B$2:$B$151,$B633,'المرتبطة بسمو الوزير'!$G$2:$G$151,$G633,'المرتبطة بسمو الوزير'!$I$2:$I$151,$I633,'المرتبطة بسمو الوزير'!$M$2:$M$151,"&lt;&gt;")+COUNTIFS('الشؤون التنفيذية'!$B$2:$B$421,$B633,'الشؤون التنفيذية'!$G$2:$G$421,$G633,'الشؤون التنفيذية'!$I$2:$I$421,$I633,'الشؤون التنفيذية'!$N$2:$N$421,"&lt;&gt;")+COUNTIFS('الجهاز العسكري'!$B$2:$B$631,$B633,'الجهاز العسكري'!$G$2:$G$631,$G633,'الجهاز العسكري'!$I$2:$I$631,$I633,'الجهاز العسكري'!$M$2:$M$631,"&lt;&gt;")</f>
        <v>2</v>
      </c>
      <c r="N633" s="19">
        <f>IF($L633=0,0,ROUND((SUMIFS('المرتبطة بسمو الوزير'!$M$2:$M$151,'المرتبطة بسمو الوزير'!$B$2:$B$151,$B633,'المرتبطة بسمو الوزير'!$G$2:$G$151,$G633,'المرتبطة بسمو الوزير'!$I$2:$I$151,$I633)+SUMIFS('الشؤون التنفيذية'!$N$2:$N$421,'الشؤون التنفيذية'!$B$2:$B$421,$B633,'الشؤون التنفيذية'!$G$2:$G$421,$G633,'الشؤون التنفيذية'!$I$2:$I$421,$I633)+SUMIFS('الجهاز العسكري'!$M$2:$M$631,'الجهاز العسكري'!$B$2:$B$631,$B633,'الجهاز العسكري'!$G$2:$G$631,$G633,'الجهاز العسكري'!$I$2:$I$631,$I633))/$L633,0))</f>
        <v>83</v>
      </c>
      <c r="O633" s="18"/>
      <c r="P633" s="15">
        <f>SUMIFS(المرجع!$G$2:$G$19,المرجع!$B$2:$B$19,$G633,المرجع!$E$2:$E$19,$I633)</f>
        <v>15</v>
      </c>
      <c r="Q633" s="20">
        <f t="shared" si="10"/>
        <v>12.45</v>
      </c>
      <c r="R633" s="21" t="str">
        <f>IF($N633&gt;المرجع!$K$3,"متقدم",IF($N633&lt;=المرجع!$K$2,"أولي","جزئي"))</f>
        <v>متقدم</v>
      </c>
    </row>
    <row r="634" spans="1:18">
      <c r="A634" s="16" t="s">
        <v>2074</v>
      </c>
      <c r="B634" s="16" t="s">
        <v>222</v>
      </c>
      <c r="C634" s="15" t="str">
        <f>IFERROR(INDEX('قائمة الوحدات'!$B$2:$B$41,MATCH($B634,'قائمة الوحدات'!$A$2:$A$41,0)),"")</f>
        <v>MIL</v>
      </c>
      <c r="D634" s="14" t="str">
        <f>IFERROR(INDEX('قائمة الوحدات'!$C$2:$C$41,MATCH($B634,'قائمة الوحدات'!$A$2:$A$41,0)),"")</f>
        <v>الجهاز العسكري</v>
      </c>
      <c r="E634" s="14" t="str">
        <f>IFERROR(INDEX('قائمة الوحدات'!$D$2:$D$41,MATCH($B634,'قائمة الوحدات'!$A$2:$A$41,0)),"")</f>
        <v>الإدارة العامة للقضاء العسكري</v>
      </c>
      <c r="F634" s="14" t="str">
        <f>IFERROR(INDEX('قائمة الوحدات'!$F$2:$F$41,MATCH($B634,'قائمة الوحدات'!$A$2:$A$41,0)),"")</f>
        <v>الإدارة العامة للقضاء العسكري</v>
      </c>
      <c r="G634" s="16" t="s">
        <v>43</v>
      </c>
      <c r="H634" s="14" t="str">
        <f>IFERROR(INDEX(المرجع!$A$2:$A$19,MATCH($G634,المرجع!$B$2:$B$19,0)),"")</f>
        <v>التصميم</v>
      </c>
      <c r="I634" s="16" t="s">
        <v>51</v>
      </c>
      <c r="J634" s="14" t="str">
        <f>IFERROR(INDEX(المرجع!$D$2:$D$19,MATCH($I634,المرجع!$E$2:$E$19,0)),"")</f>
        <v>الحوكمة</v>
      </c>
      <c r="K634" s="15">
        <f>IFERROR(INDEX(المرجع!$F$2:$F$19,MATCH($I634,المرجع!$E$2:$E$19,0)),"")</f>
        <v>3</v>
      </c>
      <c r="L634" s="15">
        <f>SUMIFS(المرجع!$H$2:$H$19,المرجع!$B$2:$B$19,$G634,المرجع!$E$2:$E$19,$I634)</f>
        <v>1</v>
      </c>
      <c r="M634" s="15">
        <f>COUNTIFS('المرتبطة بسمو الوزير'!$B$2:$B$151,$B634,'المرتبطة بسمو الوزير'!$G$2:$G$151,$G634,'المرتبطة بسمو الوزير'!$I$2:$I$151,$I634,'المرتبطة بسمو الوزير'!$M$2:$M$151,"&lt;&gt;")+COUNTIFS('الشؤون التنفيذية'!$B$2:$B$421,$B634,'الشؤون التنفيذية'!$G$2:$G$421,$G634,'الشؤون التنفيذية'!$I$2:$I$421,$I634,'الشؤون التنفيذية'!$N$2:$N$421,"&lt;&gt;")+COUNTIFS('الجهاز العسكري'!$B$2:$B$631,$B634,'الجهاز العسكري'!$G$2:$G$631,$G634,'الجهاز العسكري'!$I$2:$I$631,$I634,'الجهاز العسكري'!$M$2:$M$631,"&lt;&gt;")</f>
        <v>1</v>
      </c>
      <c r="N634" s="19">
        <f>IF($L634=0,0,ROUND((SUMIFS('المرتبطة بسمو الوزير'!$M$2:$M$151,'المرتبطة بسمو الوزير'!$B$2:$B$151,$B634,'المرتبطة بسمو الوزير'!$G$2:$G$151,$G634,'المرتبطة بسمو الوزير'!$I$2:$I$151,$I634)+SUMIFS('الشؤون التنفيذية'!$N$2:$N$421,'الشؤون التنفيذية'!$B$2:$B$421,$B634,'الشؤون التنفيذية'!$G$2:$G$421,$G634,'الشؤون التنفيذية'!$I$2:$I$421,$I634)+SUMIFS('الجهاز العسكري'!$M$2:$M$631,'الجهاز العسكري'!$B$2:$B$631,$B634,'الجهاز العسكري'!$G$2:$G$631,$G634,'الجهاز العسكري'!$I$2:$I$631,$I634))/$L634,0))</f>
        <v>92</v>
      </c>
      <c r="O634" s="18"/>
      <c r="P634" s="15">
        <f>SUMIFS(المرجع!$G$2:$G$19,المرجع!$B$2:$B$19,$G634,المرجع!$E$2:$E$19,$I634)</f>
        <v>15</v>
      </c>
      <c r="Q634" s="20">
        <f t="shared" si="10"/>
        <v>13.8</v>
      </c>
      <c r="R634" s="21" t="str">
        <f>IF($N634&gt;المرجع!$K$3,"متقدم",IF($N634&lt;=المرجع!$K$2,"أولي","جزئي"))</f>
        <v>متقدم</v>
      </c>
    </row>
    <row r="635" spans="1:18">
      <c r="A635" s="16" t="s">
        <v>2075</v>
      </c>
      <c r="B635" s="16" t="s">
        <v>222</v>
      </c>
      <c r="C635" s="15" t="str">
        <f>IFERROR(INDEX('قائمة الوحدات'!$B$2:$B$41,MATCH($B635,'قائمة الوحدات'!$A$2:$A$41,0)),"")</f>
        <v>MIL</v>
      </c>
      <c r="D635" s="14" t="str">
        <f>IFERROR(INDEX('قائمة الوحدات'!$C$2:$C$41,MATCH($B635,'قائمة الوحدات'!$A$2:$A$41,0)),"")</f>
        <v>الجهاز العسكري</v>
      </c>
      <c r="E635" s="14" t="str">
        <f>IFERROR(INDEX('قائمة الوحدات'!$D$2:$D$41,MATCH($B635,'قائمة الوحدات'!$A$2:$A$41,0)),"")</f>
        <v>الإدارة العامة للقضاء العسكري</v>
      </c>
      <c r="F635" s="14" t="str">
        <f>IFERROR(INDEX('قائمة الوحدات'!$F$2:$F$41,MATCH($B635,'قائمة الوحدات'!$A$2:$A$41,0)),"")</f>
        <v>الإدارة العامة للقضاء العسكري</v>
      </c>
      <c r="G635" s="16" t="s">
        <v>43</v>
      </c>
      <c r="H635" s="14" t="str">
        <f>IFERROR(INDEX(المرجع!$A$2:$A$19,MATCH($G635,المرجع!$B$2:$B$19,0)),"")</f>
        <v>التصميم</v>
      </c>
      <c r="I635" s="16" t="s">
        <v>54</v>
      </c>
      <c r="J635" s="14" t="str">
        <f>IFERROR(INDEX(المرجع!$D$2:$D$19,MATCH($I635,المرجع!$E$2:$E$19,0)),"")</f>
        <v>التنظيم</v>
      </c>
      <c r="K635" s="15">
        <f>IFERROR(INDEX(المرجع!$F$2:$F$19,MATCH($I635,المرجع!$E$2:$E$19,0)),"")</f>
        <v>4</v>
      </c>
      <c r="L635" s="15">
        <f>SUMIFS(المرجع!$H$2:$H$19,المرجع!$B$2:$B$19,$G635,المرجع!$E$2:$E$19,$I635)</f>
        <v>1</v>
      </c>
      <c r="M635" s="15">
        <f>COUNTIFS('المرتبطة بسمو الوزير'!$B$2:$B$151,$B635,'المرتبطة بسمو الوزير'!$G$2:$G$151,$G635,'المرتبطة بسمو الوزير'!$I$2:$I$151,$I635,'المرتبطة بسمو الوزير'!$M$2:$M$151,"&lt;&gt;")+COUNTIFS('الشؤون التنفيذية'!$B$2:$B$421,$B635,'الشؤون التنفيذية'!$G$2:$G$421,$G635,'الشؤون التنفيذية'!$I$2:$I$421,$I635,'الشؤون التنفيذية'!$N$2:$N$421,"&lt;&gt;")+COUNTIFS('الجهاز العسكري'!$B$2:$B$631,$B635,'الجهاز العسكري'!$G$2:$G$631,$G635,'الجهاز العسكري'!$I$2:$I$631,$I635,'الجهاز العسكري'!$M$2:$M$631,"&lt;&gt;")</f>
        <v>1</v>
      </c>
      <c r="N635" s="19">
        <f>IF($L635=0,0,ROUND((SUMIFS('المرتبطة بسمو الوزير'!$M$2:$M$151,'المرتبطة بسمو الوزير'!$B$2:$B$151,$B635,'المرتبطة بسمو الوزير'!$G$2:$G$151,$G635,'المرتبطة بسمو الوزير'!$I$2:$I$151,$I635)+SUMIFS('الشؤون التنفيذية'!$N$2:$N$421,'الشؤون التنفيذية'!$B$2:$B$421,$B635,'الشؤون التنفيذية'!$G$2:$G$421,$G635,'الشؤون التنفيذية'!$I$2:$I$421,$I635)+SUMIFS('الجهاز العسكري'!$M$2:$M$631,'الجهاز العسكري'!$B$2:$B$631,$B635,'الجهاز العسكري'!$G$2:$G$631,$G635,'الجهاز العسكري'!$I$2:$I$631,$I635))/$L635,0))</f>
        <v>95</v>
      </c>
      <c r="O635" s="18"/>
      <c r="P635" s="15">
        <f>SUMIFS(المرجع!$G$2:$G$19,المرجع!$B$2:$B$19,$G635,المرجع!$E$2:$E$19,$I635)</f>
        <v>20</v>
      </c>
      <c r="Q635" s="20">
        <f t="shared" si="10"/>
        <v>19</v>
      </c>
      <c r="R635" s="21" t="str">
        <f>IF($N635&gt;المرجع!$K$3,"متقدم",IF($N635&lt;=المرجع!$K$2,"أولي","جزئي"))</f>
        <v>متقدم</v>
      </c>
    </row>
    <row r="636" spans="1:18">
      <c r="A636" s="16" t="s">
        <v>2076</v>
      </c>
      <c r="B636" s="16" t="s">
        <v>222</v>
      </c>
      <c r="C636" s="15" t="str">
        <f>IFERROR(INDEX('قائمة الوحدات'!$B$2:$B$41,MATCH($B636,'قائمة الوحدات'!$A$2:$A$41,0)),"")</f>
        <v>MIL</v>
      </c>
      <c r="D636" s="14" t="str">
        <f>IFERROR(INDEX('قائمة الوحدات'!$C$2:$C$41,MATCH($B636,'قائمة الوحدات'!$A$2:$A$41,0)),"")</f>
        <v>الجهاز العسكري</v>
      </c>
      <c r="E636" s="14" t="str">
        <f>IFERROR(INDEX('قائمة الوحدات'!$D$2:$D$41,MATCH($B636,'قائمة الوحدات'!$A$2:$A$41,0)),"")</f>
        <v>الإدارة العامة للقضاء العسكري</v>
      </c>
      <c r="F636" s="14" t="str">
        <f>IFERROR(INDEX('قائمة الوحدات'!$F$2:$F$41,MATCH($B636,'قائمة الوحدات'!$A$2:$A$41,0)),"")</f>
        <v>الإدارة العامة للقضاء العسكري</v>
      </c>
      <c r="G636" s="16" t="s">
        <v>43</v>
      </c>
      <c r="H636" s="14" t="str">
        <f>IFERROR(INDEX(المرجع!$A$2:$A$19,MATCH($G636,المرجع!$B$2:$B$19,0)),"")</f>
        <v>التصميم</v>
      </c>
      <c r="I636" s="16" t="s">
        <v>56</v>
      </c>
      <c r="J636" s="14" t="str">
        <f>IFERROR(INDEX(المرجع!$D$2:$D$19,MATCH($I636,المرجع!$E$2:$E$19,0)),"")</f>
        <v>الموارد</v>
      </c>
      <c r="K636" s="15">
        <f>IFERROR(INDEX(المرجع!$F$2:$F$19,MATCH($I636,المرجع!$E$2:$E$19,0)),"")</f>
        <v>5</v>
      </c>
      <c r="L636" s="15">
        <f>SUMIFS(المرجع!$H$2:$H$19,المرجع!$B$2:$B$19,$G636,المرجع!$E$2:$E$19,$I636)</f>
        <v>1</v>
      </c>
      <c r="M636" s="15">
        <f>COUNTIFS('المرتبطة بسمو الوزير'!$B$2:$B$151,$B636,'المرتبطة بسمو الوزير'!$G$2:$G$151,$G636,'المرتبطة بسمو الوزير'!$I$2:$I$151,$I636,'المرتبطة بسمو الوزير'!$M$2:$M$151,"&lt;&gt;")+COUNTIFS('الشؤون التنفيذية'!$B$2:$B$421,$B636,'الشؤون التنفيذية'!$G$2:$G$421,$G636,'الشؤون التنفيذية'!$I$2:$I$421,$I636,'الشؤون التنفيذية'!$N$2:$N$421,"&lt;&gt;")+COUNTIFS('الجهاز العسكري'!$B$2:$B$631,$B636,'الجهاز العسكري'!$G$2:$G$631,$G636,'الجهاز العسكري'!$I$2:$I$631,$I636,'الجهاز العسكري'!$M$2:$M$631,"&lt;&gt;")</f>
        <v>1</v>
      </c>
      <c r="N636" s="19">
        <f>IF($L636=0,0,ROUND((SUMIFS('المرتبطة بسمو الوزير'!$M$2:$M$151,'المرتبطة بسمو الوزير'!$B$2:$B$151,$B636,'المرتبطة بسمو الوزير'!$G$2:$G$151,$G636,'المرتبطة بسمو الوزير'!$I$2:$I$151,$I636)+SUMIFS('الشؤون التنفيذية'!$N$2:$N$421,'الشؤون التنفيذية'!$B$2:$B$421,$B636,'الشؤون التنفيذية'!$G$2:$G$421,$G636,'الشؤون التنفيذية'!$I$2:$I$421,$I636)+SUMIFS('الجهاز العسكري'!$M$2:$M$631,'الجهاز العسكري'!$B$2:$B$631,$B636,'الجهاز العسكري'!$G$2:$G$631,$G636,'الجهاز العسكري'!$I$2:$I$631,$I636))/$L636,0))</f>
        <v>73</v>
      </c>
      <c r="O636" s="18"/>
      <c r="P636" s="15">
        <f>SUMIFS(المرجع!$G$2:$G$19,المرجع!$B$2:$B$19,$G636,المرجع!$E$2:$E$19,$I636)</f>
        <v>20</v>
      </c>
      <c r="Q636" s="20">
        <f t="shared" si="10"/>
        <v>14.6</v>
      </c>
      <c r="R636" s="21" t="str">
        <f>IF($N636&gt;المرجع!$K$3,"متقدم",IF($N636&lt;=المرجع!$K$2,"أولي","جزئي"))</f>
        <v>متقدم</v>
      </c>
    </row>
    <row r="637" spans="1:18">
      <c r="A637" s="16" t="s">
        <v>2077</v>
      </c>
      <c r="B637" s="16" t="s">
        <v>222</v>
      </c>
      <c r="C637" s="15" t="str">
        <f>IFERROR(INDEX('قائمة الوحدات'!$B$2:$B$41,MATCH($B637,'قائمة الوحدات'!$A$2:$A$41,0)),"")</f>
        <v>MIL</v>
      </c>
      <c r="D637" s="14" t="str">
        <f>IFERROR(INDEX('قائمة الوحدات'!$C$2:$C$41,MATCH($B637,'قائمة الوحدات'!$A$2:$A$41,0)),"")</f>
        <v>الجهاز العسكري</v>
      </c>
      <c r="E637" s="14" t="str">
        <f>IFERROR(INDEX('قائمة الوحدات'!$D$2:$D$41,MATCH($B637,'قائمة الوحدات'!$A$2:$A$41,0)),"")</f>
        <v>الإدارة العامة للقضاء العسكري</v>
      </c>
      <c r="F637" s="14" t="str">
        <f>IFERROR(INDEX('قائمة الوحدات'!$F$2:$F$41,MATCH($B637,'قائمة الوحدات'!$A$2:$A$41,0)),"")</f>
        <v>الإدارة العامة للقضاء العسكري</v>
      </c>
      <c r="G637" s="16" t="s">
        <v>43</v>
      </c>
      <c r="H637" s="14" t="str">
        <f>IFERROR(INDEX(المرجع!$A$2:$A$19,MATCH($G637,المرجع!$B$2:$B$19,0)),"")</f>
        <v>التصميم</v>
      </c>
      <c r="I637" s="16" t="s">
        <v>59</v>
      </c>
      <c r="J637" s="14" t="str">
        <f>IFERROR(INDEX(المرجع!$D$2:$D$19,MATCH($I637,المرجع!$E$2:$E$19,0)),"")</f>
        <v>الإجراءات</v>
      </c>
      <c r="K637" s="15">
        <f>IFERROR(INDEX(المرجع!$F$2:$F$19,MATCH($I637,المرجع!$E$2:$E$19,0)),"")</f>
        <v>6</v>
      </c>
      <c r="L637" s="15">
        <f>SUMIFS(المرجع!$H$2:$H$19,المرجع!$B$2:$B$19,$G637,المرجع!$E$2:$E$19,$I637)</f>
        <v>1</v>
      </c>
      <c r="M637" s="15">
        <f>COUNTIFS('المرتبطة بسمو الوزير'!$B$2:$B$151,$B637,'المرتبطة بسمو الوزير'!$G$2:$G$151,$G637,'المرتبطة بسمو الوزير'!$I$2:$I$151,$I637,'المرتبطة بسمو الوزير'!$M$2:$M$151,"&lt;&gt;")+COUNTIFS('الشؤون التنفيذية'!$B$2:$B$421,$B637,'الشؤون التنفيذية'!$G$2:$G$421,$G637,'الشؤون التنفيذية'!$I$2:$I$421,$I637,'الشؤون التنفيذية'!$N$2:$N$421,"&lt;&gt;")+COUNTIFS('الجهاز العسكري'!$B$2:$B$631,$B637,'الجهاز العسكري'!$G$2:$G$631,$G637,'الجهاز العسكري'!$I$2:$I$631,$I637,'الجهاز العسكري'!$M$2:$M$631,"&lt;&gt;")</f>
        <v>1</v>
      </c>
      <c r="N637" s="19">
        <f>IF($L637=0,0,ROUND((SUMIFS('المرتبطة بسمو الوزير'!$M$2:$M$151,'المرتبطة بسمو الوزير'!$B$2:$B$151,$B637,'المرتبطة بسمو الوزير'!$G$2:$G$151,$G637,'المرتبطة بسمو الوزير'!$I$2:$I$151,$I637)+SUMIFS('الشؤون التنفيذية'!$N$2:$N$421,'الشؤون التنفيذية'!$B$2:$B$421,$B637,'الشؤون التنفيذية'!$G$2:$G$421,$G637,'الشؤون التنفيذية'!$I$2:$I$421,$I637)+SUMIFS('الجهاز العسكري'!$M$2:$M$631,'الجهاز العسكري'!$B$2:$B$631,$B637,'الجهاز العسكري'!$G$2:$G$631,$G637,'الجهاز العسكري'!$I$2:$I$631,$I637))/$L637,0))</f>
        <v>74</v>
      </c>
      <c r="O637" s="18"/>
      <c r="P637" s="15">
        <f>SUMIFS(المرجع!$G$2:$G$19,المرجع!$B$2:$B$19,$G637,المرجع!$E$2:$E$19,$I637)</f>
        <v>5</v>
      </c>
      <c r="Q637" s="20">
        <f t="shared" si="10"/>
        <v>3.7</v>
      </c>
      <c r="R637" s="21" t="str">
        <f>IF($N637&gt;المرجع!$K$3,"متقدم",IF($N637&lt;=المرجع!$K$2,"أولي","جزئي"))</f>
        <v>متقدم</v>
      </c>
    </row>
    <row r="638" spans="1:18">
      <c r="A638" s="16" t="s">
        <v>2078</v>
      </c>
      <c r="B638" s="16" t="s">
        <v>222</v>
      </c>
      <c r="C638" s="15" t="str">
        <f>IFERROR(INDEX('قائمة الوحدات'!$B$2:$B$41,MATCH($B638,'قائمة الوحدات'!$A$2:$A$41,0)),"")</f>
        <v>MIL</v>
      </c>
      <c r="D638" s="14" t="str">
        <f>IFERROR(INDEX('قائمة الوحدات'!$C$2:$C$41,MATCH($B638,'قائمة الوحدات'!$A$2:$A$41,0)),"")</f>
        <v>الجهاز العسكري</v>
      </c>
      <c r="E638" s="14" t="str">
        <f>IFERROR(INDEX('قائمة الوحدات'!$D$2:$D$41,MATCH($B638,'قائمة الوحدات'!$A$2:$A$41,0)),"")</f>
        <v>الإدارة العامة للقضاء العسكري</v>
      </c>
      <c r="F638" s="14" t="str">
        <f>IFERROR(INDEX('قائمة الوحدات'!$F$2:$F$41,MATCH($B638,'قائمة الوحدات'!$A$2:$A$41,0)),"")</f>
        <v>الإدارة العامة للقضاء العسكري</v>
      </c>
      <c r="G638" s="16" t="s">
        <v>61</v>
      </c>
      <c r="H638" s="14" t="str">
        <f>IFERROR(INDEX(المرجع!$A$2:$A$19,MATCH($G638,المرجع!$B$2:$B$19,0)),"")</f>
        <v>البناء المؤسسي</v>
      </c>
      <c r="I638" s="16" t="s">
        <v>45</v>
      </c>
      <c r="J638" s="14" t="str">
        <f>IFERROR(INDEX(المرجع!$D$2:$D$19,MATCH($I638,المرجع!$E$2:$E$19,0)),"")</f>
        <v>الدور</v>
      </c>
      <c r="K638" s="15">
        <f>IFERROR(INDEX(المرجع!$F$2:$F$19,MATCH($I638,المرجع!$E$2:$E$19,0)),"")</f>
        <v>1</v>
      </c>
      <c r="L638" s="15">
        <f>SUMIFS(المرجع!$H$2:$H$19,المرجع!$B$2:$B$19,$G638,المرجع!$E$2:$E$19,$I638)</f>
        <v>1</v>
      </c>
      <c r="M638" s="15">
        <f>COUNTIFS('المرتبطة بسمو الوزير'!$B$2:$B$151,$B638,'المرتبطة بسمو الوزير'!$G$2:$G$151,$G638,'المرتبطة بسمو الوزير'!$I$2:$I$151,$I638,'المرتبطة بسمو الوزير'!$M$2:$M$151,"&lt;&gt;")+COUNTIFS('الشؤون التنفيذية'!$B$2:$B$421,$B638,'الشؤون التنفيذية'!$G$2:$G$421,$G638,'الشؤون التنفيذية'!$I$2:$I$421,$I638,'الشؤون التنفيذية'!$N$2:$N$421,"&lt;&gt;")+COUNTIFS('الجهاز العسكري'!$B$2:$B$631,$B638,'الجهاز العسكري'!$G$2:$G$631,$G638,'الجهاز العسكري'!$I$2:$I$631,$I638,'الجهاز العسكري'!$M$2:$M$631,"&lt;&gt;")</f>
        <v>1</v>
      </c>
      <c r="N638" s="19">
        <f>IF($L638=0,0,ROUND((SUMIFS('المرتبطة بسمو الوزير'!$M$2:$M$151,'المرتبطة بسمو الوزير'!$B$2:$B$151,$B638,'المرتبطة بسمو الوزير'!$G$2:$G$151,$G638,'المرتبطة بسمو الوزير'!$I$2:$I$151,$I638)+SUMIFS('الشؤون التنفيذية'!$N$2:$N$421,'الشؤون التنفيذية'!$B$2:$B$421,$B638,'الشؤون التنفيذية'!$G$2:$G$421,$G638,'الشؤون التنفيذية'!$I$2:$I$421,$I638)+SUMIFS('الجهاز العسكري'!$M$2:$M$631,'الجهاز العسكري'!$B$2:$B$631,$B638,'الجهاز العسكري'!$G$2:$G$631,$G638,'الجهاز العسكري'!$I$2:$I$631,$I638))/$L638,0))</f>
        <v>88</v>
      </c>
      <c r="O638" s="18"/>
      <c r="P638" s="15">
        <f>SUMIFS(المرجع!$G$2:$G$19,المرجع!$B$2:$B$19,$G638,المرجع!$E$2:$E$19,$I638)</f>
        <v>15</v>
      </c>
      <c r="Q638" s="20">
        <f t="shared" si="10"/>
        <v>13.2</v>
      </c>
      <c r="R638" s="21" t="str">
        <f>IF($N638&gt;المرجع!$K$3,"متقدم",IF($N638&lt;=المرجع!$K$2,"أولي","جزئي"))</f>
        <v>متقدم</v>
      </c>
    </row>
    <row r="639" spans="1:18">
      <c r="A639" s="16" t="s">
        <v>2079</v>
      </c>
      <c r="B639" s="16" t="s">
        <v>222</v>
      </c>
      <c r="C639" s="15" t="str">
        <f>IFERROR(INDEX('قائمة الوحدات'!$B$2:$B$41,MATCH($B639,'قائمة الوحدات'!$A$2:$A$41,0)),"")</f>
        <v>MIL</v>
      </c>
      <c r="D639" s="14" t="str">
        <f>IFERROR(INDEX('قائمة الوحدات'!$C$2:$C$41,MATCH($B639,'قائمة الوحدات'!$A$2:$A$41,0)),"")</f>
        <v>الجهاز العسكري</v>
      </c>
      <c r="E639" s="14" t="str">
        <f>IFERROR(INDEX('قائمة الوحدات'!$D$2:$D$41,MATCH($B639,'قائمة الوحدات'!$A$2:$A$41,0)),"")</f>
        <v>الإدارة العامة للقضاء العسكري</v>
      </c>
      <c r="F639" s="14" t="str">
        <f>IFERROR(INDEX('قائمة الوحدات'!$F$2:$F$41,MATCH($B639,'قائمة الوحدات'!$A$2:$A$41,0)),"")</f>
        <v>الإدارة العامة للقضاء العسكري</v>
      </c>
      <c r="G639" s="16" t="s">
        <v>61</v>
      </c>
      <c r="H639" s="14" t="str">
        <f>IFERROR(INDEX(المرجع!$A$2:$A$19,MATCH($G639,المرجع!$B$2:$B$19,0)),"")</f>
        <v>البناء المؤسسي</v>
      </c>
      <c r="I639" s="16" t="s">
        <v>48</v>
      </c>
      <c r="J639" s="14" t="str">
        <f>IFERROR(INDEX(المرجع!$D$2:$D$19,MATCH($I639,المرجع!$E$2:$E$19,0)),"")</f>
        <v>الأهداف ومؤشرات الأداء</v>
      </c>
      <c r="K639" s="15">
        <f>IFERROR(INDEX(المرجع!$F$2:$F$19,MATCH($I639,المرجع!$E$2:$E$19,0)),"")</f>
        <v>2</v>
      </c>
      <c r="L639" s="15">
        <f>SUMIFS(المرجع!$H$2:$H$19,المرجع!$B$2:$B$19,$G639,المرجع!$E$2:$E$19,$I639)</f>
        <v>2</v>
      </c>
      <c r="M639" s="15">
        <f>COUNTIFS('المرتبطة بسمو الوزير'!$B$2:$B$151,$B639,'المرتبطة بسمو الوزير'!$G$2:$G$151,$G639,'المرتبطة بسمو الوزير'!$I$2:$I$151,$I639,'المرتبطة بسمو الوزير'!$M$2:$M$151,"&lt;&gt;")+COUNTIFS('الشؤون التنفيذية'!$B$2:$B$421,$B639,'الشؤون التنفيذية'!$G$2:$G$421,$G639,'الشؤون التنفيذية'!$I$2:$I$421,$I639,'الشؤون التنفيذية'!$N$2:$N$421,"&lt;&gt;")+COUNTIFS('الجهاز العسكري'!$B$2:$B$631,$B639,'الجهاز العسكري'!$G$2:$G$631,$G639,'الجهاز العسكري'!$I$2:$I$631,$I639,'الجهاز العسكري'!$M$2:$M$631,"&lt;&gt;")</f>
        <v>2</v>
      </c>
      <c r="N639" s="19">
        <f>IF($L639=0,0,ROUND((SUMIFS('المرتبطة بسمو الوزير'!$M$2:$M$151,'المرتبطة بسمو الوزير'!$B$2:$B$151,$B639,'المرتبطة بسمو الوزير'!$G$2:$G$151,$G639,'المرتبطة بسمو الوزير'!$I$2:$I$151,$I639)+SUMIFS('الشؤون التنفيذية'!$N$2:$N$421,'الشؤون التنفيذية'!$B$2:$B$421,$B639,'الشؤون التنفيذية'!$G$2:$G$421,$G639,'الشؤون التنفيذية'!$I$2:$I$421,$I639)+SUMIFS('الجهاز العسكري'!$M$2:$M$631,'الجهاز العسكري'!$B$2:$B$631,$B639,'الجهاز العسكري'!$G$2:$G$631,$G639,'الجهاز العسكري'!$I$2:$I$631,$I639))/$L639,0))</f>
        <v>70</v>
      </c>
      <c r="O639" s="18"/>
      <c r="P639" s="15">
        <f>SUMIFS(المرجع!$G$2:$G$19,المرجع!$B$2:$B$19,$G639,المرجع!$E$2:$E$19,$I639)</f>
        <v>15</v>
      </c>
      <c r="Q639" s="20">
        <f t="shared" si="10"/>
        <v>10.5</v>
      </c>
      <c r="R639" s="21" t="str">
        <f>IF($N639&gt;المرجع!$K$3,"متقدم",IF($N639&lt;=المرجع!$K$2,"أولي","جزئي"))</f>
        <v>جزئي</v>
      </c>
    </row>
    <row r="640" spans="1:18">
      <c r="A640" s="16" t="s">
        <v>2080</v>
      </c>
      <c r="B640" s="16" t="s">
        <v>222</v>
      </c>
      <c r="C640" s="15" t="str">
        <f>IFERROR(INDEX('قائمة الوحدات'!$B$2:$B$41,MATCH($B640,'قائمة الوحدات'!$A$2:$A$41,0)),"")</f>
        <v>MIL</v>
      </c>
      <c r="D640" s="14" t="str">
        <f>IFERROR(INDEX('قائمة الوحدات'!$C$2:$C$41,MATCH($B640,'قائمة الوحدات'!$A$2:$A$41,0)),"")</f>
        <v>الجهاز العسكري</v>
      </c>
      <c r="E640" s="14" t="str">
        <f>IFERROR(INDEX('قائمة الوحدات'!$D$2:$D$41,MATCH($B640,'قائمة الوحدات'!$A$2:$A$41,0)),"")</f>
        <v>الإدارة العامة للقضاء العسكري</v>
      </c>
      <c r="F640" s="14" t="str">
        <f>IFERROR(INDEX('قائمة الوحدات'!$F$2:$F$41,MATCH($B640,'قائمة الوحدات'!$A$2:$A$41,0)),"")</f>
        <v>الإدارة العامة للقضاء العسكري</v>
      </c>
      <c r="G640" s="16" t="s">
        <v>61</v>
      </c>
      <c r="H640" s="14" t="str">
        <f>IFERROR(INDEX(المرجع!$A$2:$A$19,MATCH($G640,المرجع!$B$2:$B$19,0)),"")</f>
        <v>البناء المؤسسي</v>
      </c>
      <c r="I640" s="16" t="s">
        <v>51</v>
      </c>
      <c r="J640" s="14" t="str">
        <f>IFERROR(INDEX(المرجع!$D$2:$D$19,MATCH($I640,المرجع!$E$2:$E$19,0)),"")</f>
        <v>الحوكمة</v>
      </c>
      <c r="K640" s="15">
        <f>IFERROR(INDEX(المرجع!$F$2:$F$19,MATCH($I640,المرجع!$E$2:$E$19,0)),"")</f>
        <v>3</v>
      </c>
      <c r="L640" s="15">
        <f>SUMIFS(المرجع!$H$2:$H$19,المرجع!$B$2:$B$19,$G640,المرجع!$E$2:$E$19,$I640)</f>
        <v>3</v>
      </c>
      <c r="M640" s="15">
        <f>COUNTIFS('المرتبطة بسمو الوزير'!$B$2:$B$151,$B640,'المرتبطة بسمو الوزير'!$G$2:$G$151,$G640,'المرتبطة بسمو الوزير'!$I$2:$I$151,$I640,'المرتبطة بسمو الوزير'!$M$2:$M$151,"&lt;&gt;")+COUNTIFS('الشؤون التنفيذية'!$B$2:$B$421,$B640,'الشؤون التنفيذية'!$G$2:$G$421,$G640,'الشؤون التنفيذية'!$I$2:$I$421,$I640,'الشؤون التنفيذية'!$N$2:$N$421,"&lt;&gt;")+COUNTIFS('الجهاز العسكري'!$B$2:$B$631,$B640,'الجهاز العسكري'!$G$2:$G$631,$G640,'الجهاز العسكري'!$I$2:$I$631,$I640,'الجهاز العسكري'!$M$2:$M$631,"&lt;&gt;")</f>
        <v>3</v>
      </c>
      <c r="N640" s="19">
        <f>IF($L640=0,0,ROUND((SUMIFS('المرتبطة بسمو الوزير'!$M$2:$M$151,'المرتبطة بسمو الوزير'!$B$2:$B$151,$B640,'المرتبطة بسمو الوزير'!$G$2:$G$151,$G640,'المرتبطة بسمو الوزير'!$I$2:$I$151,$I640)+SUMIFS('الشؤون التنفيذية'!$N$2:$N$421,'الشؤون التنفيذية'!$B$2:$B$421,$B640,'الشؤون التنفيذية'!$G$2:$G$421,$G640,'الشؤون التنفيذية'!$I$2:$I$421,$I640)+SUMIFS('الجهاز العسكري'!$M$2:$M$631,'الجهاز العسكري'!$B$2:$B$631,$B640,'الجهاز العسكري'!$G$2:$G$631,$G640,'الجهاز العسكري'!$I$2:$I$631,$I640))/$L640,0))</f>
        <v>43</v>
      </c>
      <c r="O640" s="18"/>
      <c r="P640" s="15">
        <f>SUMIFS(المرجع!$G$2:$G$19,المرجع!$B$2:$B$19,$G640,المرجع!$E$2:$E$19,$I640)</f>
        <v>15</v>
      </c>
      <c r="Q640" s="20">
        <f t="shared" si="10"/>
        <v>6.45</v>
      </c>
      <c r="R640" s="21" t="str">
        <f>IF($N640&gt;المرجع!$K$3,"متقدم",IF($N640&lt;=المرجع!$K$2,"أولي","جزئي"))</f>
        <v>جزئي</v>
      </c>
    </row>
    <row r="641" spans="1:18">
      <c r="A641" s="16" t="s">
        <v>2081</v>
      </c>
      <c r="B641" s="16" t="s">
        <v>222</v>
      </c>
      <c r="C641" s="15" t="str">
        <f>IFERROR(INDEX('قائمة الوحدات'!$B$2:$B$41,MATCH($B641,'قائمة الوحدات'!$A$2:$A$41,0)),"")</f>
        <v>MIL</v>
      </c>
      <c r="D641" s="14" t="str">
        <f>IFERROR(INDEX('قائمة الوحدات'!$C$2:$C$41,MATCH($B641,'قائمة الوحدات'!$A$2:$A$41,0)),"")</f>
        <v>الجهاز العسكري</v>
      </c>
      <c r="E641" s="14" t="str">
        <f>IFERROR(INDEX('قائمة الوحدات'!$D$2:$D$41,MATCH($B641,'قائمة الوحدات'!$A$2:$A$41,0)),"")</f>
        <v>الإدارة العامة للقضاء العسكري</v>
      </c>
      <c r="F641" s="14" t="str">
        <f>IFERROR(INDEX('قائمة الوحدات'!$F$2:$F$41,MATCH($B641,'قائمة الوحدات'!$A$2:$A$41,0)),"")</f>
        <v>الإدارة العامة للقضاء العسكري</v>
      </c>
      <c r="G641" s="16" t="s">
        <v>61</v>
      </c>
      <c r="H641" s="14" t="str">
        <f>IFERROR(INDEX(المرجع!$A$2:$A$19,MATCH($G641,المرجع!$B$2:$B$19,0)),"")</f>
        <v>البناء المؤسسي</v>
      </c>
      <c r="I641" s="16" t="s">
        <v>54</v>
      </c>
      <c r="J641" s="14" t="str">
        <f>IFERROR(INDEX(المرجع!$D$2:$D$19,MATCH($I641,المرجع!$E$2:$E$19,0)),"")</f>
        <v>التنظيم</v>
      </c>
      <c r="K641" s="15">
        <f>IFERROR(INDEX(المرجع!$F$2:$F$19,MATCH($I641,المرجع!$E$2:$E$19,0)),"")</f>
        <v>4</v>
      </c>
      <c r="L641" s="15">
        <f>SUMIFS(المرجع!$H$2:$H$19,المرجع!$B$2:$B$19,$G641,المرجع!$E$2:$E$19,$I641)</f>
        <v>3</v>
      </c>
      <c r="M641" s="15">
        <f>COUNTIFS('المرتبطة بسمو الوزير'!$B$2:$B$151,$B641,'المرتبطة بسمو الوزير'!$G$2:$G$151,$G641,'المرتبطة بسمو الوزير'!$I$2:$I$151,$I641,'المرتبطة بسمو الوزير'!$M$2:$M$151,"&lt;&gt;")+COUNTIFS('الشؤون التنفيذية'!$B$2:$B$421,$B641,'الشؤون التنفيذية'!$G$2:$G$421,$G641,'الشؤون التنفيذية'!$I$2:$I$421,$I641,'الشؤون التنفيذية'!$N$2:$N$421,"&lt;&gt;")+COUNTIFS('الجهاز العسكري'!$B$2:$B$631,$B641,'الجهاز العسكري'!$G$2:$G$631,$G641,'الجهاز العسكري'!$I$2:$I$631,$I641,'الجهاز العسكري'!$M$2:$M$631,"&lt;&gt;")</f>
        <v>3</v>
      </c>
      <c r="N641" s="19">
        <f>IF($L641=0,0,ROUND((SUMIFS('المرتبطة بسمو الوزير'!$M$2:$M$151,'المرتبطة بسمو الوزير'!$B$2:$B$151,$B641,'المرتبطة بسمو الوزير'!$G$2:$G$151,$G641,'المرتبطة بسمو الوزير'!$I$2:$I$151,$I641)+SUMIFS('الشؤون التنفيذية'!$N$2:$N$421,'الشؤون التنفيذية'!$B$2:$B$421,$B641,'الشؤون التنفيذية'!$G$2:$G$421,$G641,'الشؤون التنفيذية'!$I$2:$I$421,$I641)+SUMIFS('الجهاز العسكري'!$M$2:$M$631,'الجهاز العسكري'!$B$2:$B$631,$B641,'الجهاز العسكري'!$G$2:$G$631,$G641,'الجهاز العسكري'!$I$2:$I$631,$I641))/$L641,0))</f>
        <v>58</v>
      </c>
      <c r="O641" s="18"/>
      <c r="P641" s="15">
        <f>SUMIFS(المرجع!$G$2:$G$19,المرجع!$B$2:$B$19,$G641,المرجع!$E$2:$E$19,$I641)</f>
        <v>20</v>
      </c>
      <c r="Q641" s="20">
        <f t="shared" si="10"/>
        <v>11.6</v>
      </c>
      <c r="R641" s="21" t="str">
        <f>IF($N641&gt;المرجع!$K$3,"متقدم",IF($N641&lt;=المرجع!$K$2,"أولي","جزئي"))</f>
        <v>جزئي</v>
      </c>
    </row>
    <row r="642" spans="1:18">
      <c r="A642" s="16" t="s">
        <v>2082</v>
      </c>
      <c r="B642" s="16" t="s">
        <v>222</v>
      </c>
      <c r="C642" s="15" t="str">
        <f>IFERROR(INDEX('قائمة الوحدات'!$B$2:$B$41,MATCH($B642,'قائمة الوحدات'!$A$2:$A$41,0)),"")</f>
        <v>MIL</v>
      </c>
      <c r="D642" s="14" t="str">
        <f>IFERROR(INDEX('قائمة الوحدات'!$C$2:$C$41,MATCH($B642,'قائمة الوحدات'!$A$2:$A$41,0)),"")</f>
        <v>الجهاز العسكري</v>
      </c>
      <c r="E642" s="14" t="str">
        <f>IFERROR(INDEX('قائمة الوحدات'!$D$2:$D$41,MATCH($B642,'قائمة الوحدات'!$A$2:$A$41,0)),"")</f>
        <v>الإدارة العامة للقضاء العسكري</v>
      </c>
      <c r="F642" s="14" t="str">
        <f>IFERROR(INDEX('قائمة الوحدات'!$F$2:$F$41,MATCH($B642,'قائمة الوحدات'!$A$2:$A$41,0)),"")</f>
        <v>الإدارة العامة للقضاء العسكري</v>
      </c>
      <c r="G642" s="16" t="s">
        <v>61</v>
      </c>
      <c r="H642" s="14" t="str">
        <f>IFERROR(INDEX(المرجع!$A$2:$A$19,MATCH($G642,المرجع!$B$2:$B$19,0)),"")</f>
        <v>البناء المؤسسي</v>
      </c>
      <c r="I642" s="16" t="s">
        <v>56</v>
      </c>
      <c r="J642" s="14" t="str">
        <f>IFERROR(INDEX(المرجع!$D$2:$D$19,MATCH($I642,المرجع!$E$2:$E$19,0)),"")</f>
        <v>الموارد</v>
      </c>
      <c r="K642" s="15">
        <f>IFERROR(INDEX(المرجع!$F$2:$F$19,MATCH($I642,المرجع!$E$2:$E$19,0)),"")</f>
        <v>5</v>
      </c>
      <c r="L642" s="15">
        <f>SUMIFS(المرجع!$H$2:$H$19,المرجع!$B$2:$B$19,$G642,المرجع!$E$2:$E$19,$I642)</f>
        <v>4</v>
      </c>
      <c r="M642" s="15">
        <f>COUNTIFS('المرتبطة بسمو الوزير'!$B$2:$B$151,$B642,'المرتبطة بسمو الوزير'!$G$2:$G$151,$G642,'المرتبطة بسمو الوزير'!$I$2:$I$151,$I642,'المرتبطة بسمو الوزير'!$M$2:$M$151,"&lt;&gt;")+COUNTIFS('الشؤون التنفيذية'!$B$2:$B$421,$B642,'الشؤون التنفيذية'!$G$2:$G$421,$G642,'الشؤون التنفيذية'!$I$2:$I$421,$I642,'الشؤون التنفيذية'!$N$2:$N$421,"&lt;&gt;")+COUNTIFS('الجهاز العسكري'!$B$2:$B$631,$B642,'الجهاز العسكري'!$G$2:$G$631,$G642,'الجهاز العسكري'!$I$2:$I$631,$I642,'الجهاز العسكري'!$M$2:$M$631,"&lt;&gt;")</f>
        <v>4</v>
      </c>
      <c r="N642" s="19">
        <f>IF($L642=0,0,ROUND((SUMIFS('المرتبطة بسمو الوزير'!$M$2:$M$151,'المرتبطة بسمو الوزير'!$B$2:$B$151,$B642,'المرتبطة بسمو الوزير'!$G$2:$G$151,$G642,'المرتبطة بسمو الوزير'!$I$2:$I$151,$I642)+SUMIFS('الشؤون التنفيذية'!$N$2:$N$421,'الشؤون التنفيذية'!$B$2:$B$421,$B642,'الشؤون التنفيذية'!$G$2:$G$421,$G642,'الشؤون التنفيذية'!$I$2:$I$421,$I642)+SUMIFS('الجهاز العسكري'!$M$2:$M$631,'الجهاز العسكري'!$B$2:$B$631,$B642,'الجهاز العسكري'!$G$2:$G$631,$G642,'الجهاز العسكري'!$I$2:$I$631,$I642))/$L642,0))</f>
        <v>60</v>
      </c>
      <c r="O642" s="18"/>
      <c r="P642" s="15">
        <f>SUMIFS(المرجع!$G$2:$G$19,المرجع!$B$2:$B$19,$G642,المرجع!$E$2:$E$19,$I642)</f>
        <v>25</v>
      </c>
      <c r="Q642" s="20">
        <f t="shared" ref="Q642:Q705" si="11">ROUND($P642*$N642/100,2)</f>
        <v>15</v>
      </c>
      <c r="R642" s="21" t="str">
        <f>IF($N642&gt;المرجع!$K$3,"متقدم",IF($N642&lt;=المرجع!$K$2,"أولي","جزئي"))</f>
        <v>جزئي</v>
      </c>
    </row>
    <row r="643" spans="1:18">
      <c r="A643" s="16" t="s">
        <v>2083</v>
      </c>
      <c r="B643" s="16" t="s">
        <v>222</v>
      </c>
      <c r="C643" s="15" t="str">
        <f>IFERROR(INDEX('قائمة الوحدات'!$B$2:$B$41,MATCH($B643,'قائمة الوحدات'!$A$2:$A$41,0)),"")</f>
        <v>MIL</v>
      </c>
      <c r="D643" s="14" t="str">
        <f>IFERROR(INDEX('قائمة الوحدات'!$C$2:$C$41,MATCH($B643,'قائمة الوحدات'!$A$2:$A$41,0)),"")</f>
        <v>الجهاز العسكري</v>
      </c>
      <c r="E643" s="14" t="str">
        <f>IFERROR(INDEX('قائمة الوحدات'!$D$2:$D$41,MATCH($B643,'قائمة الوحدات'!$A$2:$A$41,0)),"")</f>
        <v>الإدارة العامة للقضاء العسكري</v>
      </c>
      <c r="F643" s="14" t="str">
        <f>IFERROR(INDEX('قائمة الوحدات'!$F$2:$F$41,MATCH($B643,'قائمة الوحدات'!$A$2:$A$41,0)),"")</f>
        <v>الإدارة العامة للقضاء العسكري</v>
      </c>
      <c r="G643" s="16" t="s">
        <v>61</v>
      </c>
      <c r="H643" s="14" t="str">
        <f>IFERROR(INDEX(المرجع!$A$2:$A$19,MATCH($G643,المرجع!$B$2:$B$19,0)),"")</f>
        <v>البناء المؤسسي</v>
      </c>
      <c r="I643" s="16" t="s">
        <v>59</v>
      </c>
      <c r="J643" s="14" t="str">
        <f>IFERROR(INDEX(المرجع!$D$2:$D$19,MATCH($I643,المرجع!$E$2:$E$19,0)),"")</f>
        <v>الإجراءات</v>
      </c>
      <c r="K643" s="15">
        <f>IFERROR(INDEX(المرجع!$F$2:$F$19,MATCH($I643,المرجع!$E$2:$E$19,0)),"")</f>
        <v>6</v>
      </c>
      <c r="L643" s="15">
        <f>SUMIFS(المرجع!$H$2:$H$19,المرجع!$B$2:$B$19,$G643,المرجع!$E$2:$E$19,$I643)</f>
        <v>1</v>
      </c>
      <c r="M643" s="15">
        <f>COUNTIFS('المرتبطة بسمو الوزير'!$B$2:$B$151,$B643,'المرتبطة بسمو الوزير'!$G$2:$G$151,$G643,'المرتبطة بسمو الوزير'!$I$2:$I$151,$I643,'المرتبطة بسمو الوزير'!$M$2:$M$151,"&lt;&gt;")+COUNTIFS('الشؤون التنفيذية'!$B$2:$B$421,$B643,'الشؤون التنفيذية'!$G$2:$G$421,$G643,'الشؤون التنفيذية'!$I$2:$I$421,$I643,'الشؤون التنفيذية'!$N$2:$N$421,"&lt;&gt;")+COUNTIFS('الجهاز العسكري'!$B$2:$B$631,$B643,'الجهاز العسكري'!$G$2:$G$631,$G643,'الجهاز العسكري'!$I$2:$I$631,$I643,'الجهاز العسكري'!$M$2:$M$631,"&lt;&gt;")</f>
        <v>1</v>
      </c>
      <c r="N643" s="19">
        <f>IF($L643=0,0,ROUND((SUMIFS('المرتبطة بسمو الوزير'!$M$2:$M$151,'المرتبطة بسمو الوزير'!$B$2:$B$151,$B643,'المرتبطة بسمو الوزير'!$G$2:$G$151,$G643,'المرتبطة بسمو الوزير'!$I$2:$I$151,$I643)+SUMIFS('الشؤون التنفيذية'!$N$2:$N$421,'الشؤون التنفيذية'!$B$2:$B$421,$B643,'الشؤون التنفيذية'!$G$2:$G$421,$G643,'الشؤون التنفيذية'!$I$2:$I$421,$I643)+SUMIFS('الجهاز العسكري'!$M$2:$M$631,'الجهاز العسكري'!$B$2:$B$631,$B643,'الجهاز العسكري'!$G$2:$G$631,$G643,'الجهاز العسكري'!$I$2:$I$631,$I643))/$L643,0))</f>
        <v>49</v>
      </c>
      <c r="O643" s="18"/>
      <c r="P643" s="15">
        <f>SUMIFS(المرجع!$G$2:$G$19,المرجع!$B$2:$B$19,$G643,المرجع!$E$2:$E$19,$I643)</f>
        <v>5</v>
      </c>
      <c r="Q643" s="20">
        <f t="shared" si="11"/>
        <v>2.4500000000000002</v>
      </c>
      <c r="R643" s="21" t="str">
        <f>IF($N643&gt;المرجع!$K$3,"متقدم",IF($N643&lt;=المرجع!$K$2,"أولي","جزئي"))</f>
        <v>جزئي</v>
      </c>
    </row>
    <row r="644" spans="1:18">
      <c r="A644" s="16" t="s">
        <v>2084</v>
      </c>
      <c r="B644" s="16" t="s">
        <v>222</v>
      </c>
      <c r="C644" s="15" t="str">
        <f>IFERROR(INDEX('قائمة الوحدات'!$B$2:$B$41,MATCH($B644,'قائمة الوحدات'!$A$2:$A$41,0)),"")</f>
        <v>MIL</v>
      </c>
      <c r="D644" s="14" t="str">
        <f>IFERROR(INDEX('قائمة الوحدات'!$C$2:$C$41,MATCH($B644,'قائمة الوحدات'!$A$2:$A$41,0)),"")</f>
        <v>الجهاز العسكري</v>
      </c>
      <c r="E644" s="14" t="str">
        <f>IFERROR(INDEX('قائمة الوحدات'!$D$2:$D$41,MATCH($B644,'قائمة الوحدات'!$A$2:$A$41,0)),"")</f>
        <v>الإدارة العامة للقضاء العسكري</v>
      </c>
      <c r="F644" s="14" t="str">
        <f>IFERROR(INDEX('قائمة الوحدات'!$F$2:$F$41,MATCH($B644,'قائمة الوحدات'!$A$2:$A$41,0)),"")</f>
        <v>الإدارة العامة للقضاء العسكري</v>
      </c>
      <c r="G644" s="16" t="s">
        <v>61</v>
      </c>
      <c r="H644" s="14" t="str">
        <f>IFERROR(INDEX(المرجع!$A$2:$A$19,MATCH($G644,المرجع!$B$2:$B$19,0)),"")</f>
        <v>البناء المؤسسي</v>
      </c>
      <c r="I644" s="16" t="s">
        <v>63</v>
      </c>
      <c r="J644" s="14" t="str">
        <f>IFERROR(INDEX(المرجع!$D$2:$D$19,MATCH($I644,المرجع!$E$2:$E$19,0)),"")</f>
        <v>إنتاج المخرج الأول</v>
      </c>
      <c r="K644" s="15">
        <f>IFERROR(INDEX(المرجع!$F$2:$F$19,MATCH($I644,المرجع!$E$2:$E$19,0)),"")</f>
        <v>7</v>
      </c>
      <c r="L644" s="15">
        <f>SUMIFS(المرجع!$H$2:$H$19,المرجع!$B$2:$B$19,$G644,المرجع!$E$2:$E$19,$I644)</f>
        <v>1</v>
      </c>
      <c r="M644" s="15">
        <f>COUNTIFS('المرتبطة بسمو الوزير'!$B$2:$B$151,$B644,'المرتبطة بسمو الوزير'!$G$2:$G$151,$G644,'المرتبطة بسمو الوزير'!$I$2:$I$151,$I644,'المرتبطة بسمو الوزير'!$M$2:$M$151,"&lt;&gt;")+COUNTIFS('الشؤون التنفيذية'!$B$2:$B$421,$B644,'الشؤون التنفيذية'!$G$2:$G$421,$G644,'الشؤون التنفيذية'!$I$2:$I$421,$I644,'الشؤون التنفيذية'!$N$2:$N$421,"&lt;&gt;")+COUNTIFS('الجهاز العسكري'!$B$2:$B$631,$B644,'الجهاز العسكري'!$G$2:$G$631,$G644,'الجهاز العسكري'!$I$2:$I$631,$I644,'الجهاز العسكري'!$M$2:$M$631,"&lt;&gt;")</f>
        <v>1</v>
      </c>
      <c r="N644" s="19">
        <f>IF($L644=0,0,ROUND((SUMIFS('المرتبطة بسمو الوزير'!$M$2:$M$151,'المرتبطة بسمو الوزير'!$B$2:$B$151,$B644,'المرتبطة بسمو الوزير'!$G$2:$G$151,$G644,'المرتبطة بسمو الوزير'!$I$2:$I$151,$I644)+SUMIFS('الشؤون التنفيذية'!$N$2:$N$421,'الشؤون التنفيذية'!$B$2:$B$421,$B644,'الشؤون التنفيذية'!$G$2:$G$421,$G644,'الشؤون التنفيذية'!$I$2:$I$421,$I644)+SUMIFS('الجهاز العسكري'!$M$2:$M$631,'الجهاز العسكري'!$B$2:$B$631,$B644,'الجهاز العسكري'!$G$2:$G$631,$G644,'الجهاز العسكري'!$I$2:$I$631,$I644))/$L644,0))</f>
        <v>86</v>
      </c>
      <c r="O644" s="18"/>
      <c r="P644" s="15">
        <f>SUMIFS(المرجع!$G$2:$G$19,المرجع!$B$2:$B$19,$G644,المرجع!$E$2:$E$19,$I644)</f>
        <v>5</v>
      </c>
      <c r="Q644" s="20">
        <f t="shared" si="11"/>
        <v>4.3</v>
      </c>
      <c r="R644" s="21" t="str">
        <f>IF($N644&gt;المرجع!$K$3,"متقدم",IF($N644&lt;=المرجع!$K$2,"أولي","جزئي"))</f>
        <v>متقدم</v>
      </c>
    </row>
    <row r="645" spans="1:18">
      <c r="A645" s="16" t="s">
        <v>2085</v>
      </c>
      <c r="B645" s="16" t="s">
        <v>222</v>
      </c>
      <c r="C645" s="15" t="str">
        <f>IFERROR(INDEX('قائمة الوحدات'!$B$2:$B$41,MATCH($B645,'قائمة الوحدات'!$A$2:$A$41,0)),"")</f>
        <v>MIL</v>
      </c>
      <c r="D645" s="14" t="str">
        <f>IFERROR(INDEX('قائمة الوحدات'!$C$2:$C$41,MATCH($B645,'قائمة الوحدات'!$A$2:$A$41,0)),"")</f>
        <v>الجهاز العسكري</v>
      </c>
      <c r="E645" s="14" t="str">
        <f>IFERROR(INDEX('قائمة الوحدات'!$D$2:$D$41,MATCH($B645,'قائمة الوحدات'!$A$2:$A$41,0)),"")</f>
        <v>الإدارة العامة للقضاء العسكري</v>
      </c>
      <c r="F645" s="14" t="str">
        <f>IFERROR(INDEX('قائمة الوحدات'!$F$2:$F$41,MATCH($B645,'قائمة الوحدات'!$A$2:$A$41,0)),"")</f>
        <v>الإدارة العامة للقضاء العسكري</v>
      </c>
      <c r="G645" s="16" t="s">
        <v>65</v>
      </c>
      <c r="H645" s="14" t="str">
        <f>IFERROR(INDEX(المرجع!$A$2:$A$19,MATCH($G645,المرجع!$B$2:$B$19,0)),"")</f>
        <v>التشغيل</v>
      </c>
      <c r="I645" s="16" t="s">
        <v>48</v>
      </c>
      <c r="J645" s="14" t="str">
        <f>IFERROR(INDEX(المرجع!$D$2:$D$19,MATCH($I645,المرجع!$E$2:$E$19,0)),"")</f>
        <v>الأهداف ومؤشرات الأداء</v>
      </c>
      <c r="K645" s="15">
        <f>IFERROR(INDEX(المرجع!$F$2:$F$19,MATCH($I645,المرجع!$E$2:$E$19,0)),"")</f>
        <v>2</v>
      </c>
      <c r="L645" s="15">
        <f>SUMIFS(المرجع!$H$2:$H$19,المرجع!$B$2:$B$19,$G645,المرجع!$E$2:$E$19,$I645)</f>
        <v>2</v>
      </c>
      <c r="M645" s="15">
        <f>COUNTIFS('المرتبطة بسمو الوزير'!$B$2:$B$151,$B645,'المرتبطة بسمو الوزير'!$G$2:$G$151,$G645,'المرتبطة بسمو الوزير'!$I$2:$I$151,$I645,'المرتبطة بسمو الوزير'!$M$2:$M$151,"&lt;&gt;")+COUNTIFS('الشؤون التنفيذية'!$B$2:$B$421,$B645,'الشؤون التنفيذية'!$G$2:$G$421,$G645,'الشؤون التنفيذية'!$I$2:$I$421,$I645,'الشؤون التنفيذية'!$N$2:$N$421,"&lt;&gt;")+COUNTIFS('الجهاز العسكري'!$B$2:$B$631,$B645,'الجهاز العسكري'!$G$2:$G$631,$G645,'الجهاز العسكري'!$I$2:$I$631,$I645,'الجهاز العسكري'!$M$2:$M$631,"&lt;&gt;")</f>
        <v>2</v>
      </c>
      <c r="N645" s="19">
        <f>IF($L645=0,0,ROUND((SUMIFS('المرتبطة بسمو الوزير'!$M$2:$M$151,'المرتبطة بسمو الوزير'!$B$2:$B$151,$B645,'المرتبطة بسمو الوزير'!$G$2:$G$151,$G645,'المرتبطة بسمو الوزير'!$I$2:$I$151,$I645)+SUMIFS('الشؤون التنفيذية'!$N$2:$N$421,'الشؤون التنفيذية'!$B$2:$B$421,$B645,'الشؤون التنفيذية'!$G$2:$G$421,$G645,'الشؤون التنفيذية'!$I$2:$I$421,$I645)+SUMIFS('الجهاز العسكري'!$M$2:$M$631,'الجهاز العسكري'!$B$2:$B$631,$B645,'الجهاز العسكري'!$G$2:$G$631,$G645,'الجهاز العسكري'!$I$2:$I$631,$I645))/$L645,0))</f>
        <v>18</v>
      </c>
      <c r="O645" s="18"/>
      <c r="P645" s="15">
        <f>SUMIFS(المرجع!$G$2:$G$19,المرجع!$B$2:$B$19,$G645,المرجع!$E$2:$E$19,$I645)</f>
        <v>25</v>
      </c>
      <c r="Q645" s="20">
        <f t="shared" si="11"/>
        <v>4.5</v>
      </c>
      <c r="R645" s="21" t="str">
        <f>IF($N645&gt;المرجع!$K$3,"متقدم",IF($N645&lt;=المرجع!$K$2,"أولي","جزئي"))</f>
        <v>أولي</v>
      </c>
    </row>
    <row r="646" spans="1:18">
      <c r="A646" s="16" t="s">
        <v>2086</v>
      </c>
      <c r="B646" s="16" t="s">
        <v>222</v>
      </c>
      <c r="C646" s="15" t="str">
        <f>IFERROR(INDEX('قائمة الوحدات'!$B$2:$B$41,MATCH($B646,'قائمة الوحدات'!$A$2:$A$41,0)),"")</f>
        <v>MIL</v>
      </c>
      <c r="D646" s="14" t="str">
        <f>IFERROR(INDEX('قائمة الوحدات'!$C$2:$C$41,MATCH($B646,'قائمة الوحدات'!$A$2:$A$41,0)),"")</f>
        <v>الجهاز العسكري</v>
      </c>
      <c r="E646" s="14" t="str">
        <f>IFERROR(INDEX('قائمة الوحدات'!$D$2:$D$41,MATCH($B646,'قائمة الوحدات'!$A$2:$A$41,0)),"")</f>
        <v>الإدارة العامة للقضاء العسكري</v>
      </c>
      <c r="F646" s="14" t="str">
        <f>IFERROR(INDEX('قائمة الوحدات'!$F$2:$F$41,MATCH($B646,'قائمة الوحدات'!$A$2:$A$41,0)),"")</f>
        <v>الإدارة العامة للقضاء العسكري</v>
      </c>
      <c r="G646" s="16" t="s">
        <v>65</v>
      </c>
      <c r="H646" s="14" t="str">
        <f>IFERROR(INDEX(المرجع!$A$2:$A$19,MATCH($G646,المرجع!$B$2:$B$19,0)),"")</f>
        <v>التشغيل</v>
      </c>
      <c r="I646" s="16" t="s">
        <v>51</v>
      </c>
      <c r="J646" s="14" t="str">
        <f>IFERROR(INDEX(المرجع!$D$2:$D$19,MATCH($I646,المرجع!$E$2:$E$19,0)),"")</f>
        <v>الحوكمة</v>
      </c>
      <c r="K646" s="15">
        <f>IFERROR(INDEX(المرجع!$F$2:$F$19,MATCH($I646,المرجع!$E$2:$E$19,0)),"")</f>
        <v>3</v>
      </c>
      <c r="L646" s="15">
        <f>SUMIFS(المرجع!$H$2:$H$19,المرجع!$B$2:$B$19,$G646,المرجع!$E$2:$E$19,$I646)</f>
        <v>3</v>
      </c>
      <c r="M646" s="15">
        <f>COUNTIFS('المرتبطة بسمو الوزير'!$B$2:$B$151,$B646,'المرتبطة بسمو الوزير'!$G$2:$G$151,$G646,'المرتبطة بسمو الوزير'!$I$2:$I$151,$I646,'المرتبطة بسمو الوزير'!$M$2:$M$151,"&lt;&gt;")+COUNTIFS('الشؤون التنفيذية'!$B$2:$B$421,$B646,'الشؤون التنفيذية'!$G$2:$G$421,$G646,'الشؤون التنفيذية'!$I$2:$I$421,$I646,'الشؤون التنفيذية'!$N$2:$N$421,"&lt;&gt;")+COUNTIFS('الجهاز العسكري'!$B$2:$B$631,$B646,'الجهاز العسكري'!$G$2:$G$631,$G646,'الجهاز العسكري'!$I$2:$I$631,$I646,'الجهاز العسكري'!$M$2:$M$631,"&lt;&gt;")</f>
        <v>3</v>
      </c>
      <c r="N646" s="19">
        <f>IF($L646=0,0,ROUND((SUMIFS('المرتبطة بسمو الوزير'!$M$2:$M$151,'المرتبطة بسمو الوزير'!$B$2:$B$151,$B646,'المرتبطة بسمو الوزير'!$G$2:$G$151,$G646,'المرتبطة بسمو الوزير'!$I$2:$I$151,$I646)+SUMIFS('الشؤون التنفيذية'!$N$2:$N$421,'الشؤون التنفيذية'!$B$2:$B$421,$B646,'الشؤون التنفيذية'!$G$2:$G$421,$G646,'الشؤون التنفيذية'!$I$2:$I$421,$I646)+SUMIFS('الجهاز العسكري'!$M$2:$M$631,'الجهاز العسكري'!$B$2:$B$631,$B646,'الجهاز العسكري'!$G$2:$G$631,$G646,'الجهاز العسكري'!$I$2:$I$631,$I646))/$L646,0))</f>
        <v>52</v>
      </c>
      <c r="O646" s="18"/>
      <c r="P646" s="15">
        <f>SUMIFS(المرجع!$G$2:$G$19,المرجع!$B$2:$B$19,$G646,المرجع!$E$2:$E$19,$I646)</f>
        <v>15</v>
      </c>
      <c r="Q646" s="20">
        <f t="shared" si="11"/>
        <v>7.8</v>
      </c>
      <c r="R646" s="21" t="str">
        <f>IF($N646&gt;المرجع!$K$3,"متقدم",IF($N646&lt;=المرجع!$K$2,"أولي","جزئي"))</f>
        <v>جزئي</v>
      </c>
    </row>
    <row r="647" spans="1:18">
      <c r="A647" s="16" t="s">
        <v>2087</v>
      </c>
      <c r="B647" s="16" t="s">
        <v>222</v>
      </c>
      <c r="C647" s="15" t="str">
        <f>IFERROR(INDEX('قائمة الوحدات'!$B$2:$B$41,MATCH($B647,'قائمة الوحدات'!$A$2:$A$41,0)),"")</f>
        <v>MIL</v>
      </c>
      <c r="D647" s="14" t="str">
        <f>IFERROR(INDEX('قائمة الوحدات'!$C$2:$C$41,MATCH($B647,'قائمة الوحدات'!$A$2:$A$41,0)),"")</f>
        <v>الجهاز العسكري</v>
      </c>
      <c r="E647" s="14" t="str">
        <f>IFERROR(INDEX('قائمة الوحدات'!$D$2:$D$41,MATCH($B647,'قائمة الوحدات'!$A$2:$A$41,0)),"")</f>
        <v>الإدارة العامة للقضاء العسكري</v>
      </c>
      <c r="F647" s="14" t="str">
        <f>IFERROR(INDEX('قائمة الوحدات'!$F$2:$F$41,MATCH($B647,'قائمة الوحدات'!$A$2:$A$41,0)),"")</f>
        <v>الإدارة العامة للقضاء العسكري</v>
      </c>
      <c r="G647" s="16" t="s">
        <v>65</v>
      </c>
      <c r="H647" s="14" t="str">
        <f>IFERROR(INDEX(المرجع!$A$2:$A$19,MATCH($G647,المرجع!$B$2:$B$19,0)),"")</f>
        <v>التشغيل</v>
      </c>
      <c r="I647" s="16" t="s">
        <v>56</v>
      </c>
      <c r="J647" s="14" t="str">
        <f>IFERROR(INDEX(المرجع!$D$2:$D$19,MATCH($I647,المرجع!$E$2:$E$19,0)),"")</f>
        <v>الموارد</v>
      </c>
      <c r="K647" s="15">
        <f>IFERROR(INDEX(المرجع!$F$2:$F$19,MATCH($I647,المرجع!$E$2:$E$19,0)),"")</f>
        <v>5</v>
      </c>
      <c r="L647" s="15">
        <f>SUMIFS(المرجع!$H$2:$H$19,المرجع!$B$2:$B$19,$G647,المرجع!$E$2:$E$19,$I647)</f>
        <v>1</v>
      </c>
      <c r="M647" s="15">
        <f>COUNTIFS('المرتبطة بسمو الوزير'!$B$2:$B$151,$B647,'المرتبطة بسمو الوزير'!$G$2:$G$151,$G647,'المرتبطة بسمو الوزير'!$I$2:$I$151,$I647,'المرتبطة بسمو الوزير'!$M$2:$M$151,"&lt;&gt;")+COUNTIFS('الشؤون التنفيذية'!$B$2:$B$421,$B647,'الشؤون التنفيذية'!$G$2:$G$421,$G647,'الشؤون التنفيذية'!$I$2:$I$421,$I647,'الشؤون التنفيذية'!$N$2:$N$421,"&lt;&gt;")+COUNTIFS('الجهاز العسكري'!$B$2:$B$631,$B647,'الجهاز العسكري'!$G$2:$G$631,$G647,'الجهاز العسكري'!$I$2:$I$631,$I647,'الجهاز العسكري'!$M$2:$M$631,"&lt;&gt;")</f>
        <v>1</v>
      </c>
      <c r="N647" s="19">
        <f>IF($L647=0,0,ROUND((SUMIFS('المرتبطة بسمو الوزير'!$M$2:$M$151,'المرتبطة بسمو الوزير'!$B$2:$B$151,$B647,'المرتبطة بسمو الوزير'!$G$2:$G$151,$G647,'المرتبطة بسمو الوزير'!$I$2:$I$151,$I647)+SUMIFS('الشؤون التنفيذية'!$N$2:$N$421,'الشؤون التنفيذية'!$B$2:$B$421,$B647,'الشؤون التنفيذية'!$G$2:$G$421,$G647,'الشؤون التنفيذية'!$I$2:$I$421,$I647)+SUMIFS('الجهاز العسكري'!$M$2:$M$631,'الجهاز العسكري'!$B$2:$B$631,$B647,'الجهاز العسكري'!$G$2:$G$631,$G647,'الجهاز العسكري'!$I$2:$I$631,$I647))/$L647,0))</f>
        <v>19</v>
      </c>
      <c r="O647" s="18"/>
      <c r="P647" s="15">
        <f>SUMIFS(المرجع!$G$2:$G$19,المرجع!$B$2:$B$19,$G647,المرجع!$E$2:$E$19,$I647)</f>
        <v>15</v>
      </c>
      <c r="Q647" s="20">
        <f t="shared" si="11"/>
        <v>2.85</v>
      </c>
      <c r="R647" s="21" t="str">
        <f>IF($N647&gt;المرجع!$K$3,"متقدم",IF($N647&lt;=المرجع!$K$2,"أولي","جزئي"))</f>
        <v>أولي</v>
      </c>
    </row>
    <row r="648" spans="1:18">
      <c r="A648" s="16" t="s">
        <v>2088</v>
      </c>
      <c r="B648" s="16" t="s">
        <v>222</v>
      </c>
      <c r="C648" s="15" t="str">
        <f>IFERROR(INDEX('قائمة الوحدات'!$B$2:$B$41,MATCH($B648,'قائمة الوحدات'!$A$2:$A$41,0)),"")</f>
        <v>MIL</v>
      </c>
      <c r="D648" s="14" t="str">
        <f>IFERROR(INDEX('قائمة الوحدات'!$C$2:$C$41,MATCH($B648,'قائمة الوحدات'!$A$2:$A$41,0)),"")</f>
        <v>الجهاز العسكري</v>
      </c>
      <c r="E648" s="14" t="str">
        <f>IFERROR(INDEX('قائمة الوحدات'!$D$2:$D$41,MATCH($B648,'قائمة الوحدات'!$A$2:$A$41,0)),"")</f>
        <v>الإدارة العامة للقضاء العسكري</v>
      </c>
      <c r="F648" s="14" t="str">
        <f>IFERROR(INDEX('قائمة الوحدات'!$F$2:$F$41,MATCH($B648,'قائمة الوحدات'!$A$2:$A$41,0)),"")</f>
        <v>الإدارة العامة للقضاء العسكري</v>
      </c>
      <c r="G648" s="16" t="s">
        <v>65</v>
      </c>
      <c r="H648" s="14" t="str">
        <f>IFERROR(INDEX(المرجع!$A$2:$A$19,MATCH($G648,المرجع!$B$2:$B$19,0)),"")</f>
        <v>التشغيل</v>
      </c>
      <c r="I648" s="16" t="s">
        <v>59</v>
      </c>
      <c r="J648" s="14" t="str">
        <f>IFERROR(INDEX(المرجع!$D$2:$D$19,MATCH($I648,المرجع!$E$2:$E$19,0)),"")</f>
        <v>الإجراءات</v>
      </c>
      <c r="K648" s="15">
        <f>IFERROR(INDEX(المرجع!$F$2:$F$19,MATCH($I648,المرجع!$E$2:$E$19,0)),"")</f>
        <v>6</v>
      </c>
      <c r="L648" s="15">
        <f>SUMIFS(المرجع!$H$2:$H$19,المرجع!$B$2:$B$19,$G648,المرجع!$E$2:$E$19,$I648)</f>
        <v>1</v>
      </c>
      <c r="M648" s="15">
        <f>COUNTIFS('المرتبطة بسمو الوزير'!$B$2:$B$151,$B648,'المرتبطة بسمو الوزير'!$G$2:$G$151,$G648,'المرتبطة بسمو الوزير'!$I$2:$I$151,$I648,'المرتبطة بسمو الوزير'!$M$2:$M$151,"&lt;&gt;")+COUNTIFS('الشؤون التنفيذية'!$B$2:$B$421,$B648,'الشؤون التنفيذية'!$G$2:$G$421,$G648,'الشؤون التنفيذية'!$I$2:$I$421,$I648,'الشؤون التنفيذية'!$N$2:$N$421,"&lt;&gt;")+COUNTIFS('الجهاز العسكري'!$B$2:$B$631,$B648,'الجهاز العسكري'!$G$2:$G$631,$G648,'الجهاز العسكري'!$I$2:$I$631,$I648,'الجهاز العسكري'!$M$2:$M$631,"&lt;&gt;")</f>
        <v>1</v>
      </c>
      <c r="N648" s="19">
        <f>IF($L648=0,0,ROUND((SUMIFS('المرتبطة بسمو الوزير'!$M$2:$M$151,'المرتبطة بسمو الوزير'!$B$2:$B$151,$B648,'المرتبطة بسمو الوزير'!$G$2:$G$151,$G648,'المرتبطة بسمو الوزير'!$I$2:$I$151,$I648)+SUMIFS('الشؤون التنفيذية'!$N$2:$N$421,'الشؤون التنفيذية'!$B$2:$B$421,$B648,'الشؤون التنفيذية'!$G$2:$G$421,$G648,'الشؤون التنفيذية'!$I$2:$I$421,$I648)+SUMIFS('الجهاز العسكري'!$M$2:$M$631,'الجهاز العسكري'!$B$2:$B$631,$B648,'الجهاز العسكري'!$G$2:$G$631,$G648,'الجهاز العسكري'!$I$2:$I$631,$I648))/$L648,0))</f>
        <v>41</v>
      </c>
      <c r="O648" s="18"/>
      <c r="P648" s="15">
        <f>SUMIFS(المرجع!$G$2:$G$19,المرجع!$B$2:$B$19,$G648,المرجع!$E$2:$E$19,$I648)</f>
        <v>15</v>
      </c>
      <c r="Q648" s="20">
        <f t="shared" si="11"/>
        <v>6.15</v>
      </c>
      <c r="R648" s="21" t="str">
        <f>IF($N648&gt;المرجع!$K$3,"متقدم",IF($N648&lt;=المرجع!$K$2,"أولي","جزئي"))</f>
        <v>جزئي</v>
      </c>
    </row>
    <row r="649" spans="1:18">
      <c r="A649" s="16" t="s">
        <v>2089</v>
      </c>
      <c r="B649" s="16" t="s">
        <v>222</v>
      </c>
      <c r="C649" s="15" t="str">
        <f>IFERROR(INDEX('قائمة الوحدات'!$B$2:$B$41,MATCH($B649,'قائمة الوحدات'!$A$2:$A$41,0)),"")</f>
        <v>MIL</v>
      </c>
      <c r="D649" s="14" t="str">
        <f>IFERROR(INDEX('قائمة الوحدات'!$C$2:$C$41,MATCH($B649,'قائمة الوحدات'!$A$2:$A$41,0)),"")</f>
        <v>الجهاز العسكري</v>
      </c>
      <c r="E649" s="14" t="str">
        <f>IFERROR(INDEX('قائمة الوحدات'!$D$2:$D$41,MATCH($B649,'قائمة الوحدات'!$A$2:$A$41,0)),"")</f>
        <v>الإدارة العامة للقضاء العسكري</v>
      </c>
      <c r="F649" s="14" t="str">
        <f>IFERROR(INDEX('قائمة الوحدات'!$F$2:$F$41,MATCH($B649,'قائمة الوحدات'!$A$2:$A$41,0)),"")</f>
        <v>الإدارة العامة للقضاء العسكري</v>
      </c>
      <c r="G649" s="16" t="s">
        <v>65</v>
      </c>
      <c r="H649" s="14" t="str">
        <f>IFERROR(INDEX(المرجع!$A$2:$A$19,MATCH($G649,المرجع!$B$2:$B$19,0)),"")</f>
        <v>التشغيل</v>
      </c>
      <c r="I649" s="16" t="s">
        <v>67</v>
      </c>
      <c r="J649" s="14" t="str">
        <f>IFERROR(INDEX(المرجع!$D$2:$D$19,MATCH($I649,المرجع!$E$2:$E$19,0)),"")</f>
        <v>اكتمال المخرجات المستهدفة</v>
      </c>
      <c r="K649" s="15">
        <f>IFERROR(INDEX(المرجع!$F$2:$F$19,MATCH($I649,المرجع!$E$2:$E$19,0)),"")</f>
        <v>8</v>
      </c>
      <c r="L649" s="15">
        <f>SUMIFS(المرجع!$H$2:$H$19,المرجع!$B$2:$B$19,$G649,المرجع!$E$2:$E$19,$I649)</f>
        <v>1</v>
      </c>
      <c r="M649" s="15">
        <f>COUNTIFS('المرتبطة بسمو الوزير'!$B$2:$B$151,$B649,'المرتبطة بسمو الوزير'!$G$2:$G$151,$G649,'المرتبطة بسمو الوزير'!$I$2:$I$151,$I649,'المرتبطة بسمو الوزير'!$M$2:$M$151,"&lt;&gt;")+COUNTIFS('الشؤون التنفيذية'!$B$2:$B$421,$B649,'الشؤون التنفيذية'!$G$2:$G$421,$G649,'الشؤون التنفيذية'!$I$2:$I$421,$I649,'الشؤون التنفيذية'!$N$2:$N$421,"&lt;&gt;")+COUNTIFS('الجهاز العسكري'!$B$2:$B$631,$B649,'الجهاز العسكري'!$G$2:$G$631,$G649,'الجهاز العسكري'!$I$2:$I$631,$I649,'الجهاز العسكري'!$M$2:$M$631,"&lt;&gt;")</f>
        <v>1</v>
      </c>
      <c r="N649" s="19">
        <f>IF($L649=0,0,ROUND((SUMIFS('المرتبطة بسمو الوزير'!$M$2:$M$151,'المرتبطة بسمو الوزير'!$B$2:$B$151,$B649,'المرتبطة بسمو الوزير'!$G$2:$G$151,$G649,'المرتبطة بسمو الوزير'!$I$2:$I$151,$I649)+SUMIFS('الشؤون التنفيذية'!$N$2:$N$421,'الشؤون التنفيذية'!$B$2:$B$421,$B649,'الشؤون التنفيذية'!$G$2:$G$421,$G649,'الشؤون التنفيذية'!$I$2:$I$421,$I649)+SUMIFS('الجهاز العسكري'!$M$2:$M$631,'الجهاز العسكري'!$B$2:$B$631,$B649,'الجهاز العسكري'!$G$2:$G$631,$G649,'الجهاز العسكري'!$I$2:$I$631,$I649))/$L649,0))</f>
        <v>36</v>
      </c>
      <c r="O649" s="18"/>
      <c r="P649" s="15">
        <f>SUMIFS(المرجع!$G$2:$G$19,المرجع!$B$2:$B$19,$G649,المرجع!$E$2:$E$19,$I649)</f>
        <v>30</v>
      </c>
      <c r="Q649" s="20">
        <f t="shared" si="11"/>
        <v>10.8</v>
      </c>
      <c r="R649" s="21" t="str">
        <f>IF($N649&gt;المرجع!$K$3,"متقدم",IF($N649&lt;=المرجع!$K$2,"أولي","جزئي"))</f>
        <v>جزئي</v>
      </c>
    </row>
    <row r="650" spans="1:18">
      <c r="A650" s="16" t="s">
        <v>2090</v>
      </c>
      <c r="B650" s="16" t="s">
        <v>224</v>
      </c>
      <c r="C650" s="15" t="str">
        <f>IFERROR(INDEX('قائمة الوحدات'!$B$2:$B$41,MATCH($B650,'قائمة الوحدات'!$A$2:$A$41,0)),"")</f>
        <v>MIL</v>
      </c>
      <c r="D650" s="14" t="str">
        <f>IFERROR(INDEX('قائمة الوحدات'!$C$2:$C$41,MATCH($B650,'قائمة الوحدات'!$A$2:$A$41,0)),"")</f>
        <v>الجهاز العسكري</v>
      </c>
      <c r="E650" s="14" t="str">
        <f>IFERROR(INDEX('قائمة الوحدات'!$D$2:$D$41,MATCH($B650,'قائمة الوحدات'!$A$2:$A$41,0)),"")</f>
        <v>الإدارة العامة للأمن العسكري</v>
      </c>
      <c r="F650" s="14" t="str">
        <f>IFERROR(INDEX('قائمة الوحدات'!$F$2:$F$41,MATCH($B650,'قائمة الوحدات'!$A$2:$A$41,0)),"")</f>
        <v>الإدارة العامة للأمن العسكري</v>
      </c>
      <c r="G650" s="16" t="s">
        <v>43</v>
      </c>
      <c r="H650" s="14" t="str">
        <f>IFERROR(INDEX(المرجع!$A$2:$A$19,MATCH($G650,المرجع!$B$2:$B$19,0)),"")</f>
        <v>التصميم</v>
      </c>
      <c r="I650" s="16" t="s">
        <v>45</v>
      </c>
      <c r="J650" s="14" t="str">
        <f>IFERROR(INDEX(المرجع!$D$2:$D$19,MATCH($I650,المرجع!$E$2:$E$19,0)),"")</f>
        <v>الدور</v>
      </c>
      <c r="K650" s="15">
        <f>IFERROR(INDEX(المرجع!$F$2:$F$19,MATCH($I650,المرجع!$E$2:$E$19,0)),"")</f>
        <v>1</v>
      </c>
      <c r="L650" s="15">
        <f>SUMIFS(المرجع!$H$2:$H$19,المرجع!$B$2:$B$19,$G650,المرجع!$E$2:$E$19,$I650)</f>
        <v>1</v>
      </c>
      <c r="M650" s="15">
        <f>COUNTIFS('المرتبطة بسمو الوزير'!$B$2:$B$151,$B650,'المرتبطة بسمو الوزير'!$G$2:$G$151,$G650,'المرتبطة بسمو الوزير'!$I$2:$I$151,$I650,'المرتبطة بسمو الوزير'!$M$2:$M$151,"&lt;&gt;")+COUNTIFS('الشؤون التنفيذية'!$B$2:$B$421,$B650,'الشؤون التنفيذية'!$G$2:$G$421,$G650,'الشؤون التنفيذية'!$I$2:$I$421,$I650,'الشؤون التنفيذية'!$N$2:$N$421,"&lt;&gt;")+COUNTIFS('الجهاز العسكري'!$B$2:$B$631,$B650,'الجهاز العسكري'!$G$2:$G$631,$G650,'الجهاز العسكري'!$I$2:$I$631,$I650,'الجهاز العسكري'!$M$2:$M$631,"&lt;&gt;")</f>
        <v>1</v>
      </c>
      <c r="N650" s="19">
        <f>IF($L650=0,0,ROUND((SUMIFS('المرتبطة بسمو الوزير'!$M$2:$M$151,'المرتبطة بسمو الوزير'!$B$2:$B$151,$B650,'المرتبطة بسمو الوزير'!$G$2:$G$151,$G650,'المرتبطة بسمو الوزير'!$I$2:$I$151,$I650)+SUMIFS('الشؤون التنفيذية'!$N$2:$N$421,'الشؤون التنفيذية'!$B$2:$B$421,$B650,'الشؤون التنفيذية'!$G$2:$G$421,$G650,'الشؤون التنفيذية'!$I$2:$I$421,$I650)+SUMIFS('الجهاز العسكري'!$M$2:$M$631,'الجهاز العسكري'!$B$2:$B$631,$B650,'الجهاز العسكري'!$G$2:$G$631,$G650,'الجهاز العسكري'!$I$2:$I$631,$I650))/$L650,0))</f>
        <v>82</v>
      </c>
      <c r="O650" s="18"/>
      <c r="P650" s="15">
        <f>SUMIFS(المرجع!$G$2:$G$19,المرجع!$B$2:$B$19,$G650,المرجع!$E$2:$E$19,$I650)</f>
        <v>25</v>
      </c>
      <c r="Q650" s="20">
        <f t="shared" si="11"/>
        <v>20.5</v>
      </c>
      <c r="R650" s="21" t="str">
        <f>IF($N650&gt;المرجع!$K$3,"متقدم",IF($N650&lt;=المرجع!$K$2,"أولي","جزئي"))</f>
        <v>متقدم</v>
      </c>
    </row>
    <row r="651" spans="1:18">
      <c r="A651" s="16" t="s">
        <v>2091</v>
      </c>
      <c r="B651" s="16" t="s">
        <v>224</v>
      </c>
      <c r="C651" s="15" t="str">
        <f>IFERROR(INDEX('قائمة الوحدات'!$B$2:$B$41,MATCH($B651,'قائمة الوحدات'!$A$2:$A$41,0)),"")</f>
        <v>MIL</v>
      </c>
      <c r="D651" s="14" t="str">
        <f>IFERROR(INDEX('قائمة الوحدات'!$C$2:$C$41,MATCH($B651,'قائمة الوحدات'!$A$2:$A$41,0)),"")</f>
        <v>الجهاز العسكري</v>
      </c>
      <c r="E651" s="14" t="str">
        <f>IFERROR(INDEX('قائمة الوحدات'!$D$2:$D$41,MATCH($B651,'قائمة الوحدات'!$A$2:$A$41,0)),"")</f>
        <v>الإدارة العامة للأمن العسكري</v>
      </c>
      <c r="F651" s="14" t="str">
        <f>IFERROR(INDEX('قائمة الوحدات'!$F$2:$F$41,MATCH($B651,'قائمة الوحدات'!$A$2:$A$41,0)),"")</f>
        <v>الإدارة العامة للأمن العسكري</v>
      </c>
      <c r="G651" s="16" t="s">
        <v>43</v>
      </c>
      <c r="H651" s="14" t="str">
        <f>IFERROR(INDEX(المرجع!$A$2:$A$19,MATCH($G651,المرجع!$B$2:$B$19,0)),"")</f>
        <v>التصميم</v>
      </c>
      <c r="I651" s="16" t="s">
        <v>48</v>
      </c>
      <c r="J651" s="14" t="str">
        <f>IFERROR(INDEX(المرجع!$D$2:$D$19,MATCH($I651,المرجع!$E$2:$E$19,0)),"")</f>
        <v>الأهداف ومؤشرات الأداء</v>
      </c>
      <c r="K651" s="15">
        <f>IFERROR(INDEX(المرجع!$F$2:$F$19,MATCH($I651,المرجع!$E$2:$E$19,0)),"")</f>
        <v>2</v>
      </c>
      <c r="L651" s="15">
        <f>SUMIFS(المرجع!$H$2:$H$19,المرجع!$B$2:$B$19,$G651,المرجع!$E$2:$E$19,$I651)</f>
        <v>2</v>
      </c>
      <c r="M651" s="15">
        <f>COUNTIFS('المرتبطة بسمو الوزير'!$B$2:$B$151,$B651,'المرتبطة بسمو الوزير'!$G$2:$G$151,$G651,'المرتبطة بسمو الوزير'!$I$2:$I$151,$I651,'المرتبطة بسمو الوزير'!$M$2:$M$151,"&lt;&gt;")+COUNTIFS('الشؤون التنفيذية'!$B$2:$B$421,$B651,'الشؤون التنفيذية'!$G$2:$G$421,$G651,'الشؤون التنفيذية'!$I$2:$I$421,$I651,'الشؤون التنفيذية'!$N$2:$N$421,"&lt;&gt;")+COUNTIFS('الجهاز العسكري'!$B$2:$B$631,$B651,'الجهاز العسكري'!$G$2:$G$631,$G651,'الجهاز العسكري'!$I$2:$I$631,$I651,'الجهاز العسكري'!$M$2:$M$631,"&lt;&gt;")</f>
        <v>2</v>
      </c>
      <c r="N651" s="19">
        <f>IF($L651=0,0,ROUND((SUMIFS('المرتبطة بسمو الوزير'!$M$2:$M$151,'المرتبطة بسمو الوزير'!$B$2:$B$151,$B651,'المرتبطة بسمو الوزير'!$G$2:$G$151,$G651,'المرتبطة بسمو الوزير'!$I$2:$I$151,$I651)+SUMIFS('الشؤون التنفيذية'!$N$2:$N$421,'الشؤون التنفيذية'!$B$2:$B$421,$B651,'الشؤون التنفيذية'!$G$2:$G$421,$G651,'الشؤون التنفيذية'!$I$2:$I$421,$I651)+SUMIFS('الجهاز العسكري'!$M$2:$M$631,'الجهاز العسكري'!$B$2:$B$631,$B651,'الجهاز العسكري'!$G$2:$G$631,$G651,'الجهاز العسكري'!$I$2:$I$631,$I651))/$L651,0))</f>
        <v>80</v>
      </c>
      <c r="O651" s="18"/>
      <c r="P651" s="15">
        <f>SUMIFS(المرجع!$G$2:$G$19,المرجع!$B$2:$B$19,$G651,المرجع!$E$2:$E$19,$I651)</f>
        <v>15</v>
      </c>
      <c r="Q651" s="20">
        <f t="shared" si="11"/>
        <v>12</v>
      </c>
      <c r="R651" s="21" t="str">
        <f>IF($N651&gt;المرجع!$K$3,"متقدم",IF($N651&lt;=المرجع!$K$2,"أولي","جزئي"))</f>
        <v>متقدم</v>
      </c>
    </row>
    <row r="652" spans="1:18">
      <c r="A652" s="16" t="s">
        <v>2092</v>
      </c>
      <c r="B652" s="16" t="s">
        <v>224</v>
      </c>
      <c r="C652" s="15" t="str">
        <f>IFERROR(INDEX('قائمة الوحدات'!$B$2:$B$41,MATCH($B652,'قائمة الوحدات'!$A$2:$A$41,0)),"")</f>
        <v>MIL</v>
      </c>
      <c r="D652" s="14" t="str">
        <f>IFERROR(INDEX('قائمة الوحدات'!$C$2:$C$41,MATCH($B652,'قائمة الوحدات'!$A$2:$A$41,0)),"")</f>
        <v>الجهاز العسكري</v>
      </c>
      <c r="E652" s="14" t="str">
        <f>IFERROR(INDEX('قائمة الوحدات'!$D$2:$D$41,MATCH($B652,'قائمة الوحدات'!$A$2:$A$41,0)),"")</f>
        <v>الإدارة العامة للأمن العسكري</v>
      </c>
      <c r="F652" s="14" t="str">
        <f>IFERROR(INDEX('قائمة الوحدات'!$F$2:$F$41,MATCH($B652,'قائمة الوحدات'!$A$2:$A$41,0)),"")</f>
        <v>الإدارة العامة للأمن العسكري</v>
      </c>
      <c r="G652" s="16" t="s">
        <v>43</v>
      </c>
      <c r="H652" s="14" t="str">
        <f>IFERROR(INDEX(المرجع!$A$2:$A$19,MATCH($G652,المرجع!$B$2:$B$19,0)),"")</f>
        <v>التصميم</v>
      </c>
      <c r="I652" s="16" t="s">
        <v>51</v>
      </c>
      <c r="J652" s="14" t="str">
        <f>IFERROR(INDEX(المرجع!$D$2:$D$19,MATCH($I652,المرجع!$E$2:$E$19,0)),"")</f>
        <v>الحوكمة</v>
      </c>
      <c r="K652" s="15">
        <f>IFERROR(INDEX(المرجع!$F$2:$F$19,MATCH($I652,المرجع!$E$2:$E$19,0)),"")</f>
        <v>3</v>
      </c>
      <c r="L652" s="15">
        <f>SUMIFS(المرجع!$H$2:$H$19,المرجع!$B$2:$B$19,$G652,المرجع!$E$2:$E$19,$I652)</f>
        <v>1</v>
      </c>
      <c r="M652" s="15">
        <f>COUNTIFS('المرتبطة بسمو الوزير'!$B$2:$B$151,$B652,'المرتبطة بسمو الوزير'!$G$2:$G$151,$G652,'المرتبطة بسمو الوزير'!$I$2:$I$151,$I652,'المرتبطة بسمو الوزير'!$M$2:$M$151,"&lt;&gt;")+COUNTIFS('الشؤون التنفيذية'!$B$2:$B$421,$B652,'الشؤون التنفيذية'!$G$2:$G$421,$G652,'الشؤون التنفيذية'!$I$2:$I$421,$I652,'الشؤون التنفيذية'!$N$2:$N$421,"&lt;&gt;")+COUNTIFS('الجهاز العسكري'!$B$2:$B$631,$B652,'الجهاز العسكري'!$G$2:$G$631,$G652,'الجهاز العسكري'!$I$2:$I$631,$I652,'الجهاز العسكري'!$M$2:$M$631,"&lt;&gt;")</f>
        <v>1</v>
      </c>
      <c r="N652" s="19">
        <f>IF($L652=0,0,ROUND((SUMIFS('المرتبطة بسمو الوزير'!$M$2:$M$151,'المرتبطة بسمو الوزير'!$B$2:$B$151,$B652,'المرتبطة بسمو الوزير'!$G$2:$G$151,$G652,'المرتبطة بسمو الوزير'!$I$2:$I$151,$I652)+SUMIFS('الشؤون التنفيذية'!$N$2:$N$421,'الشؤون التنفيذية'!$B$2:$B$421,$B652,'الشؤون التنفيذية'!$G$2:$G$421,$G652,'الشؤون التنفيذية'!$I$2:$I$421,$I652)+SUMIFS('الجهاز العسكري'!$M$2:$M$631,'الجهاز العسكري'!$B$2:$B$631,$B652,'الجهاز العسكري'!$G$2:$G$631,$G652,'الجهاز العسكري'!$I$2:$I$631,$I652))/$L652,0))</f>
        <v>90</v>
      </c>
      <c r="O652" s="18"/>
      <c r="P652" s="15">
        <f>SUMIFS(المرجع!$G$2:$G$19,المرجع!$B$2:$B$19,$G652,المرجع!$E$2:$E$19,$I652)</f>
        <v>15</v>
      </c>
      <c r="Q652" s="20">
        <f t="shared" si="11"/>
        <v>13.5</v>
      </c>
      <c r="R652" s="21" t="str">
        <f>IF($N652&gt;المرجع!$K$3,"متقدم",IF($N652&lt;=المرجع!$K$2,"أولي","جزئي"))</f>
        <v>متقدم</v>
      </c>
    </row>
    <row r="653" spans="1:18">
      <c r="A653" s="16" t="s">
        <v>2093</v>
      </c>
      <c r="B653" s="16" t="s">
        <v>224</v>
      </c>
      <c r="C653" s="15" t="str">
        <f>IFERROR(INDEX('قائمة الوحدات'!$B$2:$B$41,MATCH($B653,'قائمة الوحدات'!$A$2:$A$41,0)),"")</f>
        <v>MIL</v>
      </c>
      <c r="D653" s="14" t="str">
        <f>IFERROR(INDEX('قائمة الوحدات'!$C$2:$C$41,MATCH($B653,'قائمة الوحدات'!$A$2:$A$41,0)),"")</f>
        <v>الجهاز العسكري</v>
      </c>
      <c r="E653" s="14" t="str">
        <f>IFERROR(INDEX('قائمة الوحدات'!$D$2:$D$41,MATCH($B653,'قائمة الوحدات'!$A$2:$A$41,0)),"")</f>
        <v>الإدارة العامة للأمن العسكري</v>
      </c>
      <c r="F653" s="14" t="str">
        <f>IFERROR(INDEX('قائمة الوحدات'!$F$2:$F$41,MATCH($B653,'قائمة الوحدات'!$A$2:$A$41,0)),"")</f>
        <v>الإدارة العامة للأمن العسكري</v>
      </c>
      <c r="G653" s="16" t="s">
        <v>43</v>
      </c>
      <c r="H653" s="14" t="str">
        <f>IFERROR(INDEX(المرجع!$A$2:$A$19,MATCH($G653,المرجع!$B$2:$B$19,0)),"")</f>
        <v>التصميم</v>
      </c>
      <c r="I653" s="16" t="s">
        <v>54</v>
      </c>
      <c r="J653" s="14" t="str">
        <f>IFERROR(INDEX(المرجع!$D$2:$D$19,MATCH($I653,المرجع!$E$2:$E$19,0)),"")</f>
        <v>التنظيم</v>
      </c>
      <c r="K653" s="15">
        <f>IFERROR(INDEX(المرجع!$F$2:$F$19,MATCH($I653,المرجع!$E$2:$E$19,0)),"")</f>
        <v>4</v>
      </c>
      <c r="L653" s="15">
        <f>SUMIFS(المرجع!$H$2:$H$19,المرجع!$B$2:$B$19,$G653,المرجع!$E$2:$E$19,$I653)</f>
        <v>1</v>
      </c>
      <c r="M653" s="15">
        <f>COUNTIFS('المرتبطة بسمو الوزير'!$B$2:$B$151,$B653,'المرتبطة بسمو الوزير'!$G$2:$G$151,$G653,'المرتبطة بسمو الوزير'!$I$2:$I$151,$I653,'المرتبطة بسمو الوزير'!$M$2:$M$151,"&lt;&gt;")+COUNTIFS('الشؤون التنفيذية'!$B$2:$B$421,$B653,'الشؤون التنفيذية'!$G$2:$G$421,$G653,'الشؤون التنفيذية'!$I$2:$I$421,$I653,'الشؤون التنفيذية'!$N$2:$N$421,"&lt;&gt;")+COUNTIFS('الجهاز العسكري'!$B$2:$B$631,$B653,'الجهاز العسكري'!$G$2:$G$631,$G653,'الجهاز العسكري'!$I$2:$I$631,$I653,'الجهاز العسكري'!$M$2:$M$631,"&lt;&gt;")</f>
        <v>1</v>
      </c>
      <c r="N653" s="19">
        <f>IF($L653=0,0,ROUND((SUMIFS('المرتبطة بسمو الوزير'!$M$2:$M$151,'المرتبطة بسمو الوزير'!$B$2:$B$151,$B653,'المرتبطة بسمو الوزير'!$G$2:$G$151,$G653,'المرتبطة بسمو الوزير'!$I$2:$I$151,$I653)+SUMIFS('الشؤون التنفيذية'!$N$2:$N$421,'الشؤون التنفيذية'!$B$2:$B$421,$B653,'الشؤون التنفيذية'!$G$2:$G$421,$G653,'الشؤون التنفيذية'!$I$2:$I$421,$I653)+SUMIFS('الجهاز العسكري'!$M$2:$M$631,'الجهاز العسكري'!$B$2:$B$631,$B653,'الجهاز العسكري'!$G$2:$G$631,$G653,'الجهاز العسكري'!$I$2:$I$631,$I653))/$L653,0))</f>
        <v>97</v>
      </c>
      <c r="O653" s="18"/>
      <c r="P653" s="15">
        <f>SUMIFS(المرجع!$G$2:$G$19,المرجع!$B$2:$B$19,$G653,المرجع!$E$2:$E$19,$I653)</f>
        <v>20</v>
      </c>
      <c r="Q653" s="20">
        <f t="shared" si="11"/>
        <v>19.399999999999999</v>
      </c>
      <c r="R653" s="21" t="str">
        <f>IF($N653&gt;المرجع!$K$3,"متقدم",IF($N653&lt;=المرجع!$K$2,"أولي","جزئي"))</f>
        <v>متقدم</v>
      </c>
    </row>
    <row r="654" spans="1:18">
      <c r="A654" s="16" t="s">
        <v>2094</v>
      </c>
      <c r="B654" s="16" t="s">
        <v>224</v>
      </c>
      <c r="C654" s="15" t="str">
        <f>IFERROR(INDEX('قائمة الوحدات'!$B$2:$B$41,MATCH($B654,'قائمة الوحدات'!$A$2:$A$41,0)),"")</f>
        <v>MIL</v>
      </c>
      <c r="D654" s="14" t="str">
        <f>IFERROR(INDEX('قائمة الوحدات'!$C$2:$C$41,MATCH($B654,'قائمة الوحدات'!$A$2:$A$41,0)),"")</f>
        <v>الجهاز العسكري</v>
      </c>
      <c r="E654" s="14" t="str">
        <f>IFERROR(INDEX('قائمة الوحدات'!$D$2:$D$41,MATCH($B654,'قائمة الوحدات'!$A$2:$A$41,0)),"")</f>
        <v>الإدارة العامة للأمن العسكري</v>
      </c>
      <c r="F654" s="14" t="str">
        <f>IFERROR(INDEX('قائمة الوحدات'!$F$2:$F$41,MATCH($B654,'قائمة الوحدات'!$A$2:$A$41,0)),"")</f>
        <v>الإدارة العامة للأمن العسكري</v>
      </c>
      <c r="G654" s="16" t="s">
        <v>43</v>
      </c>
      <c r="H654" s="14" t="str">
        <f>IFERROR(INDEX(المرجع!$A$2:$A$19,MATCH($G654,المرجع!$B$2:$B$19,0)),"")</f>
        <v>التصميم</v>
      </c>
      <c r="I654" s="16" t="s">
        <v>56</v>
      </c>
      <c r="J654" s="14" t="str">
        <f>IFERROR(INDEX(المرجع!$D$2:$D$19,MATCH($I654,المرجع!$E$2:$E$19,0)),"")</f>
        <v>الموارد</v>
      </c>
      <c r="K654" s="15">
        <f>IFERROR(INDEX(المرجع!$F$2:$F$19,MATCH($I654,المرجع!$E$2:$E$19,0)),"")</f>
        <v>5</v>
      </c>
      <c r="L654" s="15">
        <f>SUMIFS(المرجع!$H$2:$H$19,المرجع!$B$2:$B$19,$G654,المرجع!$E$2:$E$19,$I654)</f>
        <v>1</v>
      </c>
      <c r="M654" s="15">
        <f>COUNTIFS('المرتبطة بسمو الوزير'!$B$2:$B$151,$B654,'المرتبطة بسمو الوزير'!$G$2:$G$151,$G654,'المرتبطة بسمو الوزير'!$I$2:$I$151,$I654,'المرتبطة بسمو الوزير'!$M$2:$M$151,"&lt;&gt;")+COUNTIFS('الشؤون التنفيذية'!$B$2:$B$421,$B654,'الشؤون التنفيذية'!$G$2:$G$421,$G654,'الشؤون التنفيذية'!$I$2:$I$421,$I654,'الشؤون التنفيذية'!$N$2:$N$421,"&lt;&gt;")+COUNTIFS('الجهاز العسكري'!$B$2:$B$631,$B654,'الجهاز العسكري'!$G$2:$G$631,$G654,'الجهاز العسكري'!$I$2:$I$631,$I654,'الجهاز العسكري'!$M$2:$M$631,"&lt;&gt;")</f>
        <v>1</v>
      </c>
      <c r="N654" s="19">
        <f>IF($L654=0,0,ROUND((SUMIFS('المرتبطة بسمو الوزير'!$M$2:$M$151,'المرتبطة بسمو الوزير'!$B$2:$B$151,$B654,'المرتبطة بسمو الوزير'!$G$2:$G$151,$G654,'المرتبطة بسمو الوزير'!$I$2:$I$151,$I654)+SUMIFS('الشؤون التنفيذية'!$N$2:$N$421,'الشؤون التنفيذية'!$B$2:$B$421,$B654,'الشؤون التنفيذية'!$G$2:$G$421,$G654,'الشؤون التنفيذية'!$I$2:$I$421,$I654)+SUMIFS('الجهاز العسكري'!$M$2:$M$631,'الجهاز العسكري'!$B$2:$B$631,$B654,'الجهاز العسكري'!$G$2:$G$631,$G654,'الجهاز العسكري'!$I$2:$I$631,$I654))/$L654,0))</f>
        <v>79</v>
      </c>
      <c r="O654" s="18"/>
      <c r="P654" s="15">
        <f>SUMIFS(المرجع!$G$2:$G$19,المرجع!$B$2:$B$19,$G654,المرجع!$E$2:$E$19,$I654)</f>
        <v>20</v>
      </c>
      <c r="Q654" s="20">
        <f t="shared" si="11"/>
        <v>15.8</v>
      </c>
      <c r="R654" s="21" t="str">
        <f>IF($N654&gt;المرجع!$K$3,"متقدم",IF($N654&lt;=المرجع!$K$2,"أولي","جزئي"))</f>
        <v>متقدم</v>
      </c>
    </row>
    <row r="655" spans="1:18">
      <c r="A655" s="16" t="s">
        <v>2095</v>
      </c>
      <c r="B655" s="16" t="s">
        <v>224</v>
      </c>
      <c r="C655" s="15" t="str">
        <f>IFERROR(INDEX('قائمة الوحدات'!$B$2:$B$41,MATCH($B655,'قائمة الوحدات'!$A$2:$A$41,0)),"")</f>
        <v>MIL</v>
      </c>
      <c r="D655" s="14" t="str">
        <f>IFERROR(INDEX('قائمة الوحدات'!$C$2:$C$41,MATCH($B655,'قائمة الوحدات'!$A$2:$A$41,0)),"")</f>
        <v>الجهاز العسكري</v>
      </c>
      <c r="E655" s="14" t="str">
        <f>IFERROR(INDEX('قائمة الوحدات'!$D$2:$D$41,MATCH($B655,'قائمة الوحدات'!$A$2:$A$41,0)),"")</f>
        <v>الإدارة العامة للأمن العسكري</v>
      </c>
      <c r="F655" s="14" t="str">
        <f>IFERROR(INDEX('قائمة الوحدات'!$F$2:$F$41,MATCH($B655,'قائمة الوحدات'!$A$2:$A$41,0)),"")</f>
        <v>الإدارة العامة للأمن العسكري</v>
      </c>
      <c r="G655" s="16" t="s">
        <v>43</v>
      </c>
      <c r="H655" s="14" t="str">
        <f>IFERROR(INDEX(المرجع!$A$2:$A$19,MATCH($G655,المرجع!$B$2:$B$19,0)),"")</f>
        <v>التصميم</v>
      </c>
      <c r="I655" s="16" t="s">
        <v>59</v>
      </c>
      <c r="J655" s="14" t="str">
        <f>IFERROR(INDEX(المرجع!$D$2:$D$19,MATCH($I655,المرجع!$E$2:$E$19,0)),"")</f>
        <v>الإجراءات</v>
      </c>
      <c r="K655" s="15">
        <f>IFERROR(INDEX(المرجع!$F$2:$F$19,MATCH($I655,المرجع!$E$2:$E$19,0)),"")</f>
        <v>6</v>
      </c>
      <c r="L655" s="15">
        <f>SUMIFS(المرجع!$H$2:$H$19,المرجع!$B$2:$B$19,$G655,المرجع!$E$2:$E$19,$I655)</f>
        <v>1</v>
      </c>
      <c r="M655" s="15">
        <f>COUNTIFS('المرتبطة بسمو الوزير'!$B$2:$B$151,$B655,'المرتبطة بسمو الوزير'!$G$2:$G$151,$G655,'المرتبطة بسمو الوزير'!$I$2:$I$151,$I655,'المرتبطة بسمو الوزير'!$M$2:$M$151,"&lt;&gt;")+COUNTIFS('الشؤون التنفيذية'!$B$2:$B$421,$B655,'الشؤون التنفيذية'!$G$2:$G$421,$G655,'الشؤون التنفيذية'!$I$2:$I$421,$I655,'الشؤون التنفيذية'!$N$2:$N$421,"&lt;&gt;")+COUNTIFS('الجهاز العسكري'!$B$2:$B$631,$B655,'الجهاز العسكري'!$G$2:$G$631,$G655,'الجهاز العسكري'!$I$2:$I$631,$I655,'الجهاز العسكري'!$M$2:$M$631,"&lt;&gt;")</f>
        <v>1</v>
      </c>
      <c r="N655" s="19">
        <f>IF($L655=0,0,ROUND((SUMIFS('المرتبطة بسمو الوزير'!$M$2:$M$151,'المرتبطة بسمو الوزير'!$B$2:$B$151,$B655,'المرتبطة بسمو الوزير'!$G$2:$G$151,$G655,'المرتبطة بسمو الوزير'!$I$2:$I$151,$I655)+SUMIFS('الشؤون التنفيذية'!$N$2:$N$421,'الشؤون التنفيذية'!$B$2:$B$421,$B655,'الشؤون التنفيذية'!$G$2:$G$421,$G655,'الشؤون التنفيذية'!$I$2:$I$421,$I655)+SUMIFS('الجهاز العسكري'!$M$2:$M$631,'الجهاز العسكري'!$B$2:$B$631,$B655,'الجهاز العسكري'!$G$2:$G$631,$G655,'الجهاز العسكري'!$I$2:$I$631,$I655))/$L655,0))</f>
        <v>70</v>
      </c>
      <c r="O655" s="18"/>
      <c r="P655" s="15">
        <f>SUMIFS(المرجع!$G$2:$G$19,المرجع!$B$2:$B$19,$G655,المرجع!$E$2:$E$19,$I655)</f>
        <v>5</v>
      </c>
      <c r="Q655" s="20">
        <f t="shared" si="11"/>
        <v>3.5</v>
      </c>
      <c r="R655" s="21" t="str">
        <f>IF($N655&gt;المرجع!$K$3,"متقدم",IF($N655&lt;=المرجع!$K$2,"أولي","جزئي"))</f>
        <v>جزئي</v>
      </c>
    </row>
    <row r="656" spans="1:18">
      <c r="A656" s="16" t="s">
        <v>2096</v>
      </c>
      <c r="B656" s="16" t="s">
        <v>224</v>
      </c>
      <c r="C656" s="15" t="str">
        <f>IFERROR(INDEX('قائمة الوحدات'!$B$2:$B$41,MATCH($B656,'قائمة الوحدات'!$A$2:$A$41,0)),"")</f>
        <v>MIL</v>
      </c>
      <c r="D656" s="14" t="str">
        <f>IFERROR(INDEX('قائمة الوحدات'!$C$2:$C$41,MATCH($B656,'قائمة الوحدات'!$A$2:$A$41,0)),"")</f>
        <v>الجهاز العسكري</v>
      </c>
      <c r="E656" s="14" t="str">
        <f>IFERROR(INDEX('قائمة الوحدات'!$D$2:$D$41,MATCH($B656,'قائمة الوحدات'!$A$2:$A$41,0)),"")</f>
        <v>الإدارة العامة للأمن العسكري</v>
      </c>
      <c r="F656" s="14" t="str">
        <f>IFERROR(INDEX('قائمة الوحدات'!$F$2:$F$41,MATCH($B656,'قائمة الوحدات'!$A$2:$A$41,0)),"")</f>
        <v>الإدارة العامة للأمن العسكري</v>
      </c>
      <c r="G656" s="16" t="s">
        <v>61</v>
      </c>
      <c r="H656" s="14" t="str">
        <f>IFERROR(INDEX(المرجع!$A$2:$A$19,MATCH($G656,المرجع!$B$2:$B$19,0)),"")</f>
        <v>البناء المؤسسي</v>
      </c>
      <c r="I656" s="16" t="s">
        <v>45</v>
      </c>
      <c r="J656" s="14" t="str">
        <f>IFERROR(INDEX(المرجع!$D$2:$D$19,MATCH($I656,المرجع!$E$2:$E$19,0)),"")</f>
        <v>الدور</v>
      </c>
      <c r="K656" s="15">
        <f>IFERROR(INDEX(المرجع!$F$2:$F$19,MATCH($I656,المرجع!$E$2:$E$19,0)),"")</f>
        <v>1</v>
      </c>
      <c r="L656" s="15">
        <f>SUMIFS(المرجع!$H$2:$H$19,المرجع!$B$2:$B$19,$G656,المرجع!$E$2:$E$19,$I656)</f>
        <v>1</v>
      </c>
      <c r="M656" s="15">
        <f>COUNTIFS('المرتبطة بسمو الوزير'!$B$2:$B$151,$B656,'المرتبطة بسمو الوزير'!$G$2:$G$151,$G656,'المرتبطة بسمو الوزير'!$I$2:$I$151,$I656,'المرتبطة بسمو الوزير'!$M$2:$M$151,"&lt;&gt;")+COUNTIFS('الشؤون التنفيذية'!$B$2:$B$421,$B656,'الشؤون التنفيذية'!$G$2:$G$421,$G656,'الشؤون التنفيذية'!$I$2:$I$421,$I656,'الشؤون التنفيذية'!$N$2:$N$421,"&lt;&gt;")+COUNTIFS('الجهاز العسكري'!$B$2:$B$631,$B656,'الجهاز العسكري'!$G$2:$G$631,$G656,'الجهاز العسكري'!$I$2:$I$631,$I656,'الجهاز العسكري'!$M$2:$M$631,"&lt;&gt;")</f>
        <v>1</v>
      </c>
      <c r="N656" s="19">
        <f>IF($L656=0,0,ROUND((SUMIFS('المرتبطة بسمو الوزير'!$M$2:$M$151,'المرتبطة بسمو الوزير'!$B$2:$B$151,$B656,'المرتبطة بسمو الوزير'!$G$2:$G$151,$G656,'المرتبطة بسمو الوزير'!$I$2:$I$151,$I656)+SUMIFS('الشؤون التنفيذية'!$N$2:$N$421,'الشؤون التنفيذية'!$B$2:$B$421,$B656,'الشؤون التنفيذية'!$G$2:$G$421,$G656,'الشؤون التنفيذية'!$I$2:$I$421,$I656)+SUMIFS('الجهاز العسكري'!$M$2:$M$631,'الجهاز العسكري'!$B$2:$B$631,$B656,'الجهاز العسكري'!$G$2:$G$631,$G656,'الجهاز العسكري'!$I$2:$I$631,$I656))/$L656,0))</f>
        <v>64</v>
      </c>
      <c r="O656" s="18"/>
      <c r="P656" s="15">
        <f>SUMIFS(المرجع!$G$2:$G$19,المرجع!$B$2:$B$19,$G656,المرجع!$E$2:$E$19,$I656)</f>
        <v>15</v>
      </c>
      <c r="Q656" s="20">
        <f t="shared" si="11"/>
        <v>9.6</v>
      </c>
      <c r="R656" s="21" t="str">
        <f>IF($N656&gt;المرجع!$K$3,"متقدم",IF($N656&lt;=المرجع!$K$2,"أولي","جزئي"))</f>
        <v>جزئي</v>
      </c>
    </row>
    <row r="657" spans="1:18">
      <c r="A657" s="16" t="s">
        <v>2097</v>
      </c>
      <c r="B657" s="16" t="s">
        <v>224</v>
      </c>
      <c r="C657" s="15" t="str">
        <f>IFERROR(INDEX('قائمة الوحدات'!$B$2:$B$41,MATCH($B657,'قائمة الوحدات'!$A$2:$A$41,0)),"")</f>
        <v>MIL</v>
      </c>
      <c r="D657" s="14" t="str">
        <f>IFERROR(INDEX('قائمة الوحدات'!$C$2:$C$41,MATCH($B657,'قائمة الوحدات'!$A$2:$A$41,0)),"")</f>
        <v>الجهاز العسكري</v>
      </c>
      <c r="E657" s="14" t="str">
        <f>IFERROR(INDEX('قائمة الوحدات'!$D$2:$D$41,MATCH($B657,'قائمة الوحدات'!$A$2:$A$41,0)),"")</f>
        <v>الإدارة العامة للأمن العسكري</v>
      </c>
      <c r="F657" s="14" t="str">
        <f>IFERROR(INDEX('قائمة الوحدات'!$F$2:$F$41,MATCH($B657,'قائمة الوحدات'!$A$2:$A$41,0)),"")</f>
        <v>الإدارة العامة للأمن العسكري</v>
      </c>
      <c r="G657" s="16" t="s">
        <v>61</v>
      </c>
      <c r="H657" s="14" t="str">
        <f>IFERROR(INDEX(المرجع!$A$2:$A$19,MATCH($G657,المرجع!$B$2:$B$19,0)),"")</f>
        <v>البناء المؤسسي</v>
      </c>
      <c r="I657" s="16" t="s">
        <v>48</v>
      </c>
      <c r="J657" s="14" t="str">
        <f>IFERROR(INDEX(المرجع!$D$2:$D$19,MATCH($I657,المرجع!$E$2:$E$19,0)),"")</f>
        <v>الأهداف ومؤشرات الأداء</v>
      </c>
      <c r="K657" s="15">
        <f>IFERROR(INDEX(المرجع!$F$2:$F$19,MATCH($I657,المرجع!$E$2:$E$19,0)),"")</f>
        <v>2</v>
      </c>
      <c r="L657" s="15">
        <f>SUMIFS(المرجع!$H$2:$H$19,المرجع!$B$2:$B$19,$G657,المرجع!$E$2:$E$19,$I657)</f>
        <v>2</v>
      </c>
      <c r="M657" s="15">
        <f>COUNTIFS('المرتبطة بسمو الوزير'!$B$2:$B$151,$B657,'المرتبطة بسمو الوزير'!$G$2:$G$151,$G657,'المرتبطة بسمو الوزير'!$I$2:$I$151,$I657,'المرتبطة بسمو الوزير'!$M$2:$M$151,"&lt;&gt;")+COUNTIFS('الشؤون التنفيذية'!$B$2:$B$421,$B657,'الشؤون التنفيذية'!$G$2:$G$421,$G657,'الشؤون التنفيذية'!$I$2:$I$421,$I657,'الشؤون التنفيذية'!$N$2:$N$421,"&lt;&gt;")+COUNTIFS('الجهاز العسكري'!$B$2:$B$631,$B657,'الجهاز العسكري'!$G$2:$G$631,$G657,'الجهاز العسكري'!$I$2:$I$631,$I657,'الجهاز العسكري'!$M$2:$M$631,"&lt;&gt;")</f>
        <v>2</v>
      </c>
      <c r="N657" s="19">
        <f>IF($L657=0,0,ROUND((SUMIFS('المرتبطة بسمو الوزير'!$M$2:$M$151,'المرتبطة بسمو الوزير'!$B$2:$B$151,$B657,'المرتبطة بسمو الوزير'!$G$2:$G$151,$G657,'المرتبطة بسمو الوزير'!$I$2:$I$151,$I657)+SUMIFS('الشؤون التنفيذية'!$N$2:$N$421,'الشؤون التنفيذية'!$B$2:$B$421,$B657,'الشؤون التنفيذية'!$G$2:$G$421,$G657,'الشؤون التنفيذية'!$I$2:$I$421,$I657)+SUMIFS('الجهاز العسكري'!$M$2:$M$631,'الجهاز العسكري'!$B$2:$B$631,$B657,'الجهاز العسكري'!$G$2:$G$631,$G657,'الجهاز العسكري'!$I$2:$I$631,$I657))/$L657,0))</f>
        <v>40</v>
      </c>
      <c r="O657" s="18"/>
      <c r="P657" s="15">
        <f>SUMIFS(المرجع!$G$2:$G$19,المرجع!$B$2:$B$19,$G657,المرجع!$E$2:$E$19,$I657)</f>
        <v>15</v>
      </c>
      <c r="Q657" s="20">
        <f t="shared" si="11"/>
        <v>6</v>
      </c>
      <c r="R657" s="21" t="str">
        <f>IF($N657&gt;المرجع!$K$3,"متقدم",IF($N657&lt;=المرجع!$K$2,"أولي","جزئي"))</f>
        <v>جزئي</v>
      </c>
    </row>
    <row r="658" spans="1:18">
      <c r="A658" s="16" t="s">
        <v>2098</v>
      </c>
      <c r="B658" s="16" t="s">
        <v>224</v>
      </c>
      <c r="C658" s="15" t="str">
        <f>IFERROR(INDEX('قائمة الوحدات'!$B$2:$B$41,MATCH($B658,'قائمة الوحدات'!$A$2:$A$41,0)),"")</f>
        <v>MIL</v>
      </c>
      <c r="D658" s="14" t="str">
        <f>IFERROR(INDEX('قائمة الوحدات'!$C$2:$C$41,MATCH($B658,'قائمة الوحدات'!$A$2:$A$41,0)),"")</f>
        <v>الجهاز العسكري</v>
      </c>
      <c r="E658" s="14" t="str">
        <f>IFERROR(INDEX('قائمة الوحدات'!$D$2:$D$41,MATCH($B658,'قائمة الوحدات'!$A$2:$A$41,0)),"")</f>
        <v>الإدارة العامة للأمن العسكري</v>
      </c>
      <c r="F658" s="14" t="str">
        <f>IFERROR(INDEX('قائمة الوحدات'!$F$2:$F$41,MATCH($B658,'قائمة الوحدات'!$A$2:$A$41,0)),"")</f>
        <v>الإدارة العامة للأمن العسكري</v>
      </c>
      <c r="G658" s="16" t="s">
        <v>61</v>
      </c>
      <c r="H658" s="14" t="str">
        <f>IFERROR(INDEX(المرجع!$A$2:$A$19,MATCH($G658,المرجع!$B$2:$B$19,0)),"")</f>
        <v>البناء المؤسسي</v>
      </c>
      <c r="I658" s="16" t="s">
        <v>51</v>
      </c>
      <c r="J658" s="14" t="str">
        <f>IFERROR(INDEX(المرجع!$D$2:$D$19,MATCH($I658,المرجع!$E$2:$E$19,0)),"")</f>
        <v>الحوكمة</v>
      </c>
      <c r="K658" s="15">
        <f>IFERROR(INDEX(المرجع!$F$2:$F$19,MATCH($I658,المرجع!$E$2:$E$19,0)),"")</f>
        <v>3</v>
      </c>
      <c r="L658" s="15">
        <f>SUMIFS(المرجع!$H$2:$H$19,المرجع!$B$2:$B$19,$G658,المرجع!$E$2:$E$19,$I658)</f>
        <v>3</v>
      </c>
      <c r="M658" s="15">
        <f>COUNTIFS('المرتبطة بسمو الوزير'!$B$2:$B$151,$B658,'المرتبطة بسمو الوزير'!$G$2:$G$151,$G658,'المرتبطة بسمو الوزير'!$I$2:$I$151,$I658,'المرتبطة بسمو الوزير'!$M$2:$M$151,"&lt;&gt;")+COUNTIFS('الشؤون التنفيذية'!$B$2:$B$421,$B658,'الشؤون التنفيذية'!$G$2:$G$421,$G658,'الشؤون التنفيذية'!$I$2:$I$421,$I658,'الشؤون التنفيذية'!$N$2:$N$421,"&lt;&gt;")+COUNTIFS('الجهاز العسكري'!$B$2:$B$631,$B658,'الجهاز العسكري'!$G$2:$G$631,$G658,'الجهاز العسكري'!$I$2:$I$631,$I658,'الجهاز العسكري'!$M$2:$M$631,"&lt;&gt;")</f>
        <v>3</v>
      </c>
      <c r="N658" s="19">
        <f>IF($L658=0,0,ROUND((SUMIFS('المرتبطة بسمو الوزير'!$M$2:$M$151,'المرتبطة بسمو الوزير'!$B$2:$B$151,$B658,'المرتبطة بسمو الوزير'!$G$2:$G$151,$G658,'المرتبطة بسمو الوزير'!$I$2:$I$151,$I658)+SUMIFS('الشؤون التنفيذية'!$N$2:$N$421,'الشؤون التنفيذية'!$B$2:$B$421,$B658,'الشؤون التنفيذية'!$G$2:$G$421,$G658,'الشؤون التنفيذية'!$I$2:$I$421,$I658)+SUMIFS('الجهاز العسكري'!$M$2:$M$631,'الجهاز العسكري'!$B$2:$B$631,$B658,'الجهاز العسكري'!$G$2:$G$631,$G658,'الجهاز العسكري'!$I$2:$I$631,$I658))/$L658,0))</f>
        <v>75</v>
      </c>
      <c r="O658" s="18"/>
      <c r="P658" s="15">
        <f>SUMIFS(المرجع!$G$2:$G$19,المرجع!$B$2:$B$19,$G658,المرجع!$E$2:$E$19,$I658)</f>
        <v>15</v>
      </c>
      <c r="Q658" s="20">
        <f t="shared" si="11"/>
        <v>11.25</v>
      </c>
      <c r="R658" s="21" t="str">
        <f>IF($N658&gt;المرجع!$K$3,"متقدم",IF($N658&lt;=المرجع!$K$2,"أولي","جزئي"))</f>
        <v>متقدم</v>
      </c>
    </row>
    <row r="659" spans="1:18">
      <c r="A659" s="16" t="s">
        <v>2099</v>
      </c>
      <c r="B659" s="16" t="s">
        <v>224</v>
      </c>
      <c r="C659" s="15" t="str">
        <f>IFERROR(INDEX('قائمة الوحدات'!$B$2:$B$41,MATCH($B659,'قائمة الوحدات'!$A$2:$A$41,0)),"")</f>
        <v>MIL</v>
      </c>
      <c r="D659" s="14" t="str">
        <f>IFERROR(INDEX('قائمة الوحدات'!$C$2:$C$41,MATCH($B659,'قائمة الوحدات'!$A$2:$A$41,0)),"")</f>
        <v>الجهاز العسكري</v>
      </c>
      <c r="E659" s="14" t="str">
        <f>IFERROR(INDEX('قائمة الوحدات'!$D$2:$D$41,MATCH($B659,'قائمة الوحدات'!$A$2:$A$41,0)),"")</f>
        <v>الإدارة العامة للأمن العسكري</v>
      </c>
      <c r="F659" s="14" t="str">
        <f>IFERROR(INDEX('قائمة الوحدات'!$F$2:$F$41,MATCH($B659,'قائمة الوحدات'!$A$2:$A$41,0)),"")</f>
        <v>الإدارة العامة للأمن العسكري</v>
      </c>
      <c r="G659" s="16" t="s">
        <v>61</v>
      </c>
      <c r="H659" s="14" t="str">
        <f>IFERROR(INDEX(المرجع!$A$2:$A$19,MATCH($G659,المرجع!$B$2:$B$19,0)),"")</f>
        <v>البناء المؤسسي</v>
      </c>
      <c r="I659" s="16" t="s">
        <v>54</v>
      </c>
      <c r="J659" s="14" t="str">
        <f>IFERROR(INDEX(المرجع!$D$2:$D$19,MATCH($I659,المرجع!$E$2:$E$19,0)),"")</f>
        <v>التنظيم</v>
      </c>
      <c r="K659" s="15">
        <f>IFERROR(INDEX(المرجع!$F$2:$F$19,MATCH($I659,المرجع!$E$2:$E$19,0)),"")</f>
        <v>4</v>
      </c>
      <c r="L659" s="15">
        <f>SUMIFS(المرجع!$H$2:$H$19,المرجع!$B$2:$B$19,$G659,المرجع!$E$2:$E$19,$I659)</f>
        <v>3</v>
      </c>
      <c r="M659" s="15">
        <f>COUNTIFS('المرتبطة بسمو الوزير'!$B$2:$B$151,$B659,'المرتبطة بسمو الوزير'!$G$2:$G$151,$G659,'المرتبطة بسمو الوزير'!$I$2:$I$151,$I659,'المرتبطة بسمو الوزير'!$M$2:$M$151,"&lt;&gt;")+COUNTIFS('الشؤون التنفيذية'!$B$2:$B$421,$B659,'الشؤون التنفيذية'!$G$2:$G$421,$G659,'الشؤون التنفيذية'!$I$2:$I$421,$I659,'الشؤون التنفيذية'!$N$2:$N$421,"&lt;&gt;")+COUNTIFS('الجهاز العسكري'!$B$2:$B$631,$B659,'الجهاز العسكري'!$G$2:$G$631,$G659,'الجهاز العسكري'!$I$2:$I$631,$I659,'الجهاز العسكري'!$M$2:$M$631,"&lt;&gt;")</f>
        <v>3</v>
      </c>
      <c r="N659" s="19">
        <f>IF($L659=0,0,ROUND((SUMIFS('المرتبطة بسمو الوزير'!$M$2:$M$151,'المرتبطة بسمو الوزير'!$B$2:$B$151,$B659,'المرتبطة بسمو الوزير'!$G$2:$G$151,$G659,'المرتبطة بسمو الوزير'!$I$2:$I$151,$I659)+SUMIFS('الشؤون التنفيذية'!$N$2:$N$421,'الشؤون التنفيذية'!$B$2:$B$421,$B659,'الشؤون التنفيذية'!$G$2:$G$421,$G659,'الشؤون التنفيذية'!$I$2:$I$421,$I659)+SUMIFS('الجهاز العسكري'!$M$2:$M$631,'الجهاز العسكري'!$B$2:$B$631,$B659,'الجهاز العسكري'!$G$2:$G$631,$G659,'الجهاز العسكري'!$I$2:$I$631,$I659))/$L659,0))</f>
        <v>77</v>
      </c>
      <c r="O659" s="18"/>
      <c r="P659" s="15">
        <f>SUMIFS(المرجع!$G$2:$G$19,المرجع!$B$2:$B$19,$G659,المرجع!$E$2:$E$19,$I659)</f>
        <v>20</v>
      </c>
      <c r="Q659" s="20">
        <f t="shared" si="11"/>
        <v>15.4</v>
      </c>
      <c r="R659" s="21" t="str">
        <f>IF($N659&gt;المرجع!$K$3,"متقدم",IF($N659&lt;=المرجع!$K$2,"أولي","جزئي"))</f>
        <v>متقدم</v>
      </c>
    </row>
    <row r="660" spans="1:18">
      <c r="A660" s="16" t="s">
        <v>2100</v>
      </c>
      <c r="B660" s="16" t="s">
        <v>224</v>
      </c>
      <c r="C660" s="15" t="str">
        <f>IFERROR(INDEX('قائمة الوحدات'!$B$2:$B$41,MATCH($B660,'قائمة الوحدات'!$A$2:$A$41,0)),"")</f>
        <v>MIL</v>
      </c>
      <c r="D660" s="14" t="str">
        <f>IFERROR(INDEX('قائمة الوحدات'!$C$2:$C$41,MATCH($B660,'قائمة الوحدات'!$A$2:$A$41,0)),"")</f>
        <v>الجهاز العسكري</v>
      </c>
      <c r="E660" s="14" t="str">
        <f>IFERROR(INDEX('قائمة الوحدات'!$D$2:$D$41,MATCH($B660,'قائمة الوحدات'!$A$2:$A$41,0)),"")</f>
        <v>الإدارة العامة للأمن العسكري</v>
      </c>
      <c r="F660" s="14" t="str">
        <f>IFERROR(INDEX('قائمة الوحدات'!$F$2:$F$41,MATCH($B660,'قائمة الوحدات'!$A$2:$A$41,0)),"")</f>
        <v>الإدارة العامة للأمن العسكري</v>
      </c>
      <c r="G660" s="16" t="s">
        <v>61</v>
      </c>
      <c r="H660" s="14" t="str">
        <f>IFERROR(INDEX(المرجع!$A$2:$A$19,MATCH($G660,المرجع!$B$2:$B$19,0)),"")</f>
        <v>البناء المؤسسي</v>
      </c>
      <c r="I660" s="16" t="s">
        <v>56</v>
      </c>
      <c r="J660" s="14" t="str">
        <f>IFERROR(INDEX(المرجع!$D$2:$D$19,MATCH($I660,المرجع!$E$2:$E$19,0)),"")</f>
        <v>الموارد</v>
      </c>
      <c r="K660" s="15">
        <f>IFERROR(INDEX(المرجع!$F$2:$F$19,MATCH($I660,المرجع!$E$2:$E$19,0)),"")</f>
        <v>5</v>
      </c>
      <c r="L660" s="15">
        <f>SUMIFS(المرجع!$H$2:$H$19,المرجع!$B$2:$B$19,$G660,المرجع!$E$2:$E$19,$I660)</f>
        <v>4</v>
      </c>
      <c r="M660" s="15">
        <f>COUNTIFS('المرتبطة بسمو الوزير'!$B$2:$B$151,$B660,'المرتبطة بسمو الوزير'!$G$2:$G$151,$G660,'المرتبطة بسمو الوزير'!$I$2:$I$151,$I660,'المرتبطة بسمو الوزير'!$M$2:$M$151,"&lt;&gt;")+COUNTIFS('الشؤون التنفيذية'!$B$2:$B$421,$B660,'الشؤون التنفيذية'!$G$2:$G$421,$G660,'الشؤون التنفيذية'!$I$2:$I$421,$I660,'الشؤون التنفيذية'!$N$2:$N$421,"&lt;&gt;")+COUNTIFS('الجهاز العسكري'!$B$2:$B$631,$B660,'الجهاز العسكري'!$G$2:$G$631,$G660,'الجهاز العسكري'!$I$2:$I$631,$I660,'الجهاز العسكري'!$M$2:$M$631,"&lt;&gt;")</f>
        <v>4</v>
      </c>
      <c r="N660" s="19">
        <f>IF($L660=0,0,ROUND((SUMIFS('المرتبطة بسمو الوزير'!$M$2:$M$151,'المرتبطة بسمو الوزير'!$B$2:$B$151,$B660,'المرتبطة بسمو الوزير'!$G$2:$G$151,$G660,'المرتبطة بسمو الوزير'!$I$2:$I$151,$I660)+SUMIFS('الشؤون التنفيذية'!$N$2:$N$421,'الشؤون التنفيذية'!$B$2:$B$421,$B660,'الشؤون التنفيذية'!$G$2:$G$421,$G660,'الشؤون التنفيذية'!$I$2:$I$421,$I660)+SUMIFS('الجهاز العسكري'!$M$2:$M$631,'الجهاز العسكري'!$B$2:$B$631,$B660,'الجهاز العسكري'!$G$2:$G$631,$G660,'الجهاز العسكري'!$I$2:$I$631,$I660))/$L660,0))</f>
        <v>63</v>
      </c>
      <c r="O660" s="18"/>
      <c r="P660" s="15">
        <f>SUMIFS(المرجع!$G$2:$G$19,المرجع!$B$2:$B$19,$G660,المرجع!$E$2:$E$19,$I660)</f>
        <v>25</v>
      </c>
      <c r="Q660" s="20">
        <f t="shared" si="11"/>
        <v>15.75</v>
      </c>
      <c r="R660" s="21" t="str">
        <f>IF($N660&gt;المرجع!$K$3,"متقدم",IF($N660&lt;=المرجع!$K$2,"أولي","جزئي"))</f>
        <v>جزئي</v>
      </c>
    </row>
    <row r="661" spans="1:18">
      <c r="A661" s="16" t="s">
        <v>2101</v>
      </c>
      <c r="B661" s="16" t="s">
        <v>224</v>
      </c>
      <c r="C661" s="15" t="str">
        <f>IFERROR(INDEX('قائمة الوحدات'!$B$2:$B$41,MATCH($B661,'قائمة الوحدات'!$A$2:$A$41,0)),"")</f>
        <v>MIL</v>
      </c>
      <c r="D661" s="14" t="str">
        <f>IFERROR(INDEX('قائمة الوحدات'!$C$2:$C$41,MATCH($B661,'قائمة الوحدات'!$A$2:$A$41,0)),"")</f>
        <v>الجهاز العسكري</v>
      </c>
      <c r="E661" s="14" t="str">
        <f>IFERROR(INDEX('قائمة الوحدات'!$D$2:$D$41,MATCH($B661,'قائمة الوحدات'!$A$2:$A$41,0)),"")</f>
        <v>الإدارة العامة للأمن العسكري</v>
      </c>
      <c r="F661" s="14" t="str">
        <f>IFERROR(INDEX('قائمة الوحدات'!$F$2:$F$41,MATCH($B661,'قائمة الوحدات'!$A$2:$A$41,0)),"")</f>
        <v>الإدارة العامة للأمن العسكري</v>
      </c>
      <c r="G661" s="16" t="s">
        <v>61</v>
      </c>
      <c r="H661" s="14" t="str">
        <f>IFERROR(INDEX(المرجع!$A$2:$A$19,MATCH($G661,المرجع!$B$2:$B$19,0)),"")</f>
        <v>البناء المؤسسي</v>
      </c>
      <c r="I661" s="16" t="s">
        <v>59</v>
      </c>
      <c r="J661" s="14" t="str">
        <f>IFERROR(INDEX(المرجع!$D$2:$D$19,MATCH($I661,المرجع!$E$2:$E$19,0)),"")</f>
        <v>الإجراءات</v>
      </c>
      <c r="K661" s="15">
        <f>IFERROR(INDEX(المرجع!$F$2:$F$19,MATCH($I661,المرجع!$E$2:$E$19,0)),"")</f>
        <v>6</v>
      </c>
      <c r="L661" s="15">
        <f>SUMIFS(المرجع!$H$2:$H$19,المرجع!$B$2:$B$19,$G661,المرجع!$E$2:$E$19,$I661)</f>
        <v>1</v>
      </c>
      <c r="M661" s="15">
        <f>COUNTIFS('المرتبطة بسمو الوزير'!$B$2:$B$151,$B661,'المرتبطة بسمو الوزير'!$G$2:$G$151,$G661,'المرتبطة بسمو الوزير'!$I$2:$I$151,$I661,'المرتبطة بسمو الوزير'!$M$2:$M$151,"&lt;&gt;")+COUNTIFS('الشؤون التنفيذية'!$B$2:$B$421,$B661,'الشؤون التنفيذية'!$G$2:$G$421,$G661,'الشؤون التنفيذية'!$I$2:$I$421,$I661,'الشؤون التنفيذية'!$N$2:$N$421,"&lt;&gt;")+COUNTIFS('الجهاز العسكري'!$B$2:$B$631,$B661,'الجهاز العسكري'!$G$2:$G$631,$G661,'الجهاز العسكري'!$I$2:$I$631,$I661,'الجهاز العسكري'!$M$2:$M$631,"&lt;&gt;")</f>
        <v>1</v>
      </c>
      <c r="N661" s="19">
        <f>IF($L661=0,0,ROUND((SUMIFS('المرتبطة بسمو الوزير'!$M$2:$M$151,'المرتبطة بسمو الوزير'!$B$2:$B$151,$B661,'المرتبطة بسمو الوزير'!$G$2:$G$151,$G661,'المرتبطة بسمو الوزير'!$I$2:$I$151,$I661)+SUMIFS('الشؤون التنفيذية'!$N$2:$N$421,'الشؤون التنفيذية'!$B$2:$B$421,$B661,'الشؤون التنفيذية'!$G$2:$G$421,$G661,'الشؤون التنفيذية'!$I$2:$I$421,$I661)+SUMIFS('الجهاز العسكري'!$M$2:$M$631,'الجهاز العسكري'!$B$2:$B$631,$B661,'الجهاز العسكري'!$G$2:$G$631,$G661,'الجهاز العسكري'!$I$2:$I$631,$I661))/$L661,0))</f>
        <v>81</v>
      </c>
      <c r="O661" s="18"/>
      <c r="P661" s="15">
        <f>SUMIFS(المرجع!$G$2:$G$19,المرجع!$B$2:$B$19,$G661,المرجع!$E$2:$E$19,$I661)</f>
        <v>5</v>
      </c>
      <c r="Q661" s="20">
        <f t="shared" si="11"/>
        <v>4.05</v>
      </c>
      <c r="R661" s="21" t="str">
        <f>IF($N661&gt;المرجع!$K$3,"متقدم",IF($N661&lt;=المرجع!$K$2,"أولي","جزئي"))</f>
        <v>متقدم</v>
      </c>
    </row>
    <row r="662" spans="1:18">
      <c r="A662" s="16" t="s">
        <v>2102</v>
      </c>
      <c r="B662" s="16" t="s">
        <v>224</v>
      </c>
      <c r="C662" s="15" t="str">
        <f>IFERROR(INDEX('قائمة الوحدات'!$B$2:$B$41,MATCH($B662,'قائمة الوحدات'!$A$2:$A$41,0)),"")</f>
        <v>MIL</v>
      </c>
      <c r="D662" s="14" t="str">
        <f>IFERROR(INDEX('قائمة الوحدات'!$C$2:$C$41,MATCH($B662,'قائمة الوحدات'!$A$2:$A$41,0)),"")</f>
        <v>الجهاز العسكري</v>
      </c>
      <c r="E662" s="14" t="str">
        <f>IFERROR(INDEX('قائمة الوحدات'!$D$2:$D$41,MATCH($B662,'قائمة الوحدات'!$A$2:$A$41,0)),"")</f>
        <v>الإدارة العامة للأمن العسكري</v>
      </c>
      <c r="F662" s="14" t="str">
        <f>IFERROR(INDEX('قائمة الوحدات'!$F$2:$F$41,MATCH($B662,'قائمة الوحدات'!$A$2:$A$41,0)),"")</f>
        <v>الإدارة العامة للأمن العسكري</v>
      </c>
      <c r="G662" s="16" t="s">
        <v>61</v>
      </c>
      <c r="H662" s="14" t="str">
        <f>IFERROR(INDEX(المرجع!$A$2:$A$19,MATCH($G662,المرجع!$B$2:$B$19,0)),"")</f>
        <v>البناء المؤسسي</v>
      </c>
      <c r="I662" s="16" t="s">
        <v>63</v>
      </c>
      <c r="J662" s="14" t="str">
        <f>IFERROR(INDEX(المرجع!$D$2:$D$19,MATCH($I662,المرجع!$E$2:$E$19,0)),"")</f>
        <v>إنتاج المخرج الأول</v>
      </c>
      <c r="K662" s="15">
        <f>IFERROR(INDEX(المرجع!$F$2:$F$19,MATCH($I662,المرجع!$E$2:$E$19,0)),"")</f>
        <v>7</v>
      </c>
      <c r="L662" s="15">
        <f>SUMIFS(المرجع!$H$2:$H$19,المرجع!$B$2:$B$19,$G662,المرجع!$E$2:$E$19,$I662)</f>
        <v>1</v>
      </c>
      <c r="M662" s="15">
        <f>COUNTIFS('المرتبطة بسمو الوزير'!$B$2:$B$151,$B662,'المرتبطة بسمو الوزير'!$G$2:$G$151,$G662,'المرتبطة بسمو الوزير'!$I$2:$I$151,$I662,'المرتبطة بسمو الوزير'!$M$2:$M$151,"&lt;&gt;")+COUNTIFS('الشؤون التنفيذية'!$B$2:$B$421,$B662,'الشؤون التنفيذية'!$G$2:$G$421,$G662,'الشؤون التنفيذية'!$I$2:$I$421,$I662,'الشؤون التنفيذية'!$N$2:$N$421,"&lt;&gt;")+COUNTIFS('الجهاز العسكري'!$B$2:$B$631,$B662,'الجهاز العسكري'!$G$2:$G$631,$G662,'الجهاز العسكري'!$I$2:$I$631,$I662,'الجهاز العسكري'!$M$2:$M$631,"&lt;&gt;")</f>
        <v>1</v>
      </c>
      <c r="N662" s="19">
        <f>IF($L662=0,0,ROUND((SUMIFS('المرتبطة بسمو الوزير'!$M$2:$M$151,'المرتبطة بسمو الوزير'!$B$2:$B$151,$B662,'المرتبطة بسمو الوزير'!$G$2:$G$151,$G662,'المرتبطة بسمو الوزير'!$I$2:$I$151,$I662)+SUMIFS('الشؤون التنفيذية'!$N$2:$N$421,'الشؤون التنفيذية'!$B$2:$B$421,$B662,'الشؤون التنفيذية'!$G$2:$G$421,$G662,'الشؤون التنفيذية'!$I$2:$I$421,$I662)+SUMIFS('الجهاز العسكري'!$M$2:$M$631,'الجهاز العسكري'!$B$2:$B$631,$B662,'الجهاز العسكري'!$G$2:$G$631,$G662,'الجهاز العسكري'!$I$2:$I$631,$I662))/$L662,0))</f>
        <v>61</v>
      </c>
      <c r="O662" s="18"/>
      <c r="P662" s="15">
        <f>SUMIFS(المرجع!$G$2:$G$19,المرجع!$B$2:$B$19,$G662,المرجع!$E$2:$E$19,$I662)</f>
        <v>5</v>
      </c>
      <c r="Q662" s="20">
        <f t="shared" si="11"/>
        <v>3.05</v>
      </c>
      <c r="R662" s="21" t="str">
        <f>IF($N662&gt;المرجع!$K$3,"متقدم",IF($N662&lt;=المرجع!$K$2,"أولي","جزئي"))</f>
        <v>جزئي</v>
      </c>
    </row>
    <row r="663" spans="1:18">
      <c r="A663" s="16" t="s">
        <v>2103</v>
      </c>
      <c r="B663" s="16" t="s">
        <v>224</v>
      </c>
      <c r="C663" s="15" t="str">
        <f>IFERROR(INDEX('قائمة الوحدات'!$B$2:$B$41,MATCH($B663,'قائمة الوحدات'!$A$2:$A$41,0)),"")</f>
        <v>MIL</v>
      </c>
      <c r="D663" s="14" t="str">
        <f>IFERROR(INDEX('قائمة الوحدات'!$C$2:$C$41,MATCH($B663,'قائمة الوحدات'!$A$2:$A$41,0)),"")</f>
        <v>الجهاز العسكري</v>
      </c>
      <c r="E663" s="14" t="str">
        <f>IFERROR(INDEX('قائمة الوحدات'!$D$2:$D$41,MATCH($B663,'قائمة الوحدات'!$A$2:$A$41,0)),"")</f>
        <v>الإدارة العامة للأمن العسكري</v>
      </c>
      <c r="F663" s="14" t="str">
        <f>IFERROR(INDEX('قائمة الوحدات'!$F$2:$F$41,MATCH($B663,'قائمة الوحدات'!$A$2:$A$41,0)),"")</f>
        <v>الإدارة العامة للأمن العسكري</v>
      </c>
      <c r="G663" s="16" t="s">
        <v>65</v>
      </c>
      <c r="H663" s="14" t="str">
        <f>IFERROR(INDEX(المرجع!$A$2:$A$19,MATCH($G663,المرجع!$B$2:$B$19,0)),"")</f>
        <v>التشغيل</v>
      </c>
      <c r="I663" s="16" t="s">
        <v>48</v>
      </c>
      <c r="J663" s="14" t="str">
        <f>IFERROR(INDEX(المرجع!$D$2:$D$19,MATCH($I663,المرجع!$E$2:$E$19,0)),"")</f>
        <v>الأهداف ومؤشرات الأداء</v>
      </c>
      <c r="K663" s="15">
        <f>IFERROR(INDEX(المرجع!$F$2:$F$19,MATCH($I663,المرجع!$E$2:$E$19,0)),"")</f>
        <v>2</v>
      </c>
      <c r="L663" s="15">
        <f>SUMIFS(المرجع!$H$2:$H$19,المرجع!$B$2:$B$19,$G663,المرجع!$E$2:$E$19,$I663)</f>
        <v>2</v>
      </c>
      <c r="M663" s="15">
        <f>COUNTIFS('المرتبطة بسمو الوزير'!$B$2:$B$151,$B663,'المرتبطة بسمو الوزير'!$G$2:$G$151,$G663,'المرتبطة بسمو الوزير'!$I$2:$I$151,$I663,'المرتبطة بسمو الوزير'!$M$2:$M$151,"&lt;&gt;")+COUNTIFS('الشؤون التنفيذية'!$B$2:$B$421,$B663,'الشؤون التنفيذية'!$G$2:$G$421,$G663,'الشؤون التنفيذية'!$I$2:$I$421,$I663,'الشؤون التنفيذية'!$N$2:$N$421,"&lt;&gt;")+COUNTIFS('الجهاز العسكري'!$B$2:$B$631,$B663,'الجهاز العسكري'!$G$2:$G$631,$G663,'الجهاز العسكري'!$I$2:$I$631,$I663,'الجهاز العسكري'!$M$2:$M$631,"&lt;&gt;")</f>
        <v>2</v>
      </c>
      <c r="N663" s="19">
        <f>IF($L663=0,0,ROUND((SUMIFS('المرتبطة بسمو الوزير'!$M$2:$M$151,'المرتبطة بسمو الوزير'!$B$2:$B$151,$B663,'المرتبطة بسمو الوزير'!$G$2:$G$151,$G663,'المرتبطة بسمو الوزير'!$I$2:$I$151,$I663)+SUMIFS('الشؤون التنفيذية'!$N$2:$N$421,'الشؤون التنفيذية'!$B$2:$B$421,$B663,'الشؤون التنفيذية'!$G$2:$G$421,$G663,'الشؤون التنفيذية'!$I$2:$I$421,$I663)+SUMIFS('الجهاز العسكري'!$M$2:$M$631,'الجهاز العسكري'!$B$2:$B$631,$B663,'الجهاز العسكري'!$G$2:$G$631,$G663,'الجهاز العسكري'!$I$2:$I$631,$I663))/$L663,0))</f>
        <v>55</v>
      </c>
      <c r="O663" s="18"/>
      <c r="P663" s="15">
        <f>SUMIFS(المرجع!$G$2:$G$19,المرجع!$B$2:$B$19,$G663,المرجع!$E$2:$E$19,$I663)</f>
        <v>25</v>
      </c>
      <c r="Q663" s="20">
        <f t="shared" si="11"/>
        <v>13.75</v>
      </c>
      <c r="R663" s="21" t="str">
        <f>IF($N663&gt;المرجع!$K$3,"متقدم",IF($N663&lt;=المرجع!$K$2,"أولي","جزئي"))</f>
        <v>جزئي</v>
      </c>
    </row>
    <row r="664" spans="1:18">
      <c r="A664" s="16" t="s">
        <v>2104</v>
      </c>
      <c r="B664" s="16" t="s">
        <v>224</v>
      </c>
      <c r="C664" s="15" t="str">
        <f>IFERROR(INDEX('قائمة الوحدات'!$B$2:$B$41,MATCH($B664,'قائمة الوحدات'!$A$2:$A$41,0)),"")</f>
        <v>MIL</v>
      </c>
      <c r="D664" s="14" t="str">
        <f>IFERROR(INDEX('قائمة الوحدات'!$C$2:$C$41,MATCH($B664,'قائمة الوحدات'!$A$2:$A$41,0)),"")</f>
        <v>الجهاز العسكري</v>
      </c>
      <c r="E664" s="14" t="str">
        <f>IFERROR(INDEX('قائمة الوحدات'!$D$2:$D$41,MATCH($B664,'قائمة الوحدات'!$A$2:$A$41,0)),"")</f>
        <v>الإدارة العامة للأمن العسكري</v>
      </c>
      <c r="F664" s="14" t="str">
        <f>IFERROR(INDEX('قائمة الوحدات'!$F$2:$F$41,MATCH($B664,'قائمة الوحدات'!$A$2:$A$41,0)),"")</f>
        <v>الإدارة العامة للأمن العسكري</v>
      </c>
      <c r="G664" s="16" t="s">
        <v>65</v>
      </c>
      <c r="H664" s="14" t="str">
        <f>IFERROR(INDEX(المرجع!$A$2:$A$19,MATCH($G664,المرجع!$B$2:$B$19,0)),"")</f>
        <v>التشغيل</v>
      </c>
      <c r="I664" s="16" t="s">
        <v>51</v>
      </c>
      <c r="J664" s="14" t="str">
        <f>IFERROR(INDEX(المرجع!$D$2:$D$19,MATCH($I664,المرجع!$E$2:$E$19,0)),"")</f>
        <v>الحوكمة</v>
      </c>
      <c r="K664" s="15">
        <f>IFERROR(INDEX(المرجع!$F$2:$F$19,MATCH($I664,المرجع!$E$2:$E$19,0)),"")</f>
        <v>3</v>
      </c>
      <c r="L664" s="15">
        <f>SUMIFS(المرجع!$H$2:$H$19,المرجع!$B$2:$B$19,$G664,المرجع!$E$2:$E$19,$I664)</f>
        <v>3</v>
      </c>
      <c r="M664" s="15">
        <f>COUNTIFS('المرتبطة بسمو الوزير'!$B$2:$B$151,$B664,'المرتبطة بسمو الوزير'!$G$2:$G$151,$G664,'المرتبطة بسمو الوزير'!$I$2:$I$151,$I664,'المرتبطة بسمو الوزير'!$M$2:$M$151,"&lt;&gt;")+COUNTIFS('الشؤون التنفيذية'!$B$2:$B$421,$B664,'الشؤون التنفيذية'!$G$2:$G$421,$G664,'الشؤون التنفيذية'!$I$2:$I$421,$I664,'الشؤون التنفيذية'!$N$2:$N$421,"&lt;&gt;")+COUNTIFS('الجهاز العسكري'!$B$2:$B$631,$B664,'الجهاز العسكري'!$G$2:$G$631,$G664,'الجهاز العسكري'!$I$2:$I$631,$I664,'الجهاز العسكري'!$M$2:$M$631,"&lt;&gt;")</f>
        <v>3</v>
      </c>
      <c r="N664" s="19">
        <f>IF($L664=0,0,ROUND((SUMIFS('المرتبطة بسمو الوزير'!$M$2:$M$151,'المرتبطة بسمو الوزير'!$B$2:$B$151,$B664,'المرتبطة بسمو الوزير'!$G$2:$G$151,$G664,'المرتبطة بسمو الوزير'!$I$2:$I$151,$I664)+SUMIFS('الشؤون التنفيذية'!$N$2:$N$421,'الشؤون التنفيذية'!$B$2:$B$421,$B664,'الشؤون التنفيذية'!$G$2:$G$421,$G664,'الشؤون التنفيذية'!$I$2:$I$421,$I664)+SUMIFS('الجهاز العسكري'!$M$2:$M$631,'الجهاز العسكري'!$B$2:$B$631,$B664,'الجهاز العسكري'!$G$2:$G$631,$G664,'الجهاز العسكري'!$I$2:$I$631,$I664))/$L664,0))</f>
        <v>30</v>
      </c>
      <c r="O664" s="18"/>
      <c r="P664" s="15">
        <f>SUMIFS(المرجع!$G$2:$G$19,المرجع!$B$2:$B$19,$G664,المرجع!$E$2:$E$19,$I664)</f>
        <v>15</v>
      </c>
      <c r="Q664" s="20">
        <f t="shared" si="11"/>
        <v>4.5</v>
      </c>
      <c r="R664" s="21" t="str">
        <f>IF($N664&gt;المرجع!$K$3,"متقدم",IF($N664&lt;=المرجع!$K$2,"أولي","جزئي"))</f>
        <v>أولي</v>
      </c>
    </row>
    <row r="665" spans="1:18">
      <c r="A665" s="16" t="s">
        <v>2105</v>
      </c>
      <c r="B665" s="16" t="s">
        <v>224</v>
      </c>
      <c r="C665" s="15" t="str">
        <f>IFERROR(INDEX('قائمة الوحدات'!$B$2:$B$41,MATCH($B665,'قائمة الوحدات'!$A$2:$A$41,0)),"")</f>
        <v>MIL</v>
      </c>
      <c r="D665" s="14" t="str">
        <f>IFERROR(INDEX('قائمة الوحدات'!$C$2:$C$41,MATCH($B665,'قائمة الوحدات'!$A$2:$A$41,0)),"")</f>
        <v>الجهاز العسكري</v>
      </c>
      <c r="E665" s="14" t="str">
        <f>IFERROR(INDEX('قائمة الوحدات'!$D$2:$D$41,MATCH($B665,'قائمة الوحدات'!$A$2:$A$41,0)),"")</f>
        <v>الإدارة العامة للأمن العسكري</v>
      </c>
      <c r="F665" s="14" t="str">
        <f>IFERROR(INDEX('قائمة الوحدات'!$F$2:$F$41,MATCH($B665,'قائمة الوحدات'!$A$2:$A$41,0)),"")</f>
        <v>الإدارة العامة للأمن العسكري</v>
      </c>
      <c r="G665" s="16" t="s">
        <v>65</v>
      </c>
      <c r="H665" s="14" t="str">
        <f>IFERROR(INDEX(المرجع!$A$2:$A$19,MATCH($G665,المرجع!$B$2:$B$19,0)),"")</f>
        <v>التشغيل</v>
      </c>
      <c r="I665" s="16" t="s">
        <v>56</v>
      </c>
      <c r="J665" s="14" t="str">
        <f>IFERROR(INDEX(المرجع!$D$2:$D$19,MATCH($I665,المرجع!$E$2:$E$19,0)),"")</f>
        <v>الموارد</v>
      </c>
      <c r="K665" s="15">
        <f>IFERROR(INDEX(المرجع!$F$2:$F$19,MATCH($I665,المرجع!$E$2:$E$19,0)),"")</f>
        <v>5</v>
      </c>
      <c r="L665" s="15">
        <f>SUMIFS(المرجع!$H$2:$H$19,المرجع!$B$2:$B$19,$G665,المرجع!$E$2:$E$19,$I665)</f>
        <v>1</v>
      </c>
      <c r="M665" s="15">
        <f>COUNTIFS('المرتبطة بسمو الوزير'!$B$2:$B$151,$B665,'المرتبطة بسمو الوزير'!$G$2:$G$151,$G665,'المرتبطة بسمو الوزير'!$I$2:$I$151,$I665,'المرتبطة بسمو الوزير'!$M$2:$M$151,"&lt;&gt;")+COUNTIFS('الشؤون التنفيذية'!$B$2:$B$421,$B665,'الشؤون التنفيذية'!$G$2:$G$421,$G665,'الشؤون التنفيذية'!$I$2:$I$421,$I665,'الشؤون التنفيذية'!$N$2:$N$421,"&lt;&gt;")+COUNTIFS('الجهاز العسكري'!$B$2:$B$631,$B665,'الجهاز العسكري'!$G$2:$G$631,$G665,'الجهاز العسكري'!$I$2:$I$631,$I665,'الجهاز العسكري'!$M$2:$M$631,"&lt;&gt;")</f>
        <v>1</v>
      </c>
      <c r="N665" s="19">
        <f>IF($L665=0,0,ROUND((SUMIFS('المرتبطة بسمو الوزير'!$M$2:$M$151,'المرتبطة بسمو الوزير'!$B$2:$B$151,$B665,'المرتبطة بسمو الوزير'!$G$2:$G$151,$G665,'المرتبطة بسمو الوزير'!$I$2:$I$151,$I665)+SUMIFS('الشؤون التنفيذية'!$N$2:$N$421,'الشؤون التنفيذية'!$B$2:$B$421,$B665,'الشؤون التنفيذية'!$G$2:$G$421,$G665,'الشؤون التنفيذية'!$I$2:$I$421,$I665)+SUMIFS('الجهاز العسكري'!$M$2:$M$631,'الجهاز العسكري'!$B$2:$B$631,$B665,'الجهاز العسكري'!$G$2:$G$631,$G665,'الجهاز العسكري'!$I$2:$I$631,$I665))/$L665,0))</f>
        <v>34</v>
      </c>
      <c r="O665" s="18"/>
      <c r="P665" s="15">
        <f>SUMIFS(المرجع!$G$2:$G$19,المرجع!$B$2:$B$19,$G665,المرجع!$E$2:$E$19,$I665)</f>
        <v>15</v>
      </c>
      <c r="Q665" s="20">
        <f t="shared" si="11"/>
        <v>5.0999999999999996</v>
      </c>
      <c r="R665" s="21" t="str">
        <f>IF($N665&gt;المرجع!$K$3,"متقدم",IF($N665&lt;=المرجع!$K$2,"أولي","جزئي"))</f>
        <v>جزئي</v>
      </c>
    </row>
    <row r="666" spans="1:18">
      <c r="A666" s="16" t="s">
        <v>2106</v>
      </c>
      <c r="B666" s="16" t="s">
        <v>224</v>
      </c>
      <c r="C666" s="15" t="str">
        <f>IFERROR(INDEX('قائمة الوحدات'!$B$2:$B$41,MATCH($B666,'قائمة الوحدات'!$A$2:$A$41,0)),"")</f>
        <v>MIL</v>
      </c>
      <c r="D666" s="14" t="str">
        <f>IFERROR(INDEX('قائمة الوحدات'!$C$2:$C$41,MATCH($B666,'قائمة الوحدات'!$A$2:$A$41,0)),"")</f>
        <v>الجهاز العسكري</v>
      </c>
      <c r="E666" s="14" t="str">
        <f>IFERROR(INDEX('قائمة الوحدات'!$D$2:$D$41,MATCH($B666,'قائمة الوحدات'!$A$2:$A$41,0)),"")</f>
        <v>الإدارة العامة للأمن العسكري</v>
      </c>
      <c r="F666" s="14" t="str">
        <f>IFERROR(INDEX('قائمة الوحدات'!$F$2:$F$41,MATCH($B666,'قائمة الوحدات'!$A$2:$A$41,0)),"")</f>
        <v>الإدارة العامة للأمن العسكري</v>
      </c>
      <c r="G666" s="16" t="s">
        <v>65</v>
      </c>
      <c r="H666" s="14" t="str">
        <f>IFERROR(INDEX(المرجع!$A$2:$A$19,MATCH($G666,المرجع!$B$2:$B$19,0)),"")</f>
        <v>التشغيل</v>
      </c>
      <c r="I666" s="16" t="s">
        <v>59</v>
      </c>
      <c r="J666" s="14" t="str">
        <f>IFERROR(INDEX(المرجع!$D$2:$D$19,MATCH($I666,المرجع!$E$2:$E$19,0)),"")</f>
        <v>الإجراءات</v>
      </c>
      <c r="K666" s="15">
        <f>IFERROR(INDEX(المرجع!$F$2:$F$19,MATCH($I666,المرجع!$E$2:$E$19,0)),"")</f>
        <v>6</v>
      </c>
      <c r="L666" s="15">
        <f>SUMIFS(المرجع!$H$2:$H$19,المرجع!$B$2:$B$19,$G666,المرجع!$E$2:$E$19,$I666)</f>
        <v>1</v>
      </c>
      <c r="M666" s="15">
        <f>COUNTIFS('المرتبطة بسمو الوزير'!$B$2:$B$151,$B666,'المرتبطة بسمو الوزير'!$G$2:$G$151,$G666,'المرتبطة بسمو الوزير'!$I$2:$I$151,$I666,'المرتبطة بسمو الوزير'!$M$2:$M$151,"&lt;&gt;")+COUNTIFS('الشؤون التنفيذية'!$B$2:$B$421,$B666,'الشؤون التنفيذية'!$G$2:$G$421,$G666,'الشؤون التنفيذية'!$I$2:$I$421,$I666,'الشؤون التنفيذية'!$N$2:$N$421,"&lt;&gt;")+COUNTIFS('الجهاز العسكري'!$B$2:$B$631,$B666,'الجهاز العسكري'!$G$2:$G$631,$G666,'الجهاز العسكري'!$I$2:$I$631,$I666,'الجهاز العسكري'!$M$2:$M$631,"&lt;&gt;")</f>
        <v>1</v>
      </c>
      <c r="N666" s="19">
        <f>IF($L666=0,0,ROUND((SUMIFS('المرتبطة بسمو الوزير'!$M$2:$M$151,'المرتبطة بسمو الوزير'!$B$2:$B$151,$B666,'المرتبطة بسمو الوزير'!$G$2:$G$151,$G666,'المرتبطة بسمو الوزير'!$I$2:$I$151,$I666)+SUMIFS('الشؤون التنفيذية'!$N$2:$N$421,'الشؤون التنفيذية'!$B$2:$B$421,$B666,'الشؤون التنفيذية'!$G$2:$G$421,$G666,'الشؤون التنفيذية'!$I$2:$I$421,$I666)+SUMIFS('الجهاز العسكري'!$M$2:$M$631,'الجهاز العسكري'!$B$2:$B$631,$B666,'الجهاز العسكري'!$G$2:$G$631,$G666,'الجهاز العسكري'!$I$2:$I$631,$I666))/$L666,0))</f>
        <v>36</v>
      </c>
      <c r="O666" s="18"/>
      <c r="P666" s="15">
        <f>SUMIFS(المرجع!$G$2:$G$19,المرجع!$B$2:$B$19,$G666,المرجع!$E$2:$E$19,$I666)</f>
        <v>15</v>
      </c>
      <c r="Q666" s="20">
        <f t="shared" si="11"/>
        <v>5.4</v>
      </c>
      <c r="R666" s="21" t="str">
        <f>IF($N666&gt;المرجع!$K$3,"متقدم",IF($N666&lt;=المرجع!$K$2,"أولي","جزئي"))</f>
        <v>جزئي</v>
      </c>
    </row>
    <row r="667" spans="1:18">
      <c r="A667" s="16" t="s">
        <v>2107</v>
      </c>
      <c r="B667" s="16" t="s">
        <v>224</v>
      </c>
      <c r="C667" s="15" t="str">
        <f>IFERROR(INDEX('قائمة الوحدات'!$B$2:$B$41,MATCH($B667,'قائمة الوحدات'!$A$2:$A$41,0)),"")</f>
        <v>MIL</v>
      </c>
      <c r="D667" s="14" t="str">
        <f>IFERROR(INDEX('قائمة الوحدات'!$C$2:$C$41,MATCH($B667,'قائمة الوحدات'!$A$2:$A$41,0)),"")</f>
        <v>الجهاز العسكري</v>
      </c>
      <c r="E667" s="14" t="str">
        <f>IFERROR(INDEX('قائمة الوحدات'!$D$2:$D$41,MATCH($B667,'قائمة الوحدات'!$A$2:$A$41,0)),"")</f>
        <v>الإدارة العامة للأمن العسكري</v>
      </c>
      <c r="F667" s="14" t="str">
        <f>IFERROR(INDEX('قائمة الوحدات'!$F$2:$F$41,MATCH($B667,'قائمة الوحدات'!$A$2:$A$41,0)),"")</f>
        <v>الإدارة العامة للأمن العسكري</v>
      </c>
      <c r="G667" s="16" t="s">
        <v>65</v>
      </c>
      <c r="H667" s="14" t="str">
        <f>IFERROR(INDEX(المرجع!$A$2:$A$19,MATCH($G667,المرجع!$B$2:$B$19,0)),"")</f>
        <v>التشغيل</v>
      </c>
      <c r="I667" s="16" t="s">
        <v>67</v>
      </c>
      <c r="J667" s="14" t="str">
        <f>IFERROR(INDEX(المرجع!$D$2:$D$19,MATCH($I667,المرجع!$E$2:$E$19,0)),"")</f>
        <v>اكتمال المخرجات المستهدفة</v>
      </c>
      <c r="K667" s="15">
        <f>IFERROR(INDEX(المرجع!$F$2:$F$19,MATCH($I667,المرجع!$E$2:$E$19,0)),"")</f>
        <v>8</v>
      </c>
      <c r="L667" s="15">
        <f>SUMIFS(المرجع!$H$2:$H$19,المرجع!$B$2:$B$19,$G667,المرجع!$E$2:$E$19,$I667)</f>
        <v>1</v>
      </c>
      <c r="M667" s="15">
        <f>COUNTIFS('المرتبطة بسمو الوزير'!$B$2:$B$151,$B667,'المرتبطة بسمو الوزير'!$G$2:$G$151,$G667,'المرتبطة بسمو الوزير'!$I$2:$I$151,$I667,'المرتبطة بسمو الوزير'!$M$2:$M$151,"&lt;&gt;")+COUNTIFS('الشؤون التنفيذية'!$B$2:$B$421,$B667,'الشؤون التنفيذية'!$G$2:$G$421,$G667,'الشؤون التنفيذية'!$I$2:$I$421,$I667,'الشؤون التنفيذية'!$N$2:$N$421,"&lt;&gt;")+COUNTIFS('الجهاز العسكري'!$B$2:$B$631,$B667,'الجهاز العسكري'!$G$2:$G$631,$G667,'الجهاز العسكري'!$I$2:$I$631,$I667,'الجهاز العسكري'!$M$2:$M$631,"&lt;&gt;")</f>
        <v>1</v>
      </c>
      <c r="N667" s="19">
        <f>IF($L667=0,0,ROUND((SUMIFS('المرتبطة بسمو الوزير'!$M$2:$M$151,'المرتبطة بسمو الوزير'!$B$2:$B$151,$B667,'المرتبطة بسمو الوزير'!$G$2:$G$151,$G667,'المرتبطة بسمو الوزير'!$I$2:$I$151,$I667)+SUMIFS('الشؤون التنفيذية'!$N$2:$N$421,'الشؤون التنفيذية'!$B$2:$B$421,$B667,'الشؤون التنفيذية'!$G$2:$G$421,$G667,'الشؤون التنفيذية'!$I$2:$I$421,$I667)+SUMIFS('الجهاز العسكري'!$M$2:$M$631,'الجهاز العسكري'!$B$2:$B$631,$B667,'الجهاز العسكري'!$G$2:$G$631,$G667,'الجهاز العسكري'!$I$2:$I$631,$I667))/$L667,0))</f>
        <v>23</v>
      </c>
      <c r="O667" s="18"/>
      <c r="P667" s="15">
        <f>SUMIFS(المرجع!$G$2:$G$19,المرجع!$B$2:$B$19,$G667,المرجع!$E$2:$E$19,$I667)</f>
        <v>30</v>
      </c>
      <c r="Q667" s="20">
        <f t="shared" si="11"/>
        <v>6.9</v>
      </c>
      <c r="R667" s="21" t="str">
        <f>IF($N667&gt;المرجع!$K$3,"متقدم",IF($N667&lt;=المرجع!$K$2,"أولي","جزئي"))</f>
        <v>أولي</v>
      </c>
    </row>
    <row r="668" spans="1:18">
      <c r="A668" s="16" t="s">
        <v>2108</v>
      </c>
      <c r="B668" s="16" t="s">
        <v>226</v>
      </c>
      <c r="C668" s="15" t="str">
        <f>IFERROR(INDEX('قائمة الوحدات'!$B$2:$B$41,MATCH($B668,'قائمة الوحدات'!$A$2:$A$41,0)),"")</f>
        <v>MIL</v>
      </c>
      <c r="D668" s="14" t="str">
        <f>IFERROR(INDEX('قائمة الوحدات'!$C$2:$C$41,MATCH($B668,'قائمة الوحدات'!$A$2:$A$41,0)),"")</f>
        <v>الجهاز العسكري</v>
      </c>
      <c r="E668" s="14" t="str">
        <f>IFERROR(INDEX('قائمة الوحدات'!$D$2:$D$41,MATCH($B668,'قائمة الوحدات'!$A$2:$A$41,0)),"")</f>
        <v>الإدارة العامة للمالية والميزانية العسكرية</v>
      </c>
      <c r="F668" s="14" t="str">
        <f>IFERROR(INDEX('قائمة الوحدات'!$F$2:$F$41,MATCH($B668,'قائمة الوحدات'!$A$2:$A$41,0)),"")</f>
        <v>الإدارة العامة للمالية والميزانية العسكرية</v>
      </c>
      <c r="G668" s="16" t="s">
        <v>43</v>
      </c>
      <c r="H668" s="14" t="str">
        <f>IFERROR(INDEX(المرجع!$A$2:$A$19,MATCH($G668,المرجع!$B$2:$B$19,0)),"")</f>
        <v>التصميم</v>
      </c>
      <c r="I668" s="16" t="s">
        <v>45</v>
      </c>
      <c r="J668" s="14" t="str">
        <f>IFERROR(INDEX(المرجع!$D$2:$D$19,MATCH($I668,المرجع!$E$2:$E$19,0)),"")</f>
        <v>الدور</v>
      </c>
      <c r="K668" s="15">
        <f>IFERROR(INDEX(المرجع!$F$2:$F$19,MATCH($I668,المرجع!$E$2:$E$19,0)),"")</f>
        <v>1</v>
      </c>
      <c r="L668" s="15">
        <f>SUMIFS(المرجع!$H$2:$H$19,المرجع!$B$2:$B$19,$G668,المرجع!$E$2:$E$19,$I668)</f>
        <v>1</v>
      </c>
      <c r="M668" s="15">
        <f>COUNTIFS('المرتبطة بسمو الوزير'!$B$2:$B$151,$B668,'المرتبطة بسمو الوزير'!$G$2:$G$151,$G668,'المرتبطة بسمو الوزير'!$I$2:$I$151,$I668,'المرتبطة بسمو الوزير'!$M$2:$M$151,"&lt;&gt;")+COUNTIFS('الشؤون التنفيذية'!$B$2:$B$421,$B668,'الشؤون التنفيذية'!$G$2:$G$421,$G668,'الشؤون التنفيذية'!$I$2:$I$421,$I668,'الشؤون التنفيذية'!$N$2:$N$421,"&lt;&gt;")+COUNTIFS('الجهاز العسكري'!$B$2:$B$631,$B668,'الجهاز العسكري'!$G$2:$G$631,$G668,'الجهاز العسكري'!$I$2:$I$631,$I668,'الجهاز العسكري'!$M$2:$M$631,"&lt;&gt;")</f>
        <v>1</v>
      </c>
      <c r="N668" s="19">
        <f>IF($L668=0,0,ROUND((SUMIFS('المرتبطة بسمو الوزير'!$M$2:$M$151,'المرتبطة بسمو الوزير'!$B$2:$B$151,$B668,'المرتبطة بسمو الوزير'!$G$2:$G$151,$G668,'المرتبطة بسمو الوزير'!$I$2:$I$151,$I668)+SUMIFS('الشؤون التنفيذية'!$N$2:$N$421,'الشؤون التنفيذية'!$B$2:$B$421,$B668,'الشؤون التنفيذية'!$G$2:$G$421,$G668,'الشؤون التنفيذية'!$I$2:$I$421,$I668)+SUMIFS('الجهاز العسكري'!$M$2:$M$631,'الجهاز العسكري'!$B$2:$B$631,$B668,'الجهاز العسكري'!$G$2:$G$631,$G668,'الجهاز العسكري'!$I$2:$I$631,$I668))/$L668,0))</f>
        <v>78</v>
      </c>
      <c r="O668" s="18"/>
      <c r="P668" s="15">
        <f>SUMIFS(المرجع!$G$2:$G$19,المرجع!$B$2:$B$19,$G668,المرجع!$E$2:$E$19,$I668)</f>
        <v>25</v>
      </c>
      <c r="Q668" s="20">
        <f t="shared" si="11"/>
        <v>19.5</v>
      </c>
      <c r="R668" s="21" t="str">
        <f>IF($N668&gt;المرجع!$K$3,"متقدم",IF($N668&lt;=المرجع!$K$2,"أولي","جزئي"))</f>
        <v>متقدم</v>
      </c>
    </row>
    <row r="669" spans="1:18">
      <c r="A669" s="16" t="s">
        <v>2109</v>
      </c>
      <c r="B669" s="16" t="s">
        <v>226</v>
      </c>
      <c r="C669" s="15" t="str">
        <f>IFERROR(INDEX('قائمة الوحدات'!$B$2:$B$41,MATCH($B669,'قائمة الوحدات'!$A$2:$A$41,0)),"")</f>
        <v>MIL</v>
      </c>
      <c r="D669" s="14" t="str">
        <f>IFERROR(INDEX('قائمة الوحدات'!$C$2:$C$41,MATCH($B669,'قائمة الوحدات'!$A$2:$A$41,0)),"")</f>
        <v>الجهاز العسكري</v>
      </c>
      <c r="E669" s="14" t="str">
        <f>IFERROR(INDEX('قائمة الوحدات'!$D$2:$D$41,MATCH($B669,'قائمة الوحدات'!$A$2:$A$41,0)),"")</f>
        <v>الإدارة العامة للمالية والميزانية العسكرية</v>
      </c>
      <c r="F669" s="14" t="str">
        <f>IFERROR(INDEX('قائمة الوحدات'!$F$2:$F$41,MATCH($B669,'قائمة الوحدات'!$A$2:$A$41,0)),"")</f>
        <v>الإدارة العامة للمالية والميزانية العسكرية</v>
      </c>
      <c r="G669" s="16" t="s">
        <v>43</v>
      </c>
      <c r="H669" s="14" t="str">
        <f>IFERROR(INDEX(المرجع!$A$2:$A$19,MATCH($G669,المرجع!$B$2:$B$19,0)),"")</f>
        <v>التصميم</v>
      </c>
      <c r="I669" s="16" t="s">
        <v>48</v>
      </c>
      <c r="J669" s="14" t="str">
        <f>IFERROR(INDEX(المرجع!$D$2:$D$19,MATCH($I669,المرجع!$E$2:$E$19,0)),"")</f>
        <v>الأهداف ومؤشرات الأداء</v>
      </c>
      <c r="K669" s="15">
        <f>IFERROR(INDEX(المرجع!$F$2:$F$19,MATCH($I669,المرجع!$E$2:$E$19,0)),"")</f>
        <v>2</v>
      </c>
      <c r="L669" s="15">
        <f>SUMIFS(المرجع!$H$2:$H$19,المرجع!$B$2:$B$19,$G669,المرجع!$E$2:$E$19,$I669)</f>
        <v>2</v>
      </c>
      <c r="M669" s="15">
        <f>COUNTIFS('المرتبطة بسمو الوزير'!$B$2:$B$151,$B669,'المرتبطة بسمو الوزير'!$G$2:$G$151,$G669,'المرتبطة بسمو الوزير'!$I$2:$I$151,$I669,'المرتبطة بسمو الوزير'!$M$2:$M$151,"&lt;&gt;")+COUNTIFS('الشؤون التنفيذية'!$B$2:$B$421,$B669,'الشؤون التنفيذية'!$G$2:$G$421,$G669,'الشؤون التنفيذية'!$I$2:$I$421,$I669,'الشؤون التنفيذية'!$N$2:$N$421,"&lt;&gt;")+COUNTIFS('الجهاز العسكري'!$B$2:$B$631,$B669,'الجهاز العسكري'!$G$2:$G$631,$G669,'الجهاز العسكري'!$I$2:$I$631,$I669,'الجهاز العسكري'!$M$2:$M$631,"&lt;&gt;")</f>
        <v>2</v>
      </c>
      <c r="N669" s="19">
        <f>IF($L669=0,0,ROUND((SUMIFS('المرتبطة بسمو الوزير'!$M$2:$M$151,'المرتبطة بسمو الوزير'!$B$2:$B$151,$B669,'المرتبطة بسمو الوزير'!$G$2:$G$151,$G669,'المرتبطة بسمو الوزير'!$I$2:$I$151,$I669)+SUMIFS('الشؤون التنفيذية'!$N$2:$N$421,'الشؤون التنفيذية'!$B$2:$B$421,$B669,'الشؤون التنفيذية'!$G$2:$G$421,$G669,'الشؤون التنفيذية'!$I$2:$I$421,$I669)+SUMIFS('الجهاز العسكري'!$M$2:$M$631,'الجهاز العسكري'!$B$2:$B$631,$B669,'الجهاز العسكري'!$G$2:$G$631,$G669,'الجهاز العسكري'!$I$2:$I$631,$I669))/$L669,0))</f>
        <v>80</v>
      </c>
      <c r="O669" s="18"/>
      <c r="P669" s="15">
        <f>SUMIFS(المرجع!$G$2:$G$19,المرجع!$B$2:$B$19,$G669,المرجع!$E$2:$E$19,$I669)</f>
        <v>15</v>
      </c>
      <c r="Q669" s="20">
        <f t="shared" si="11"/>
        <v>12</v>
      </c>
      <c r="R669" s="21" t="str">
        <f>IF($N669&gt;المرجع!$K$3,"متقدم",IF($N669&lt;=المرجع!$K$2,"أولي","جزئي"))</f>
        <v>متقدم</v>
      </c>
    </row>
    <row r="670" spans="1:18">
      <c r="A670" s="16" t="s">
        <v>2110</v>
      </c>
      <c r="B670" s="16" t="s">
        <v>226</v>
      </c>
      <c r="C670" s="15" t="str">
        <f>IFERROR(INDEX('قائمة الوحدات'!$B$2:$B$41,MATCH($B670,'قائمة الوحدات'!$A$2:$A$41,0)),"")</f>
        <v>MIL</v>
      </c>
      <c r="D670" s="14" t="str">
        <f>IFERROR(INDEX('قائمة الوحدات'!$C$2:$C$41,MATCH($B670,'قائمة الوحدات'!$A$2:$A$41,0)),"")</f>
        <v>الجهاز العسكري</v>
      </c>
      <c r="E670" s="14" t="str">
        <f>IFERROR(INDEX('قائمة الوحدات'!$D$2:$D$41,MATCH($B670,'قائمة الوحدات'!$A$2:$A$41,0)),"")</f>
        <v>الإدارة العامة للمالية والميزانية العسكرية</v>
      </c>
      <c r="F670" s="14" t="str">
        <f>IFERROR(INDEX('قائمة الوحدات'!$F$2:$F$41,MATCH($B670,'قائمة الوحدات'!$A$2:$A$41,0)),"")</f>
        <v>الإدارة العامة للمالية والميزانية العسكرية</v>
      </c>
      <c r="G670" s="16" t="s">
        <v>43</v>
      </c>
      <c r="H670" s="14" t="str">
        <f>IFERROR(INDEX(المرجع!$A$2:$A$19,MATCH($G670,المرجع!$B$2:$B$19,0)),"")</f>
        <v>التصميم</v>
      </c>
      <c r="I670" s="16" t="s">
        <v>51</v>
      </c>
      <c r="J670" s="14" t="str">
        <f>IFERROR(INDEX(المرجع!$D$2:$D$19,MATCH($I670,المرجع!$E$2:$E$19,0)),"")</f>
        <v>الحوكمة</v>
      </c>
      <c r="K670" s="15">
        <f>IFERROR(INDEX(المرجع!$F$2:$F$19,MATCH($I670,المرجع!$E$2:$E$19,0)),"")</f>
        <v>3</v>
      </c>
      <c r="L670" s="15">
        <f>SUMIFS(المرجع!$H$2:$H$19,المرجع!$B$2:$B$19,$G670,المرجع!$E$2:$E$19,$I670)</f>
        <v>1</v>
      </c>
      <c r="M670" s="15">
        <f>COUNTIFS('المرتبطة بسمو الوزير'!$B$2:$B$151,$B670,'المرتبطة بسمو الوزير'!$G$2:$G$151,$G670,'المرتبطة بسمو الوزير'!$I$2:$I$151,$I670,'المرتبطة بسمو الوزير'!$M$2:$M$151,"&lt;&gt;")+COUNTIFS('الشؤون التنفيذية'!$B$2:$B$421,$B670,'الشؤون التنفيذية'!$G$2:$G$421,$G670,'الشؤون التنفيذية'!$I$2:$I$421,$I670,'الشؤون التنفيذية'!$N$2:$N$421,"&lt;&gt;")+COUNTIFS('الجهاز العسكري'!$B$2:$B$631,$B670,'الجهاز العسكري'!$G$2:$G$631,$G670,'الجهاز العسكري'!$I$2:$I$631,$I670,'الجهاز العسكري'!$M$2:$M$631,"&lt;&gt;")</f>
        <v>1</v>
      </c>
      <c r="N670" s="19">
        <f>IF($L670=0,0,ROUND((SUMIFS('المرتبطة بسمو الوزير'!$M$2:$M$151,'المرتبطة بسمو الوزير'!$B$2:$B$151,$B670,'المرتبطة بسمو الوزير'!$G$2:$G$151,$G670,'المرتبطة بسمو الوزير'!$I$2:$I$151,$I670)+SUMIFS('الشؤون التنفيذية'!$N$2:$N$421,'الشؤون التنفيذية'!$B$2:$B$421,$B670,'الشؤون التنفيذية'!$G$2:$G$421,$G670,'الشؤون التنفيذية'!$I$2:$I$421,$I670)+SUMIFS('الجهاز العسكري'!$M$2:$M$631,'الجهاز العسكري'!$B$2:$B$631,$B670,'الجهاز العسكري'!$G$2:$G$631,$G670,'الجهاز العسكري'!$I$2:$I$631,$I670))/$L670,0))</f>
        <v>72</v>
      </c>
      <c r="O670" s="18"/>
      <c r="P670" s="15">
        <f>SUMIFS(المرجع!$G$2:$G$19,المرجع!$B$2:$B$19,$G670,المرجع!$E$2:$E$19,$I670)</f>
        <v>15</v>
      </c>
      <c r="Q670" s="20">
        <f t="shared" si="11"/>
        <v>10.8</v>
      </c>
      <c r="R670" s="21" t="str">
        <f>IF($N670&gt;المرجع!$K$3,"متقدم",IF($N670&lt;=المرجع!$K$2,"أولي","جزئي"))</f>
        <v>متقدم</v>
      </c>
    </row>
    <row r="671" spans="1:18">
      <c r="A671" s="16" t="s">
        <v>2111</v>
      </c>
      <c r="B671" s="16" t="s">
        <v>226</v>
      </c>
      <c r="C671" s="15" t="str">
        <f>IFERROR(INDEX('قائمة الوحدات'!$B$2:$B$41,MATCH($B671,'قائمة الوحدات'!$A$2:$A$41,0)),"")</f>
        <v>MIL</v>
      </c>
      <c r="D671" s="14" t="str">
        <f>IFERROR(INDEX('قائمة الوحدات'!$C$2:$C$41,MATCH($B671,'قائمة الوحدات'!$A$2:$A$41,0)),"")</f>
        <v>الجهاز العسكري</v>
      </c>
      <c r="E671" s="14" t="str">
        <f>IFERROR(INDEX('قائمة الوحدات'!$D$2:$D$41,MATCH($B671,'قائمة الوحدات'!$A$2:$A$41,0)),"")</f>
        <v>الإدارة العامة للمالية والميزانية العسكرية</v>
      </c>
      <c r="F671" s="14" t="str">
        <f>IFERROR(INDEX('قائمة الوحدات'!$F$2:$F$41,MATCH($B671,'قائمة الوحدات'!$A$2:$A$41,0)),"")</f>
        <v>الإدارة العامة للمالية والميزانية العسكرية</v>
      </c>
      <c r="G671" s="16" t="s">
        <v>43</v>
      </c>
      <c r="H671" s="14" t="str">
        <f>IFERROR(INDEX(المرجع!$A$2:$A$19,MATCH($G671,المرجع!$B$2:$B$19,0)),"")</f>
        <v>التصميم</v>
      </c>
      <c r="I671" s="16" t="s">
        <v>54</v>
      </c>
      <c r="J671" s="14" t="str">
        <f>IFERROR(INDEX(المرجع!$D$2:$D$19,MATCH($I671,المرجع!$E$2:$E$19,0)),"")</f>
        <v>التنظيم</v>
      </c>
      <c r="K671" s="15">
        <f>IFERROR(INDEX(المرجع!$F$2:$F$19,MATCH($I671,المرجع!$E$2:$E$19,0)),"")</f>
        <v>4</v>
      </c>
      <c r="L671" s="15">
        <f>SUMIFS(المرجع!$H$2:$H$19,المرجع!$B$2:$B$19,$G671,المرجع!$E$2:$E$19,$I671)</f>
        <v>1</v>
      </c>
      <c r="M671" s="15">
        <f>COUNTIFS('المرتبطة بسمو الوزير'!$B$2:$B$151,$B671,'المرتبطة بسمو الوزير'!$G$2:$G$151,$G671,'المرتبطة بسمو الوزير'!$I$2:$I$151,$I671,'المرتبطة بسمو الوزير'!$M$2:$M$151,"&lt;&gt;")+COUNTIFS('الشؤون التنفيذية'!$B$2:$B$421,$B671,'الشؤون التنفيذية'!$G$2:$G$421,$G671,'الشؤون التنفيذية'!$I$2:$I$421,$I671,'الشؤون التنفيذية'!$N$2:$N$421,"&lt;&gt;")+COUNTIFS('الجهاز العسكري'!$B$2:$B$631,$B671,'الجهاز العسكري'!$G$2:$G$631,$G671,'الجهاز العسكري'!$I$2:$I$631,$I671,'الجهاز العسكري'!$M$2:$M$631,"&lt;&gt;")</f>
        <v>1</v>
      </c>
      <c r="N671" s="19">
        <f>IF($L671=0,0,ROUND((SUMIFS('المرتبطة بسمو الوزير'!$M$2:$M$151,'المرتبطة بسمو الوزير'!$B$2:$B$151,$B671,'المرتبطة بسمو الوزير'!$G$2:$G$151,$G671,'المرتبطة بسمو الوزير'!$I$2:$I$151,$I671)+SUMIFS('الشؤون التنفيذية'!$N$2:$N$421,'الشؤون التنفيذية'!$B$2:$B$421,$B671,'الشؤون التنفيذية'!$G$2:$G$421,$G671,'الشؤون التنفيذية'!$I$2:$I$421,$I671)+SUMIFS('الجهاز العسكري'!$M$2:$M$631,'الجهاز العسكري'!$B$2:$B$631,$B671,'الجهاز العسكري'!$G$2:$G$631,$G671,'الجهاز العسكري'!$I$2:$I$631,$I671))/$L671,0))</f>
        <v>89</v>
      </c>
      <c r="O671" s="18"/>
      <c r="P671" s="15">
        <f>SUMIFS(المرجع!$G$2:$G$19,المرجع!$B$2:$B$19,$G671,المرجع!$E$2:$E$19,$I671)</f>
        <v>20</v>
      </c>
      <c r="Q671" s="20">
        <f t="shared" si="11"/>
        <v>17.8</v>
      </c>
      <c r="R671" s="21" t="str">
        <f>IF($N671&gt;المرجع!$K$3,"متقدم",IF($N671&lt;=المرجع!$K$2,"أولي","جزئي"))</f>
        <v>متقدم</v>
      </c>
    </row>
    <row r="672" spans="1:18">
      <c r="A672" s="16" t="s">
        <v>2112</v>
      </c>
      <c r="B672" s="16" t="s">
        <v>226</v>
      </c>
      <c r="C672" s="15" t="str">
        <f>IFERROR(INDEX('قائمة الوحدات'!$B$2:$B$41,MATCH($B672,'قائمة الوحدات'!$A$2:$A$41,0)),"")</f>
        <v>MIL</v>
      </c>
      <c r="D672" s="14" t="str">
        <f>IFERROR(INDEX('قائمة الوحدات'!$C$2:$C$41,MATCH($B672,'قائمة الوحدات'!$A$2:$A$41,0)),"")</f>
        <v>الجهاز العسكري</v>
      </c>
      <c r="E672" s="14" t="str">
        <f>IFERROR(INDEX('قائمة الوحدات'!$D$2:$D$41,MATCH($B672,'قائمة الوحدات'!$A$2:$A$41,0)),"")</f>
        <v>الإدارة العامة للمالية والميزانية العسكرية</v>
      </c>
      <c r="F672" s="14" t="str">
        <f>IFERROR(INDEX('قائمة الوحدات'!$F$2:$F$41,MATCH($B672,'قائمة الوحدات'!$A$2:$A$41,0)),"")</f>
        <v>الإدارة العامة للمالية والميزانية العسكرية</v>
      </c>
      <c r="G672" s="16" t="s">
        <v>43</v>
      </c>
      <c r="H672" s="14" t="str">
        <f>IFERROR(INDEX(المرجع!$A$2:$A$19,MATCH($G672,المرجع!$B$2:$B$19,0)),"")</f>
        <v>التصميم</v>
      </c>
      <c r="I672" s="16" t="s">
        <v>56</v>
      </c>
      <c r="J672" s="14" t="str">
        <f>IFERROR(INDEX(المرجع!$D$2:$D$19,MATCH($I672,المرجع!$E$2:$E$19,0)),"")</f>
        <v>الموارد</v>
      </c>
      <c r="K672" s="15">
        <f>IFERROR(INDEX(المرجع!$F$2:$F$19,MATCH($I672,المرجع!$E$2:$E$19,0)),"")</f>
        <v>5</v>
      </c>
      <c r="L672" s="15">
        <f>SUMIFS(المرجع!$H$2:$H$19,المرجع!$B$2:$B$19,$G672,المرجع!$E$2:$E$19,$I672)</f>
        <v>1</v>
      </c>
      <c r="M672" s="15">
        <f>COUNTIFS('المرتبطة بسمو الوزير'!$B$2:$B$151,$B672,'المرتبطة بسمو الوزير'!$G$2:$G$151,$G672,'المرتبطة بسمو الوزير'!$I$2:$I$151,$I672,'المرتبطة بسمو الوزير'!$M$2:$M$151,"&lt;&gt;")+COUNTIFS('الشؤون التنفيذية'!$B$2:$B$421,$B672,'الشؤون التنفيذية'!$G$2:$G$421,$G672,'الشؤون التنفيذية'!$I$2:$I$421,$I672,'الشؤون التنفيذية'!$N$2:$N$421,"&lt;&gt;")+COUNTIFS('الجهاز العسكري'!$B$2:$B$631,$B672,'الجهاز العسكري'!$G$2:$G$631,$G672,'الجهاز العسكري'!$I$2:$I$631,$I672,'الجهاز العسكري'!$M$2:$M$631,"&lt;&gt;")</f>
        <v>1</v>
      </c>
      <c r="N672" s="19">
        <f>IF($L672=0,0,ROUND((SUMIFS('المرتبطة بسمو الوزير'!$M$2:$M$151,'المرتبطة بسمو الوزير'!$B$2:$B$151,$B672,'المرتبطة بسمو الوزير'!$G$2:$G$151,$G672,'المرتبطة بسمو الوزير'!$I$2:$I$151,$I672)+SUMIFS('الشؤون التنفيذية'!$N$2:$N$421,'الشؤون التنفيذية'!$B$2:$B$421,$B672,'الشؤون التنفيذية'!$G$2:$G$421,$G672,'الشؤون التنفيذية'!$I$2:$I$421,$I672)+SUMIFS('الجهاز العسكري'!$M$2:$M$631,'الجهاز العسكري'!$B$2:$B$631,$B672,'الجهاز العسكري'!$G$2:$G$631,$G672,'الجهاز العسكري'!$I$2:$I$631,$I672))/$L672,0))</f>
        <v>89</v>
      </c>
      <c r="O672" s="18"/>
      <c r="P672" s="15">
        <f>SUMIFS(المرجع!$G$2:$G$19,المرجع!$B$2:$B$19,$G672,المرجع!$E$2:$E$19,$I672)</f>
        <v>20</v>
      </c>
      <c r="Q672" s="20">
        <f t="shared" si="11"/>
        <v>17.8</v>
      </c>
      <c r="R672" s="21" t="str">
        <f>IF($N672&gt;المرجع!$K$3,"متقدم",IF($N672&lt;=المرجع!$K$2,"أولي","جزئي"))</f>
        <v>متقدم</v>
      </c>
    </row>
    <row r="673" spans="1:18">
      <c r="A673" s="16" t="s">
        <v>2113</v>
      </c>
      <c r="B673" s="16" t="s">
        <v>226</v>
      </c>
      <c r="C673" s="15" t="str">
        <f>IFERROR(INDEX('قائمة الوحدات'!$B$2:$B$41,MATCH($B673,'قائمة الوحدات'!$A$2:$A$41,0)),"")</f>
        <v>MIL</v>
      </c>
      <c r="D673" s="14" t="str">
        <f>IFERROR(INDEX('قائمة الوحدات'!$C$2:$C$41,MATCH($B673,'قائمة الوحدات'!$A$2:$A$41,0)),"")</f>
        <v>الجهاز العسكري</v>
      </c>
      <c r="E673" s="14" t="str">
        <f>IFERROR(INDEX('قائمة الوحدات'!$D$2:$D$41,MATCH($B673,'قائمة الوحدات'!$A$2:$A$41,0)),"")</f>
        <v>الإدارة العامة للمالية والميزانية العسكرية</v>
      </c>
      <c r="F673" s="14" t="str">
        <f>IFERROR(INDEX('قائمة الوحدات'!$F$2:$F$41,MATCH($B673,'قائمة الوحدات'!$A$2:$A$41,0)),"")</f>
        <v>الإدارة العامة للمالية والميزانية العسكرية</v>
      </c>
      <c r="G673" s="16" t="s">
        <v>43</v>
      </c>
      <c r="H673" s="14" t="str">
        <f>IFERROR(INDEX(المرجع!$A$2:$A$19,MATCH($G673,المرجع!$B$2:$B$19,0)),"")</f>
        <v>التصميم</v>
      </c>
      <c r="I673" s="16" t="s">
        <v>59</v>
      </c>
      <c r="J673" s="14" t="str">
        <f>IFERROR(INDEX(المرجع!$D$2:$D$19,MATCH($I673,المرجع!$E$2:$E$19,0)),"")</f>
        <v>الإجراءات</v>
      </c>
      <c r="K673" s="15">
        <f>IFERROR(INDEX(المرجع!$F$2:$F$19,MATCH($I673,المرجع!$E$2:$E$19,0)),"")</f>
        <v>6</v>
      </c>
      <c r="L673" s="15">
        <f>SUMIFS(المرجع!$H$2:$H$19,المرجع!$B$2:$B$19,$G673,المرجع!$E$2:$E$19,$I673)</f>
        <v>1</v>
      </c>
      <c r="M673" s="15">
        <f>COUNTIFS('المرتبطة بسمو الوزير'!$B$2:$B$151,$B673,'المرتبطة بسمو الوزير'!$G$2:$G$151,$G673,'المرتبطة بسمو الوزير'!$I$2:$I$151,$I673,'المرتبطة بسمو الوزير'!$M$2:$M$151,"&lt;&gt;")+COUNTIFS('الشؤون التنفيذية'!$B$2:$B$421,$B673,'الشؤون التنفيذية'!$G$2:$G$421,$G673,'الشؤون التنفيذية'!$I$2:$I$421,$I673,'الشؤون التنفيذية'!$N$2:$N$421,"&lt;&gt;")+COUNTIFS('الجهاز العسكري'!$B$2:$B$631,$B673,'الجهاز العسكري'!$G$2:$G$631,$G673,'الجهاز العسكري'!$I$2:$I$631,$I673,'الجهاز العسكري'!$M$2:$M$631,"&lt;&gt;")</f>
        <v>1</v>
      </c>
      <c r="N673" s="19">
        <f>IF($L673=0,0,ROUND((SUMIFS('المرتبطة بسمو الوزير'!$M$2:$M$151,'المرتبطة بسمو الوزير'!$B$2:$B$151,$B673,'المرتبطة بسمو الوزير'!$G$2:$G$151,$G673,'المرتبطة بسمو الوزير'!$I$2:$I$151,$I673)+SUMIFS('الشؤون التنفيذية'!$N$2:$N$421,'الشؤون التنفيذية'!$B$2:$B$421,$B673,'الشؤون التنفيذية'!$G$2:$G$421,$G673,'الشؤون التنفيذية'!$I$2:$I$421,$I673)+SUMIFS('الجهاز العسكري'!$M$2:$M$631,'الجهاز العسكري'!$B$2:$B$631,$B673,'الجهاز العسكري'!$G$2:$G$631,$G673,'الجهاز العسكري'!$I$2:$I$631,$I673))/$L673,0))</f>
        <v>68</v>
      </c>
      <c r="O673" s="18"/>
      <c r="P673" s="15">
        <f>SUMIFS(المرجع!$G$2:$G$19,المرجع!$B$2:$B$19,$G673,المرجع!$E$2:$E$19,$I673)</f>
        <v>5</v>
      </c>
      <c r="Q673" s="20">
        <f t="shared" si="11"/>
        <v>3.4</v>
      </c>
      <c r="R673" s="21" t="str">
        <f>IF($N673&gt;المرجع!$K$3,"متقدم",IF($N673&lt;=المرجع!$K$2,"أولي","جزئي"))</f>
        <v>جزئي</v>
      </c>
    </row>
    <row r="674" spans="1:18">
      <c r="A674" s="16" t="s">
        <v>2114</v>
      </c>
      <c r="B674" s="16" t="s">
        <v>226</v>
      </c>
      <c r="C674" s="15" t="str">
        <f>IFERROR(INDEX('قائمة الوحدات'!$B$2:$B$41,MATCH($B674,'قائمة الوحدات'!$A$2:$A$41,0)),"")</f>
        <v>MIL</v>
      </c>
      <c r="D674" s="14" t="str">
        <f>IFERROR(INDEX('قائمة الوحدات'!$C$2:$C$41,MATCH($B674,'قائمة الوحدات'!$A$2:$A$41,0)),"")</f>
        <v>الجهاز العسكري</v>
      </c>
      <c r="E674" s="14" t="str">
        <f>IFERROR(INDEX('قائمة الوحدات'!$D$2:$D$41,MATCH($B674,'قائمة الوحدات'!$A$2:$A$41,0)),"")</f>
        <v>الإدارة العامة للمالية والميزانية العسكرية</v>
      </c>
      <c r="F674" s="14" t="str">
        <f>IFERROR(INDEX('قائمة الوحدات'!$F$2:$F$41,MATCH($B674,'قائمة الوحدات'!$A$2:$A$41,0)),"")</f>
        <v>الإدارة العامة للمالية والميزانية العسكرية</v>
      </c>
      <c r="G674" s="16" t="s">
        <v>61</v>
      </c>
      <c r="H674" s="14" t="str">
        <f>IFERROR(INDEX(المرجع!$A$2:$A$19,MATCH($G674,المرجع!$B$2:$B$19,0)),"")</f>
        <v>البناء المؤسسي</v>
      </c>
      <c r="I674" s="16" t="s">
        <v>45</v>
      </c>
      <c r="J674" s="14" t="str">
        <f>IFERROR(INDEX(المرجع!$D$2:$D$19,MATCH($I674,المرجع!$E$2:$E$19,0)),"")</f>
        <v>الدور</v>
      </c>
      <c r="K674" s="15">
        <f>IFERROR(INDEX(المرجع!$F$2:$F$19,MATCH($I674,المرجع!$E$2:$E$19,0)),"")</f>
        <v>1</v>
      </c>
      <c r="L674" s="15">
        <f>SUMIFS(المرجع!$H$2:$H$19,المرجع!$B$2:$B$19,$G674,المرجع!$E$2:$E$19,$I674)</f>
        <v>1</v>
      </c>
      <c r="M674" s="15">
        <f>COUNTIFS('المرتبطة بسمو الوزير'!$B$2:$B$151,$B674,'المرتبطة بسمو الوزير'!$G$2:$G$151,$G674,'المرتبطة بسمو الوزير'!$I$2:$I$151,$I674,'المرتبطة بسمو الوزير'!$M$2:$M$151,"&lt;&gt;")+COUNTIFS('الشؤون التنفيذية'!$B$2:$B$421,$B674,'الشؤون التنفيذية'!$G$2:$G$421,$G674,'الشؤون التنفيذية'!$I$2:$I$421,$I674,'الشؤون التنفيذية'!$N$2:$N$421,"&lt;&gt;")+COUNTIFS('الجهاز العسكري'!$B$2:$B$631,$B674,'الجهاز العسكري'!$G$2:$G$631,$G674,'الجهاز العسكري'!$I$2:$I$631,$I674,'الجهاز العسكري'!$M$2:$M$631,"&lt;&gt;")</f>
        <v>1</v>
      </c>
      <c r="N674" s="19">
        <f>IF($L674=0,0,ROUND((SUMIFS('المرتبطة بسمو الوزير'!$M$2:$M$151,'المرتبطة بسمو الوزير'!$B$2:$B$151,$B674,'المرتبطة بسمو الوزير'!$G$2:$G$151,$G674,'المرتبطة بسمو الوزير'!$I$2:$I$151,$I674)+SUMIFS('الشؤون التنفيذية'!$N$2:$N$421,'الشؤون التنفيذية'!$B$2:$B$421,$B674,'الشؤون التنفيذية'!$G$2:$G$421,$G674,'الشؤون التنفيذية'!$I$2:$I$421,$I674)+SUMIFS('الجهاز العسكري'!$M$2:$M$631,'الجهاز العسكري'!$B$2:$B$631,$B674,'الجهاز العسكري'!$G$2:$G$631,$G674,'الجهاز العسكري'!$I$2:$I$631,$I674))/$L674,0))</f>
        <v>87</v>
      </c>
      <c r="O674" s="18"/>
      <c r="P674" s="15">
        <f>SUMIFS(المرجع!$G$2:$G$19,المرجع!$B$2:$B$19,$G674,المرجع!$E$2:$E$19,$I674)</f>
        <v>15</v>
      </c>
      <c r="Q674" s="20">
        <f t="shared" si="11"/>
        <v>13.05</v>
      </c>
      <c r="R674" s="21" t="str">
        <f>IF($N674&gt;المرجع!$K$3,"متقدم",IF($N674&lt;=المرجع!$K$2,"أولي","جزئي"))</f>
        <v>متقدم</v>
      </c>
    </row>
    <row r="675" spans="1:18">
      <c r="A675" s="16" t="s">
        <v>2115</v>
      </c>
      <c r="B675" s="16" t="s">
        <v>226</v>
      </c>
      <c r="C675" s="15" t="str">
        <f>IFERROR(INDEX('قائمة الوحدات'!$B$2:$B$41,MATCH($B675,'قائمة الوحدات'!$A$2:$A$41,0)),"")</f>
        <v>MIL</v>
      </c>
      <c r="D675" s="14" t="str">
        <f>IFERROR(INDEX('قائمة الوحدات'!$C$2:$C$41,MATCH($B675,'قائمة الوحدات'!$A$2:$A$41,0)),"")</f>
        <v>الجهاز العسكري</v>
      </c>
      <c r="E675" s="14" t="str">
        <f>IFERROR(INDEX('قائمة الوحدات'!$D$2:$D$41,MATCH($B675,'قائمة الوحدات'!$A$2:$A$41,0)),"")</f>
        <v>الإدارة العامة للمالية والميزانية العسكرية</v>
      </c>
      <c r="F675" s="14" t="str">
        <f>IFERROR(INDEX('قائمة الوحدات'!$F$2:$F$41,MATCH($B675,'قائمة الوحدات'!$A$2:$A$41,0)),"")</f>
        <v>الإدارة العامة للمالية والميزانية العسكرية</v>
      </c>
      <c r="G675" s="16" t="s">
        <v>61</v>
      </c>
      <c r="H675" s="14" t="str">
        <f>IFERROR(INDEX(المرجع!$A$2:$A$19,MATCH($G675,المرجع!$B$2:$B$19,0)),"")</f>
        <v>البناء المؤسسي</v>
      </c>
      <c r="I675" s="16" t="s">
        <v>48</v>
      </c>
      <c r="J675" s="14" t="str">
        <f>IFERROR(INDEX(المرجع!$D$2:$D$19,MATCH($I675,المرجع!$E$2:$E$19,0)),"")</f>
        <v>الأهداف ومؤشرات الأداء</v>
      </c>
      <c r="K675" s="15">
        <f>IFERROR(INDEX(المرجع!$F$2:$F$19,MATCH($I675,المرجع!$E$2:$E$19,0)),"")</f>
        <v>2</v>
      </c>
      <c r="L675" s="15">
        <f>SUMIFS(المرجع!$H$2:$H$19,المرجع!$B$2:$B$19,$G675,المرجع!$E$2:$E$19,$I675)</f>
        <v>2</v>
      </c>
      <c r="M675" s="15">
        <f>COUNTIFS('المرتبطة بسمو الوزير'!$B$2:$B$151,$B675,'المرتبطة بسمو الوزير'!$G$2:$G$151,$G675,'المرتبطة بسمو الوزير'!$I$2:$I$151,$I675,'المرتبطة بسمو الوزير'!$M$2:$M$151,"&lt;&gt;")+COUNTIFS('الشؤون التنفيذية'!$B$2:$B$421,$B675,'الشؤون التنفيذية'!$G$2:$G$421,$G675,'الشؤون التنفيذية'!$I$2:$I$421,$I675,'الشؤون التنفيذية'!$N$2:$N$421,"&lt;&gt;")+COUNTIFS('الجهاز العسكري'!$B$2:$B$631,$B675,'الجهاز العسكري'!$G$2:$G$631,$G675,'الجهاز العسكري'!$I$2:$I$631,$I675,'الجهاز العسكري'!$M$2:$M$631,"&lt;&gt;")</f>
        <v>2</v>
      </c>
      <c r="N675" s="19">
        <f>IF($L675=0,0,ROUND((SUMIFS('المرتبطة بسمو الوزير'!$M$2:$M$151,'المرتبطة بسمو الوزير'!$B$2:$B$151,$B675,'المرتبطة بسمو الوزير'!$G$2:$G$151,$G675,'المرتبطة بسمو الوزير'!$I$2:$I$151,$I675)+SUMIFS('الشؤون التنفيذية'!$N$2:$N$421,'الشؤون التنفيذية'!$B$2:$B$421,$B675,'الشؤون التنفيذية'!$G$2:$G$421,$G675,'الشؤون التنفيذية'!$I$2:$I$421,$I675)+SUMIFS('الجهاز العسكري'!$M$2:$M$631,'الجهاز العسكري'!$B$2:$B$631,$B675,'الجهاز العسكري'!$G$2:$G$631,$G675,'الجهاز العسكري'!$I$2:$I$631,$I675))/$L675,0))</f>
        <v>60</v>
      </c>
      <c r="O675" s="18"/>
      <c r="P675" s="15">
        <f>SUMIFS(المرجع!$G$2:$G$19,المرجع!$B$2:$B$19,$G675,المرجع!$E$2:$E$19,$I675)</f>
        <v>15</v>
      </c>
      <c r="Q675" s="20">
        <f t="shared" si="11"/>
        <v>9</v>
      </c>
      <c r="R675" s="21" t="str">
        <f>IF($N675&gt;المرجع!$K$3,"متقدم",IF($N675&lt;=المرجع!$K$2,"أولي","جزئي"))</f>
        <v>جزئي</v>
      </c>
    </row>
    <row r="676" spans="1:18">
      <c r="A676" s="16" t="s">
        <v>2116</v>
      </c>
      <c r="B676" s="16" t="s">
        <v>226</v>
      </c>
      <c r="C676" s="15" t="str">
        <f>IFERROR(INDEX('قائمة الوحدات'!$B$2:$B$41,MATCH($B676,'قائمة الوحدات'!$A$2:$A$41,0)),"")</f>
        <v>MIL</v>
      </c>
      <c r="D676" s="14" t="str">
        <f>IFERROR(INDEX('قائمة الوحدات'!$C$2:$C$41,MATCH($B676,'قائمة الوحدات'!$A$2:$A$41,0)),"")</f>
        <v>الجهاز العسكري</v>
      </c>
      <c r="E676" s="14" t="str">
        <f>IFERROR(INDEX('قائمة الوحدات'!$D$2:$D$41,MATCH($B676,'قائمة الوحدات'!$A$2:$A$41,0)),"")</f>
        <v>الإدارة العامة للمالية والميزانية العسكرية</v>
      </c>
      <c r="F676" s="14" t="str">
        <f>IFERROR(INDEX('قائمة الوحدات'!$F$2:$F$41,MATCH($B676,'قائمة الوحدات'!$A$2:$A$41,0)),"")</f>
        <v>الإدارة العامة للمالية والميزانية العسكرية</v>
      </c>
      <c r="G676" s="16" t="s">
        <v>61</v>
      </c>
      <c r="H676" s="14" t="str">
        <f>IFERROR(INDEX(المرجع!$A$2:$A$19,MATCH($G676,المرجع!$B$2:$B$19,0)),"")</f>
        <v>البناء المؤسسي</v>
      </c>
      <c r="I676" s="16" t="s">
        <v>51</v>
      </c>
      <c r="J676" s="14" t="str">
        <f>IFERROR(INDEX(المرجع!$D$2:$D$19,MATCH($I676,المرجع!$E$2:$E$19,0)),"")</f>
        <v>الحوكمة</v>
      </c>
      <c r="K676" s="15">
        <f>IFERROR(INDEX(المرجع!$F$2:$F$19,MATCH($I676,المرجع!$E$2:$E$19,0)),"")</f>
        <v>3</v>
      </c>
      <c r="L676" s="15">
        <f>SUMIFS(المرجع!$H$2:$H$19,المرجع!$B$2:$B$19,$G676,المرجع!$E$2:$E$19,$I676)</f>
        <v>3</v>
      </c>
      <c r="M676" s="15">
        <f>COUNTIFS('المرتبطة بسمو الوزير'!$B$2:$B$151,$B676,'المرتبطة بسمو الوزير'!$G$2:$G$151,$G676,'المرتبطة بسمو الوزير'!$I$2:$I$151,$I676,'المرتبطة بسمو الوزير'!$M$2:$M$151,"&lt;&gt;")+COUNTIFS('الشؤون التنفيذية'!$B$2:$B$421,$B676,'الشؤون التنفيذية'!$G$2:$G$421,$G676,'الشؤون التنفيذية'!$I$2:$I$421,$I676,'الشؤون التنفيذية'!$N$2:$N$421,"&lt;&gt;")+COUNTIFS('الجهاز العسكري'!$B$2:$B$631,$B676,'الجهاز العسكري'!$G$2:$G$631,$G676,'الجهاز العسكري'!$I$2:$I$631,$I676,'الجهاز العسكري'!$M$2:$M$631,"&lt;&gt;")</f>
        <v>3</v>
      </c>
      <c r="N676" s="19">
        <f>IF($L676=0,0,ROUND((SUMIFS('المرتبطة بسمو الوزير'!$M$2:$M$151,'المرتبطة بسمو الوزير'!$B$2:$B$151,$B676,'المرتبطة بسمو الوزير'!$G$2:$G$151,$G676,'المرتبطة بسمو الوزير'!$I$2:$I$151,$I676)+SUMIFS('الشؤون التنفيذية'!$N$2:$N$421,'الشؤون التنفيذية'!$B$2:$B$421,$B676,'الشؤون التنفيذية'!$G$2:$G$421,$G676,'الشؤون التنفيذية'!$I$2:$I$421,$I676)+SUMIFS('الجهاز العسكري'!$M$2:$M$631,'الجهاز العسكري'!$B$2:$B$631,$B676,'الجهاز العسكري'!$G$2:$G$631,$G676,'الجهاز العسكري'!$I$2:$I$631,$I676))/$L676,0))</f>
        <v>62</v>
      </c>
      <c r="O676" s="18"/>
      <c r="P676" s="15">
        <f>SUMIFS(المرجع!$G$2:$G$19,المرجع!$B$2:$B$19,$G676,المرجع!$E$2:$E$19,$I676)</f>
        <v>15</v>
      </c>
      <c r="Q676" s="20">
        <f t="shared" si="11"/>
        <v>9.3000000000000007</v>
      </c>
      <c r="R676" s="21" t="str">
        <f>IF($N676&gt;المرجع!$K$3,"متقدم",IF($N676&lt;=المرجع!$K$2,"أولي","جزئي"))</f>
        <v>جزئي</v>
      </c>
    </row>
    <row r="677" spans="1:18">
      <c r="A677" s="16" t="s">
        <v>2117</v>
      </c>
      <c r="B677" s="16" t="s">
        <v>226</v>
      </c>
      <c r="C677" s="15" t="str">
        <f>IFERROR(INDEX('قائمة الوحدات'!$B$2:$B$41,MATCH($B677,'قائمة الوحدات'!$A$2:$A$41,0)),"")</f>
        <v>MIL</v>
      </c>
      <c r="D677" s="14" t="str">
        <f>IFERROR(INDEX('قائمة الوحدات'!$C$2:$C$41,MATCH($B677,'قائمة الوحدات'!$A$2:$A$41,0)),"")</f>
        <v>الجهاز العسكري</v>
      </c>
      <c r="E677" s="14" t="str">
        <f>IFERROR(INDEX('قائمة الوحدات'!$D$2:$D$41,MATCH($B677,'قائمة الوحدات'!$A$2:$A$41,0)),"")</f>
        <v>الإدارة العامة للمالية والميزانية العسكرية</v>
      </c>
      <c r="F677" s="14" t="str">
        <f>IFERROR(INDEX('قائمة الوحدات'!$F$2:$F$41,MATCH($B677,'قائمة الوحدات'!$A$2:$A$41,0)),"")</f>
        <v>الإدارة العامة للمالية والميزانية العسكرية</v>
      </c>
      <c r="G677" s="16" t="s">
        <v>61</v>
      </c>
      <c r="H677" s="14" t="str">
        <f>IFERROR(INDEX(المرجع!$A$2:$A$19,MATCH($G677,المرجع!$B$2:$B$19,0)),"")</f>
        <v>البناء المؤسسي</v>
      </c>
      <c r="I677" s="16" t="s">
        <v>54</v>
      </c>
      <c r="J677" s="14" t="str">
        <f>IFERROR(INDEX(المرجع!$D$2:$D$19,MATCH($I677,المرجع!$E$2:$E$19,0)),"")</f>
        <v>التنظيم</v>
      </c>
      <c r="K677" s="15">
        <f>IFERROR(INDEX(المرجع!$F$2:$F$19,MATCH($I677,المرجع!$E$2:$E$19,0)),"")</f>
        <v>4</v>
      </c>
      <c r="L677" s="15">
        <f>SUMIFS(المرجع!$H$2:$H$19,المرجع!$B$2:$B$19,$G677,المرجع!$E$2:$E$19,$I677)</f>
        <v>3</v>
      </c>
      <c r="M677" s="15">
        <f>COUNTIFS('المرتبطة بسمو الوزير'!$B$2:$B$151,$B677,'المرتبطة بسمو الوزير'!$G$2:$G$151,$G677,'المرتبطة بسمو الوزير'!$I$2:$I$151,$I677,'المرتبطة بسمو الوزير'!$M$2:$M$151,"&lt;&gt;")+COUNTIFS('الشؤون التنفيذية'!$B$2:$B$421,$B677,'الشؤون التنفيذية'!$G$2:$G$421,$G677,'الشؤون التنفيذية'!$I$2:$I$421,$I677,'الشؤون التنفيذية'!$N$2:$N$421,"&lt;&gt;")+COUNTIFS('الجهاز العسكري'!$B$2:$B$631,$B677,'الجهاز العسكري'!$G$2:$G$631,$G677,'الجهاز العسكري'!$I$2:$I$631,$I677,'الجهاز العسكري'!$M$2:$M$631,"&lt;&gt;")</f>
        <v>3</v>
      </c>
      <c r="N677" s="19">
        <f>IF($L677=0,0,ROUND((SUMIFS('المرتبطة بسمو الوزير'!$M$2:$M$151,'المرتبطة بسمو الوزير'!$B$2:$B$151,$B677,'المرتبطة بسمو الوزير'!$G$2:$G$151,$G677,'المرتبطة بسمو الوزير'!$I$2:$I$151,$I677)+SUMIFS('الشؤون التنفيذية'!$N$2:$N$421,'الشؤون التنفيذية'!$B$2:$B$421,$B677,'الشؤون التنفيذية'!$G$2:$G$421,$G677,'الشؤون التنفيذية'!$I$2:$I$421,$I677)+SUMIFS('الجهاز العسكري'!$M$2:$M$631,'الجهاز العسكري'!$B$2:$B$631,$B677,'الجهاز العسكري'!$G$2:$G$631,$G677,'الجهاز العسكري'!$I$2:$I$631,$I677))/$L677,0))</f>
        <v>95</v>
      </c>
      <c r="O677" s="18"/>
      <c r="P677" s="15">
        <f>SUMIFS(المرجع!$G$2:$G$19,المرجع!$B$2:$B$19,$G677,المرجع!$E$2:$E$19,$I677)</f>
        <v>20</v>
      </c>
      <c r="Q677" s="20">
        <f t="shared" si="11"/>
        <v>19</v>
      </c>
      <c r="R677" s="21" t="str">
        <f>IF($N677&gt;المرجع!$K$3,"متقدم",IF($N677&lt;=المرجع!$K$2,"أولي","جزئي"))</f>
        <v>متقدم</v>
      </c>
    </row>
    <row r="678" spans="1:18">
      <c r="A678" s="16" t="s">
        <v>2118</v>
      </c>
      <c r="B678" s="16" t="s">
        <v>226</v>
      </c>
      <c r="C678" s="15" t="str">
        <f>IFERROR(INDEX('قائمة الوحدات'!$B$2:$B$41,MATCH($B678,'قائمة الوحدات'!$A$2:$A$41,0)),"")</f>
        <v>MIL</v>
      </c>
      <c r="D678" s="14" t="str">
        <f>IFERROR(INDEX('قائمة الوحدات'!$C$2:$C$41,MATCH($B678,'قائمة الوحدات'!$A$2:$A$41,0)),"")</f>
        <v>الجهاز العسكري</v>
      </c>
      <c r="E678" s="14" t="str">
        <f>IFERROR(INDEX('قائمة الوحدات'!$D$2:$D$41,MATCH($B678,'قائمة الوحدات'!$A$2:$A$41,0)),"")</f>
        <v>الإدارة العامة للمالية والميزانية العسكرية</v>
      </c>
      <c r="F678" s="14" t="str">
        <f>IFERROR(INDEX('قائمة الوحدات'!$F$2:$F$41,MATCH($B678,'قائمة الوحدات'!$A$2:$A$41,0)),"")</f>
        <v>الإدارة العامة للمالية والميزانية العسكرية</v>
      </c>
      <c r="G678" s="16" t="s">
        <v>61</v>
      </c>
      <c r="H678" s="14" t="str">
        <f>IFERROR(INDEX(المرجع!$A$2:$A$19,MATCH($G678,المرجع!$B$2:$B$19,0)),"")</f>
        <v>البناء المؤسسي</v>
      </c>
      <c r="I678" s="16" t="s">
        <v>56</v>
      </c>
      <c r="J678" s="14" t="str">
        <f>IFERROR(INDEX(المرجع!$D$2:$D$19,MATCH($I678,المرجع!$E$2:$E$19,0)),"")</f>
        <v>الموارد</v>
      </c>
      <c r="K678" s="15">
        <f>IFERROR(INDEX(المرجع!$F$2:$F$19,MATCH($I678,المرجع!$E$2:$E$19,0)),"")</f>
        <v>5</v>
      </c>
      <c r="L678" s="15">
        <f>SUMIFS(المرجع!$H$2:$H$19,المرجع!$B$2:$B$19,$G678,المرجع!$E$2:$E$19,$I678)</f>
        <v>4</v>
      </c>
      <c r="M678" s="15">
        <f>COUNTIFS('المرتبطة بسمو الوزير'!$B$2:$B$151,$B678,'المرتبطة بسمو الوزير'!$G$2:$G$151,$G678,'المرتبطة بسمو الوزير'!$I$2:$I$151,$I678,'المرتبطة بسمو الوزير'!$M$2:$M$151,"&lt;&gt;")+COUNTIFS('الشؤون التنفيذية'!$B$2:$B$421,$B678,'الشؤون التنفيذية'!$G$2:$G$421,$G678,'الشؤون التنفيذية'!$I$2:$I$421,$I678,'الشؤون التنفيذية'!$N$2:$N$421,"&lt;&gt;")+COUNTIFS('الجهاز العسكري'!$B$2:$B$631,$B678,'الجهاز العسكري'!$G$2:$G$631,$G678,'الجهاز العسكري'!$I$2:$I$631,$I678,'الجهاز العسكري'!$M$2:$M$631,"&lt;&gt;")</f>
        <v>4</v>
      </c>
      <c r="N678" s="19">
        <f>IF($L678=0,0,ROUND((SUMIFS('المرتبطة بسمو الوزير'!$M$2:$M$151,'المرتبطة بسمو الوزير'!$B$2:$B$151,$B678,'المرتبطة بسمو الوزير'!$G$2:$G$151,$G678,'المرتبطة بسمو الوزير'!$I$2:$I$151,$I678)+SUMIFS('الشؤون التنفيذية'!$N$2:$N$421,'الشؤون التنفيذية'!$B$2:$B$421,$B678,'الشؤون التنفيذية'!$G$2:$G$421,$G678,'الشؤون التنفيذية'!$I$2:$I$421,$I678)+SUMIFS('الجهاز العسكري'!$M$2:$M$631,'الجهاز العسكري'!$B$2:$B$631,$B678,'الجهاز العسكري'!$G$2:$G$631,$G678,'الجهاز العسكري'!$I$2:$I$631,$I678))/$L678,0))</f>
        <v>53</v>
      </c>
      <c r="O678" s="18"/>
      <c r="P678" s="15">
        <f>SUMIFS(المرجع!$G$2:$G$19,المرجع!$B$2:$B$19,$G678,المرجع!$E$2:$E$19,$I678)</f>
        <v>25</v>
      </c>
      <c r="Q678" s="20">
        <f t="shared" si="11"/>
        <v>13.25</v>
      </c>
      <c r="R678" s="21" t="str">
        <f>IF($N678&gt;المرجع!$K$3,"متقدم",IF($N678&lt;=المرجع!$K$2,"أولي","جزئي"))</f>
        <v>جزئي</v>
      </c>
    </row>
    <row r="679" spans="1:18">
      <c r="A679" s="16" t="s">
        <v>2119</v>
      </c>
      <c r="B679" s="16" t="s">
        <v>226</v>
      </c>
      <c r="C679" s="15" t="str">
        <f>IFERROR(INDEX('قائمة الوحدات'!$B$2:$B$41,MATCH($B679,'قائمة الوحدات'!$A$2:$A$41,0)),"")</f>
        <v>MIL</v>
      </c>
      <c r="D679" s="14" t="str">
        <f>IFERROR(INDEX('قائمة الوحدات'!$C$2:$C$41,MATCH($B679,'قائمة الوحدات'!$A$2:$A$41,0)),"")</f>
        <v>الجهاز العسكري</v>
      </c>
      <c r="E679" s="14" t="str">
        <f>IFERROR(INDEX('قائمة الوحدات'!$D$2:$D$41,MATCH($B679,'قائمة الوحدات'!$A$2:$A$41,0)),"")</f>
        <v>الإدارة العامة للمالية والميزانية العسكرية</v>
      </c>
      <c r="F679" s="14" t="str">
        <f>IFERROR(INDEX('قائمة الوحدات'!$F$2:$F$41,MATCH($B679,'قائمة الوحدات'!$A$2:$A$41,0)),"")</f>
        <v>الإدارة العامة للمالية والميزانية العسكرية</v>
      </c>
      <c r="G679" s="16" t="s">
        <v>61</v>
      </c>
      <c r="H679" s="14" t="str">
        <f>IFERROR(INDEX(المرجع!$A$2:$A$19,MATCH($G679,المرجع!$B$2:$B$19,0)),"")</f>
        <v>البناء المؤسسي</v>
      </c>
      <c r="I679" s="16" t="s">
        <v>59</v>
      </c>
      <c r="J679" s="14" t="str">
        <f>IFERROR(INDEX(المرجع!$D$2:$D$19,MATCH($I679,المرجع!$E$2:$E$19,0)),"")</f>
        <v>الإجراءات</v>
      </c>
      <c r="K679" s="15">
        <f>IFERROR(INDEX(المرجع!$F$2:$F$19,MATCH($I679,المرجع!$E$2:$E$19,0)),"")</f>
        <v>6</v>
      </c>
      <c r="L679" s="15">
        <f>SUMIFS(المرجع!$H$2:$H$19,المرجع!$B$2:$B$19,$G679,المرجع!$E$2:$E$19,$I679)</f>
        <v>1</v>
      </c>
      <c r="M679" s="15">
        <f>COUNTIFS('المرتبطة بسمو الوزير'!$B$2:$B$151,$B679,'المرتبطة بسمو الوزير'!$G$2:$G$151,$G679,'المرتبطة بسمو الوزير'!$I$2:$I$151,$I679,'المرتبطة بسمو الوزير'!$M$2:$M$151,"&lt;&gt;")+COUNTIFS('الشؤون التنفيذية'!$B$2:$B$421,$B679,'الشؤون التنفيذية'!$G$2:$G$421,$G679,'الشؤون التنفيذية'!$I$2:$I$421,$I679,'الشؤون التنفيذية'!$N$2:$N$421,"&lt;&gt;")+COUNTIFS('الجهاز العسكري'!$B$2:$B$631,$B679,'الجهاز العسكري'!$G$2:$G$631,$G679,'الجهاز العسكري'!$I$2:$I$631,$I679,'الجهاز العسكري'!$M$2:$M$631,"&lt;&gt;")</f>
        <v>1</v>
      </c>
      <c r="N679" s="19">
        <f>IF($L679=0,0,ROUND((SUMIFS('المرتبطة بسمو الوزير'!$M$2:$M$151,'المرتبطة بسمو الوزير'!$B$2:$B$151,$B679,'المرتبطة بسمو الوزير'!$G$2:$G$151,$G679,'المرتبطة بسمو الوزير'!$I$2:$I$151,$I679)+SUMIFS('الشؤون التنفيذية'!$N$2:$N$421,'الشؤون التنفيذية'!$B$2:$B$421,$B679,'الشؤون التنفيذية'!$G$2:$G$421,$G679,'الشؤون التنفيذية'!$I$2:$I$421,$I679)+SUMIFS('الجهاز العسكري'!$M$2:$M$631,'الجهاز العسكري'!$B$2:$B$631,$B679,'الجهاز العسكري'!$G$2:$G$631,$G679,'الجهاز العسكري'!$I$2:$I$631,$I679))/$L679,0))</f>
        <v>56</v>
      </c>
      <c r="O679" s="18"/>
      <c r="P679" s="15">
        <f>SUMIFS(المرجع!$G$2:$G$19,المرجع!$B$2:$B$19,$G679,المرجع!$E$2:$E$19,$I679)</f>
        <v>5</v>
      </c>
      <c r="Q679" s="20">
        <f t="shared" si="11"/>
        <v>2.8</v>
      </c>
      <c r="R679" s="21" t="str">
        <f>IF($N679&gt;المرجع!$K$3,"متقدم",IF($N679&lt;=المرجع!$K$2,"أولي","جزئي"))</f>
        <v>جزئي</v>
      </c>
    </row>
    <row r="680" spans="1:18">
      <c r="A680" s="16" t="s">
        <v>2120</v>
      </c>
      <c r="B680" s="16" t="s">
        <v>226</v>
      </c>
      <c r="C680" s="15" t="str">
        <f>IFERROR(INDEX('قائمة الوحدات'!$B$2:$B$41,MATCH($B680,'قائمة الوحدات'!$A$2:$A$41,0)),"")</f>
        <v>MIL</v>
      </c>
      <c r="D680" s="14" t="str">
        <f>IFERROR(INDEX('قائمة الوحدات'!$C$2:$C$41,MATCH($B680,'قائمة الوحدات'!$A$2:$A$41,0)),"")</f>
        <v>الجهاز العسكري</v>
      </c>
      <c r="E680" s="14" t="str">
        <f>IFERROR(INDEX('قائمة الوحدات'!$D$2:$D$41,MATCH($B680,'قائمة الوحدات'!$A$2:$A$41,0)),"")</f>
        <v>الإدارة العامة للمالية والميزانية العسكرية</v>
      </c>
      <c r="F680" s="14" t="str">
        <f>IFERROR(INDEX('قائمة الوحدات'!$F$2:$F$41,MATCH($B680,'قائمة الوحدات'!$A$2:$A$41,0)),"")</f>
        <v>الإدارة العامة للمالية والميزانية العسكرية</v>
      </c>
      <c r="G680" s="16" t="s">
        <v>61</v>
      </c>
      <c r="H680" s="14" t="str">
        <f>IFERROR(INDEX(المرجع!$A$2:$A$19,MATCH($G680,المرجع!$B$2:$B$19,0)),"")</f>
        <v>البناء المؤسسي</v>
      </c>
      <c r="I680" s="16" t="s">
        <v>63</v>
      </c>
      <c r="J680" s="14" t="str">
        <f>IFERROR(INDEX(المرجع!$D$2:$D$19,MATCH($I680,المرجع!$E$2:$E$19,0)),"")</f>
        <v>إنتاج المخرج الأول</v>
      </c>
      <c r="K680" s="15">
        <f>IFERROR(INDEX(المرجع!$F$2:$F$19,MATCH($I680,المرجع!$E$2:$E$19,0)),"")</f>
        <v>7</v>
      </c>
      <c r="L680" s="15">
        <f>SUMIFS(المرجع!$H$2:$H$19,المرجع!$B$2:$B$19,$G680,المرجع!$E$2:$E$19,$I680)</f>
        <v>1</v>
      </c>
      <c r="M680" s="15">
        <f>COUNTIFS('المرتبطة بسمو الوزير'!$B$2:$B$151,$B680,'المرتبطة بسمو الوزير'!$G$2:$G$151,$G680,'المرتبطة بسمو الوزير'!$I$2:$I$151,$I680,'المرتبطة بسمو الوزير'!$M$2:$M$151,"&lt;&gt;")+COUNTIFS('الشؤون التنفيذية'!$B$2:$B$421,$B680,'الشؤون التنفيذية'!$G$2:$G$421,$G680,'الشؤون التنفيذية'!$I$2:$I$421,$I680,'الشؤون التنفيذية'!$N$2:$N$421,"&lt;&gt;")+COUNTIFS('الجهاز العسكري'!$B$2:$B$631,$B680,'الجهاز العسكري'!$G$2:$G$631,$G680,'الجهاز العسكري'!$I$2:$I$631,$I680,'الجهاز العسكري'!$M$2:$M$631,"&lt;&gt;")</f>
        <v>1</v>
      </c>
      <c r="N680" s="19">
        <f>IF($L680=0,0,ROUND((SUMIFS('المرتبطة بسمو الوزير'!$M$2:$M$151,'المرتبطة بسمو الوزير'!$B$2:$B$151,$B680,'المرتبطة بسمو الوزير'!$G$2:$G$151,$G680,'المرتبطة بسمو الوزير'!$I$2:$I$151,$I680)+SUMIFS('الشؤون التنفيذية'!$N$2:$N$421,'الشؤون التنفيذية'!$B$2:$B$421,$B680,'الشؤون التنفيذية'!$G$2:$G$421,$G680,'الشؤون التنفيذية'!$I$2:$I$421,$I680)+SUMIFS('الجهاز العسكري'!$M$2:$M$631,'الجهاز العسكري'!$B$2:$B$631,$B680,'الجهاز العسكري'!$G$2:$G$631,$G680,'الجهاز العسكري'!$I$2:$I$631,$I680))/$L680,0))</f>
        <v>51</v>
      </c>
      <c r="O680" s="18"/>
      <c r="P680" s="15">
        <f>SUMIFS(المرجع!$G$2:$G$19,المرجع!$B$2:$B$19,$G680,المرجع!$E$2:$E$19,$I680)</f>
        <v>5</v>
      </c>
      <c r="Q680" s="20">
        <f t="shared" si="11"/>
        <v>2.5499999999999998</v>
      </c>
      <c r="R680" s="21" t="str">
        <f>IF($N680&gt;المرجع!$K$3,"متقدم",IF($N680&lt;=المرجع!$K$2,"أولي","جزئي"))</f>
        <v>جزئي</v>
      </c>
    </row>
    <row r="681" spans="1:18">
      <c r="A681" s="16" t="s">
        <v>2121</v>
      </c>
      <c r="B681" s="16" t="s">
        <v>226</v>
      </c>
      <c r="C681" s="15" t="str">
        <f>IFERROR(INDEX('قائمة الوحدات'!$B$2:$B$41,MATCH($B681,'قائمة الوحدات'!$A$2:$A$41,0)),"")</f>
        <v>MIL</v>
      </c>
      <c r="D681" s="14" t="str">
        <f>IFERROR(INDEX('قائمة الوحدات'!$C$2:$C$41,MATCH($B681,'قائمة الوحدات'!$A$2:$A$41,0)),"")</f>
        <v>الجهاز العسكري</v>
      </c>
      <c r="E681" s="14" t="str">
        <f>IFERROR(INDEX('قائمة الوحدات'!$D$2:$D$41,MATCH($B681,'قائمة الوحدات'!$A$2:$A$41,0)),"")</f>
        <v>الإدارة العامة للمالية والميزانية العسكرية</v>
      </c>
      <c r="F681" s="14" t="str">
        <f>IFERROR(INDEX('قائمة الوحدات'!$F$2:$F$41,MATCH($B681,'قائمة الوحدات'!$A$2:$A$41,0)),"")</f>
        <v>الإدارة العامة للمالية والميزانية العسكرية</v>
      </c>
      <c r="G681" s="16" t="s">
        <v>65</v>
      </c>
      <c r="H681" s="14" t="str">
        <f>IFERROR(INDEX(المرجع!$A$2:$A$19,MATCH($G681,المرجع!$B$2:$B$19,0)),"")</f>
        <v>التشغيل</v>
      </c>
      <c r="I681" s="16" t="s">
        <v>48</v>
      </c>
      <c r="J681" s="14" t="str">
        <f>IFERROR(INDEX(المرجع!$D$2:$D$19,MATCH($I681,المرجع!$E$2:$E$19,0)),"")</f>
        <v>الأهداف ومؤشرات الأداء</v>
      </c>
      <c r="K681" s="15">
        <f>IFERROR(INDEX(المرجع!$F$2:$F$19,MATCH($I681,المرجع!$E$2:$E$19,0)),"")</f>
        <v>2</v>
      </c>
      <c r="L681" s="15">
        <f>SUMIFS(المرجع!$H$2:$H$19,المرجع!$B$2:$B$19,$G681,المرجع!$E$2:$E$19,$I681)</f>
        <v>2</v>
      </c>
      <c r="M681" s="15">
        <f>COUNTIFS('المرتبطة بسمو الوزير'!$B$2:$B$151,$B681,'المرتبطة بسمو الوزير'!$G$2:$G$151,$G681,'المرتبطة بسمو الوزير'!$I$2:$I$151,$I681,'المرتبطة بسمو الوزير'!$M$2:$M$151,"&lt;&gt;")+COUNTIFS('الشؤون التنفيذية'!$B$2:$B$421,$B681,'الشؤون التنفيذية'!$G$2:$G$421,$G681,'الشؤون التنفيذية'!$I$2:$I$421,$I681,'الشؤون التنفيذية'!$N$2:$N$421,"&lt;&gt;")+COUNTIFS('الجهاز العسكري'!$B$2:$B$631,$B681,'الجهاز العسكري'!$G$2:$G$631,$G681,'الجهاز العسكري'!$I$2:$I$631,$I681,'الجهاز العسكري'!$M$2:$M$631,"&lt;&gt;")</f>
        <v>2</v>
      </c>
      <c r="N681" s="19">
        <f>IF($L681=0,0,ROUND((SUMIFS('المرتبطة بسمو الوزير'!$M$2:$M$151,'المرتبطة بسمو الوزير'!$B$2:$B$151,$B681,'المرتبطة بسمو الوزير'!$G$2:$G$151,$G681,'المرتبطة بسمو الوزير'!$I$2:$I$151,$I681)+SUMIFS('الشؤون التنفيذية'!$N$2:$N$421,'الشؤون التنفيذية'!$B$2:$B$421,$B681,'الشؤون التنفيذية'!$G$2:$G$421,$G681,'الشؤون التنفيذية'!$I$2:$I$421,$I681)+SUMIFS('الجهاز العسكري'!$M$2:$M$631,'الجهاز العسكري'!$B$2:$B$631,$B681,'الجهاز العسكري'!$G$2:$G$631,$G681,'الجهاز العسكري'!$I$2:$I$631,$I681))/$L681,0))</f>
        <v>15</v>
      </c>
      <c r="O681" s="18"/>
      <c r="P681" s="15">
        <f>SUMIFS(المرجع!$G$2:$G$19,المرجع!$B$2:$B$19,$G681,المرجع!$E$2:$E$19,$I681)</f>
        <v>25</v>
      </c>
      <c r="Q681" s="20">
        <f t="shared" si="11"/>
        <v>3.75</v>
      </c>
      <c r="R681" s="21" t="str">
        <f>IF($N681&gt;المرجع!$K$3,"متقدم",IF($N681&lt;=المرجع!$K$2,"أولي","جزئي"))</f>
        <v>أولي</v>
      </c>
    </row>
    <row r="682" spans="1:18">
      <c r="A682" s="16" t="s">
        <v>2122</v>
      </c>
      <c r="B682" s="16" t="s">
        <v>226</v>
      </c>
      <c r="C682" s="15" t="str">
        <f>IFERROR(INDEX('قائمة الوحدات'!$B$2:$B$41,MATCH($B682,'قائمة الوحدات'!$A$2:$A$41,0)),"")</f>
        <v>MIL</v>
      </c>
      <c r="D682" s="14" t="str">
        <f>IFERROR(INDEX('قائمة الوحدات'!$C$2:$C$41,MATCH($B682,'قائمة الوحدات'!$A$2:$A$41,0)),"")</f>
        <v>الجهاز العسكري</v>
      </c>
      <c r="E682" s="14" t="str">
        <f>IFERROR(INDEX('قائمة الوحدات'!$D$2:$D$41,MATCH($B682,'قائمة الوحدات'!$A$2:$A$41,0)),"")</f>
        <v>الإدارة العامة للمالية والميزانية العسكرية</v>
      </c>
      <c r="F682" s="14" t="str">
        <f>IFERROR(INDEX('قائمة الوحدات'!$F$2:$F$41,MATCH($B682,'قائمة الوحدات'!$A$2:$A$41,0)),"")</f>
        <v>الإدارة العامة للمالية والميزانية العسكرية</v>
      </c>
      <c r="G682" s="16" t="s">
        <v>65</v>
      </c>
      <c r="H682" s="14" t="str">
        <f>IFERROR(INDEX(المرجع!$A$2:$A$19,MATCH($G682,المرجع!$B$2:$B$19,0)),"")</f>
        <v>التشغيل</v>
      </c>
      <c r="I682" s="16" t="s">
        <v>51</v>
      </c>
      <c r="J682" s="14" t="str">
        <f>IFERROR(INDEX(المرجع!$D$2:$D$19,MATCH($I682,المرجع!$E$2:$E$19,0)),"")</f>
        <v>الحوكمة</v>
      </c>
      <c r="K682" s="15">
        <f>IFERROR(INDEX(المرجع!$F$2:$F$19,MATCH($I682,المرجع!$E$2:$E$19,0)),"")</f>
        <v>3</v>
      </c>
      <c r="L682" s="15">
        <f>SUMIFS(المرجع!$H$2:$H$19,المرجع!$B$2:$B$19,$G682,المرجع!$E$2:$E$19,$I682)</f>
        <v>3</v>
      </c>
      <c r="M682" s="15">
        <f>COUNTIFS('المرتبطة بسمو الوزير'!$B$2:$B$151,$B682,'المرتبطة بسمو الوزير'!$G$2:$G$151,$G682,'المرتبطة بسمو الوزير'!$I$2:$I$151,$I682,'المرتبطة بسمو الوزير'!$M$2:$M$151,"&lt;&gt;")+COUNTIFS('الشؤون التنفيذية'!$B$2:$B$421,$B682,'الشؤون التنفيذية'!$G$2:$G$421,$G682,'الشؤون التنفيذية'!$I$2:$I$421,$I682,'الشؤون التنفيذية'!$N$2:$N$421,"&lt;&gt;")+COUNTIFS('الجهاز العسكري'!$B$2:$B$631,$B682,'الجهاز العسكري'!$G$2:$G$631,$G682,'الجهاز العسكري'!$I$2:$I$631,$I682,'الجهاز العسكري'!$M$2:$M$631,"&lt;&gt;")</f>
        <v>3</v>
      </c>
      <c r="N682" s="19">
        <f>IF($L682=0,0,ROUND((SUMIFS('المرتبطة بسمو الوزير'!$M$2:$M$151,'المرتبطة بسمو الوزير'!$B$2:$B$151,$B682,'المرتبطة بسمو الوزير'!$G$2:$G$151,$G682,'المرتبطة بسمو الوزير'!$I$2:$I$151,$I682)+SUMIFS('الشؤون التنفيذية'!$N$2:$N$421,'الشؤون التنفيذية'!$B$2:$B$421,$B682,'الشؤون التنفيذية'!$G$2:$G$421,$G682,'الشؤون التنفيذية'!$I$2:$I$421,$I682)+SUMIFS('الجهاز العسكري'!$M$2:$M$631,'الجهاز العسكري'!$B$2:$B$631,$B682,'الجهاز العسكري'!$G$2:$G$631,$G682,'الجهاز العسكري'!$I$2:$I$631,$I682))/$L682,0))</f>
        <v>60</v>
      </c>
      <c r="O682" s="18"/>
      <c r="P682" s="15">
        <f>SUMIFS(المرجع!$G$2:$G$19,المرجع!$B$2:$B$19,$G682,المرجع!$E$2:$E$19,$I682)</f>
        <v>15</v>
      </c>
      <c r="Q682" s="20">
        <f t="shared" si="11"/>
        <v>9</v>
      </c>
      <c r="R682" s="21" t="str">
        <f>IF($N682&gt;المرجع!$K$3,"متقدم",IF($N682&lt;=المرجع!$K$2,"أولي","جزئي"))</f>
        <v>جزئي</v>
      </c>
    </row>
    <row r="683" spans="1:18">
      <c r="A683" s="16" t="s">
        <v>2123</v>
      </c>
      <c r="B683" s="16" t="s">
        <v>226</v>
      </c>
      <c r="C683" s="15" t="str">
        <f>IFERROR(INDEX('قائمة الوحدات'!$B$2:$B$41,MATCH($B683,'قائمة الوحدات'!$A$2:$A$41,0)),"")</f>
        <v>MIL</v>
      </c>
      <c r="D683" s="14" t="str">
        <f>IFERROR(INDEX('قائمة الوحدات'!$C$2:$C$41,MATCH($B683,'قائمة الوحدات'!$A$2:$A$41,0)),"")</f>
        <v>الجهاز العسكري</v>
      </c>
      <c r="E683" s="14" t="str">
        <f>IFERROR(INDEX('قائمة الوحدات'!$D$2:$D$41,MATCH($B683,'قائمة الوحدات'!$A$2:$A$41,0)),"")</f>
        <v>الإدارة العامة للمالية والميزانية العسكرية</v>
      </c>
      <c r="F683" s="14" t="str">
        <f>IFERROR(INDEX('قائمة الوحدات'!$F$2:$F$41,MATCH($B683,'قائمة الوحدات'!$A$2:$A$41,0)),"")</f>
        <v>الإدارة العامة للمالية والميزانية العسكرية</v>
      </c>
      <c r="G683" s="16" t="s">
        <v>65</v>
      </c>
      <c r="H683" s="14" t="str">
        <f>IFERROR(INDEX(المرجع!$A$2:$A$19,MATCH($G683,المرجع!$B$2:$B$19,0)),"")</f>
        <v>التشغيل</v>
      </c>
      <c r="I683" s="16" t="s">
        <v>56</v>
      </c>
      <c r="J683" s="14" t="str">
        <f>IFERROR(INDEX(المرجع!$D$2:$D$19,MATCH($I683,المرجع!$E$2:$E$19,0)),"")</f>
        <v>الموارد</v>
      </c>
      <c r="K683" s="15">
        <f>IFERROR(INDEX(المرجع!$F$2:$F$19,MATCH($I683,المرجع!$E$2:$E$19,0)),"")</f>
        <v>5</v>
      </c>
      <c r="L683" s="15">
        <f>SUMIFS(المرجع!$H$2:$H$19,المرجع!$B$2:$B$19,$G683,المرجع!$E$2:$E$19,$I683)</f>
        <v>1</v>
      </c>
      <c r="M683" s="15">
        <f>COUNTIFS('المرتبطة بسمو الوزير'!$B$2:$B$151,$B683,'المرتبطة بسمو الوزير'!$G$2:$G$151,$G683,'المرتبطة بسمو الوزير'!$I$2:$I$151,$I683,'المرتبطة بسمو الوزير'!$M$2:$M$151,"&lt;&gt;")+COUNTIFS('الشؤون التنفيذية'!$B$2:$B$421,$B683,'الشؤون التنفيذية'!$G$2:$G$421,$G683,'الشؤون التنفيذية'!$I$2:$I$421,$I683,'الشؤون التنفيذية'!$N$2:$N$421,"&lt;&gt;")+COUNTIFS('الجهاز العسكري'!$B$2:$B$631,$B683,'الجهاز العسكري'!$G$2:$G$631,$G683,'الجهاز العسكري'!$I$2:$I$631,$I683,'الجهاز العسكري'!$M$2:$M$631,"&lt;&gt;")</f>
        <v>1</v>
      </c>
      <c r="N683" s="19">
        <f>IF($L683=0,0,ROUND((SUMIFS('المرتبطة بسمو الوزير'!$M$2:$M$151,'المرتبطة بسمو الوزير'!$B$2:$B$151,$B683,'المرتبطة بسمو الوزير'!$G$2:$G$151,$G683,'المرتبطة بسمو الوزير'!$I$2:$I$151,$I683)+SUMIFS('الشؤون التنفيذية'!$N$2:$N$421,'الشؤون التنفيذية'!$B$2:$B$421,$B683,'الشؤون التنفيذية'!$G$2:$G$421,$G683,'الشؤون التنفيذية'!$I$2:$I$421,$I683)+SUMIFS('الجهاز العسكري'!$M$2:$M$631,'الجهاز العسكري'!$B$2:$B$631,$B683,'الجهاز العسكري'!$G$2:$G$631,$G683,'الجهاز العسكري'!$I$2:$I$631,$I683))/$L683,0))</f>
        <v>37</v>
      </c>
      <c r="O683" s="18"/>
      <c r="P683" s="15">
        <f>SUMIFS(المرجع!$G$2:$G$19,المرجع!$B$2:$B$19,$G683,المرجع!$E$2:$E$19,$I683)</f>
        <v>15</v>
      </c>
      <c r="Q683" s="20">
        <f t="shared" si="11"/>
        <v>5.55</v>
      </c>
      <c r="R683" s="21" t="str">
        <f>IF($N683&gt;المرجع!$K$3,"متقدم",IF($N683&lt;=المرجع!$K$2,"أولي","جزئي"))</f>
        <v>جزئي</v>
      </c>
    </row>
    <row r="684" spans="1:18">
      <c r="A684" s="16" t="s">
        <v>2124</v>
      </c>
      <c r="B684" s="16" t="s">
        <v>226</v>
      </c>
      <c r="C684" s="15" t="str">
        <f>IFERROR(INDEX('قائمة الوحدات'!$B$2:$B$41,MATCH($B684,'قائمة الوحدات'!$A$2:$A$41,0)),"")</f>
        <v>MIL</v>
      </c>
      <c r="D684" s="14" t="str">
        <f>IFERROR(INDEX('قائمة الوحدات'!$C$2:$C$41,MATCH($B684,'قائمة الوحدات'!$A$2:$A$41,0)),"")</f>
        <v>الجهاز العسكري</v>
      </c>
      <c r="E684" s="14" t="str">
        <f>IFERROR(INDEX('قائمة الوحدات'!$D$2:$D$41,MATCH($B684,'قائمة الوحدات'!$A$2:$A$41,0)),"")</f>
        <v>الإدارة العامة للمالية والميزانية العسكرية</v>
      </c>
      <c r="F684" s="14" t="str">
        <f>IFERROR(INDEX('قائمة الوحدات'!$F$2:$F$41,MATCH($B684,'قائمة الوحدات'!$A$2:$A$41,0)),"")</f>
        <v>الإدارة العامة للمالية والميزانية العسكرية</v>
      </c>
      <c r="G684" s="16" t="s">
        <v>65</v>
      </c>
      <c r="H684" s="14" t="str">
        <f>IFERROR(INDEX(المرجع!$A$2:$A$19,MATCH($G684,المرجع!$B$2:$B$19,0)),"")</f>
        <v>التشغيل</v>
      </c>
      <c r="I684" s="16" t="s">
        <v>59</v>
      </c>
      <c r="J684" s="14" t="str">
        <f>IFERROR(INDEX(المرجع!$D$2:$D$19,MATCH($I684,المرجع!$E$2:$E$19,0)),"")</f>
        <v>الإجراءات</v>
      </c>
      <c r="K684" s="15">
        <f>IFERROR(INDEX(المرجع!$F$2:$F$19,MATCH($I684,المرجع!$E$2:$E$19,0)),"")</f>
        <v>6</v>
      </c>
      <c r="L684" s="15">
        <f>SUMIFS(المرجع!$H$2:$H$19,المرجع!$B$2:$B$19,$G684,المرجع!$E$2:$E$19,$I684)</f>
        <v>1</v>
      </c>
      <c r="M684" s="15">
        <f>COUNTIFS('المرتبطة بسمو الوزير'!$B$2:$B$151,$B684,'المرتبطة بسمو الوزير'!$G$2:$G$151,$G684,'المرتبطة بسمو الوزير'!$I$2:$I$151,$I684,'المرتبطة بسمو الوزير'!$M$2:$M$151,"&lt;&gt;")+COUNTIFS('الشؤون التنفيذية'!$B$2:$B$421,$B684,'الشؤون التنفيذية'!$G$2:$G$421,$G684,'الشؤون التنفيذية'!$I$2:$I$421,$I684,'الشؤون التنفيذية'!$N$2:$N$421,"&lt;&gt;")+COUNTIFS('الجهاز العسكري'!$B$2:$B$631,$B684,'الجهاز العسكري'!$G$2:$G$631,$G684,'الجهاز العسكري'!$I$2:$I$631,$I684,'الجهاز العسكري'!$M$2:$M$631,"&lt;&gt;")</f>
        <v>1</v>
      </c>
      <c r="N684" s="19">
        <f>IF($L684=0,0,ROUND((SUMIFS('المرتبطة بسمو الوزير'!$M$2:$M$151,'المرتبطة بسمو الوزير'!$B$2:$B$151,$B684,'المرتبطة بسمو الوزير'!$G$2:$G$151,$G684,'المرتبطة بسمو الوزير'!$I$2:$I$151,$I684)+SUMIFS('الشؤون التنفيذية'!$N$2:$N$421,'الشؤون التنفيذية'!$B$2:$B$421,$B684,'الشؤون التنفيذية'!$G$2:$G$421,$G684,'الشؤون التنفيذية'!$I$2:$I$421,$I684)+SUMIFS('الجهاز العسكري'!$M$2:$M$631,'الجهاز العسكري'!$B$2:$B$631,$B684,'الجهاز العسكري'!$G$2:$G$631,$G684,'الجهاز العسكري'!$I$2:$I$631,$I684))/$L684,0))</f>
        <v>34</v>
      </c>
      <c r="O684" s="18"/>
      <c r="P684" s="15">
        <f>SUMIFS(المرجع!$G$2:$G$19,المرجع!$B$2:$B$19,$G684,المرجع!$E$2:$E$19,$I684)</f>
        <v>15</v>
      </c>
      <c r="Q684" s="20">
        <f t="shared" si="11"/>
        <v>5.0999999999999996</v>
      </c>
      <c r="R684" s="21" t="str">
        <f>IF($N684&gt;المرجع!$K$3,"متقدم",IF($N684&lt;=المرجع!$K$2,"أولي","جزئي"))</f>
        <v>جزئي</v>
      </c>
    </row>
    <row r="685" spans="1:18">
      <c r="A685" s="16" t="s">
        <v>2125</v>
      </c>
      <c r="B685" s="16" t="s">
        <v>226</v>
      </c>
      <c r="C685" s="15" t="str">
        <f>IFERROR(INDEX('قائمة الوحدات'!$B$2:$B$41,MATCH($B685,'قائمة الوحدات'!$A$2:$A$41,0)),"")</f>
        <v>MIL</v>
      </c>
      <c r="D685" s="14" t="str">
        <f>IFERROR(INDEX('قائمة الوحدات'!$C$2:$C$41,MATCH($B685,'قائمة الوحدات'!$A$2:$A$41,0)),"")</f>
        <v>الجهاز العسكري</v>
      </c>
      <c r="E685" s="14" t="str">
        <f>IFERROR(INDEX('قائمة الوحدات'!$D$2:$D$41,MATCH($B685,'قائمة الوحدات'!$A$2:$A$41,0)),"")</f>
        <v>الإدارة العامة للمالية والميزانية العسكرية</v>
      </c>
      <c r="F685" s="14" t="str">
        <f>IFERROR(INDEX('قائمة الوحدات'!$F$2:$F$41,MATCH($B685,'قائمة الوحدات'!$A$2:$A$41,0)),"")</f>
        <v>الإدارة العامة للمالية والميزانية العسكرية</v>
      </c>
      <c r="G685" s="16" t="s">
        <v>65</v>
      </c>
      <c r="H685" s="14" t="str">
        <f>IFERROR(INDEX(المرجع!$A$2:$A$19,MATCH($G685,المرجع!$B$2:$B$19,0)),"")</f>
        <v>التشغيل</v>
      </c>
      <c r="I685" s="16" t="s">
        <v>67</v>
      </c>
      <c r="J685" s="14" t="str">
        <f>IFERROR(INDEX(المرجع!$D$2:$D$19,MATCH($I685,المرجع!$E$2:$E$19,0)),"")</f>
        <v>اكتمال المخرجات المستهدفة</v>
      </c>
      <c r="K685" s="15">
        <f>IFERROR(INDEX(المرجع!$F$2:$F$19,MATCH($I685,المرجع!$E$2:$E$19,0)),"")</f>
        <v>8</v>
      </c>
      <c r="L685" s="15">
        <f>SUMIFS(المرجع!$H$2:$H$19,المرجع!$B$2:$B$19,$G685,المرجع!$E$2:$E$19,$I685)</f>
        <v>1</v>
      </c>
      <c r="M685" s="15">
        <f>COUNTIFS('المرتبطة بسمو الوزير'!$B$2:$B$151,$B685,'المرتبطة بسمو الوزير'!$G$2:$G$151,$G685,'المرتبطة بسمو الوزير'!$I$2:$I$151,$I685,'المرتبطة بسمو الوزير'!$M$2:$M$151,"&lt;&gt;")+COUNTIFS('الشؤون التنفيذية'!$B$2:$B$421,$B685,'الشؤون التنفيذية'!$G$2:$G$421,$G685,'الشؤون التنفيذية'!$I$2:$I$421,$I685,'الشؤون التنفيذية'!$N$2:$N$421,"&lt;&gt;")+COUNTIFS('الجهاز العسكري'!$B$2:$B$631,$B685,'الجهاز العسكري'!$G$2:$G$631,$G685,'الجهاز العسكري'!$I$2:$I$631,$I685,'الجهاز العسكري'!$M$2:$M$631,"&lt;&gt;")</f>
        <v>1</v>
      </c>
      <c r="N685" s="19">
        <f>IF($L685=0,0,ROUND((SUMIFS('المرتبطة بسمو الوزير'!$M$2:$M$151,'المرتبطة بسمو الوزير'!$B$2:$B$151,$B685,'المرتبطة بسمو الوزير'!$G$2:$G$151,$G685,'المرتبطة بسمو الوزير'!$I$2:$I$151,$I685)+SUMIFS('الشؤون التنفيذية'!$N$2:$N$421,'الشؤون التنفيذية'!$B$2:$B$421,$B685,'الشؤون التنفيذية'!$G$2:$G$421,$G685,'الشؤون التنفيذية'!$I$2:$I$421,$I685)+SUMIFS('الجهاز العسكري'!$M$2:$M$631,'الجهاز العسكري'!$B$2:$B$631,$B685,'الجهاز العسكري'!$G$2:$G$631,$G685,'الجهاز العسكري'!$I$2:$I$631,$I685))/$L685,0))</f>
        <v>32</v>
      </c>
      <c r="O685" s="18"/>
      <c r="P685" s="15">
        <f>SUMIFS(المرجع!$G$2:$G$19,المرجع!$B$2:$B$19,$G685,المرجع!$E$2:$E$19,$I685)</f>
        <v>30</v>
      </c>
      <c r="Q685" s="20">
        <f t="shared" si="11"/>
        <v>9.6</v>
      </c>
      <c r="R685" s="21" t="str">
        <f>IF($N685&gt;المرجع!$K$3,"متقدم",IF($N685&lt;=المرجع!$K$2,"أولي","جزئي"))</f>
        <v>جزئي</v>
      </c>
    </row>
    <row r="686" spans="1:18">
      <c r="A686" s="16" t="s">
        <v>2126</v>
      </c>
      <c r="B686" s="16" t="s">
        <v>228</v>
      </c>
      <c r="C686" s="15" t="str">
        <f>IFERROR(INDEX('قائمة الوحدات'!$B$2:$B$41,MATCH($B686,'قائمة الوحدات'!$A$2:$A$41,0)),"")</f>
        <v>MIL</v>
      </c>
      <c r="D686" s="14" t="str">
        <f>IFERROR(INDEX('قائمة الوحدات'!$C$2:$C$41,MATCH($B686,'قائمة الوحدات'!$A$2:$A$41,0)),"")</f>
        <v>الجهاز العسكري</v>
      </c>
      <c r="E686" s="14" t="str">
        <f>IFERROR(INDEX('قائمة الوحدات'!$D$2:$D$41,MATCH($B686,'قائمة الوحدات'!$A$2:$A$41,0)),"")</f>
        <v>الإدارة العامة للعلاقات العامة والإعلام العسكري</v>
      </c>
      <c r="F686" s="14" t="str">
        <f>IFERROR(INDEX('قائمة الوحدات'!$F$2:$F$41,MATCH($B686,'قائمة الوحدات'!$A$2:$A$41,0)),"")</f>
        <v>الإدارة العامة للعلاقات العامة والإعلام العسكري</v>
      </c>
      <c r="G686" s="16" t="s">
        <v>43</v>
      </c>
      <c r="H686" s="14" t="str">
        <f>IFERROR(INDEX(المرجع!$A$2:$A$19,MATCH($G686,المرجع!$B$2:$B$19,0)),"")</f>
        <v>التصميم</v>
      </c>
      <c r="I686" s="16" t="s">
        <v>45</v>
      </c>
      <c r="J686" s="14" t="str">
        <f>IFERROR(INDEX(المرجع!$D$2:$D$19,MATCH($I686,المرجع!$E$2:$E$19,0)),"")</f>
        <v>الدور</v>
      </c>
      <c r="K686" s="15">
        <f>IFERROR(INDEX(المرجع!$F$2:$F$19,MATCH($I686,المرجع!$E$2:$E$19,0)),"")</f>
        <v>1</v>
      </c>
      <c r="L686" s="15">
        <f>SUMIFS(المرجع!$H$2:$H$19,المرجع!$B$2:$B$19,$G686,المرجع!$E$2:$E$19,$I686)</f>
        <v>1</v>
      </c>
      <c r="M686" s="15">
        <f>COUNTIFS('المرتبطة بسمو الوزير'!$B$2:$B$151,$B686,'المرتبطة بسمو الوزير'!$G$2:$G$151,$G686,'المرتبطة بسمو الوزير'!$I$2:$I$151,$I686,'المرتبطة بسمو الوزير'!$M$2:$M$151,"&lt;&gt;")+COUNTIFS('الشؤون التنفيذية'!$B$2:$B$421,$B686,'الشؤون التنفيذية'!$G$2:$G$421,$G686,'الشؤون التنفيذية'!$I$2:$I$421,$I686,'الشؤون التنفيذية'!$N$2:$N$421,"&lt;&gt;")+COUNTIFS('الجهاز العسكري'!$B$2:$B$631,$B686,'الجهاز العسكري'!$G$2:$G$631,$G686,'الجهاز العسكري'!$I$2:$I$631,$I686,'الجهاز العسكري'!$M$2:$M$631,"&lt;&gt;")</f>
        <v>1</v>
      </c>
      <c r="N686" s="19">
        <f>IF($L686=0,0,ROUND((SUMIFS('المرتبطة بسمو الوزير'!$M$2:$M$151,'المرتبطة بسمو الوزير'!$B$2:$B$151,$B686,'المرتبطة بسمو الوزير'!$G$2:$G$151,$G686,'المرتبطة بسمو الوزير'!$I$2:$I$151,$I686)+SUMIFS('الشؤون التنفيذية'!$N$2:$N$421,'الشؤون التنفيذية'!$B$2:$B$421,$B686,'الشؤون التنفيذية'!$G$2:$G$421,$G686,'الشؤون التنفيذية'!$I$2:$I$421,$I686)+SUMIFS('الجهاز العسكري'!$M$2:$M$631,'الجهاز العسكري'!$B$2:$B$631,$B686,'الجهاز العسكري'!$G$2:$G$631,$G686,'الجهاز العسكري'!$I$2:$I$631,$I686))/$L686,0))</f>
        <v>71</v>
      </c>
      <c r="O686" s="18"/>
      <c r="P686" s="15">
        <f>SUMIFS(المرجع!$G$2:$G$19,المرجع!$B$2:$B$19,$G686,المرجع!$E$2:$E$19,$I686)</f>
        <v>25</v>
      </c>
      <c r="Q686" s="20">
        <f t="shared" si="11"/>
        <v>17.75</v>
      </c>
      <c r="R686" s="21" t="str">
        <f>IF($N686&gt;المرجع!$K$3,"متقدم",IF($N686&lt;=المرجع!$K$2,"أولي","جزئي"))</f>
        <v>متقدم</v>
      </c>
    </row>
    <row r="687" spans="1:18">
      <c r="A687" s="16" t="s">
        <v>2127</v>
      </c>
      <c r="B687" s="16" t="s">
        <v>228</v>
      </c>
      <c r="C687" s="15" t="str">
        <f>IFERROR(INDEX('قائمة الوحدات'!$B$2:$B$41,MATCH($B687,'قائمة الوحدات'!$A$2:$A$41,0)),"")</f>
        <v>MIL</v>
      </c>
      <c r="D687" s="14" t="str">
        <f>IFERROR(INDEX('قائمة الوحدات'!$C$2:$C$41,MATCH($B687,'قائمة الوحدات'!$A$2:$A$41,0)),"")</f>
        <v>الجهاز العسكري</v>
      </c>
      <c r="E687" s="14" t="str">
        <f>IFERROR(INDEX('قائمة الوحدات'!$D$2:$D$41,MATCH($B687,'قائمة الوحدات'!$A$2:$A$41,0)),"")</f>
        <v>الإدارة العامة للعلاقات العامة والإعلام العسكري</v>
      </c>
      <c r="F687" s="14" t="str">
        <f>IFERROR(INDEX('قائمة الوحدات'!$F$2:$F$41,MATCH($B687,'قائمة الوحدات'!$A$2:$A$41,0)),"")</f>
        <v>الإدارة العامة للعلاقات العامة والإعلام العسكري</v>
      </c>
      <c r="G687" s="16" t="s">
        <v>43</v>
      </c>
      <c r="H687" s="14" t="str">
        <f>IFERROR(INDEX(المرجع!$A$2:$A$19,MATCH($G687,المرجع!$B$2:$B$19,0)),"")</f>
        <v>التصميم</v>
      </c>
      <c r="I687" s="16" t="s">
        <v>48</v>
      </c>
      <c r="J687" s="14" t="str">
        <f>IFERROR(INDEX(المرجع!$D$2:$D$19,MATCH($I687,المرجع!$E$2:$E$19,0)),"")</f>
        <v>الأهداف ومؤشرات الأداء</v>
      </c>
      <c r="K687" s="15">
        <f>IFERROR(INDEX(المرجع!$F$2:$F$19,MATCH($I687,المرجع!$E$2:$E$19,0)),"")</f>
        <v>2</v>
      </c>
      <c r="L687" s="15">
        <f>SUMIFS(المرجع!$H$2:$H$19,المرجع!$B$2:$B$19,$G687,المرجع!$E$2:$E$19,$I687)</f>
        <v>2</v>
      </c>
      <c r="M687" s="15">
        <f>COUNTIFS('المرتبطة بسمو الوزير'!$B$2:$B$151,$B687,'المرتبطة بسمو الوزير'!$G$2:$G$151,$G687,'المرتبطة بسمو الوزير'!$I$2:$I$151,$I687,'المرتبطة بسمو الوزير'!$M$2:$M$151,"&lt;&gt;")+COUNTIFS('الشؤون التنفيذية'!$B$2:$B$421,$B687,'الشؤون التنفيذية'!$G$2:$G$421,$G687,'الشؤون التنفيذية'!$I$2:$I$421,$I687,'الشؤون التنفيذية'!$N$2:$N$421,"&lt;&gt;")+COUNTIFS('الجهاز العسكري'!$B$2:$B$631,$B687,'الجهاز العسكري'!$G$2:$G$631,$G687,'الجهاز العسكري'!$I$2:$I$631,$I687,'الجهاز العسكري'!$M$2:$M$631,"&lt;&gt;")</f>
        <v>2</v>
      </c>
      <c r="N687" s="19">
        <f>IF($L687=0,0,ROUND((SUMIFS('المرتبطة بسمو الوزير'!$M$2:$M$151,'المرتبطة بسمو الوزير'!$B$2:$B$151,$B687,'المرتبطة بسمو الوزير'!$G$2:$G$151,$G687,'المرتبطة بسمو الوزير'!$I$2:$I$151,$I687)+SUMIFS('الشؤون التنفيذية'!$N$2:$N$421,'الشؤون التنفيذية'!$B$2:$B$421,$B687,'الشؤون التنفيذية'!$G$2:$G$421,$G687,'الشؤون التنفيذية'!$I$2:$I$421,$I687)+SUMIFS('الجهاز العسكري'!$M$2:$M$631,'الجهاز العسكري'!$B$2:$B$631,$B687,'الجهاز العسكري'!$G$2:$G$631,$G687,'الجهاز العسكري'!$I$2:$I$631,$I687))/$L687,0))</f>
        <v>70</v>
      </c>
      <c r="O687" s="18"/>
      <c r="P687" s="15">
        <f>SUMIFS(المرجع!$G$2:$G$19,المرجع!$B$2:$B$19,$G687,المرجع!$E$2:$E$19,$I687)</f>
        <v>15</v>
      </c>
      <c r="Q687" s="20">
        <f t="shared" si="11"/>
        <v>10.5</v>
      </c>
      <c r="R687" s="21" t="str">
        <f>IF($N687&gt;المرجع!$K$3,"متقدم",IF($N687&lt;=المرجع!$K$2,"أولي","جزئي"))</f>
        <v>جزئي</v>
      </c>
    </row>
    <row r="688" spans="1:18">
      <c r="A688" s="16" t="s">
        <v>2128</v>
      </c>
      <c r="B688" s="16" t="s">
        <v>228</v>
      </c>
      <c r="C688" s="15" t="str">
        <f>IFERROR(INDEX('قائمة الوحدات'!$B$2:$B$41,MATCH($B688,'قائمة الوحدات'!$A$2:$A$41,0)),"")</f>
        <v>MIL</v>
      </c>
      <c r="D688" s="14" t="str">
        <f>IFERROR(INDEX('قائمة الوحدات'!$C$2:$C$41,MATCH($B688,'قائمة الوحدات'!$A$2:$A$41,0)),"")</f>
        <v>الجهاز العسكري</v>
      </c>
      <c r="E688" s="14" t="str">
        <f>IFERROR(INDEX('قائمة الوحدات'!$D$2:$D$41,MATCH($B688,'قائمة الوحدات'!$A$2:$A$41,0)),"")</f>
        <v>الإدارة العامة للعلاقات العامة والإعلام العسكري</v>
      </c>
      <c r="F688" s="14" t="str">
        <f>IFERROR(INDEX('قائمة الوحدات'!$F$2:$F$41,MATCH($B688,'قائمة الوحدات'!$A$2:$A$41,0)),"")</f>
        <v>الإدارة العامة للعلاقات العامة والإعلام العسكري</v>
      </c>
      <c r="G688" s="16" t="s">
        <v>43</v>
      </c>
      <c r="H688" s="14" t="str">
        <f>IFERROR(INDEX(المرجع!$A$2:$A$19,MATCH($G688,المرجع!$B$2:$B$19,0)),"")</f>
        <v>التصميم</v>
      </c>
      <c r="I688" s="16" t="s">
        <v>51</v>
      </c>
      <c r="J688" s="14" t="str">
        <f>IFERROR(INDEX(المرجع!$D$2:$D$19,MATCH($I688,المرجع!$E$2:$E$19,0)),"")</f>
        <v>الحوكمة</v>
      </c>
      <c r="K688" s="15">
        <f>IFERROR(INDEX(المرجع!$F$2:$F$19,MATCH($I688,المرجع!$E$2:$E$19,0)),"")</f>
        <v>3</v>
      </c>
      <c r="L688" s="15">
        <f>SUMIFS(المرجع!$H$2:$H$19,المرجع!$B$2:$B$19,$G688,المرجع!$E$2:$E$19,$I688)</f>
        <v>1</v>
      </c>
      <c r="M688" s="15">
        <f>COUNTIFS('المرتبطة بسمو الوزير'!$B$2:$B$151,$B688,'المرتبطة بسمو الوزير'!$G$2:$G$151,$G688,'المرتبطة بسمو الوزير'!$I$2:$I$151,$I688,'المرتبطة بسمو الوزير'!$M$2:$M$151,"&lt;&gt;")+COUNTIFS('الشؤون التنفيذية'!$B$2:$B$421,$B688,'الشؤون التنفيذية'!$G$2:$G$421,$G688,'الشؤون التنفيذية'!$I$2:$I$421,$I688,'الشؤون التنفيذية'!$N$2:$N$421,"&lt;&gt;")+COUNTIFS('الجهاز العسكري'!$B$2:$B$631,$B688,'الجهاز العسكري'!$G$2:$G$631,$G688,'الجهاز العسكري'!$I$2:$I$631,$I688,'الجهاز العسكري'!$M$2:$M$631,"&lt;&gt;")</f>
        <v>1</v>
      </c>
      <c r="N688" s="19">
        <f>IF($L688=0,0,ROUND((SUMIFS('المرتبطة بسمو الوزير'!$M$2:$M$151,'المرتبطة بسمو الوزير'!$B$2:$B$151,$B688,'المرتبطة بسمو الوزير'!$G$2:$G$151,$G688,'المرتبطة بسمو الوزير'!$I$2:$I$151,$I688)+SUMIFS('الشؤون التنفيذية'!$N$2:$N$421,'الشؤون التنفيذية'!$B$2:$B$421,$B688,'الشؤون التنفيذية'!$G$2:$G$421,$G688,'الشؤون التنفيذية'!$I$2:$I$421,$I688)+SUMIFS('الجهاز العسكري'!$M$2:$M$631,'الجهاز العسكري'!$B$2:$B$631,$B688,'الجهاز العسكري'!$G$2:$G$631,$G688,'الجهاز العسكري'!$I$2:$I$631,$I688))/$L688,0))</f>
        <v>81</v>
      </c>
      <c r="O688" s="18"/>
      <c r="P688" s="15">
        <f>SUMIFS(المرجع!$G$2:$G$19,المرجع!$B$2:$B$19,$G688,المرجع!$E$2:$E$19,$I688)</f>
        <v>15</v>
      </c>
      <c r="Q688" s="20">
        <f t="shared" si="11"/>
        <v>12.15</v>
      </c>
      <c r="R688" s="21" t="str">
        <f>IF($N688&gt;المرجع!$K$3,"متقدم",IF($N688&lt;=المرجع!$K$2,"أولي","جزئي"))</f>
        <v>متقدم</v>
      </c>
    </row>
    <row r="689" spans="1:18">
      <c r="A689" s="16" t="s">
        <v>2129</v>
      </c>
      <c r="B689" s="16" t="s">
        <v>228</v>
      </c>
      <c r="C689" s="15" t="str">
        <f>IFERROR(INDEX('قائمة الوحدات'!$B$2:$B$41,MATCH($B689,'قائمة الوحدات'!$A$2:$A$41,0)),"")</f>
        <v>MIL</v>
      </c>
      <c r="D689" s="14" t="str">
        <f>IFERROR(INDEX('قائمة الوحدات'!$C$2:$C$41,MATCH($B689,'قائمة الوحدات'!$A$2:$A$41,0)),"")</f>
        <v>الجهاز العسكري</v>
      </c>
      <c r="E689" s="14" t="str">
        <f>IFERROR(INDEX('قائمة الوحدات'!$D$2:$D$41,MATCH($B689,'قائمة الوحدات'!$A$2:$A$41,0)),"")</f>
        <v>الإدارة العامة للعلاقات العامة والإعلام العسكري</v>
      </c>
      <c r="F689" s="14" t="str">
        <f>IFERROR(INDEX('قائمة الوحدات'!$F$2:$F$41,MATCH($B689,'قائمة الوحدات'!$A$2:$A$41,0)),"")</f>
        <v>الإدارة العامة للعلاقات العامة والإعلام العسكري</v>
      </c>
      <c r="G689" s="16" t="s">
        <v>43</v>
      </c>
      <c r="H689" s="14" t="str">
        <f>IFERROR(INDEX(المرجع!$A$2:$A$19,MATCH($G689,المرجع!$B$2:$B$19,0)),"")</f>
        <v>التصميم</v>
      </c>
      <c r="I689" s="16" t="s">
        <v>54</v>
      </c>
      <c r="J689" s="14" t="str">
        <f>IFERROR(INDEX(المرجع!$D$2:$D$19,MATCH($I689,المرجع!$E$2:$E$19,0)),"")</f>
        <v>التنظيم</v>
      </c>
      <c r="K689" s="15">
        <f>IFERROR(INDEX(المرجع!$F$2:$F$19,MATCH($I689,المرجع!$E$2:$E$19,0)),"")</f>
        <v>4</v>
      </c>
      <c r="L689" s="15">
        <f>SUMIFS(المرجع!$H$2:$H$19,المرجع!$B$2:$B$19,$G689,المرجع!$E$2:$E$19,$I689)</f>
        <v>1</v>
      </c>
      <c r="M689" s="15">
        <f>COUNTIFS('المرتبطة بسمو الوزير'!$B$2:$B$151,$B689,'المرتبطة بسمو الوزير'!$G$2:$G$151,$G689,'المرتبطة بسمو الوزير'!$I$2:$I$151,$I689,'المرتبطة بسمو الوزير'!$M$2:$M$151,"&lt;&gt;")+COUNTIFS('الشؤون التنفيذية'!$B$2:$B$421,$B689,'الشؤون التنفيذية'!$G$2:$G$421,$G689,'الشؤون التنفيذية'!$I$2:$I$421,$I689,'الشؤون التنفيذية'!$N$2:$N$421,"&lt;&gt;")+COUNTIFS('الجهاز العسكري'!$B$2:$B$631,$B689,'الجهاز العسكري'!$G$2:$G$631,$G689,'الجهاز العسكري'!$I$2:$I$631,$I689,'الجهاز العسكري'!$M$2:$M$631,"&lt;&gt;")</f>
        <v>1</v>
      </c>
      <c r="N689" s="19">
        <f>IF($L689=0,0,ROUND((SUMIFS('المرتبطة بسمو الوزير'!$M$2:$M$151,'المرتبطة بسمو الوزير'!$B$2:$B$151,$B689,'المرتبطة بسمو الوزير'!$G$2:$G$151,$G689,'المرتبطة بسمو الوزير'!$I$2:$I$151,$I689)+SUMIFS('الشؤون التنفيذية'!$N$2:$N$421,'الشؤون التنفيذية'!$B$2:$B$421,$B689,'الشؤون التنفيذية'!$G$2:$G$421,$G689,'الشؤون التنفيذية'!$I$2:$I$421,$I689)+SUMIFS('الجهاز العسكري'!$M$2:$M$631,'الجهاز العسكري'!$B$2:$B$631,$B689,'الجهاز العسكري'!$G$2:$G$631,$G689,'الجهاز العسكري'!$I$2:$I$631,$I689))/$L689,0))</f>
        <v>77</v>
      </c>
      <c r="O689" s="18"/>
      <c r="P689" s="15">
        <f>SUMIFS(المرجع!$G$2:$G$19,المرجع!$B$2:$B$19,$G689,المرجع!$E$2:$E$19,$I689)</f>
        <v>20</v>
      </c>
      <c r="Q689" s="20">
        <f t="shared" si="11"/>
        <v>15.4</v>
      </c>
      <c r="R689" s="21" t="str">
        <f>IF($N689&gt;المرجع!$K$3,"متقدم",IF($N689&lt;=المرجع!$K$2,"أولي","جزئي"))</f>
        <v>متقدم</v>
      </c>
    </row>
    <row r="690" spans="1:18">
      <c r="A690" s="16" t="s">
        <v>2130</v>
      </c>
      <c r="B690" s="16" t="s">
        <v>228</v>
      </c>
      <c r="C690" s="15" t="str">
        <f>IFERROR(INDEX('قائمة الوحدات'!$B$2:$B$41,MATCH($B690,'قائمة الوحدات'!$A$2:$A$41,0)),"")</f>
        <v>MIL</v>
      </c>
      <c r="D690" s="14" t="str">
        <f>IFERROR(INDEX('قائمة الوحدات'!$C$2:$C$41,MATCH($B690,'قائمة الوحدات'!$A$2:$A$41,0)),"")</f>
        <v>الجهاز العسكري</v>
      </c>
      <c r="E690" s="14" t="str">
        <f>IFERROR(INDEX('قائمة الوحدات'!$D$2:$D$41,MATCH($B690,'قائمة الوحدات'!$A$2:$A$41,0)),"")</f>
        <v>الإدارة العامة للعلاقات العامة والإعلام العسكري</v>
      </c>
      <c r="F690" s="14" t="str">
        <f>IFERROR(INDEX('قائمة الوحدات'!$F$2:$F$41,MATCH($B690,'قائمة الوحدات'!$A$2:$A$41,0)),"")</f>
        <v>الإدارة العامة للعلاقات العامة والإعلام العسكري</v>
      </c>
      <c r="G690" s="16" t="s">
        <v>43</v>
      </c>
      <c r="H690" s="14" t="str">
        <f>IFERROR(INDEX(المرجع!$A$2:$A$19,MATCH($G690,المرجع!$B$2:$B$19,0)),"")</f>
        <v>التصميم</v>
      </c>
      <c r="I690" s="16" t="s">
        <v>56</v>
      </c>
      <c r="J690" s="14" t="str">
        <f>IFERROR(INDEX(المرجع!$D$2:$D$19,MATCH($I690,المرجع!$E$2:$E$19,0)),"")</f>
        <v>الموارد</v>
      </c>
      <c r="K690" s="15">
        <f>IFERROR(INDEX(المرجع!$F$2:$F$19,MATCH($I690,المرجع!$E$2:$E$19,0)),"")</f>
        <v>5</v>
      </c>
      <c r="L690" s="15">
        <f>SUMIFS(المرجع!$H$2:$H$19,المرجع!$B$2:$B$19,$G690,المرجع!$E$2:$E$19,$I690)</f>
        <v>1</v>
      </c>
      <c r="M690" s="15">
        <f>COUNTIFS('المرتبطة بسمو الوزير'!$B$2:$B$151,$B690,'المرتبطة بسمو الوزير'!$G$2:$G$151,$G690,'المرتبطة بسمو الوزير'!$I$2:$I$151,$I690,'المرتبطة بسمو الوزير'!$M$2:$M$151,"&lt;&gt;")+COUNTIFS('الشؤون التنفيذية'!$B$2:$B$421,$B690,'الشؤون التنفيذية'!$G$2:$G$421,$G690,'الشؤون التنفيذية'!$I$2:$I$421,$I690,'الشؤون التنفيذية'!$N$2:$N$421,"&lt;&gt;")+COUNTIFS('الجهاز العسكري'!$B$2:$B$631,$B690,'الجهاز العسكري'!$G$2:$G$631,$G690,'الجهاز العسكري'!$I$2:$I$631,$I690,'الجهاز العسكري'!$M$2:$M$631,"&lt;&gt;")</f>
        <v>1</v>
      </c>
      <c r="N690" s="19">
        <f>IF($L690=0,0,ROUND((SUMIFS('المرتبطة بسمو الوزير'!$M$2:$M$151,'المرتبطة بسمو الوزير'!$B$2:$B$151,$B690,'المرتبطة بسمو الوزير'!$G$2:$G$151,$G690,'المرتبطة بسمو الوزير'!$I$2:$I$151,$I690)+SUMIFS('الشؤون التنفيذية'!$N$2:$N$421,'الشؤون التنفيذية'!$B$2:$B$421,$B690,'الشؤون التنفيذية'!$G$2:$G$421,$G690,'الشؤون التنفيذية'!$I$2:$I$421,$I690)+SUMIFS('الجهاز العسكري'!$M$2:$M$631,'الجهاز العسكري'!$B$2:$B$631,$B690,'الجهاز العسكري'!$G$2:$G$631,$G690,'الجهاز العسكري'!$I$2:$I$631,$I690))/$L690,0))</f>
        <v>97</v>
      </c>
      <c r="O690" s="18"/>
      <c r="P690" s="15">
        <f>SUMIFS(المرجع!$G$2:$G$19,المرجع!$B$2:$B$19,$G690,المرجع!$E$2:$E$19,$I690)</f>
        <v>20</v>
      </c>
      <c r="Q690" s="20">
        <f t="shared" si="11"/>
        <v>19.399999999999999</v>
      </c>
      <c r="R690" s="21" t="str">
        <f>IF($N690&gt;المرجع!$K$3,"متقدم",IF($N690&lt;=المرجع!$K$2,"أولي","جزئي"))</f>
        <v>متقدم</v>
      </c>
    </row>
    <row r="691" spans="1:18">
      <c r="A691" s="16" t="s">
        <v>2131</v>
      </c>
      <c r="B691" s="16" t="s">
        <v>228</v>
      </c>
      <c r="C691" s="15" t="str">
        <f>IFERROR(INDEX('قائمة الوحدات'!$B$2:$B$41,MATCH($B691,'قائمة الوحدات'!$A$2:$A$41,0)),"")</f>
        <v>MIL</v>
      </c>
      <c r="D691" s="14" t="str">
        <f>IFERROR(INDEX('قائمة الوحدات'!$C$2:$C$41,MATCH($B691,'قائمة الوحدات'!$A$2:$A$41,0)),"")</f>
        <v>الجهاز العسكري</v>
      </c>
      <c r="E691" s="14" t="str">
        <f>IFERROR(INDEX('قائمة الوحدات'!$D$2:$D$41,MATCH($B691,'قائمة الوحدات'!$A$2:$A$41,0)),"")</f>
        <v>الإدارة العامة للعلاقات العامة والإعلام العسكري</v>
      </c>
      <c r="F691" s="14" t="str">
        <f>IFERROR(INDEX('قائمة الوحدات'!$F$2:$F$41,MATCH($B691,'قائمة الوحدات'!$A$2:$A$41,0)),"")</f>
        <v>الإدارة العامة للعلاقات العامة والإعلام العسكري</v>
      </c>
      <c r="G691" s="16" t="s">
        <v>43</v>
      </c>
      <c r="H691" s="14" t="str">
        <f>IFERROR(INDEX(المرجع!$A$2:$A$19,MATCH($G691,المرجع!$B$2:$B$19,0)),"")</f>
        <v>التصميم</v>
      </c>
      <c r="I691" s="16" t="s">
        <v>59</v>
      </c>
      <c r="J691" s="14" t="str">
        <f>IFERROR(INDEX(المرجع!$D$2:$D$19,MATCH($I691,المرجع!$E$2:$E$19,0)),"")</f>
        <v>الإجراءات</v>
      </c>
      <c r="K691" s="15">
        <f>IFERROR(INDEX(المرجع!$F$2:$F$19,MATCH($I691,المرجع!$E$2:$E$19,0)),"")</f>
        <v>6</v>
      </c>
      <c r="L691" s="15">
        <f>SUMIFS(المرجع!$H$2:$H$19,المرجع!$B$2:$B$19,$G691,المرجع!$E$2:$E$19,$I691)</f>
        <v>1</v>
      </c>
      <c r="M691" s="15">
        <f>COUNTIFS('المرتبطة بسمو الوزير'!$B$2:$B$151,$B691,'المرتبطة بسمو الوزير'!$G$2:$G$151,$G691,'المرتبطة بسمو الوزير'!$I$2:$I$151,$I691,'المرتبطة بسمو الوزير'!$M$2:$M$151,"&lt;&gt;")+COUNTIFS('الشؤون التنفيذية'!$B$2:$B$421,$B691,'الشؤون التنفيذية'!$G$2:$G$421,$G691,'الشؤون التنفيذية'!$I$2:$I$421,$I691,'الشؤون التنفيذية'!$N$2:$N$421,"&lt;&gt;")+COUNTIFS('الجهاز العسكري'!$B$2:$B$631,$B691,'الجهاز العسكري'!$G$2:$G$631,$G691,'الجهاز العسكري'!$I$2:$I$631,$I691,'الجهاز العسكري'!$M$2:$M$631,"&lt;&gt;")</f>
        <v>1</v>
      </c>
      <c r="N691" s="19">
        <f>IF($L691=0,0,ROUND((SUMIFS('المرتبطة بسمو الوزير'!$M$2:$M$151,'المرتبطة بسمو الوزير'!$B$2:$B$151,$B691,'المرتبطة بسمو الوزير'!$G$2:$G$151,$G691,'المرتبطة بسمو الوزير'!$I$2:$I$151,$I691)+SUMIFS('الشؤون التنفيذية'!$N$2:$N$421,'الشؤون التنفيذية'!$B$2:$B$421,$B691,'الشؤون التنفيذية'!$G$2:$G$421,$G691,'الشؤون التنفيذية'!$I$2:$I$421,$I691)+SUMIFS('الجهاز العسكري'!$M$2:$M$631,'الجهاز العسكري'!$B$2:$B$631,$B691,'الجهاز العسكري'!$G$2:$G$631,$G691,'الجهاز العسكري'!$I$2:$I$631,$I691))/$L691,0))</f>
        <v>83</v>
      </c>
      <c r="O691" s="18"/>
      <c r="P691" s="15">
        <f>SUMIFS(المرجع!$G$2:$G$19,المرجع!$B$2:$B$19,$G691,المرجع!$E$2:$E$19,$I691)</f>
        <v>5</v>
      </c>
      <c r="Q691" s="20">
        <f t="shared" si="11"/>
        <v>4.1500000000000004</v>
      </c>
      <c r="R691" s="21" t="str">
        <f>IF($N691&gt;المرجع!$K$3,"متقدم",IF($N691&lt;=المرجع!$K$2,"أولي","جزئي"))</f>
        <v>متقدم</v>
      </c>
    </row>
    <row r="692" spans="1:18">
      <c r="A692" s="16" t="s">
        <v>2132</v>
      </c>
      <c r="B692" s="16" t="s">
        <v>228</v>
      </c>
      <c r="C692" s="15" t="str">
        <f>IFERROR(INDEX('قائمة الوحدات'!$B$2:$B$41,MATCH($B692,'قائمة الوحدات'!$A$2:$A$41,0)),"")</f>
        <v>MIL</v>
      </c>
      <c r="D692" s="14" t="str">
        <f>IFERROR(INDEX('قائمة الوحدات'!$C$2:$C$41,MATCH($B692,'قائمة الوحدات'!$A$2:$A$41,0)),"")</f>
        <v>الجهاز العسكري</v>
      </c>
      <c r="E692" s="14" t="str">
        <f>IFERROR(INDEX('قائمة الوحدات'!$D$2:$D$41,MATCH($B692,'قائمة الوحدات'!$A$2:$A$41,0)),"")</f>
        <v>الإدارة العامة للعلاقات العامة والإعلام العسكري</v>
      </c>
      <c r="F692" s="14" t="str">
        <f>IFERROR(INDEX('قائمة الوحدات'!$F$2:$F$41,MATCH($B692,'قائمة الوحدات'!$A$2:$A$41,0)),"")</f>
        <v>الإدارة العامة للعلاقات العامة والإعلام العسكري</v>
      </c>
      <c r="G692" s="16" t="s">
        <v>61</v>
      </c>
      <c r="H692" s="14" t="str">
        <f>IFERROR(INDEX(المرجع!$A$2:$A$19,MATCH($G692,المرجع!$B$2:$B$19,0)),"")</f>
        <v>البناء المؤسسي</v>
      </c>
      <c r="I692" s="16" t="s">
        <v>45</v>
      </c>
      <c r="J692" s="14" t="str">
        <f>IFERROR(INDEX(المرجع!$D$2:$D$19,MATCH($I692,المرجع!$E$2:$E$19,0)),"")</f>
        <v>الدور</v>
      </c>
      <c r="K692" s="15">
        <f>IFERROR(INDEX(المرجع!$F$2:$F$19,MATCH($I692,المرجع!$E$2:$E$19,0)),"")</f>
        <v>1</v>
      </c>
      <c r="L692" s="15">
        <f>SUMIFS(المرجع!$H$2:$H$19,المرجع!$B$2:$B$19,$G692,المرجع!$E$2:$E$19,$I692)</f>
        <v>1</v>
      </c>
      <c r="M692" s="15">
        <f>COUNTIFS('المرتبطة بسمو الوزير'!$B$2:$B$151,$B692,'المرتبطة بسمو الوزير'!$G$2:$G$151,$G692,'المرتبطة بسمو الوزير'!$I$2:$I$151,$I692,'المرتبطة بسمو الوزير'!$M$2:$M$151,"&lt;&gt;")+COUNTIFS('الشؤون التنفيذية'!$B$2:$B$421,$B692,'الشؤون التنفيذية'!$G$2:$G$421,$G692,'الشؤون التنفيذية'!$I$2:$I$421,$I692,'الشؤون التنفيذية'!$N$2:$N$421,"&lt;&gt;")+COUNTIFS('الجهاز العسكري'!$B$2:$B$631,$B692,'الجهاز العسكري'!$G$2:$G$631,$G692,'الجهاز العسكري'!$I$2:$I$631,$I692,'الجهاز العسكري'!$M$2:$M$631,"&lt;&gt;")</f>
        <v>1</v>
      </c>
      <c r="N692" s="19">
        <f>IF($L692=0,0,ROUND((SUMIFS('المرتبطة بسمو الوزير'!$M$2:$M$151,'المرتبطة بسمو الوزير'!$B$2:$B$151,$B692,'المرتبطة بسمو الوزير'!$G$2:$G$151,$G692,'المرتبطة بسمو الوزير'!$I$2:$I$151,$I692)+SUMIFS('الشؤون التنفيذية'!$N$2:$N$421,'الشؤون التنفيذية'!$B$2:$B$421,$B692,'الشؤون التنفيذية'!$G$2:$G$421,$G692,'الشؤون التنفيذية'!$I$2:$I$421,$I692)+SUMIFS('الجهاز العسكري'!$M$2:$M$631,'الجهاز العسكري'!$B$2:$B$631,$B692,'الجهاز العسكري'!$G$2:$G$631,$G692,'الجهاز العسكري'!$I$2:$I$631,$I692))/$L692,0))</f>
        <v>79</v>
      </c>
      <c r="O692" s="18"/>
      <c r="P692" s="15">
        <f>SUMIFS(المرجع!$G$2:$G$19,المرجع!$B$2:$B$19,$G692,المرجع!$E$2:$E$19,$I692)</f>
        <v>15</v>
      </c>
      <c r="Q692" s="20">
        <f t="shared" si="11"/>
        <v>11.85</v>
      </c>
      <c r="R692" s="21" t="str">
        <f>IF($N692&gt;المرجع!$K$3,"متقدم",IF($N692&lt;=المرجع!$K$2,"أولي","جزئي"))</f>
        <v>متقدم</v>
      </c>
    </row>
    <row r="693" spans="1:18">
      <c r="A693" s="16" t="s">
        <v>2133</v>
      </c>
      <c r="B693" s="16" t="s">
        <v>228</v>
      </c>
      <c r="C693" s="15" t="str">
        <f>IFERROR(INDEX('قائمة الوحدات'!$B$2:$B$41,MATCH($B693,'قائمة الوحدات'!$A$2:$A$41,0)),"")</f>
        <v>MIL</v>
      </c>
      <c r="D693" s="14" t="str">
        <f>IFERROR(INDEX('قائمة الوحدات'!$C$2:$C$41,MATCH($B693,'قائمة الوحدات'!$A$2:$A$41,0)),"")</f>
        <v>الجهاز العسكري</v>
      </c>
      <c r="E693" s="14" t="str">
        <f>IFERROR(INDEX('قائمة الوحدات'!$D$2:$D$41,MATCH($B693,'قائمة الوحدات'!$A$2:$A$41,0)),"")</f>
        <v>الإدارة العامة للعلاقات العامة والإعلام العسكري</v>
      </c>
      <c r="F693" s="14" t="str">
        <f>IFERROR(INDEX('قائمة الوحدات'!$F$2:$F$41,MATCH($B693,'قائمة الوحدات'!$A$2:$A$41,0)),"")</f>
        <v>الإدارة العامة للعلاقات العامة والإعلام العسكري</v>
      </c>
      <c r="G693" s="16" t="s">
        <v>61</v>
      </c>
      <c r="H693" s="14" t="str">
        <f>IFERROR(INDEX(المرجع!$A$2:$A$19,MATCH($G693,المرجع!$B$2:$B$19,0)),"")</f>
        <v>البناء المؤسسي</v>
      </c>
      <c r="I693" s="16" t="s">
        <v>48</v>
      </c>
      <c r="J693" s="14" t="str">
        <f>IFERROR(INDEX(المرجع!$D$2:$D$19,MATCH($I693,المرجع!$E$2:$E$19,0)),"")</f>
        <v>الأهداف ومؤشرات الأداء</v>
      </c>
      <c r="K693" s="15">
        <f>IFERROR(INDEX(المرجع!$F$2:$F$19,MATCH($I693,المرجع!$E$2:$E$19,0)),"")</f>
        <v>2</v>
      </c>
      <c r="L693" s="15">
        <f>SUMIFS(المرجع!$H$2:$H$19,المرجع!$B$2:$B$19,$G693,المرجع!$E$2:$E$19,$I693)</f>
        <v>2</v>
      </c>
      <c r="M693" s="15">
        <f>COUNTIFS('المرتبطة بسمو الوزير'!$B$2:$B$151,$B693,'المرتبطة بسمو الوزير'!$G$2:$G$151,$G693,'المرتبطة بسمو الوزير'!$I$2:$I$151,$I693,'المرتبطة بسمو الوزير'!$M$2:$M$151,"&lt;&gt;")+COUNTIFS('الشؤون التنفيذية'!$B$2:$B$421,$B693,'الشؤون التنفيذية'!$G$2:$G$421,$G693,'الشؤون التنفيذية'!$I$2:$I$421,$I693,'الشؤون التنفيذية'!$N$2:$N$421,"&lt;&gt;")+COUNTIFS('الجهاز العسكري'!$B$2:$B$631,$B693,'الجهاز العسكري'!$G$2:$G$631,$G693,'الجهاز العسكري'!$I$2:$I$631,$I693,'الجهاز العسكري'!$M$2:$M$631,"&lt;&gt;")</f>
        <v>2</v>
      </c>
      <c r="N693" s="19">
        <f>IF($L693=0,0,ROUND((SUMIFS('المرتبطة بسمو الوزير'!$M$2:$M$151,'المرتبطة بسمو الوزير'!$B$2:$B$151,$B693,'المرتبطة بسمو الوزير'!$G$2:$G$151,$G693,'المرتبطة بسمو الوزير'!$I$2:$I$151,$I693)+SUMIFS('الشؤون التنفيذية'!$N$2:$N$421,'الشؤون التنفيذية'!$B$2:$B$421,$B693,'الشؤون التنفيذية'!$G$2:$G$421,$G693,'الشؤون التنفيذية'!$I$2:$I$421,$I693)+SUMIFS('الجهاز العسكري'!$M$2:$M$631,'الجهاز العسكري'!$B$2:$B$631,$B693,'الجهاز العسكري'!$G$2:$G$631,$G693,'الجهاز العسكري'!$I$2:$I$631,$I693))/$L693,0))</f>
        <v>70</v>
      </c>
      <c r="O693" s="18"/>
      <c r="P693" s="15">
        <f>SUMIFS(المرجع!$G$2:$G$19,المرجع!$B$2:$B$19,$G693,المرجع!$E$2:$E$19,$I693)</f>
        <v>15</v>
      </c>
      <c r="Q693" s="20">
        <f t="shared" si="11"/>
        <v>10.5</v>
      </c>
      <c r="R693" s="21" t="str">
        <f>IF($N693&gt;المرجع!$K$3,"متقدم",IF($N693&lt;=المرجع!$K$2,"أولي","جزئي"))</f>
        <v>جزئي</v>
      </c>
    </row>
    <row r="694" spans="1:18">
      <c r="A694" s="16" t="s">
        <v>2134</v>
      </c>
      <c r="B694" s="16" t="s">
        <v>228</v>
      </c>
      <c r="C694" s="15" t="str">
        <f>IFERROR(INDEX('قائمة الوحدات'!$B$2:$B$41,MATCH($B694,'قائمة الوحدات'!$A$2:$A$41,0)),"")</f>
        <v>MIL</v>
      </c>
      <c r="D694" s="14" t="str">
        <f>IFERROR(INDEX('قائمة الوحدات'!$C$2:$C$41,MATCH($B694,'قائمة الوحدات'!$A$2:$A$41,0)),"")</f>
        <v>الجهاز العسكري</v>
      </c>
      <c r="E694" s="14" t="str">
        <f>IFERROR(INDEX('قائمة الوحدات'!$D$2:$D$41,MATCH($B694,'قائمة الوحدات'!$A$2:$A$41,0)),"")</f>
        <v>الإدارة العامة للعلاقات العامة والإعلام العسكري</v>
      </c>
      <c r="F694" s="14" t="str">
        <f>IFERROR(INDEX('قائمة الوحدات'!$F$2:$F$41,MATCH($B694,'قائمة الوحدات'!$A$2:$A$41,0)),"")</f>
        <v>الإدارة العامة للعلاقات العامة والإعلام العسكري</v>
      </c>
      <c r="G694" s="16" t="s">
        <v>61</v>
      </c>
      <c r="H694" s="14" t="str">
        <f>IFERROR(INDEX(المرجع!$A$2:$A$19,MATCH($G694,المرجع!$B$2:$B$19,0)),"")</f>
        <v>البناء المؤسسي</v>
      </c>
      <c r="I694" s="16" t="s">
        <v>51</v>
      </c>
      <c r="J694" s="14" t="str">
        <f>IFERROR(INDEX(المرجع!$D$2:$D$19,MATCH($I694,المرجع!$E$2:$E$19,0)),"")</f>
        <v>الحوكمة</v>
      </c>
      <c r="K694" s="15">
        <f>IFERROR(INDEX(المرجع!$F$2:$F$19,MATCH($I694,المرجع!$E$2:$E$19,0)),"")</f>
        <v>3</v>
      </c>
      <c r="L694" s="15">
        <f>SUMIFS(المرجع!$H$2:$H$19,المرجع!$B$2:$B$19,$G694,المرجع!$E$2:$E$19,$I694)</f>
        <v>3</v>
      </c>
      <c r="M694" s="15">
        <f>COUNTIFS('المرتبطة بسمو الوزير'!$B$2:$B$151,$B694,'المرتبطة بسمو الوزير'!$G$2:$G$151,$G694,'المرتبطة بسمو الوزير'!$I$2:$I$151,$I694,'المرتبطة بسمو الوزير'!$M$2:$M$151,"&lt;&gt;")+COUNTIFS('الشؤون التنفيذية'!$B$2:$B$421,$B694,'الشؤون التنفيذية'!$G$2:$G$421,$G694,'الشؤون التنفيذية'!$I$2:$I$421,$I694,'الشؤون التنفيذية'!$N$2:$N$421,"&lt;&gt;")+COUNTIFS('الجهاز العسكري'!$B$2:$B$631,$B694,'الجهاز العسكري'!$G$2:$G$631,$G694,'الجهاز العسكري'!$I$2:$I$631,$I694,'الجهاز العسكري'!$M$2:$M$631,"&lt;&gt;")</f>
        <v>3</v>
      </c>
      <c r="N694" s="19">
        <f>IF($L694=0,0,ROUND((SUMIFS('المرتبطة بسمو الوزير'!$M$2:$M$151,'المرتبطة بسمو الوزير'!$B$2:$B$151,$B694,'المرتبطة بسمو الوزير'!$G$2:$G$151,$G694,'المرتبطة بسمو الوزير'!$I$2:$I$151,$I694)+SUMIFS('الشؤون التنفيذية'!$N$2:$N$421,'الشؤون التنفيذية'!$B$2:$B$421,$B694,'الشؤون التنفيذية'!$G$2:$G$421,$G694,'الشؤون التنفيذية'!$I$2:$I$421,$I694)+SUMIFS('الجهاز العسكري'!$M$2:$M$631,'الجهاز العسكري'!$B$2:$B$631,$B694,'الجهاز العسكري'!$G$2:$G$631,$G694,'الجهاز العسكري'!$I$2:$I$631,$I694))/$L694,0))</f>
        <v>85</v>
      </c>
      <c r="O694" s="18"/>
      <c r="P694" s="15">
        <f>SUMIFS(المرجع!$G$2:$G$19,المرجع!$B$2:$B$19,$G694,المرجع!$E$2:$E$19,$I694)</f>
        <v>15</v>
      </c>
      <c r="Q694" s="20">
        <f t="shared" si="11"/>
        <v>12.75</v>
      </c>
      <c r="R694" s="21" t="str">
        <f>IF($N694&gt;المرجع!$K$3,"متقدم",IF($N694&lt;=المرجع!$K$2,"أولي","جزئي"))</f>
        <v>متقدم</v>
      </c>
    </row>
    <row r="695" spans="1:18">
      <c r="A695" s="16" t="s">
        <v>2135</v>
      </c>
      <c r="B695" s="16" t="s">
        <v>228</v>
      </c>
      <c r="C695" s="15" t="str">
        <f>IFERROR(INDEX('قائمة الوحدات'!$B$2:$B$41,MATCH($B695,'قائمة الوحدات'!$A$2:$A$41,0)),"")</f>
        <v>MIL</v>
      </c>
      <c r="D695" s="14" t="str">
        <f>IFERROR(INDEX('قائمة الوحدات'!$C$2:$C$41,MATCH($B695,'قائمة الوحدات'!$A$2:$A$41,0)),"")</f>
        <v>الجهاز العسكري</v>
      </c>
      <c r="E695" s="14" t="str">
        <f>IFERROR(INDEX('قائمة الوحدات'!$D$2:$D$41,MATCH($B695,'قائمة الوحدات'!$A$2:$A$41,0)),"")</f>
        <v>الإدارة العامة للعلاقات العامة والإعلام العسكري</v>
      </c>
      <c r="F695" s="14" t="str">
        <f>IFERROR(INDEX('قائمة الوحدات'!$F$2:$F$41,MATCH($B695,'قائمة الوحدات'!$A$2:$A$41,0)),"")</f>
        <v>الإدارة العامة للعلاقات العامة والإعلام العسكري</v>
      </c>
      <c r="G695" s="16" t="s">
        <v>61</v>
      </c>
      <c r="H695" s="14" t="str">
        <f>IFERROR(INDEX(المرجع!$A$2:$A$19,MATCH($G695,المرجع!$B$2:$B$19,0)),"")</f>
        <v>البناء المؤسسي</v>
      </c>
      <c r="I695" s="16" t="s">
        <v>54</v>
      </c>
      <c r="J695" s="14" t="str">
        <f>IFERROR(INDEX(المرجع!$D$2:$D$19,MATCH($I695,المرجع!$E$2:$E$19,0)),"")</f>
        <v>التنظيم</v>
      </c>
      <c r="K695" s="15">
        <f>IFERROR(INDEX(المرجع!$F$2:$F$19,MATCH($I695,المرجع!$E$2:$E$19,0)),"")</f>
        <v>4</v>
      </c>
      <c r="L695" s="15">
        <f>SUMIFS(المرجع!$H$2:$H$19,المرجع!$B$2:$B$19,$G695,المرجع!$E$2:$E$19,$I695)</f>
        <v>3</v>
      </c>
      <c r="M695" s="15">
        <f>COUNTIFS('المرتبطة بسمو الوزير'!$B$2:$B$151,$B695,'المرتبطة بسمو الوزير'!$G$2:$G$151,$G695,'المرتبطة بسمو الوزير'!$I$2:$I$151,$I695,'المرتبطة بسمو الوزير'!$M$2:$M$151,"&lt;&gt;")+COUNTIFS('الشؤون التنفيذية'!$B$2:$B$421,$B695,'الشؤون التنفيذية'!$G$2:$G$421,$G695,'الشؤون التنفيذية'!$I$2:$I$421,$I695,'الشؤون التنفيذية'!$N$2:$N$421,"&lt;&gt;")+COUNTIFS('الجهاز العسكري'!$B$2:$B$631,$B695,'الجهاز العسكري'!$G$2:$G$631,$G695,'الجهاز العسكري'!$I$2:$I$631,$I695,'الجهاز العسكري'!$M$2:$M$631,"&lt;&gt;")</f>
        <v>3</v>
      </c>
      <c r="N695" s="19">
        <f>IF($L695=0,0,ROUND((SUMIFS('المرتبطة بسمو الوزير'!$M$2:$M$151,'المرتبطة بسمو الوزير'!$B$2:$B$151,$B695,'المرتبطة بسمو الوزير'!$G$2:$G$151,$G695,'المرتبطة بسمو الوزير'!$I$2:$I$151,$I695)+SUMIFS('الشؤون التنفيذية'!$N$2:$N$421,'الشؤون التنفيذية'!$B$2:$B$421,$B695,'الشؤون التنفيذية'!$G$2:$G$421,$G695,'الشؤون التنفيذية'!$I$2:$I$421,$I695)+SUMIFS('الجهاز العسكري'!$M$2:$M$631,'الجهاز العسكري'!$B$2:$B$631,$B695,'الجهاز العسكري'!$G$2:$G$631,$G695,'الجهاز العسكري'!$I$2:$I$631,$I695))/$L695,0))</f>
        <v>50</v>
      </c>
      <c r="O695" s="18"/>
      <c r="P695" s="15">
        <f>SUMIFS(المرجع!$G$2:$G$19,المرجع!$B$2:$B$19,$G695,المرجع!$E$2:$E$19,$I695)</f>
        <v>20</v>
      </c>
      <c r="Q695" s="20">
        <f t="shared" si="11"/>
        <v>10</v>
      </c>
      <c r="R695" s="21" t="str">
        <f>IF($N695&gt;المرجع!$K$3,"متقدم",IF($N695&lt;=المرجع!$K$2,"أولي","جزئي"))</f>
        <v>جزئي</v>
      </c>
    </row>
    <row r="696" spans="1:18">
      <c r="A696" s="16" t="s">
        <v>2136</v>
      </c>
      <c r="B696" s="16" t="s">
        <v>228</v>
      </c>
      <c r="C696" s="15" t="str">
        <f>IFERROR(INDEX('قائمة الوحدات'!$B$2:$B$41,MATCH($B696,'قائمة الوحدات'!$A$2:$A$41,0)),"")</f>
        <v>MIL</v>
      </c>
      <c r="D696" s="14" t="str">
        <f>IFERROR(INDEX('قائمة الوحدات'!$C$2:$C$41,MATCH($B696,'قائمة الوحدات'!$A$2:$A$41,0)),"")</f>
        <v>الجهاز العسكري</v>
      </c>
      <c r="E696" s="14" t="str">
        <f>IFERROR(INDEX('قائمة الوحدات'!$D$2:$D$41,MATCH($B696,'قائمة الوحدات'!$A$2:$A$41,0)),"")</f>
        <v>الإدارة العامة للعلاقات العامة والإعلام العسكري</v>
      </c>
      <c r="F696" s="14" t="str">
        <f>IFERROR(INDEX('قائمة الوحدات'!$F$2:$F$41,MATCH($B696,'قائمة الوحدات'!$A$2:$A$41,0)),"")</f>
        <v>الإدارة العامة للعلاقات العامة والإعلام العسكري</v>
      </c>
      <c r="G696" s="16" t="s">
        <v>61</v>
      </c>
      <c r="H696" s="14" t="str">
        <f>IFERROR(INDEX(المرجع!$A$2:$A$19,MATCH($G696,المرجع!$B$2:$B$19,0)),"")</f>
        <v>البناء المؤسسي</v>
      </c>
      <c r="I696" s="16" t="s">
        <v>56</v>
      </c>
      <c r="J696" s="14" t="str">
        <f>IFERROR(INDEX(المرجع!$D$2:$D$19,MATCH($I696,المرجع!$E$2:$E$19,0)),"")</f>
        <v>الموارد</v>
      </c>
      <c r="K696" s="15">
        <f>IFERROR(INDEX(المرجع!$F$2:$F$19,MATCH($I696,المرجع!$E$2:$E$19,0)),"")</f>
        <v>5</v>
      </c>
      <c r="L696" s="15">
        <f>SUMIFS(المرجع!$H$2:$H$19,المرجع!$B$2:$B$19,$G696,المرجع!$E$2:$E$19,$I696)</f>
        <v>4</v>
      </c>
      <c r="M696" s="15">
        <f>COUNTIFS('المرتبطة بسمو الوزير'!$B$2:$B$151,$B696,'المرتبطة بسمو الوزير'!$G$2:$G$151,$G696,'المرتبطة بسمو الوزير'!$I$2:$I$151,$I696,'المرتبطة بسمو الوزير'!$M$2:$M$151,"&lt;&gt;")+COUNTIFS('الشؤون التنفيذية'!$B$2:$B$421,$B696,'الشؤون التنفيذية'!$G$2:$G$421,$G696,'الشؤون التنفيذية'!$I$2:$I$421,$I696,'الشؤون التنفيذية'!$N$2:$N$421,"&lt;&gt;")+COUNTIFS('الجهاز العسكري'!$B$2:$B$631,$B696,'الجهاز العسكري'!$G$2:$G$631,$G696,'الجهاز العسكري'!$I$2:$I$631,$I696,'الجهاز العسكري'!$M$2:$M$631,"&lt;&gt;")</f>
        <v>4</v>
      </c>
      <c r="N696" s="19">
        <f>IF($L696=0,0,ROUND((SUMIFS('المرتبطة بسمو الوزير'!$M$2:$M$151,'المرتبطة بسمو الوزير'!$B$2:$B$151,$B696,'المرتبطة بسمو الوزير'!$G$2:$G$151,$G696,'المرتبطة بسمو الوزير'!$I$2:$I$151,$I696)+SUMIFS('الشؤون التنفيذية'!$N$2:$N$421,'الشؤون التنفيذية'!$B$2:$B$421,$B696,'الشؤون التنفيذية'!$G$2:$G$421,$G696,'الشؤون التنفيذية'!$I$2:$I$421,$I696)+SUMIFS('الجهاز العسكري'!$M$2:$M$631,'الجهاز العسكري'!$B$2:$B$631,$B696,'الجهاز العسكري'!$G$2:$G$631,$G696,'الجهاز العسكري'!$I$2:$I$631,$I696))/$L696,0))</f>
        <v>71</v>
      </c>
      <c r="O696" s="18"/>
      <c r="P696" s="15">
        <f>SUMIFS(المرجع!$G$2:$G$19,المرجع!$B$2:$B$19,$G696,المرجع!$E$2:$E$19,$I696)</f>
        <v>25</v>
      </c>
      <c r="Q696" s="20">
        <f t="shared" si="11"/>
        <v>17.75</v>
      </c>
      <c r="R696" s="21" t="str">
        <f>IF($N696&gt;المرجع!$K$3,"متقدم",IF($N696&lt;=المرجع!$K$2,"أولي","جزئي"))</f>
        <v>متقدم</v>
      </c>
    </row>
    <row r="697" spans="1:18">
      <c r="A697" s="16" t="s">
        <v>2137</v>
      </c>
      <c r="B697" s="16" t="s">
        <v>228</v>
      </c>
      <c r="C697" s="15" t="str">
        <f>IFERROR(INDEX('قائمة الوحدات'!$B$2:$B$41,MATCH($B697,'قائمة الوحدات'!$A$2:$A$41,0)),"")</f>
        <v>MIL</v>
      </c>
      <c r="D697" s="14" t="str">
        <f>IFERROR(INDEX('قائمة الوحدات'!$C$2:$C$41,MATCH($B697,'قائمة الوحدات'!$A$2:$A$41,0)),"")</f>
        <v>الجهاز العسكري</v>
      </c>
      <c r="E697" s="14" t="str">
        <f>IFERROR(INDEX('قائمة الوحدات'!$D$2:$D$41,MATCH($B697,'قائمة الوحدات'!$A$2:$A$41,0)),"")</f>
        <v>الإدارة العامة للعلاقات العامة والإعلام العسكري</v>
      </c>
      <c r="F697" s="14" t="str">
        <f>IFERROR(INDEX('قائمة الوحدات'!$F$2:$F$41,MATCH($B697,'قائمة الوحدات'!$A$2:$A$41,0)),"")</f>
        <v>الإدارة العامة للعلاقات العامة والإعلام العسكري</v>
      </c>
      <c r="G697" s="16" t="s">
        <v>61</v>
      </c>
      <c r="H697" s="14" t="str">
        <f>IFERROR(INDEX(المرجع!$A$2:$A$19,MATCH($G697,المرجع!$B$2:$B$19,0)),"")</f>
        <v>البناء المؤسسي</v>
      </c>
      <c r="I697" s="16" t="s">
        <v>59</v>
      </c>
      <c r="J697" s="14" t="str">
        <f>IFERROR(INDEX(المرجع!$D$2:$D$19,MATCH($I697,المرجع!$E$2:$E$19,0)),"")</f>
        <v>الإجراءات</v>
      </c>
      <c r="K697" s="15">
        <f>IFERROR(INDEX(المرجع!$F$2:$F$19,MATCH($I697,المرجع!$E$2:$E$19,0)),"")</f>
        <v>6</v>
      </c>
      <c r="L697" s="15">
        <f>SUMIFS(المرجع!$H$2:$H$19,المرجع!$B$2:$B$19,$G697,المرجع!$E$2:$E$19,$I697)</f>
        <v>1</v>
      </c>
      <c r="M697" s="15">
        <f>COUNTIFS('المرتبطة بسمو الوزير'!$B$2:$B$151,$B697,'المرتبطة بسمو الوزير'!$G$2:$G$151,$G697,'المرتبطة بسمو الوزير'!$I$2:$I$151,$I697,'المرتبطة بسمو الوزير'!$M$2:$M$151,"&lt;&gt;")+COUNTIFS('الشؤون التنفيذية'!$B$2:$B$421,$B697,'الشؤون التنفيذية'!$G$2:$G$421,$G697,'الشؤون التنفيذية'!$I$2:$I$421,$I697,'الشؤون التنفيذية'!$N$2:$N$421,"&lt;&gt;")+COUNTIFS('الجهاز العسكري'!$B$2:$B$631,$B697,'الجهاز العسكري'!$G$2:$G$631,$G697,'الجهاز العسكري'!$I$2:$I$631,$I697,'الجهاز العسكري'!$M$2:$M$631,"&lt;&gt;")</f>
        <v>1</v>
      </c>
      <c r="N697" s="19">
        <f>IF($L697=0,0,ROUND((SUMIFS('المرتبطة بسمو الوزير'!$M$2:$M$151,'المرتبطة بسمو الوزير'!$B$2:$B$151,$B697,'المرتبطة بسمو الوزير'!$G$2:$G$151,$G697,'المرتبطة بسمو الوزير'!$I$2:$I$151,$I697)+SUMIFS('الشؤون التنفيذية'!$N$2:$N$421,'الشؤون التنفيذية'!$B$2:$B$421,$B697,'الشؤون التنفيذية'!$G$2:$G$421,$G697,'الشؤون التنفيذية'!$I$2:$I$421,$I697)+SUMIFS('الجهاز العسكري'!$M$2:$M$631,'الجهاز العسكري'!$B$2:$B$631,$B697,'الجهاز العسكري'!$G$2:$G$631,$G697,'الجهاز العسكري'!$I$2:$I$631,$I697))/$L697,0))</f>
        <v>55</v>
      </c>
      <c r="O697" s="18"/>
      <c r="P697" s="15">
        <f>SUMIFS(المرجع!$G$2:$G$19,المرجع!$B$2:$B$19,$G697,المرجع!$E$2:$E$19,$I697)</f>
        <v>5</v>
      </c>
      <c r="Q697" s="20">
        <f t="shared" si="11"/>
        <v>2.75</v>
      </c>
      <c r="R697" s="21" t="str">
        <f>IF($N697&gt;المرجع!$K$3,"متقدم",IF($N697&lt;=المرجع!$K$2,"أولي","جزئي"))</f>
        <v>جزئي</v>
      </c>
    </row>
    <row r="698" spans="1:18">
      <c r="A698" s="16" t="s">
        <v>2138</v>
      </c>
      <c r="B698" s="16" t="s">
        <v>228</v>
      </c>
      <c r="C698" s="15" t="str">
        <f>IFERROR(INDEX('قائمة الوحدات'!$B$2:$B$41,MATCH($B698,'قائمة الوحدات'!$A$2:$A$41,0)),"")</f>
        <v>MIL</v>
      </c>
      <c r="D698" s="14" t="str">
        <f>IFERROR(INDEX('قائمة الوحدات'!$C$2:$C$41,MATCH($B698,'قائمة الوحدات'!$A$2:$A$41,0)),"")</f>
        <v>الجهاز العسكري</v>
      </c>
      <c r="E698" s="14" t="str">
        <f>IFERROR(INDEX('قائمة الوحدات'!$D$2:$D$41,MATCH($B698,'قائمة الوحدات'!$A$2:$A$41,0)),"")</f>
        <v>الإدارة العامة للعلاقات العامة والإعلام العسكري</v>
      </c>
      <c r="F698" s="14" t="str">
        <f>IFERROR(INDEX('قائمة الوحدات'!$F$2:$F$41,MATCH($B698,'قائمة الوحدات'!$A$2:$A$41,0)),"")</f>
        <v>الإدارة العامة للعلاقات العامة والإعلام العسكري</v>
      </c>
      <c r="G698" s="16" t="s">
        <v>61</v>
      </c>
      <c r="H698" s="14" t="str">
        <f>IFERROR(INDEX(المرجع!$A$2:$A$19,MATCH($G698,المرجع!$B$2:$B$19,0)),"")</f>
        <v>البناء المؤسسي</v>
      </c>
      <c r="I698" s="16" t="s">
        <v>63</v>
      </c>
      <c r="J698" s="14" t="str">
        <f>IFERROR(INDEX(المرجع!$D$2:$D$19,MATCH($I698,المرجع!$E$2:$E$19,0)),"")</f>
        <v>إنتاج المخرج الأول</v>
      </c>
      <c r="K698" s="15">
        <f>IFERROR(INDEX(المرجع!$F$2:$F$19,MATCH($I698,المرجع!$E$2:$E$19,0)),"")</f>
        <v>7</v>
      </c>
      <c r="L698" s="15">
        <f>SUMIFS(المرجع!$H$2:$H$19,المرجع!$B$2:$B$19,$G698,المرجع!$E$2:$E$19,$I698)</f>
        <v>1</v>
      </c>
      <c r="M698" s="15">
        <f>COUNTIFS('المرتبطة بسمو الوزير'!$B$2:$B$151,$B698,'المرتبطة بسمو الوزير'!$G$2:$G$151,$G698,'المرتبطة بسمو الوزير'!$I$2:$I$151,$I698,'المرتبطة بسمو الوزير'!$M$2:$M$151,"&lt;&gt;")+COUNTIFS('الشؤون التنفيذية'!$B$2:$B$421,$B698,'الشؤون التنفيذية'!$G$2:$G$421,$G698,'الشؤون التنفيذية'!$I$2:$I$421,$I698,'الشؤون التنفيذية'!$N$2:$N$421,"&lt;&gt;")+COUNTIFS('الجهاز العسكري'!$B$2:$B$631,$B698,'الجهاز العسكري'!$G$2:$G$631,$G698,'الجهاز العسكري'!$I$2:$I$631,$I698,'الجهاز العسكري'!$M$2:$M$631,"&lt;&gt;")</f>
        <v>1</v>
      </c>
      <c r="N698" s="19">
        <f>IF($L698=0,0,ROUND((SUMIFS('المرتبطة بسمو الوزير'!$M$2:$M$151,'المرتبطة بسمو الوزير'!$B$2:$B$151,$B698,'المرتبطة بسمو الوزير'!$G$2:$G$151,$G698,'المرتبطة بسمو الوزير'!$I$2:$I$151,$I698)+SUMIFS('الشؤون التنفيذية'!$N$2:$N$421,'الشؤون التنفيذية'!$B$2:$B$421,$B698,'الشؤون التنفيذية'!$G$2:$G$421,$G698,'الشؤون التنفيذية'!$I$2:$I$421,$I698)+SUMIFS('الجهاز العسكري'!$M$2:$M$631,'الجهاز العسكري'!$B$2:$B$631,$B698,'الجهاز العسكري'!$G$2:$G$631,$G698,'الجهاز العسكري'!$I$2:$I$631,$I698))/$L698,0))</f>
        <v>71</v>
      </c>
      <c r="O698" s="18"/>
      <c r="P698" s="15">
        <f>SUMIFS(المرجع!$G$2:$G$19,المرجع!$B$2:$B$19,$G698,المرجع!$E$2:$E$19,$I698)</f>
        <v>5</v>
      </c>
      <c r="Q698" s="20">
        <f t="shared" si="11"/>
        <v>3.55</v>
      </c>
      <c r="R698" s="21" t="str">
        <f>IF($N698&gt;المرجع!$K$3,"متقدم",IF($N698&lt;=المرجع!$K$2,"أولي","جزئي"))</f>
        <v>متقدم</v>
      </c>
    </row>
    <row r="699" spans="1:18">
      <c r="A699" s="16" t="s">
        <v>2139</v>
      </c>
      <c r="B699" s="16" t="s">
        <v>228</v>
      </c>
      <c r="C699" s="15" t="str">
        <f>IFERROR(INDEX('قائمة الوحدات'!$B$2:$B$41,MATCH($B699,'قائمة الوحدات'!$A$2:$A$41,0)),"")</f>
        <v>MIL</v>
      </c>
      <c r="D699" s="14" t="str">
        <f>IFERROR(INDEX('قائمة الوحدات'!$C$2:$C$41,MATCH($B699,'قائمة الوحدات'!$A$2:$A$41,0)),"")</f>
        <v>الجهاز العسكري</v>
      </c>
      <c r="E699" s="14" t="str">
        <f>IFERROR(INDEX('قائمة الوحدات'!$D$2:$D$41,MATCH($B699,'قائمة الوحدات'!$A$2:$A$41,0)),"")</f>
        <v>الإدارة العامة للعلاقات العامة والإعلام العسكري</v>
      </c>
      <c r="F699" s="14" t="str">
        <f>IFERROR(INDEX('قائمة الوحدات'!$F$2:$F$41,MATCH($B699,'قائمة الوحدات'!$A$2:$A$41,0)),"")</f>
        <v>الإدارة العامة للعلاقات العامة والإعلام العسكري</v>
      </c>
      <c r="G699" s="16" t="s">
        <v>65</v>
      </c>
      <c r="H699" s="14" t="str">
        <f>IFERROR(INDEX(المرجع!$A$2:$A$19,MATCH($G699,المرجع!$B$2:$B$19,0)),"")</f>
        <v>التشغيل</v>
      </c>
      <c r="I699" s="16" t="s">
        <v>48</v>
      </c>
      <c r="J699" s="14" t="str">
        <f>IFERROR(INDEX(المرجع!$D$2:$D$19,MATCH($I699,المرجع!$E$2:$E$19,0)),"")</f>
        <v>الأهداف ومؤشرات الأداء</v>
      </c>
      <c r="K699" s="15">
        <f>IFERROR(INDEX(المرجع!$F$2:$F$19,MATCH($I699,المرجع!$E$2:$E$19,0)),"")</f>
        <v>2</v>
      </c>
      <c r="L699" s="15">
        <f>SUMIFS(المرجع!$H$2:$H$19,المرجع!$B$2:$B$19,$G699,المرجع!$E$2:$E$19,$I699)</f>
        <v>2</v>
      </c>
      <c r="M699" s="15">
        <f>COUNTIFS('المرتبطة بسمو الوزير'!$B$2:$B$151,$B699,'المرتبطة بسمو الوزير'!$G$2:$G$151,$G699,'المرتبطة بسمو الوزير'!$I$2:$I$151,$I699,'المرتبطة بسمو الوزير'!$M$2:$M$151,"&lt;&gt;")+COUNTIFS('الشؤون التنفيذية'!$B$2:$B$421,$B699,'الشؤون التنفيذية'!$G$2:$G$421,$G699,'الشؤون التنفيذية'!$I$2:$I$421,$I699,'الشؤون التنفيذية'!$N$2:$N$421,"&lt;&gt;")+COUNTIFS('الجهاز العسكري'!$B$2:$B$631,$B699,'الجهاز العسكري'!$G$2:$G$631,$G699,'الجهاز العسكري'!$I$2:$I$631,$I699,'الجهاز العسكري'!$M$2:$M$631,"&lt;&gt;")</f>
        <v>2</v>
      </c>
      <c r="N699" s="19">
        <f>IF($L699=0,0,ROUND((SUMIFS('المرتبطة بسمو الوزير'!$M$2:$M$151,'المرتبطة بسمو الوزير'!$B$2:$B$151,$B699,'المرتبطة بسمو الوزير'!$G$2:$G$151,$G699,'المرتبطة بسمو الوزير'!$I$2:$I$151,$I699)+SUMIFS('الشؤون التنفيذية'!$N$2:$N$421,'الشؤون التنفيذية'!$B$2:$B$421,$B699,'الشؤون التنفيذية'!$G$2:$G$421,$G699,'الشؤون التنفيذية'!$I$2:$I$421,$I699)+SUMIFS('الجهاز العسكري'!$M$2:$M$631,'الجهاز العسكري'!$B$2:$B$631,$B699,'الجهاز العسكري'!$G$2:$G$631,$G699,'الجهاز العسكري'!$I$2:$I$631,$I699))/$L699,0))</f>
        <v>35</v>
      </c>
      <c r="O699" s="18"/>
      <c r="P699" s="15">
        <f>SUMIFS(المرجع!$G$2:$G$19,المرجع!$B$2:$B$19,$G699,المرجع!$E$2:$E$19,$I699)</f>
        <v>25</v>
      </c>
      <c r="Q699" s="20">
        <f t="shared" si="11"/>
        <v>8.75</v>
      </c>
      <c r="R699" s="21" t="str">
        <f>IF($N699&gt;المرجع!$K$3,"متقدم",IF($N699&lt;=المرجع!$K$2,"أولي","جزئي"))</f>
        <v>جزئي</v>
      </c>
    </row>
    <row r="700" spans="1:18">
      <c r="A700" s="16" t="s">
        <v>2140</v>
      </c>
      <c r="B700" s="16" t="s">
        <v>228</v>
      </c>
      <c r="C700" s="15" t="str">
        <f>IFERROR(INDEX('قائمة الوحدات'!$B$2:$B$41,MATCH($B700,'قائمة الوحدات'!$A$2:$A$41,0)),"")</f>
        <v>MIL</v>
      </c>
      <c r="D700" s="14" t="str">
        <f>IFERROR(INDEX('قائمة الوحدات'!$C$2:$C$41,MATCH($B700,'قائمة الوحدات'!$A$2:$A$41,0)),"")</f>
        <v>الجهاز العسكري</v>
      </c>
      <c r="E700" s="14" t="str">
        <f>IFERROR(INDEX('قائمة الوحدات'!$D$2:$D$41,MATCH($B700,'قائمة الوحدات'!$A$2:$A$41,0)),"")</f>
        <v>الإدارة العامة للعلاقات العامة والإعلام العسكري</v>
      </c>
      <c r="F700" s="14" t="str">
        <f>IFERROR(INDEX('قائمة الوحدات'!$F$2:$F$41,MATCH($B700,'قائمة الوحدات'!$A$2:$A$41,0)),"")</f>
        <v>الإدارة العامة للعلاقات العامة والإعلام العسكري</v>
      </c>
      <c r="G700" s="16" t="s">
        <v>65</v>
      </c>
      <c r="H700" s="14" t="str">
        <f>IFERROR(INDEX(المرجع!$A$2:$A$19,MATCH($G700,المرجع!$B$2:$B$19,0)),"")</f>
        <v>التشغيل</v>
      </c>
      <c r="I700" s="16" t="s">
        <v>51</v>
      </c>
      <c r="J700" s="14" t="str">
        <f>IFERROR(INDEX(المرجع!$D$2:$D$19,MATCH($I700,المرجع!$E$2:$E$19,0)),"")</f>
        <v>الحوكمة</v>
      </c>
      <c r="K700" s="15">
        <f>IFERROR(INDEX(المرجع!$F$2:$F$19,MATCH($I700,المرجع!$E$2:$E$19,0)),"")</f>
        <v>3</v>
      </c>
      <c r="L700" s="15">
        <f>SUMIFS(المرجع!$H$2:$H$19,المرجع!$B$2:$B$19,$G700,المرجع!$E$2:$E$19,$I700)</f>
        <v>3</v>
      </c>
      <c r="M700" s="15">
        <f>COUNTIFS('المرتبطة بسمو الوزير'!$B$2:$B$151,$B700,'المرتبطة بسمو الوزير'!$G$2:$G$151,$G700,'المرتبطة بسمو الوزير'!$I$2:$I$151,$I700,'المرتبطة بسمو الوزير'!$M$2:$M$151,"&lt;&gt;")+COUNTIFS('الشؤون التنفيذية'!$B$2:$B$421,$B700,'الشؤون التنفيذية'!$G$2:$G$421,$G700,'الشؤون التنفيذية'!$I$2:$I$421,$I700,'الشؤون التنفيذية'!$N$2:$N$421,"&lt;&gt;")+COUNTIFS('الجهاز العسكري'!$B$2:$B$631,$B700,'الجهاز العسكري'!$G$2:$G$631,$G700,'الجهاز العسكري'!$I$2:$I$631,$I700,'الجهاز العسكري'!$M$2:$M$631,"&lt;&gt;")</f>
        <v>3</v>
      </c>
      <c r="N700" s="19">
        <f>IF($L700=0,0,ROUND((SUMIFS('المرتبطة بسمو الوزير'!$M$2:$M$151,'المرتبطة بسمو الوزير'!$B$2:$B$151,$B700,'المرتبطة بسمو الوزير'!$G$2:$G$151,$G700,'المرتبطة بسمو الوزير'!$I$2:$I$151,$I700)+SUMIFS('الشؤون التنفيذية'!$N$2:$N$421,'الشؤون التنفيذية'!$B$2:$B$421,$B700,'الشؤون التنفيذية'!$G$2:$G$421,$G700,'الشؤون التنفيذية'!$I$2:$I$421,$I700)+SUMIFS('الجهاز العسكري'!$M$2:$M$631,'الجهاز العسكري'!$B$2:$B$631,$B700,'الجهاز العسكري'!$G$2:$G$631,$G700,'الجهاز العسكري'!$I$2:$I$631,$I700))/$L700,0))</f>
        <v>35</v>
      </c>
      <c r="O700" s="18"/>
      <c r="P700" s="15">
        <f>SUMIFS(المرجع!$G$2:$G$19,المرجع!$B$2:$B$19,$G700,المرجع!$E$2:$E$19,$I700)</f>
        <v>15</v>
      </c>
      <c r="Q700" s="20">
        <f t="shared" si="11"/>
        <v>5.25</v>
      </c>
      <c r="R700" s="21" t="str">
        <f>IF($N700&gt;المرجع!$K$3,"متقدم",IF($N700&lt;=المرجع!$K$2,"أولي","جزئي"))</f>
        <v>جزئي</v>
      </c>
    </row>
    <row r="701" spans="1:18">
      <c r="A701" s="16" t="s">
        <v>2141</v>
      </c>
      <c r="B701" s="16" t="s">
        <v>228</v>
      </c>
      <c r="C701" s="15" t="str">
        <f>IFERROR(INDEX('قائمة الوحدات'!$B$2:$B$41,MATCH($B701,'قائمة الوحدات'!$A$2:$A$41,0)),"")</f>
        <v>MIL</v>
      </c>
      <c r="D701" s="14" t="str">
        <f>IFERROR(INDEX('قائمة الوحدات'!$C$2:$C$41,MATCH($B701,'قائمة الوحدات'!$A$2:$A$41,0)),"")</f>
        <v>الجهاز العسكري</v>
      </c>
      <c r="E701" s="14" t="str">
        <f>IFERROR(INDEX('قائمة الوحدات'!$D$2:$D$41,MATCH($B701,'قائمة الوحدات'!$A$2:$A$41,0)),"")</f>
        <v>الإدارة العامة للعلاقات العامة والإعلام العسكري</v>
      </c>
      <c r="F701" s="14" t="str">
        <f>IFERROR(INDEX('قائمة الوحدات'!$F$2:$F$41,MATCH($B701,'قائمة الوحدات'!$A$2:$A$41,0)),"")</f>
        <v>الإدارة العامة للعلاقات العامة والإعلام العسكري</v>
      </c>
      <c r="G701" s="16" t="s">
        <v>65</v>
      </c>
      <c r="H701" s="14" t="str">
        <f>IFERROR(INDEX(المرجع!$A$2:$A$19,MATCH($G701,المرجع!$B$2:$B$19,0)),"")</f>
        <v>التشغيل</v>
      </c>
      <c r="I701" s="16" t="s">
        <v>56</v>
      </c>
      <c r="J701" s="14" t="str">
        <f>IFERROR(INDEX(المرجع!$D$2:$D$19,MATCH($I701,المرجع!$E$2:$E$19,0)),"")</f>
        <v>الموارد</v>
      </c>
      <c r="K701" s="15">
        <f>IFERROR(INDEX(المرجع!$F$2:$F$19,MATCH($I701,المرجع!$E$2:$E$19,0)),"")</f>
        <v>5</v>
      </c>
      <c r="L701" s="15">
        <f>SUMIFS(المرجع!$H$2:$H$19,المرجع!$B$2:$B$19,$G701,المرجع!$E$2:$E$19,$I701)</f>
        <v>1</v>
      </c>
      <c r="M701" s="15">
        <f>COUNTIFS('المرتبطة بسمو الوزير'!$B$2:$B$151,$B701,'المرتبطة بسمو الوزير'!$G$2:$G$151,$G701,'المرتبطة بسمو الوزير'!$I$2:$I$151,$I701,'المرتبطة بسمو الوزير'!$M$2:$M$151,"&lt;&gt;")+COUNTIFS('الشؤون التنفيذية'!$B$2:$B$421,$B701,'الشؤون التنفيذية'!$G$2:$G$421,$G701,'الشؤون التنفيذية'!$I$2:$I$421,$I701,'الشؤون التنفيذية'!$N$2:$N$421,"&lt;&gt;")+COUNTIFS('الجهاز العسكري'!$B$2:$B$631,$B701,'الجهاز العسكري'!$G$2:$G$631,$G701,'الجهاز العسكري'!$I$2:$I$631,$I701,'الجهاز العسكري'!$M$2:$M$631,"&lt;&gt;")</f>
        <v>1</v>
      </c>
      <c r="N701" s="19">
        <f>IF($L701=0,0,ROUND((SUMIFS('المرتبطة بسمو الوزير'!$M$2:$M$151,'المرتبطة بسمو الوزير'!$B$2:$B$151,$B701,'المرتبطة بسمو الوزير'!$G$2:$G$151,$G701,'المرتبطة بسمو الوزير'!$I$2:$I$151,$I701)+SUMIFS('الشؤون التنفيذية'!$N$2:$N$421,'الشؤون التنفيذية'!$B$2:$B$421,$B701,'الشؤون التنفيذية'!$G$2:$G$421,$G701,'الشؤون التنفيذية'!$I$2:$I$421,$I701)+SUMIFS('الجهاز العسكري'!$M$2:$M$631,'الجهاز العسكري'!$B$2:$B$631,$B701,'الجهاز العسكري'!$G$2:$G$631,$G701,'الجهاز العسكري'!$I$2:$I$631,$I701))/$L701,0))</f>
        <v>47</v>
      </c>
      <c r="O701" s="18"/>
      <c r="P701" s="15">
        <f>SUMIFS(المرجع!$G$2:$G$19,المرجع!$B$2:$B$19,$G701,المرجع!$E$2:$E$19,$I701)</f>
        <v>15</v>
      </c>
      <c r="Q701" s="20">
        <f t="shared" si="11"/>
        <v>7.05</v>
      </c>
      <c r="R701" s="21" t="str">
        <f>IF($N701&gt;المرجع!$K$3,"متقدم",IF($N701&lt;=المرجع!$K$2,"أولي","جزئي"))</f>
        <v>جزئي</v>
      </c>
    </row>
    <row r="702" spans="1:18">
      <c r="A702" s="16" t="s">
        <v>2142</v>
      </c>
      <c r="B702" s="16" t="s">
        <v>228</v>
      </c>
      <c r="C702" s="15" t="str">
        <f>IFERROR(INDEX('قائمة الوحدات'!$B$2:$B$41,MATCH($B702,'قائمة الوحدات'!$A$2:$A$41,0)),"")</f>
        <v>MIL</v>
      </c>
      <c r="D702" s="14" t="str">
        <f>IFERROR(INDEX('قائمة الوحدات'!$C$2:$C$41,MATCH($B702,'قائمة الوحدات'!$A$2:$A$41,0)),"")</f>
        <v>الجهاز العسكري</v>
      </c>
      <c r="E702" s="14" t="str">
        <f>IFERROR(INDEX('قائمة الوحدات'!$D$2:$D$41,MATCH($B702,'قائمة الوحدات'!$A$2:$A$41,0)),"")</f>
        <v>الإدارة العامة للعلاقات العامة والإعلام العسكري</v>
      </c>
      <c r="F702" s="14" t="str">
        <f>IFERROR(INDEX('قائمة الوحدات'!$F$2:$F$41,MATCH($B702,'قائمة الوحدات'!$A$2:$A$41,0)),"")</f>
        <v>الإدارة العامة للعلاقات العامة والإعلام العسكري</v>
      </c>
      <c r="G702" s="16" t="s">
        <v>65</v>
      </c>
      <c r="H702" s="14" t="str">
        <f>IFERROR(INDEX(المرجع!$A$2:$A$19,MATCH($G702,المرجع!$B$2:$B$19,0)),"")</f>
        <v>التشغيل</v>
      </c>
      <c r="I702" s="16" t="s">
        <v>59</v>
      </c>
      <c r="J702" s="14" t="str">
        <f>IFERROR(INDEX(المرجع!$D$2:$D$19,MATCH($I702,المرجع!$E$2:$E$19,0)),"")</f>
        <v>الإجراءات</v>
      </c>
      <c r="K702" s="15">
        <f>IFERROR(INDEX(المرجع!$F$2:$F$19,MATCH($I702,المرجع!$E$2:$E$19,0)),"")</f>
        <v>6</v>
      </c>
      <c r="L702" s="15">
        <f>SUMIFS(المرجع!$H$2:$H$19,المرجع!$B$2:$B$19,$G702,المرجع!$E$2:$E$19,$I702)</f>
        <v>1</v>
      </c>
      <c r="M702" s="15">
        <f>COUNTIFS('المرتبطة بسمو الوزير'!$B$2:$B$151,$B702,'المرتبطة بسمو الوزير'!$G$2:$G$151,$G702,'المرتبطة بسمو الوزير'!$I$2:$I$151,$I702,'المرتبطة بسمو الوزير'!$M$2:$M$151,"&lt;&gt;")+COUNTIFS('الشؤون التنفيذية'!$B$2:$B$421,$B702,'الشؤون التنفيذية'!$G$2:$G$421,$G702,'الشؤون التنفيذية'!$I$2:$I$421,$I702,'الشؤون التنفيذية'!$N$2:$N$421,"&lt;&gt;")+COUNTIFS('الجهاز العسكري'!$B$2:$B$631,$B702,'الجهاز العسكري'!$G$2:$G$631,$G702,'الجهاز العسكري'!$I$2:$I$631,$I702,'الجهاز العسكري'!$M$2:$M$631,"&lt;&gt;")</f>
        <v>1</v>
      </c>
      <c r="N702" s="19">
        <f>IF($L702=0,0,ROUND((SUMIFS('المرتبطة بسمو الوزير'!$M$2:$M$151,'المرتبطة بسمو الوزير'!$B$2:$B$151,$B702,'المرتبطة بسمو الوزير'!$G$2:$G$151,$G702,'المرتبطة بسمو الوزير'!$I$2:$I$151,$I702)+SUMIFS('الشؤون التنفيذية'!$N$2:$N$421,'الشؤون التنفيذية'!$B$2:$B$421,$B702,'الشؤون التنفيذية'!$G$2:$G$421,$G702,'الشؤون التنفيذية'!$I$2:$I$421,$I702)+SUMIFS('الجهاز العسكري'!$M$2:$M$631,'الجهاز العسكري'!$B$2:$B$631,$B702,'الجهاز العسكري'!$G$2:$G$631,$G702,'الجهاز العسكري'!$I$2:$I$631,$I702))/$L702,0))</f>
        <v>20</v>
      </c>
      <c r="O702" s="18"/>
      <c r="P702" s="15">
        <f>SUMIFS(المرجع!$G$2:$G$19,المرجع!$B$2:$B$19,$G702,المرجع!$E$2:$E$19,$I702)</f>
        <v>15</v>
      </c>
      <c r="Q702" s="20">
        <f t="shared" si="11"/>
        <v>3</v>
      </c>
      <c r="R702" s="21" t="str">
        <f>IF($N702&gt;المرجع!$K$3,"متقدم",IF($N702&lt;=المرجع!$K$2,"أولي","جزئي"))</f>
        <v>أولي</v>
      </c>
    </row>
    <row r="703" spans="1:18">
      <c r="A703" s="16" t="s">
        <v>2143</v>
      </c>
      <c r="B703" s="16" t="s">
        <v>228</v>
      </c>
      <c r="C703" s="15" t="str">
        <f>IFERROR(INDEX('قائمة الوحدات'!$B$2:$B$41,MATCH($B703,'قائمة الوحدات'!$A$2:$A$41,0)),"")</f>
        <v>MIL</v>
      </c>
      <c r="D703" s="14" t="str">
        <f>IFERROR(INDEX('قائمة الوحدات'!$C$2:$C$41,MATCH($B703,'قائمة الوحدات'!$A$2:$A$41,0)),"")</f>
        <v>الجهاز العسكري</v>
      </c>
      <c r="E703" s="14" t="str">
        <f>IFERROR(INDEX('قائمة الوحدات'!$D$2:$D$41,MATCH($B703,'قائمة الوحدات'!$A$2:$A$41,0)),"")</f>
        <v>الإدارة العامة للعلاقات العامة والإعلام العسكري</v>
      </c>
      <c r="F703" s="14" t="str">
        <f>IFERROR(INDEX('قائمة الوحدات'!$F$2:$F$41,MATCH($B703,'قائمة الوحدات'!$A$2:$A$41,0)),"")</f>
        <v>الإدارة العامة للعلاقات العامة والإعلام العسكري</v>
      </c>
      <c r="G703" s="16" t="s">
        <v>65</v>
      </c>
      <c r="H703" s="14" t="str">
        <f>IFERROR(INDEX(المرجع!$A$2:$A$19,MATCH($G703,المرجع!$B$2:$B$19,0)),"")</f>
        <v>التشغيل</v>
      </c>
      <c r="I703" s="16" t="s">
        <v>67</v>
      </c>
      <c r="J703" s="14" t="str">
        <f>IFERROR(INDEX(المرجع!$D$2:$D$19,MATCH($I703,المرجع!$E$2:$E$19,0)),"")</f>
        <v>اكتمال المخرجات المستهدفة</v>
      </c>
      <c r="K703" s="15">
        <f>IFERROR(INDEX(المرجع!$F$2:$F$19,MATCH($I703,المرجع!$E$2:$E$19,0)),"")</f>
        <v>8</v>
      </c>
      <c r="L703" s="15">
        <f>SUMIFS(المرجع!$H$2:$H$19,المرجع!$B$2:$B$19,$G703,المرجع!$E$2:$E$19,$I703)</f>
        <v>1</v>
      </c>
      <c r="M703" s="15">
        <f>COUNTIFS('المرتبطة بسمو الوزير'!$B$2:$B$151,$B703,'المرتبطة بسمو الوزير'!$G$2:$G$151,$G703,'المرتبطة بسمو الوزير'!$I$2:$I$151,$I703,'المرتبطة بسمو الوزير'!$M$2:$M$151,"&lt;&gt;")+COUNTIFS('الشؤون التنفيذية'!$B$2:$B$421,$B703,'الشؤون التنفيذية'!$G$2:$G$421,$G703,'الشؤون التنفيذية'!$I$2:$I$421,$I703,'الشؤون التنفيذية'!$N$2:$N$421,"&lt;&gt;")+COUNTIFS('الجهاز العسكري'!$B$2:$B$631,$B703,'الجهاز العسكري'!$G$2:$G$631,$G703,'الجهاز العسكري'!$I$2:$I$631,$I703,'الجهاز العسكري'!$M$2:$M$631,"&lt;&gt;")</f>
        <v>1</v>
      </c>
      <c r="N703" s="19">
        <f>IF($L703=0,0,ROUND((SUMIFS('المرتبطة بسمو الوزير'!$M$2:$M$151,'المرتبطة بسمو الوزير'!$B$2:$B$151,$B703,'المرتبطة بسمو الوزير'!$G$2:$G$151,$G703,'المرتبطة بسمو الوزير'!$I$2:$I$151,$I703)+SUMIFS('الشؤون التنفيذية'!$N$2:$N$421,'الشؤون التنفيذية'!$B$2:$B$421,$B703,'الشؤون التنفيذية'!$G$2:$G$421,$G703,'الشؤون التنفيذية'!$I$2:$I$421,$I703)+SUMIFS('الجهاز العسكري'!$M$2:$M$631,'الجهاز العسكري'!$B$2:$B$631,$B703,'الجهاز العسكري'!$G$2:$G$631,$G703,'الجهاز العسكري'!$I$2:$I$631,$I703))/$L703,0))</f>
        <v>40</v>
      </c>
      <c r="O703" s="18"/>
      <c r="P703" s="15">
        <f>SUMIFS(المرجع!$G$2:$G$19,المرجع!$B$2:$B$19,$G703,المرجع!$E$2:$E$19,$I703)</f>
        <v>30</v>
      </c>
      <c r="Q703" s="20">
        <f t="shared" si="11"/>
        <v>12</v>
      </c>
      <c r="R703" s="21" t="str">
        <f>IF($N703&gt;المرجع!$K$3,"متقدم",IF($N703&lt;=المرجع!$K$2,"أولي","جزئي"))</f>
        <v>جزئي</v>
      </c>
    </row>
    <row r="704" spans="1:18">
      <c r="A704" s="16" t="s">
        <v>2144</v>
      </c>
      <c r="B704" s="16" t="s">
        <v>230</v>
      </c>
      <c r="C704" s="15" t="str">
        <f>IFERROR(INDEX('قائمة الوحدات'!$B$2:$B$41,MATCH($B704,'قائمة الوحدات'!$A$2:$A$41,0)),"")</f>
        <v>MIL</v>
      </c>
      <c r="D704" s="14" t="str">
        <f>IFERROR(INDEX('قائمة الوحدات'!$C$2:$C$41,MATCH($B704,'قائمة الوحدات'!$A$2:$A$41,0)),"")</f>
        <v>الجهاز العسكري</v>
      </c>
      <c r="E704" s="14" t="str">
        <f>IFERROR(INDEX('قائمة الوحدات'!$D$2:$D$41,MATCH($B704,'قائمة الوحدات'!$A$2:$A$41,0)),"")</f>
        <v>الإدارة العامة للمراسم والتشريفات العسكرية</v>
      </c>
      <c r="F704" s="14" t="str">
        <f>IFERROR(INDEX('قائمة الوحدات'!$F$2:$F$41,MATCH($B704,'قائمة الوحدات'!$A$2:$A$41,0)),"")</f>
        <v>الإدارة العامة للمراسم والتشريفات العسكرية</v>
      </c>
      <c r="G704" s="16" t="s">
        <v>43</v>
      </c>
      <c r="H704" s="14" t="str">
        <f>IFERROR(INDEX(المرجع!$A$2:$A$19,MATCH($G704,المرجع!$B$2:$B$19,0)),"")</f>
        <v>التصميم</v>
      </c>
      <c r="I704" s="16" t="s">
        <v>45</v>
      </c>
      <c r="J704" s="14" t="str">
        <f>IFERROR(INDEX(المرجع!$D$2:$D$19,MATCH($I704,المرجع!$E$2:$E$19,0)),"")</f>
        <v>الدور</v>
      </c>
      <c r="K704" s="15">
        <f>IFERROR(INDEX(المرجع!$F$2:$F$19,MATCH($I704,المرجع!$E$2:$E$19,0)),"")</f>
        <v>1</v>
      </c>
      <c r="L704" s="15">
        <f>SUMIFS(المرجع!$H$2:$H$19,المرجع!$B$2:$B$19,$G704,المرجع!$E$2:$E$19,$I704)</f>
        <v>1</v>
      </c>
      <c r="M704" s="15">
        <f>COUNTIFS('المرتبطة بسمو الوزير'!$B$2:$B$151,$B704,'المرتبطة بسمو الوزير'!$G$2:$G$151,$G704,'المرتبطة بسمو الوزير'!$I$2:$I$151,$I704,'المرتبطة بسمو الوزير'!$M$2:$M$151,"&lt;&gt;")+COUNTIFS('الشؤون التنفيذية'!$B$2:$B$421,$B704,'الشؤون التنفيذية'!$G$2:$G$421,$G704,'الشؤون التنفيذية'!$I$2:$I$421,$I704,'الشؤون التنفيذية'!$N$2:$N$421,"&lt;&gt;")+COUNTIFS('الجهاز العسكري'!$B$2:$B$631,$B704,'الجهاز العسكري'!$G$2:$G$631,$G704,'الجهاز العسكري'!$I$2:$I$631,$I704,'الجهاز العسكري'!$M$2:$M$631,"&lt;&gt;")</f>
        <v>1</v>
      </c>
      <c r="N704" s="19">
        <f>IF($L704=0,0,ROUND((SUMIFS('المرتبطة بسمو الوزير'!$M$2:$M$151,'المرتبطة بسمو الوزير'!$B$2:$B$151,$B704,'المرتبطة بسمو الوزير'!$G$2:$G$151,$G704,'المرتبطة بسمو الوزير'!$I$2:$I$151,$I704)+SUMIFS('الشؤون التنفيذية'!$N$2:$N$421,'الشؤون التنفيذية'!$B$2:$B$421,$B704,'الشؤون التنفيذية'!$G$2:$G$421,$G704,'الشؤون التنفيذية'!$I$2:$I$421,$I704)+SUMIFS('الجهاز العسكري'!$M$2:$M$631,'الجهاز العسكري'!$B$2:$B$631,$B704,'الجهاز العسكري'!$G$2:$G$631,$G704,'الجهاز العسكري'!$I$2:$I$631,$I704))/$L704,0))</f>
        <v>88</v>
      </c>
      <c r="O704" s="18"/>
      <c r="P704" s="15">
        <f>SUMIFS(المرجع!$G$2:$G$19,المرجع!$B$2:$B$19,$G704,المرجع!$E$2:$E$19,$I704)</f>
        <v>25</v>
      </c>
      <c r="Q704" s="20">
        <f t="shared" si="11"/>
        <v>22</v>
      </c>
      <c r="R704" s="21" t="str">
        <f>IF($N704&gt;المرجع!$K$3,"متقدم",IF($N704&lt;=المرجع!$K$2,"أولي","جزئي"))</f>
        <v>متقدم</v>
      </c>
    </row>
    <row r="705" spans="1:18">
      <c r="A705" s="16" t="s">
        <v>2145</v>
      </c>
      <c r="B705" s="16" t="s">
        <v>230</v>
      </c>
      <c r="C705" s="15" t="str">
        <f>IFERROR(INDEX('قائمة الوحدات'!$B$2:$B$41,MATCH($B705,'قائمة الوحدات'!$A$2:$A$41,0)),"")</f>
        <v>MIL</v>
      </c>
      <c r="D705" s="14" t="str">
        <f>IFERROR(INDEX('قائمة الوحدات'!$C$2:$C$41,MATCH($B705,'قائمة الوحدات'!$A$2:$A$41,0)),"")</f>
        <v>الجهاز العسكري</v>
      </c>
      <c r="E705" s="14" t="str">
        <f>IFERROR(INDEX('قائمة الوحدات'!$D$2:$D$41,MATCH($B705,'قائمة الوحدات'!$A$2:$A$41,0)),"")</f>
        <v>الإدارة العامة للمراسم والتشريفات العسكرية</v>
      </c>
      <c r="F705" s="14" t="str">
        <f>IFERROR(INDEX('قائمة الوحدات'!$F$2:$F$41,MATCH($B705,'قائمة الوحدات'!$A$2:$A$41,0)),"")</f>
        <v>الإدارة العامة للمراسم والتشريفات العسكرية</v>
      </c>
      <c r="G705" s="16" t="s">
        <v>43</v>
      </c>
      <c r="H705" s="14" t="str">
        <f>IFERROR(INDEX(المرجع!$A$2:$A$19,MATCH($G705,المرجع!$B$2:$B$19,0)),"")</f>
        <v>التصميم</v>
      </c>
      <c r="I705" s="16" t="s">
        <v>48</v>
      </c>
      <c r="J705" s="14" t="str">
        <f>IFERROR(INDEX(المرجع!$D$2:$D$19,MATCH($I705,المرجع!$E$2:$E$19,0)),"")</f>
        <v>الأهداف ومؤشرات الأداء</v>
      </c>
      <c r="K705" s="15">
        <f>IFERROR(INDEX(المرجع!$F$2:$F$19,MATCH($I705,المرجع!$E$2:$E$19,0)),"")</f>
        <v>2</v>
      </c>
      <c r="L705" s="15">
        <f>SUMIFS(المرجع!$H$2:$H$19,المرجع!$B$2:$B$19,$G705,المرجع!$E$2:$E$19,$I705)</f>
        <v>2</v>
      </c>
      <c r="M705" s="15">
        <f>COUNTIFS('المرتبطة بسمو الوزير'!$B$2:$B$151,$B705,'المرتبطة بسمو الوزير'!$G$2:$G$151,$G705,'المرتبطة بسمو الوزير'!$I$2:$I$151,$I705,'المرتبطة بسمو الوزير'!$M$2:$M$151,"&lt;&gt;")+COUNTIFS('الشؤون التنفيذية'!$B$2:$B$421,$B705,'الشؤون التنفيذية'!$G$2:$G$421,$G705,'الشؤون التنفيذية'!$I$2:$I$421,$I705,'الشؤون التنفيذية'!$N$2:$N$421,"&lt;&gt;")+COUNTIFS('الجهاز العسكري'!$B$2:$B$631,$B705,'الجهاز العسكري'!$G$2:$G$631,$G705,'الجهاز العسكري'!$I$2:$I$631,$I705,'الجهاز العسكري'!$M$2:$M$631,"&lt;&gt;")</f>
        <v>2</v>
      </c>
      <c r="N705" s="19">
        <f>IF($L705=0,0,ROUND((SUMIFS('المرتبطة بسمو الوزير'!$M$2:$M$151,'المرتبطة بسمو الوزير'!$B$2:$B$151,$B705,'المرتبطة بسمو الوزير'!$G$2:$G$151,$G705,'المرتبطة بسمو الوزير'!$I$2:$I$151,$I705)+SUMIFS('الشؤون التنفيذية'!$N$2:$N$421,'الشؤون التنفيذية'!$B$2:$B$421,$B705,'الشؤون التنفيذية'!$G$2:$G$421,$G705,'الشؤون التنفيذية'!$I$2:$I$421,$I705)+SUMIFS('الجهاز العسكري'!$M$2:$M$631,'الجهاز العسكري'!$B$2:$B$631,$B705,'الجهاز العسكري'!$G$2:$G$631,$G705,'الجهاز العسكري'!$I$2:$I$631,$I705))/$L705,0))</f>
        <v>88</v>
      </c>
      <c r="O705" s="18"/>
      <c r="P705" s="15">
        <f>SUMIFS(المرجع!$G$2:$G$19,المرجع!$B$2:$B$19,$G705,المرجع!$E$2:$E$19,$I705)</f>
        <v>15</v>
      </c>
      <c r="Q705" s="20">
        <f t="shared" si="11"/>
        <v>13.2</v>
      </c>
      <c r="R705" s="21" t="str">
        <f>IF($N705&gt;المرجع!$K$3,"متقدم",IF($N705&lt;=المرجع!$K$2,"أولي","جزئي"))</f>
        <v>متقدم</v>
      </c>
    </row>
    <row r="706" spans="1:18">
      <c r="A706" s="16" t="s">
        <v>2146</v>
      </c>
      <c r="B706" s="16" t="s">
        <v>230</v>
      </c>
      <c r="C706" s="15" t="str">
        <f>IFERROR(INDEX('قائمة الوحدات'!$B$2:$B$41,MATCH($B706,'قائمة الوحدات'!$A$2:$A$41,0)),"")</f>
        <v>MIL</v>
      </c>
      <c r="D706" s="14" t="str">
        <f>IFERROR(INDEX('قائمة الوحدات'!$C$2:$C$41,MATCH($B706,'قائمة الوحدات'!$A$2:$A$41,0)),"")</f>
        <v>الجهاز العسكري</v>
      </c>
      <c r="E706" s="14" t="str">
        <f>IFERROR(INDEX('قائمة الوحدات'!$D$2:$D$41,MATCH($B706,'قائمة الوحدات'!$A$2:$A$41,0)),"")</f>
        <v>الإدارة العامة للمراسم والتشريفات العسكرية</v>
      </c>
      <c r="F706" s="14" t="str">
        <f>IFERROR(INDEX('قائمة الوحدات'!$F$2:$F$41,MATCH($B706,'قائمة الوحدات'!$A$2:$A$41,0)),"")</f>
        <v>الإدارة العامة للمراسم والتشريفات العسكرية</v>
      </c>
      <c r="G706" s="16" t="s">
        <v>43</v>
      </c>
      <c r="H706" s="14" t="str">
        <f>IFERROR(INDEX(المرجع!$A$2:$A$19,MATCH($G706,المرجع!$B$2:$B$19,0)),"")</f>
        <v>التصميم</v>
      </c>
      <c r="I706" s="16" t="s">
        <v>51</v>
      </c>
      <c r="J706" s="14" t="str">
        <f>IFERROR(INDEX(المرجع!$D$2:$D$19,MATCH($I706,المرجع!$E$2:$E$19,0)),"")</f>
        <v>الحوكمة</v>
      </c>
      <c r="K706" s="15">
        <f>IFERROR(INDEX(المرجع!$F$2:$F$19,MATCH($I706,المرجع!$E$2:$E$19,0)),"")</f>
        <v>3</v>
      </c>
      <c r="L706" s="15">
        <f>SUMIFS(المرجع!$H$2:$H$19,المرجع!$B$2:$B$19,$G706,المرجع!$E$2:$E$19,$I706)</f>
        <v>1</v>
      </c>
      <c r="M706" s="15">
        <f>COUNTIFS('المرتبطة بسمو الوزير'!$B$2:$B$151,$B706,'المرتبطة بسمو الوزير'!$G$2:$G$151,$G706,'المرتبطة بسمو الوزير'!$I$2:$I$151,$I706,'المرتبطة بسمو الوزير'!$M$2:$M$151,"&lt;&gt;")+COUNTIFS('الشؤون التنفيذية'!$B$2:$B$421,$B706,'الشؤون التنفيذية'!$G$2:$G$421,$G706,'الشؤون التنفيذية'!$I$2:$I$421,$I706,'الشؤون التنفيذية'!$N$2:$N$421,"&lt;&gt;")+COUNTIFS('الجهاز العسكري'!$B$2:$B$631,$B706,'الجهاز العسكري'!$G$2:$G$631,$G706,'الجهاز العسكري'!$I$2:$I$631,$I706,'الجهاز العسكري'!$M$2:$M$631,"&lt;&gt;")</f>
        <v>1</v>
      </c>
      <c r="N706" s="19">
        <f>IF($L706=0,0,ROUND((SUMIFS('المرتبطة بسمو الوزير'!$M$2:$M$151,'المرتبطة بسمو الوزير'!$B$2:$B$151,$B706,'المرتبطة بسمو الوزير'!$G$2:$G$151,$G706,'المرتبطة بسمو الوزير'!$I$2:$I$151,$I706)+SUMIFS('الشؤون التنفيذية'!$N$2:$N$421,'الشؤون التنفيذية'!$B$2:$B$421,$B706,'الشؤون التنفيذية'!$G$2:$G$421,$G706,'الشؤون التنفيذية'!$I$2:$I$421,$I706)+SUMIFS('الجهاز العسكري'!$M$2:$M$631,'الجهاز العسكري'!$B$2:$B$631,$B706,'الجهاز العسكري'!$G$2:$G$631,$G706,'الجهاز العسكري'!$I$2:$I$631,$I706))/$L706,0))</f>
        <v>78</v>
      </c>
      <c r="O706" s="18"/>
      <c r="P706" s="15">
        <f>SUMIFS(المرجع!$G$2:$G$19,المرجع!$B$2:$B$19,$G706,المرجع!$E$2:$E$19,$I706)</f>
        <v>15</v>
      </c>
      <c r="Q706" s="20">
        <f t="shared" ref="Q706:Q721" si="12">ROUND($P706*$N706/100,2)</f>
        <v>11.7</v>
      </c>
      <c r="R706" s="21" t="str">
        <f>IF($N706&gt;المرجع!$K$3,"متقدم",IF($N706&lt;=المرجع!$K$2,"أولي","جزئي"))</f>
        <v>متقدم</v>
      </c>
    </row>
    <row r="707" spans="1:18">
      <c r="A707" s="16" t="s">
        <v>2147</v>
      </c>
      <c r="B707" s="16" t="s">
        <v>230</v>
      </c>
      <c r="C707" s="15" t="str">
        <f>IFERROR(INDEX('قائمة الوحدات'!$B$2:$B$41,MATCH($B707,'قائمة الوحدات'!$A$2:$A$41,0)),"")</f>
        <v>MIL</v>
      </c>
      <c r="D707" s="14" t="str">
        <f>IFERROR(INDEX('قائمة الوحدات'!$C$2:$C$41,MATCH($B707,'قائمة الوحدات'!$A$2:$A$41,0)),"")</f>
        <v>الجهاز العسكري</v>
      </c>
      <c r="E707" s="14" t="str">
        <f>IFERROR(INDEX('قائمة الوحدات'!$D$2:$D$41,MATCH($B707,'قائمة الوحدات'!$A$2:$A$41,0)),"")</f>
        <v>الإدارة العامة للمراسم والتشريفات العسكرية</v>
      </c>
      <c r="F707" s="14" t="str">
        <f>IFERROR(INDEX('قائمة الوحدات'!$F$2:$F$41,MATCH($B707,'قائمة الوحدات'!$A$2:$A$41,0)),"")</f>
        <v>الإدارة العامة للمراسم والتشريفات العسكرية</v>
      </c>
      <c r="G707" s="16" t="s">
        <v>43</v>
      </c>
      <c r="H707" s="14" t="str">
        <f>IFERROR(INDEX(المرجع!$A$2:$A$19,MATCH($G707,المرجع!$B$2:$B$19,0)),"")</f>
        <v>التصميم</v>
      </c>
      <c r="I707" s="16" t="s">
        <v>54</v>
      </c>
      <c r="J707" s="14" t="str">
        <f>IFERROR(INDEX(المرجع!$D$2:$D$19,MATCH($I707,المرجع!$E$2:$E$19,0)),"")</f>
        <v>التنظيم</v>
      </c>
      <c r="K707" s="15">
        <f>IFERROR(INDEX(المرجع!$F$2:$F$19,MATCH($I707,المرجع!$E$2:$E$19,0)),"")</f>
        <v>4</v>
      </c>
      <c r="L707" s="15">
        <f>SUMIFS(المرجع!$H$2:$H$19,المرجع!$B$2:$B$19,$G707,المرجع!$E$2:$E$19,$I707)</f>
        <v>1</v>
      </c>
      <c r="M707" s="15">
        <f>COUNTIFS('المرتبطة بسمو الوزير'!$B$2:$B$151,$B707,'المرتبطة بسمو الوزير'!$G$2:$G$151,$G707,'المرتبطة بسمو الوزير'!$I$2:$I$151,$I707,'المرتبطة بسمو الوزير'!$M$2:$M$151,"&lt;&gt;")+COUNTIFS('الشؤون التنفيذية'!$B$2:$B$421,$B707,'الشؤون التنفيذية'!$G$2:$G$421,$G707,'الشؤون التنفيذية'!$I$2:$I$421,$I707,'الشؤون التنفيذية'!$N$2:$N$421,"&lt;&gt;")+COUNTIFS('الجهاز العسكري'!$B$2:$B$631,$B707,'الجهاز العسكري'!$G$2:$G$631,$G707,'الجهاز العسكري'!$I$2:$I$631,$I707,'الجهاز العسكري'!$M$2:$M$631,"&lt;&gt;")</f>
        <v>1</v>
      </c>
      <c r="N707" s="19">
        <f>IF($L707=0,0,ROUND((SUMIFS('المرتبطة بسمو الوزير'!$M$2:$M$151,'المرتبطة بسمو الوزير'!$B$2:$B$151,$B707,'المرتبطة بسمو الوزير'!$G$2:$G$151,$G707,'المرتبطة بسمو الوزير'!$I$2:$I$151,$I707)+SUMIFS('الشؤون التنفيذية'!$N$2:$N$421,'الشؤون التنفيذية'!$B$2:$B$421,$B707,'الشؤون التنفيذية'!$G$2:$G$421,$G707,'الشؤون التنفيذية'!$I$2:$I$421,$I707)+SUMIFS('الجهاز العسكري'!$M$2:$M$631,'الجهاز العسكري'!$B$2:$B$631,$B707,'الجهاز العسكري'!$G$2:$G$631,$G707,'الجهاز العسكري'!$I$2:$I$631,$I707))/$L707,0))</f>
        <v>95</v>
      </c>
      <c r="O707" s="18"/>
      <c r="P707" s="15">
        <f>SUMIFS(المرجع!$G$2:$G$19,المرجع!$B$2:$B$19,$G707,المرجع!$E$2:$E$19,$I707)</f>
        <v>20</v>
      </c>
      <c r="Q707" s="20">
        <f t="shared" si="12"/>
        <v>19</v>
      </c>
      <c r="R707" s="21" t="str">
        <f>IF($N707&gt;المرجع!$K$3,"متقدم",IF($N707&lt;=المرجع!$K$2,"أولي","جزئي"))</f>
        <v>متقدم</v>
      </c>
    </row>
    <row r="708" spans="1:18">
      <c r="A708" s="16" t="s">
        <v>2148</v>
      </c>
      <c r="B708" s="16" t="s">
        <v>230</v>
      </c>
      <c r="C708" s="15" t="str">
        <f>IFERROR(INDEX('قائمة الوحدات'!$B$2:$B$41,MATCH($B708,'قائمة الوحدات'!$A$2:$A$41,0)),"")</f>
        <v>MIL</v>
      </c>
      <c r="D708" s="14" t="str">
        <f>IFERROR(INDEX('قائمة الوحدات'!$C$2:$C$41,MATCH($B708,'قائمة الوحدات'!$A$2:$A$41,0)),"")</f>
        <v>الجهاز العسكري</v>
      </c>
      <c r="E708" s="14" t="str">
        <f>IFERROR(INDEX('قائمة الوحدات'!$D$2:$D$41,MATCH($B708,'قائمة الوحدات'!$A$2:$A$41,0)),"")</f>
        <v>الإدارة العامة للمراسم والتشريفات العسكرية</v>
      </c>
      <c r="F708" s="14" t="str">
        <f>IFERROR(INDEX('قائمة الوحدات'!$F$2:$F$41,MATCH($B708,'قائمة الوحدات'!$A$2:$A$41,0)),"")</f>
        <v>الإدارة العامة للمراسم والتشريفات العسكرية</v>
      </c>
      <c r="G708" s="16" t="s">
        <v>43</v>
      </c>
      <c r="H708" s="14" t="str">
        <f>IFERROR(INDEX(المرجع!$A$2:$A$19,MATCH($G708,المرجع!$B$2:$B$19,0)),"")</f>
        <v>التصميم</v>
      </c>
      <c r="I708" s="16" t="s">
        <v>56</v>
      </c>
      <c r="J708" s="14" t="str">
        <f>IFERROR(INDEX(المرجع!$D$2:$D$19,MATCH($I708,المرجع!$E$2:$E$19,0)),"")</f>
        <v>الموارد</v>
      </c>
      <c r="K708" s="15">
        <f>IFERROR(INDEX(المرجع!$F$2:$F$19,MATCH($I708,المرجع!$E$2:$E$19,0)),"")</f>
        <v>5</v>
      </c>
      <c r="L708" s="15">
        <f>SUMIFS(المرجع!$H$2:$H$19,المرجع!$B$2:$B$19,$G708,المرجع!$E$2:$E$19,$I708)</f>
        <v>1</v>
      </c>
      <c r="M708" s="15">
        <f>COUNTIFS('المرتبطة بسمو الوزير'!$B$2:$B$151,$B708,'المرتبطة بسمو الوزير'!$G$2:$G$151,$G708,'المرتبطة بسمو الوزير'!$I$2:$I$151,$I708,'المرتبطة بسمو الوزير'!$M$2:$M$151,"&lt;&gt;")+COUNTIFS('الشؤون التنفيذية'!$B$2:$B$421,$B708,'الشؤون التنفيذية'!$G$2:$G$421,$G708,'الشؤون التنفيذية'!$I$2:$I$421,$I708,'الشؤون التنفيذية'!$N$2:$N$421,"&lt;&gt;")+COUNTIFS('الجهاز العسكري'!$B$2:$B$631,$B708,'الجهاز العسكري'!$G$2:$G$631,$G708,'الجهاز العسكري'!$I$2:$I$631,$I708,'الجهاز العسكري'!$M$2:$M$631,"&lt;&gt;")</f>
        <v>1</v>
      </c>
      <c r="N708" s="19">
        <f>IF($L708=0,0,ROUND((SUMIFS('المرتبطة بسمو الوزير'!$M$2:$M$151,'المرتبطة بسمو الوزير'!$B$2:$B$151,$B708,'المرتبطة بسمو الوزير'!$G$2:$G$151,$G708,'المرتبطة بسمو الوزير'!$I$2:$I$151,$I708)+SUMIFS('الشؤون التنفيذية'!$N$2:$N$421,'الشؤون التنفيذية'!$B$2:$B$421,$B708,'الشؤون التنفيذية'!$G$2:$G$421,$G708,'الشؤون التنفيذية'!$I$2:$I$421,$I708)+SUMIFS('الجهاز العسكري'!$M$2:$M$631,'الجهاز العسكري'!$B$2:$B$631,$B708,'الجهاز العسكري'!$G$2:$G$631,$G708,'الجهاز العسكري'!$I$2:$I$631,$I708))/$L708,0))</f>
        <v>89</v>
      </c>
      <c r="O708" s="18"/>
      <c r="P708" s="15">
        <f>SUMIFS(المرجع!$G$2:$G$19,المرجع!$B$2:$B$19,$G708,المرجع!$E$2:$E$19,$I708)</f>
        <v>20</v>
      </c>
      <c r="Q708" s="20">
        <f t="shared" si="12"/>
        <v>17.8</v>
      </c>
      <c r="R708" s="21" t="str">
        <f>IF($N708&gt;المرجع!$K$3,"متقدم",IF($N708&lt;=المرجع!$K$2,"أولي","جزئي"))</f>
        <v>متقدم</v>
      </c>
    </row>
    <row r="709" spans="1:18">
      <c r="A709" s="16" t="s">
        <v>2149</v>
      </c>
      <c r="B709" s="16" t="s">
        <v>230</v>
      </c>
      <c r="C709" s="15" t="str">
        <f>IFERROR(INDEX('قائمة الوحدات'!$B$2:$B$41,MATCH($B709,'قائمة الوحدات'!$A$2:$A$41,0)),"")</f>
        <v>MIL</v>
      </c>
      <c r="D709" s="14" t="str">
        <f>IFERROR(INDEX('قائمة الوحدات'!$C$2:$C$41,MATCH($B709,'قائمة الوحدات'!$A$2:$A$41,0)),"")</f>
        <v>الجهاز العسكري</v>
      </c>
      <c r="E709" s="14" t="str">
        <f>IFERROR(INDEX('قائمة الوحدات'!$D$2:$D$41,MATCH($B709,'قائمة الوحدات'!$A$2:$A$41,0)),"")</f>
        <v>الإدارة العامة للمراسم والتشريفات العسكرية</v>
      </c>
      <c r="F709" s="14" t="str">
        <f>IFERROR(INDEX('قائمة الوحدات'!$F$2:$F$41,MATCH($B709,'قائمة الوحدات'!$A$2:$A$41,0)),"")</f>
        <v>الإدارة العامة للمراسم والتشريفات العسكرية</v>
      </c>
      <c r="G709" s="16" t="s">
        <v>43</v>
      </c>
      <c r="H709" s="14" t="str">
        <f>IFERROR(INDEX(المرجع!$A$2:$A$19,MATCH($G709,المرجع!$B$2:$B$19,0)),"")</f>
        <v>التصميم</v>
      </c>
      <c r="I709" s="16" t="s">
        <v>59</v>
      </c>
      <c r="J709" s="14" t="str">
        <f>IFERROR(INDEX(المرجع!$D$2:$D$19,MATCH($I709,المرجع!$E$2:$E$19,0)),"")</f>
        <v>الإجراءات</v>
      </c>
      <c r="K709" s="15">
        <f>IFERROR(INDEX(المرجع!$F$2:$F$19,MATCH($I709,المرجع!$E$2:$E$19,0)),"")</f>
        <v>6</v>
      </c>
      <c r="L709" s="15">
        <f>SUMIFS(المرجع!$H$2:$H$19,المرجع!$B$2:$B$19,$G709,المرجع!$E$2:$E$19,$I709)</f>
        <v>1</v>
      </c>
      <c r="M709" s="15">
        <f>COUNTIFS('المرتبطة بسمو الوزير'!$B$2:$B$151,$B709,'المرتبطة بسمو الوزير'!$G$2:$G$151,$G709,'المرتبطة بسمو الوزير'!$I$2:$I$151,$I709,'المرتبطة بسمو الوزير'!$M$2:$M$151,"&lt;&gt;")+COUNTIFS('الشؤون التنفيذية'!$B$2:$B$421,$B709,'الشؤون التنفيذية'!$G$2:$G$421,$G709,'الشؤون التنفيذية'!$I$2:$I$421,$I709,'الشؤون التنفيذية'!$N$2:$N$421,"&lt;&gt;")+COUNTIFS('الجهاز العسكري'!$B$2:$B$631,$B709,'الجهاز العسكري'!$G$2:$G$631,$G709,'الجهاز العسكري'!$I$2:$I$631,$I709,'الجهاز العسكري'!$M$2:$M$631,"&lt;&gt;")</f>
        <v>1</v>
      </c>
      <c r="N709" s="19">
        <f>IF($L709=0,0,ROUND((SUMIFS('المرتبطة بسمو الوزير'!$M$2:$M$151,'المرتبطة بسمو الوزير'!$B$2:$B$151,$B709,'المرتبطة بسمو الوزير'!$G$2:$G$151,$G709,'المرتبطة بسمو الوزير'!$I$2:$I$151,$I709)+SUMIFS('الشؤون التنفيذية'!$N$2:$N$421,'الشؤون التنفيذية'!$B$2:$B$421,$B709,'الشؤون التنفيذية'!$G$2:$G$421,$G709,'الشؤون التنفيذية'!$I$2:$I$421,$I709)+SUMIFS('الجهاز العسكري'!$M$2:$M$631,'الجهاز العسكري'!$B$2:$B$631,$B709,'الجهاز العسكري'!$G$2:$G$631,$G709,'الجهاز العسكري'!$I$2:$I$631,$I709))/$L709,0))</f>
        <v>88</v>
      </c>
      <c r="O709" s="18"/>
      <c r="P709" s="15">
        <f>SUMIFS(المرجع!$G$2:$G$19,المرجع!$B$2:$B$19,$G709,المرجع!$E$2:$E$19,$I709)</f>
        <v>5</v>
      </c>
      <c r="Q709" s="20">
        <f t="shared" si="12"/>
        <v>4.4000000000000004</v>
      </c>
      <c r="R709" s="21" t="str">
        <f>IF($N709&gt;المرجع!$K$3,"متقدم",IF($N709&lt;=المرجع!$K$2,"أولي","جزئي"))</f>
        <v>متقدم</v>
      </c>
    </row>
    <row r="710" spans="1:18">
      <c r="A710" s="16" t="s">
        <v>2150</v>
      </c>
      <c r="B710" s="16" t="s">
        <v>230</v>
      </c>
      <c r="C710" s="15" t="str">
        <f>IFERROR(INDEX('قائمة الوحدات'!$B$2:$B$41,MATCH($B710,'قائمة الوحدات'!$A$2:$A$41,0)),"")</f>
        <v>MIL</v>
      </c>
      <c r="D710" s="14" t="str">
        <f>IFERROR(INDEX('قائمة الوحدات'!$C$2:$C$41,MATCH($B710,'قائمة الوحدات'!$A$2:$A$41,0)),"")</f>
        <v>الجهاز العسكري</v>
      </c>
      <c r="E710" s="14" t="str">
        <f>IFERROR(INDEX('قائمة الوحدات'!$D$2:$D$41,MATCH($B710,'قائمة الوحدات'!$A$2:$A$41,0)),"")</f>
        <v>الإدارة العامة للمراسم والتشريفات العسكرية</v>
      </c>
      <c r="F710" s="14" t="str">
        <f>IFERROR(INDEX('قائمة الوحدات'!$F$2:$F$41,MATCH($B710,'قائمة الوحدات'!$A$2:$A$41,0)),"")</f>
        <v>الإدارة العامة للمراسم والتشريفات العسكرية</v>
      </c>
      <c r="G710" s="16" t="s">
        <v>61</v>
      </c>
      <c r="H710" s="14" t="str">
        <f>IFERROR(INDEX(المرجع!$A$2:$A$19,MATCH($G710,المرجع!$B$2:$B$19,0)),"")</f>
        <v>البناء المؤسسي</v>
      </c>
      <c r="I710" s="16" t="s">
        <v>45</v>
      </c>
      <c r="J710" s="14" t="str">
        <f>IFERROR(INDEX(المرجع!$D$2:$D$19,MATCH($I710,المرجع!$E$2:$E$19,0)),"")</f>
        <v>الدور</v>
      </c>
      <c r="K710" s="15">
        <f>IFERROR(INDEX(المرجع!$F$2:$F$19,MATCH($I710,المرجع!$E$2:$E$19,0)),"")</f>
        <v>1</v>
      </c>
      <c r="L710" s="15">
        <f>SUMIFS(المرجع!$H$2:$H$19,المرجع!$B$2:$B$19,$G710,المرجع!$E$2:$E$19,$I710)</f>
        <v>1</v>
      </c>
      <c r="M710" s="15">
        <f>COUNTIFS('المرتبطة بسمو الوزير'!$B$2:$B$151,$B710,'المرتبطة بسمو الوزير'!$G$2:$G$151,$G710,'المرتبطة بسمو الوزير'!$I$2:$I$151,$I710,'المرتبطة بسمو الوزير'!$M$2:$M$151,"&lt;&gt;")+COUNTIFS('الشؤون التنفيذية'!$B$2:$B$421,$B710,'الشؤون التنفيذية'!$G$2:$G$421,$G710,'الشؤون التنفيذية'!$I$2:$I$421,$I710,'الشؤون التنفيذية'!$N$2:$N$421,"&lt;&gt;")+COUNTIFS('الجهاز العسكري'!$B$2:$B$631,$B710,'الجهاز العسكري'!$G$2:$G$631,$G710,'الجهاز العسكري'!$I$2:$I$631,$I710,'الجهاز العسكري'!$M$2:$M$631,"&lt;&gt;")</f>
        <v>1</v>
      </c>
      <c r="N710" s="19">
        <f>IF($L710=0,0,ROUND((SUMIFS('المرتبطة بسمو الوزير'!$M$2:$M$151,'المرتبطة بسمو الوزير'!$B$2:$B$151,$B710,'المرتبطة بسمو الوزير'!$G$2:$G$151,$G710,'المرتبطة بسمو الوزير'!$I$2:$I$151,$I710)+SUMIFS('الشؤون التنفيذية'!$N$2:$N$421,'الشؤون التنفيذية'!$B$2:$B$421,$B710,'الشؤون التنفيذية'!$G$2:$G$421,$G710,'الشؤون التنفيذية'!$I$2:$I$421,$I710)+SUMIFS('الجهاز العسكري'!$M$2:$M$631,'الجهاز العسكري'!$B$2:$B$631,$B710,'الجهاز العسكري'!$G$2:$G$631,$G710,'الجهاز العسكري'!$I$2:$I$631,$I710))/$L710,0))</f>
        <v>81</v>
      </c>
      <c r="O710" s="18"/>
      <c r="P710" s="15">
        <f>SUMIFS(المرجع!$G$2:$G$19,المرجع!$B$2:$B$19,$G710,المرجع!$E$2:$E$19,$I710)</f>
        <v>15</v>
      </c>
      <c r="Q710" s="20">
        <f t="shared" si="12"/>
        <v>12.15</v>
      </c>
      <c r="R710" s="21" t="str">
        <f>IF($N710&gt;المرجع!$K$3,"متقدم",IF($N710&lt;=المرجع!$K$2,"أولي","جزئي"))</f>
        <v>متقدم</v>
      </c>
    </row>
    <row r="711" spans="1:18">
      <c r="A711" s="16" t="s">
        <v>2151</v>
      </c>
      <c r="B711" s="16" t="s">
        <v>230</v>
      </c>
      <c r="C711" s="15" t="str">
        <f>IFERROR(INDEX('قائمة الوحدات'!$B$2:$B$41,MATCH($B711,'قائمة الوحدات'!$A$2:$A$41,0)),"")</f>
        <v>MIL</v>
      </c>
      <c r="D711" s="14" t="str">
        <f>IFERROR(INDEX('قائمة الوحدات'!$C$2:$C$41,MATCH($B711,'قائمة الوحدات'!$A$2:$A$41,0)),"")</f>
        <v>الجهاز العسكري</v>
      </c>
      <c r="E711" s="14" t="str">
        <f>IFERROR(INDEX('قائمة الوحدات'!$D$2:$D$41,MATCH($B711,'قائمة الوحدات'!$A$2:$A$41,0)),"")</f>
        <v>الإدارة العامة للمراسم والتشريفات العسكرية</v>
      </c>
      <c r="F711" s="14" t="str">
        <f>IFERROR(INDEX('قائمة الوحدات'!$F$2:$F$41,MATCH($B711,'قائمة الوحدات'!$A$2:$A$41,0)),"")</f>
        <v>الإدارة العامة للمراسم والتشريفات العسكرية</v>
      </c>
      <c r="G711" s="16" t="s">
        <v>61</v>
      </c>
      <c r="H711" s="14" t="str">
        <f>IFERROR(INDEX(المرجع!$A$2:$A$19,MATCH($G711,المرجع!$B$2:$B$19,0)),"")</f>
        <v>البناء المؤسسي</v>
      </c>
      <c r="I711" s="16" t="s">
        <v>48</v>
      </c>
      <c r="J711" s="14" t="str">
        <f>IFERROR(INDEX(المرجع!$D$2:$D$19,MATCH($I711,المرجع!$E$2:$E$19,0)),"")</f>
        <v>الأهداف ومؤشرات الأداء</v>
      </c>
      <c r="K711" s="15">
        <f>IFERROR(INDEX(المرجع!$F$2:$F$19,MATCH($I711,المرجع!$E$2:$E$19,0)),"")</f>
        <v>2</v>
      </c>
      <c r="L711" s="15">
        <f>SUMIFS(المرجع!$H$2:$H$19,المرجع!$B$2:$B$19,$G711,المرجع!$E$2:$E$19,$I711)</f>
        <v>2</v>
      </c>
      <c r="M711" s="15">
        <f>COUNTIFS('المرتبطة بسمو الوزير'!$B$2:$B$151,$B711,'المرتبطة بسمو الوزير'!$G$2:$G$151,$G711,'المرتبطة بسمو الوزير'!$I$2:$I$151,$I711,'المرتبطة بسمو الوزير'!$M$2:$M$151,"&lt;&gt;")+COUNTIFS('الشؤون التنفيذية'!$B$2:$B$421,$B711,'الشؤون التنفيذية'!$G$2:$G$421,$G711,'الشؤون التنفيذية'!$I$2:$I$421,$I711,'الشؤون التنفيذية'!$N$2:$N$421,"&lt;&gt;")+COUNTIFS('الجهاز العسكري'!$B$2:$B$631,$B711,'الجهاز العسكري'!$G$2:$G$631,$G711,'الجهاز العسكري'!$I$2:$I$631,$I711,'الجهاز العسكري'!$M$2:$M$631,"&lt;&gt;")</f>
        <v>2</v>
      </c>
      <c r="N711" s="19">
        <f>IF($L711=0,0,ROUND((SUMIFS('المرتبطة بسمو الوزير'!$M$2:$M$151,'المرتبطة بسمو الوزير'!$B$2:$B$151,$B711,'المرتبطة بسمو الوزير'!$G$2:$G$151,$G711,'المرتبطة بسمو الوزير'!$I$2:$I$151,$I711)+SUMIFS('الشؤون التنفيذية'!$N$2:$N$421,'الشؤون التنفيذية'!$B$2:$B$421,$B711,'الشؤون التنفيذية'!$G$2:$G$421,$G711,'الشؤون التنفيذية'!$I$2:$I$421,$I711)+SUMIFS('الجهاز العسكري'!$M$2:$M$631,'الجهاز العسكري'!$B$2:$B$631,$B711,'الجهاز العسكري'!$G$2:$G$631,$G711,'الجهاز العسكري'!$I$2:$I$631,$I711))/$L711,0))</f>
        <v>50</v>
      </c>
      <c r="O711" s="18"/>
      <c r="P711" s="15">
        <f>SUMIFS(المرجع!$G$2:$G$19,المرجع!$B$2:$B$19,$G711,المرجع!$E$2:$E$19,$I711)</f>
        <v>15</v>
      </c>
      <c r="Q711" s="20">
        <f t="shared" si="12"/>
        <v>7.5</v>
      </c>
      <c r="R711" s="21" t="str">
        <f>IF($N711&gt;المرجع!$K$3,"متقدم",IF($N711&lt;=المرجع!$K$2,"أولي","جزئي"))</f>
        <v>جزئي</v>
      </c>
    </row>
    <row r="712" spans="1:18">
      <c r="A712" s="16" t="s">
        <v>2152</v>
      </c>
      <c r="B712" s="16" t="s">
        <v>230</v>
      </c>
      <c r="C712" s="15" t="str">
        <f>IFERROR(INDEX('قائمة الوحدات'!$B$2:$B$41,MATCH($B712,'قائمة الوحدات'!$A$2:$A$41,0)),"")</f>
        <v>MIL</v>
      </c>
      <c r="D712" s="14" t="str">
        <f>IFERROR(INDEX('قائمة الوحدات'!$C$2:$C$41,MATCH($B712,'قائمة الوحدات'!$A$2:$A$41,0)),"")</f>
        <v>الجهاز العسكري</v>
      </c>
      <c r="E712" s="14" t="str">
        <f>IFERROR(INDEX('قائمة الوحدات'!$D$2:$D$41,MATCH($B712,'قائمة الوحدات'!$A$2:$A$41,0)),"")</f>
        <v>الإدارة العامة للمراسم والتشريفات العسكرية</v>
      </c>
      <c r="F712" s="14" t="str">
        <f>IFERROR(INDEX('قائمة الوحدات'!$F$2:$F$41,MATCH($B712,'قائمة الوحدات'!$A$2:$A$41,0)),"")</f>
        <v>الإدارة العامة للمراسم والتشريفات العسكرية</v>
      </c>
      <c r="G712" s="16" t="s">
        <v>61</v>
      </c>
      <c r="H712" s="14" t="str">
        <f>IFERROR(INDEX(المرجع!$A$2:$A$19,MATCH($G712,المرجع!$B$2:$B$19,0)),"")</f>
        <v>البناء المؤسسي</v>
      </c>
      <c r="I712" s="16" t="s">
        <v>51</v>
      </c>
      <c r="J712" s="14" t="str">
        <f>IFERROR(INDEX(المرجع!$D$2:$D$19,MATCH($I712,المرجع!$E$2:$E$19,0)),"")</f>
        <v>الحوكمة</v>
      </c>
      <c r="K712" s="15">
        <f>IFERROR(INDEX(المرجع!$F$2:$F$19,MATCH($I712,المرجع!$E$2:$E$19,0)),"")</f>
        <v>3</v>
      </c>
      <c r="L712" s="15">
        <f>SUMIFS(المرجع!$H$2:$H$19,المرجع!$B$2:$B$19,$G712,المرجع!$E$2:$E$19,$I712)</f>
        <v>3</v>
      </c>
      <c r="M712" s="15">
        <f>COUNTIFS('المرتبطة بسمو الوزير'!$B$2:$B$151,$B712,'المرتبطة بسمو الوزير'!$G$2:$G$151,$G712,'المرتبطة بسمو الوزير'!$I$2:$I$151,$I712,'المرتبطة بسمو الوزير'!$M$2:$M$151,"&lt;&gt;")+COUNTIFS('الشؤون التنفيذية'!$B$2:$B$421,$B712,'الشؤون التنفيذية'!$G$2:$G$421,$G712,'الشؤون التنفيذية'!$I$2:$I$421,$I712,'الشؤون التنفيذية'!$N$2:$N$421,"&lt;&gt;")+COUNTIFS('الجهاز العسكري'!$B$2:$B$631,$B712,'الجهاز العسكري'!$G$2:$G$631,$G712,'الجهاز العسكري'!$I$2:$I$631,$I712,'الجهاز العسكري'!$M$2:$M$631,"&lt;&gt;")</f>
        <v>3</v>
      </c>
      <c r="N712" s="19">
        <f>IF($L712=0,0,ROUND((SUMIFS('المرتبطة بسمو الوزير'!$M$2:$M$151,'المرتبطة بسمو الوزير'!$B$2:$B$151,$B712,'المرتبطة بسمو الوزير'!$G$2:$G$151,$G712,'المرتبطة بسمو الوزير'!$I$2:$I$151,$I712)+SUMIFS('الشؤون التنفيذية'!$N$2:$N$421,'الشؤون التنفيذية'!$B$2:$B$421,$B712,'الشؤون التنفيذية'!$G$2:$G$421,$G712,'الشؤون التنفيذية'!$I$2:$I$421,$I712)+SUMIFS('الجهاز العسكري'!$M$2:$M$631,'الجهاز العسكري'!$B$2:$B$631,$B712,'الجهاز العسكري'!$G$2:$G$631,$G712,'الجهاز العسكري'!$I$2:$I$631,$I712))/$L712,0))</f>
        <v>48</v>
      </c>
      <c r="O712" s="18"/>
      <c r="P712" s="15">
        <f>SUMIFS(المرجع!$G$2:$G$19,المرجع!$B$2:$B$19,$G712,المرجع!$E$2:$E$19,$I712)</f>
        <v>15</v>
      </c>
      <c r="Q712" s="20">
        <f t="shared" si="12"/>
        <v>7.2</v>
      </c>
      <c r="R712" s="21" t="str">
        <f>IF($N712&gt;المرجع!$K$3,"متقدم",IF($N712&lt;=المرجع!$K$2,"أولي","جزئي"))</f>
        <v>جزئي</v>
      </c>
    </row>
    <row r="713" spans="1:18">
      <c r="A713" s="16" t="s">
        <v>2153</v>
      </c>
      <c r="B713" s="16" t="s">
        <v>230</v>
      </c>
      <c r="C713" s="15" t="str">
        <f>IFERROR(INDEX('قائمة الوحدات'!$B$2:$B$41,MATCH($B713,'قائمة الوحدات'!$A$2:$A$41,0)),"")</f>
        <v>MIL</v>
      </c>
      <c r="D713" s="14" t="str">
        <f>IFERROR(INDEX('قائمة الوحدات'!$C$2:$C$41,MATCH($B713,'قائمة الوحدات'!$A$2:$A$41,0)),"")</f>
        <v>الجهاز العسكري</v>
      </c>
      <c r="E713" s="14" t="str">
        <f>IFERROR(INDEX('قائمة الوحدات'!$D$2:$D$41,MATCH($B713,'قائمة الوحدات'!$A$2:$A$41,0)),"")</f>
        <v>الإدارة العامة للمراسم والتشريفات العسكرية</v>
      </c>
      <c r="F713" s="14" t="str">
        <f>IFERROR(INDEX('قائمة الوحدات'!$F$2:$F$41,MATCH($B713,'قائمة الوحدات'!$A$2:$A$41,0)),"")</f>
        <v>الإدارة العامة للمراسم والتشريفات العسكرية</v>
      </c>
      <c r="G713" s="16" t="s">
        <v>61</v>
      </c>
      <c r="H713" s="14" t="str">
        <f>IFERROR(INDEX(المرجع!$A$2:$A$19,MATCH($G713,المرجع!$B$2:$B$19,0)),"")</f>
        <v>البناء المؤسسي</v>
      </c>
      <c r="I713" s="16" t="s">
        <v>54</v>
      </c>
      <c r="J713" s="14" t="str">
        <f>IFERROR(INDEX(المرجع!$D$2:$D$19,MATCH($I713,المرجع!$E$2:$E$19,0)),"")</f>
        <v>التنظيم</v>
      </c>
      <c r="K713" s="15">
        <f>IFERROR(INDEX(المرجع!$F$2:$F$19,MATCH($I713,المرجع!$E$2:$E$19,0)),"")</f>
        <v>4</v>
      </c>
      <c r="L713" s="15">
        <f>SUMIFS(المرجع!$H$2:$H$19,المرجع!$B$2:$B$19,$G713,المرجع!$E$2:$E$19,$I713)</f>
        <v>3</v>
      </c>
      <c r="M713" s="15">
        <f>COUNTIFS('المرتبطة بسمو الوزير'!$B$2:$B$151,$B713,'المرتبطة بسمو الوزير'!$G$2:$G$151,$G713,'المرتبطة بسمو الوزير'!$I$2:$I$151,$I713,'المرتبطة بسمو الوزير'!$M$2:$M$151,"&lt;&gt;")+COUNTIFS('الشؤون التنفيذية'!$B$2:$B$421,$B713,'الشؤون التنفيذية'!$G$2:$G$421,$G713,'الشؤون التنفيذية'!$I$2:$I$421,$I713,'الشؤون التنفيذية'!$N$2:$N$421,"&lt;&gt;")+COUNTIFS('الجهاز العسكري'!$B$2:$B$631,$B713,'الجهاز العسكري'!$G$2:$G$631,$G713,'الجهاز العسكري'!$I$2:$I$631,$I713,'الجهاز العسكري'!$M$2:$M$631,"&lt;&gt;")</f>
        <v>3</v>
      </c>
      <c r="N713" s="19">
        <f>IF($L713=0,0,ROUND((SUMIFS('المرتبطة بسمو الوزير'!$M$2:$M$151,'المرتبطة بسمو الوزير'!$B$2:$B$151,$B713,'المرتبطة بسمو الوزير'!$G$2:$G$151,$G713,'المرتبطة بسمو الوزير'!$I$2:$I$151,$I713)+SUMIFS('الشؤون التنفيذية'!$N$2:$N$421,'الشؤون التنفيذية'!$B$2:$B$421,$B713,'الشؤون التنفيذية'!$G$2:$G$421,$G713,'الشؤون التنفيذية'!$I$2:$I$421,$I713)+SUMIFS('الجهاز العسكري'!$M$2:$M$631,'الجهاز العسكري'!$B$2:$B$631,$B713,'الجهاز العسكري'!$G$2:$G$631,$G713,'الجهاز العسكري'!$I$2:$I$631,$I713))/$L713,0))</f>
        <v>40</v>
      </c>
      <c r="O713" s="18"/>
      <c r="P713" s="15">
        <f>SUMIFS(المرجع!$G$2:$G$19,المرجع!$B$2:$B$19,$G713,المرجع!$E$2:$E$19,$I713)</f>
        <v>20</v>
      </c>
      <c r="Q713" s="20">
        <f t="shared" si="12"/>
        <v>8</v>
      </c>
      <c r="R713" s="21" t="str">
        <f>IF($N713&gt;المرجع!$K$3,"متقدم",IF($N713&lt;=المرجع!$K$2,"أولي","جزئي"))</f>
        <v>جزئي</v>
      </c>
    </row>
    <row r="714" spans="1:18">
      <c r="A714" s="16" t="s">
        <v>2154</v>
      </c>
      <c r="B714" s="16" t="s">
        <v>230</v>
      </c>
      <c r="C714" s="15" t="str">
        <f>IFERROR(INDEX('قائمة الوحدات'!$B$2:$B$41,MATCH($B714,'قائمة الوحدات'!$A$2:$A$41,0)),"")</f>
        <v>MIL</v>
      </c>
      <c r="D714" s="14" t="str">
        <f>IFERROR(INDEX('قائمة الوحدات'!$C$2:$C$41,MATCH($B714,'قائمة الوحدات'!$A$2:$A$41,0)),"")</f>
        <v>الجهاز العسكري</v>
      </c>
      <c r="E714" s="14" t="str">
        <f>IFERROR(INDEX('قائمة الوحدات'!$D$2:$D$41,MATCH($B714,'قائمة الوحدات'!$A$2:$A$41,0)),"")</f>
        <v>الإدارة العامة للمراسم والتشريفات العسكرية</v>
      </c>
      <c r="F714" s="14" t="str">
        <f>IFERROR(INDEX('قائمة الوحدات'!$F$2:$F$41,MATCH($B714,'قائمة الوحدات'!$A$2:$A$41,0)),"")</f>
        <v>الإدارة العامة للمراسم والتشريفات العسكرية</v>
      </c>
      <c r="G714" s="16" t="s">
        <v>61</v>
      </c>
      <c r="H714" s="14" t="str">
        <f>IFERROR(INDEX(المرجع!$A$2:$A$19,MATCH($G714,المرجع!$B$2:$B$19,0)),"")</f>
        <v>البناء المؤسسي</v>
      </c>
      <c r="I714" s="16" t="s">
        <v>56</v>
      </c>
      <c r="J714" s="14" t="str">
        <f>IFERROR(INDEX(المرجع!$D$2:$D$19,MATCH($I714,المرجع!$E$2:$E$19,0)),"")</f>
        <v>الموارد</v>
      </c>
      <c r="K714" s="15">
        <f>IFERROR(INDEX(المرجع!$F$2:$F$19,MATCH($I714,المرجع!$E$2:$E$19,0)),"")</f>
        <v>5</v>
      </c>
      <c r="L714" s="15">
        <f>SUMIFS(المرجع!$H$2:$H$19,المرجع!$B$2:$B$19,$G714,المرجع!$E$2:$E$19,$I714)</f>
        <v>4</v>
      </c>
      <c r="M714" s="15">
        <f>COUNTIFS('المرتبطة بسمو الوزير'!$B$2:$B$151,$B714,'المرتبطة بسمو الوزير'!$G$2:$G$151,$G714,'المرتبطة بسمو الوزير'!$I$2:$I$151,$I714,'المرتبطة بسمو الوزير'!$M$2:$M$151,"&lt;&gt;")+COUNTIFS('الشؤون التنفيذية'!$B$2:$B$421,$B714,'الشؤون التنفيذية'!$G$2:$G$421,$G714,'الشؤون التنفيذية'!$I$2:$I$421,$I714,'الشؤون التنفيذية'!$N$2:$N$421,"&lt;&gt;")+COUNTIFS('الجهاز العسكري'!$B$2:$B$631,$B714,'الجهاز العسكري'!$G$2:$G$631,$G714,'الجهاز العسكري'!$I$2:$I$631,$I714,'الجهاز العسكري'!$M$2:$M$631,"&lt;&gt;")</f>
        <v>4</v>
      </c>
      <c r="N714" s="19">
        <f>IF($L714=0,0,ROUND((SUMIFS('المرتبطة بسمو الوزير'!$M$2:$M$151,'المرتبطة بسمو الوزير'!$B$2:$B$151,$B714,'المرتبطة بسمو الوزير'!$G$2:$G$151,$G714,'المرتبطة بسمو الوزير'!$I$2:$I$151,$I714)+SUMIFS('الشؤون التنفيذية'!$N$2:$N$421,'الشؤون التنفيذية'!$B$2:$B$421,$B714,'الشؤون التنفيذية'!$G$2:$G$421,$G714,'الشؤون التنفيذية'!$I$2:$I$421,$I714)+SUMIFS('الجهاز العسكري'!$M$2:$M$631,'الجهاز العسكري'!$B$2:$B$631,$B714,'الجهاز العسكري'!$G$2:$G$631,$G714,'الجهاز العسكري'!$I$2:$I$631,$I714))/$L714,0))</f>
        <v>78</v>
      </c>
      <c r="O714" s="18"/>
      <c r="P714" s="15">
        <f>SUMIFS(المرجع!$G$2:$G$19,المرجع!$B$2:$B$19,$G714,المرجع!$E$2:$E$19,$I714)</f>
        <v>25</v>
      </c>
      <c r="Q714" s="20">
        <f t="shared" si="12"/>
        <v>19.5</v>
      </c>
      <c r="R714" s="21" t="str">
        <f>IF($N714&gt;المرجع!$K$3,"متقدم",IF($N714&lt;=المرجع!$K$2,"أولي","جزئي"))</f>
        <v>متقدم</v>
      </c>
    </row>
    <row r="715" spans="1:18">
      <c r="A715" s="16" t="s">
        <v>2155</v>
      </c>
      <c r="B715" s="16" t="s">
        <v>230</v>
      </c>
      <c r="C715" s="15" t="str">
        <f>IFERROR(INDEX('قائمة الوحدات'!$B$2:$B$41,MATCH($B715,'قائمة الوحدات'!$A$2:$A$41,0)),"")</f>
        <v>MIL</v>
      </c>
      <c r="D715" s="14" t="str">
        <f>IFERROR(INDEX('قائمة الوحدات'!$C$2:$C$41,MATCH($B715,'قائمة الوحدات'!$A$2:$A$41,0)),"")</f>
        <v>الجهاز العسكري</v>
      </c>
      <c r="E715" s="14" t="str">
        <f>IFERROR(INDEX('قائمة الوحدات'!$D$2:$D$41,MATCH($B715,'قائمة الوحدات'!$A$2:$A$41,0)),"")</f>
        <v>الإدارة العامة للمراسم والتشريفات العسكرية</v>
      </c>
      <c r="F715" s="14" t="str">
        <f>IFERROR(INDEX('قائمة الوحدات'!$F$2:$F$41,MATCH($B715,'قائمة الوحدات'!$A$2:$A$41,0)),"")</f>
        <v>الإدارة العامة للمراسم والتشريفات العسكرية</v>
      </c>
      <c r="G715" s="16" t="s">
        <v>61</v>
      </c>
      <c r="H715" s="14" t="str">
        <f>IFERROR(INDEX(المرجع!$A$2:$A$19,MATCH($G715,المرجع!$B$2:$B$19,0)),"")</f>
        <v>البناء المؤسسي</v>
      </c>
      <c r="I715" s="16" t="s">
        <v>59</v>
      </c>
      <c r="J715" s="14" t="str">
        <f>IFERROR(INDEX(المرجع!$D$2:$D$19,MATCH($I715,المرجع!$E$2:$E$19,0)),"")</f>
        <v>الإجراءات</v>
      </c>
      <c r="K715" s="15">
        <f>IFERROR(INDEX(المرجع!$F$2:$F$19,MATCH($I715,المرجع!$E$2:$E$19,0)),"")</f>
        <v>6</v>
      </c>
      <c r="L715" s="15">
        <f>SUMIFS(المرجع!$H$2:$H$19,المرجع!$B$2:$B$19,$G715,المرجع!$E$2:$E$19,$I715)</f>
        <v>1</v>
      </c>
      <c r="M715" s="15">
        <f>COUNTIFS('المرتبطة بسمو الوزير'!$B$2:$B$151,$B715,'المرتبطة بسمو الوزير'!$G$2:$G$151,$G715,'المرتبطة بسمو الوزير'!$I$2:$I$151,$I715,'المرتبطة بسمو الوزير'!$M$2:$M$151,"&lt;&gt;")+COUNTIFS('الشؤون التنفيذية'!$B$2:$B$421,$B715,'الشؤون التنفيذية'!$G$2:$G$421,$G715,'الشؤون التنفيذية'!$I$2:$I$421,$I715,'الشؤون التنفيذية'!$N$2:$N$421,"&lt;&gt;")+COUNTIFS('الجهاز العسكري'!$B$2:$B$631,$B715,'الجهاز العسكري'!$G$2:$G$631,$G715,'الجهاز العسكري'!$I$2:$I$631,$I715,'الجهاز العسكري'!$M$2:$M$631,"&lt;&gt;")</f>
        <v>1</v>
      </c>
      <c r="N715" s="19">
        <f>IF($L715=0,0,ROUND((SUMIFS('المرتبطة بسمو الوزير'!$M$2:$M$151,'المرتبطة بسمو الوزير'!$B$2:$B$151,$B715,'المرتبطة بسمو الوزير'!$G$2:$G$151,$G715,'المرتبطة بسمو الوزير'!$I$2:$I$151,$I715)+SUMIFS('الشؤون التنفيذية'!$N$2:$N$421,'الشؤون التنفيذية'!$B$2:$B$421,$B715,'الشؤون التنفيذية'!$G$2:$G$421,$G715,'الشؤون التنفيذية'!$I$2:$I$421,$I715)+SUMIFS('الجهاز العسكري'!$M$2:$M$631,'الجهاز العسكري'!$B$2:$B$631,$B715,'الجهاز العسكري'!$G$2:$G$631,$G715,'الجهاز العسكري'!$I$2:$I$631,$I715))/$L715,0))</f>
        <v>66</v>
      </c>
      <c r="O715" s="18"/>
      <c r="P715" s="15">
        <f>SUMIFS(المرجع!$G$2:$G$19,المرجع!$B$2:$B$19,$G715,المرجع!$E$2:$E$19,$I715)</f>
        <v>5</v>
      </c>
      <c r="Q715" s="20">
        <f t="shared" si="12"/>
        <v>3.3</v>
      </c>
      <c r="R715" s="21" t="str">
        <f>IF($N715&gt;المرجع!$K$3,"متقدم",IF($N715&lt;=المرجع!$K$2,"أولي","جزئي"))</f>
        <v>جزئي</v>
      </c>
    </row>
    <row r="716" spans="1:18">
      <c r="A716" s="16" t="s">
        <v>2156</v>
      </c>
      <c r="B716" s="16" t="s">
        <v>230</v>
      </c>
      <c r="C716" s="15" t="str">
        <f>IFERROR(INDEX('قائمة الوحدات'!$B$2:$B$41,MATCH($B716,'قائمة الوحدات'!$A$2:$A$41,0)),"")</f>
        <v>MIL</v>
      </c>
      <c r="D716" s="14" t="str">
        <f>IFERROR(INDEX('قائمة الوحدات'!$C$2:$C$41,MATCH($B716,'قائمة الوحدات'!$A$2:$A$41,0)),"")</f>
        <v>الجهاز العسكري</v>
      </c>
      <c r="E716" s="14" t="str">
        <f>IFERROR(INDEX('قائمة الوحدات'!$D$2:$D$41,MATCH($B716,'قائمة الوحدات'!$A$2:$A$41,0)),"")</f>
        <v>الإدارة العامة للمراسم والتشريفات العسكرية</v>
      </c>
      <c r="F716" s="14" t="str">
        <f>IFERROR(INDEX('قائمة الوحدات'!$F$2:$F$41,MATCH($B716,'قائمة الوحدات'!$A$2:$A$41,0)),"")</f>
        <v>الإدارة العامة للمراسم والتشريفات العسكرية</v>
      </c>
      <c r="G716" s="16" t="s">
        <v>61</v>
      </c>
      <c r="H716" s="14" t="str">
        <f>IFERROR(INDEX(المرجع!$A$2:$A$19,MATCH($G716,المرجع!$B$2:$B$19,0)),"")</f>
        <v>البناء المؤسسي</v>
      </c>
      <c r="I716" s="16" t="s">
        <v>63</v>
      </c>
      <c r="J716" s="14" t="str">
        <f>IFERROR(INDEX(المرجع!$D$2:$D$19,MATCH($I716,المرجع!$E$2:$E$19,0)),"")</f>
        <v>إنتاج المخرج الأول</v>
      </c>
      <c r="K716" s="15">
        <f>IFERROR(INDEX(المرجع!$F$2:$F$19,MATCH($I716,المرجع!$E$2:$E$19,0)),"")</f>
        <v>7</v>
      </c>
      <c r="L716" s="15">
        <f>SUMIFS(المرجع!$H$2:$H$19,المرجع!$B$2:$B$19,$G716,المرجع!$E$2:$E$19,$I716)</f>
        <v>1</v>
      </c>
      <c r="M716" s="15">
        <f>COUNTIFS('المرتبطة بسمو الوزير'!$B$2:$B$151,$B716,'المرتبطة بسمو الوزير'!$G$2:$G$151,$G716,'المرتبطة بسمو الوزير'!$I$2:$I$151,$I716,'المرتبطة بسمو الوزير'!$M$2:$M$151,"&lt;&gt;")+COUNTIFS('الشؤون التنفيذية'!$B$2:$B$421,$B716,'الشؤون التنفيذية'!$G$2:$G$421,$G716,'الشؤون التنفيذية'!$I$2:$I$421,$I716,'الشؤون التنفيذية'!$N$2:$N$421,"&lt;&gt;")+COUNTIFS('الجهاز العسكري'!$B$2:$B$631,$B716,'الجهاز العسكري'!$G$2:$G$631,$G716,'الجهاز العسكري'!$I$2:$I$631,$I716,'الجهاز العسكري'!$M$2:$M$631,"&lt;&gt;")</f>
        <v>1</v>
      </c>
      <c r="N716" s="19">
        <f>IF($L716=0,0,ROUND((SUMIFS('المرتبطة بسمو الوزير'!$M$2:$M$151,'المرتبطة بسمو الوزير'!$B$2:$B$151,$B716,'المرتبطة بسمو الوزير'!$G$2:$G$151,$G716,'المرتبطة بسمو الوزير'!$I$2:$I$151,$I716)+SUMIFS('الشؤون التنفيذية'!$N$2:$N$421,'الشؤون التنفيذية'!$B$2:$B$421,$B716,'الشؤون التنفيذية'!$G$2:$G$421,$G716,'الشؤون التنفيذية'!$I$2:$I$421,$I716)+SUMIFS('الجهاز العسكري'!$M$2:$M$631,'الجهاز العسكري'!$B$2:$B$631,$B716,'الجهاز العسكري'!$G$2:$G$631,$G716,'الجهاز العسكري'!$I$2:$I$631,$I716))/$L716,0))</f>
        <v>42</v>
      </c>
      <c r="O716" s="18"/>
      <c r="P716" s="15">
        <f>SUMIFS(المرجع!$G$2:$G$19,المرجع!$B$2:$B$19,$G716,المرجع!$E$2:$E$19,$I716)</f>
        <v>5</v>
      </c>
      <c r="Q716" s="20">
        <f t="shared" si="12"/>
        <v>2.1</v>
      </c>
      <c r="R716" s="21" t="str">
        <f>IF($N716&gt;المرجع!$K$3,"متقدم",IF($N716&lt;=المرجع!$K$2,"أولي","جزئي"))</f>
        <v>جزئي</v>
      </c>
    </row>
    <row r="717" spans="1:18">
      <c r="A717" s="16" t="s">
        <v>2157</v>
      </c>
      <c r="B717" s="16" t="s">
        <v>230</v>
      </c>
      <c r="C717" s="15" t="str">
        <f>IFERROR(INDEX('قائمة الوحدات'!$B$2:$B$41,MATCH($B717,'قائمة الوحدات'!$A$2:$A$41,0)),"")</f>
        <v>MIL</v>
      </c>
      <c r="D717" s="14" t="str">
        <f>IFERROR(INDEX('قائمة الوحدات'!$C$2:$C$41,MATCH($B717,'قائمة الوحدات'!$A$2:$A$41,0)),"")</f>
        <v>الجهاز العسكري</v>
      </c>
      <c r="E717" s="14" t="str">
        <f>IFERROR(INDEX('قائمة الوحدات'!$D$2:$D$41,MATCH($B717,'قائمة الوحدات'!$A$2:$A$41,0)),"")</f>
        <v>الإدارة العامة للمراسم والتشريفات العسكرية</v>
      </c>
      <c r="F717" s="14" t="str">
        <f>IFERROR(INDEX('قائمة الوحدات'!$F$2:$F$41,MATCH($B717,'قائمة الوحدات'!$A$2:$A$41,0)),"")</f>
        <v>الإدارة العامة للمراسم والتشريفات العسكرية</v>
      </c>
      <c r="G717" s="16" t="s">
        <v>65</v>
      </c>
      <c r="H717" s="14" t="str">
        <f>IFERROR(INDEX(المرجع!$A$2:$A$19,MATCH($G717,المرجع!$B$2:$B$19,0)),"")</f>
        <v>التشغيل</v>
      </c>
      <c r="I717" s="16" t="s">
        <v>48</v>
      </c>
      <c r="J717" s="14" t="str">
        <f>IFERROR(INDEX(المرجع!$D$2:$D$19,MATCH($I717,المرجع!$E$2:$E$19,0)),"")</f>
        <v>الأهداف ومؤشرات الأداء</v>
      </c>
      <c r="K717" s="15">
        <f>IFERROR(INDEX(المرجع!$F$2:$F$19,MATCH($I717,المرجع!$E$2:$E$19,0)),"")</f>
        <v>2</v>
      </c>
      <c r="L717" s="15">
        <f>SUMIFS(المرجع!$H$2:$H$19,المرجع!$B$2:$B$19,$G717,المرجع!$E$2:$E$19,$I717)</f>
        <v>2</v>
      </c>
      <c r="M717" s="15">
        <f>COUNTIFS('المرتبطة بسمو الوزير'!$B$2:$B$151,$B717,'المرتبطة بسمو الوزير'!$G$2:$G$151,$G717,'المرتبطة بسمو الوزير'!$I$2:$I$151,$I717,'المرتبطة بسمو الوزير'!$M$2:$M$151,"&lt;&gt;")+COUNTIFS('الشؤون التنفيذية'!$B$2:$B$421,$B717,'الشؤون التنفيذية'!$G$2:$G$421,$G717,'الشؤون التنفيذية'!$I$2:$I$421,$I717,'الشؤون التنفيذية'!$N$2:$N$421,"&lt;&gt;")+COUNTIFS('الجهاز العسكري'!$B$2:$B$631,$B717,'الجهاز العسكري'!$G$2:$G$631,$G717,'الجهاز العسكري'!$I$2:$I$631,$I717,'الجهاز العسكري'!$M$2:$M$631,"&lt;&gt;")</f>
        <v>2</v>
      </c>
      <c r="N717" s="19">
        <f>IF($L717=0,0,ROUND((SUMIFS('المرتبطة بسمو الوزير'!$M$2:$M$151,'المرتبطة بسمو الوزير'!$B$2:$B$151,$B717,'المرتبطة بسمو الوزير'!$G$2:$G$151,$G717,'المرتبطة بسمو الوزير'!$I$2:$I$151,$I717)+SUMIFS('الشؤون التنفيذية'!$N$2:$N$421,'الشؤون التنفيذية'!$B$2:$B$421,$B717,'الشؤون التنفيذية'!$G$2:$G$421,$G717,'الشؤون التنفيذية'!$I$2:$I$421,$I717)+SUMIFS('الجهاز العسكري'!$M$2:$M$631,'الجهاز العسكري'!$B$2:$B$631,$B717,'الجهاز العسكري'!$G$2:$G$631,$G717,'الجهاز العسكري'!$I$2:$I$631,$I717))/$L717,0))</f>
        <v>50</v>
      </c>
      <c r="O717" s="18"/>
      <c r="P717" s="15">
        <f>SUMIFS(المرجع!$G$2:$G$19,المرجع!$B$2:$B$19,$G717,المرجع!$E$2:$E$19,$I717)</f>
        <v>25</v>
      </c>
      <c r="Q717" s="20">
        <f t="shared" si="12"/>
        <v>12.5</v>
      </c>
      <c r="R717" s="21" t="str">
        <f>IF($N717&gt;المرجع!$K$3,"متقدم",IF($N717&lt;=المرجع!$K$2,"أولي","جزئي"))</f>
        <v>جزئي</v>
      </c>
    </row>
    <row r="718" spans="1:18">
      <c r="A718" s="16" t="s">
        <v>2158</v>
      </c>
      <c r="B718" s="16" t="s">
        <v>230</v>
      </c>
      <c r="C718" s="15" t="str">
        <f>IFERROR(INDEX('قائمة الوحدات'!$B$2:$B$41,MATCH($B718,'قائمة الوحدات'!$A$2:$A$41,0)),"")</f>
        <v>MIL</v>
      </c>
      <c r="D718" s="14" t="str">
        <f>IFERROR(INDEX('قائمة الوحدات'!$C$2:$C$41,MATCH($B718,'قائمة الوحدات'!$A$2:$A$41,0)),"")</f>
        <v>الجهاز العسكري</v>
      </c>
      <c r="E718" s="14" t="str">
        <f>IFERROR(INDEX('قائمة الوحدات'!$D$2:$D$41,MATCH($B718,'قائمة الوحدات'!$A$2:$A$41,0)),"")</f>
        <v>الإدارة العامة للمراسم والتشريفات العسكرية</v>
      </c>
      <c r="F718" s="14" t="str">
        <f>IFERROR(INDEX('قائمة الوحدات'!$F$2:$F$41,MATCH($B718,'قائمة الوحدات'!$A$2:$A$41,0)),"")</f>
        <v>الإدارة العامة للمراسم والتشريفات العسكرية</v>
      </c>
      <c r="G718" s="16" t="s">
        <v>65</v>
      </c>
      <c r="H718" s="14" t="str">
        <f>IFERROR(INDEX(المرجع!$A$2:$A$19,MATCH($G718,المرجع!$B$2:$B$19,0)),"")</f>
        <v>التشغيل</v>
      </c>
      <c r="I718" s="16" t="s">
        <v>51</v>
      </c>
      <c r="J718" s="14" t="str">
        <f>IFERROR(INDEX(المرجع!$D$2:$D$19,MATCH($I718,المرجع!$E$2:$E$19,0)),"")</f>
        <v>الحوكمة</v>
      </c>
      <c r="K718" s="15">
        <f>IFERROR(INDEX(المرجع!$F$2:$F$19,MATCH($I718,المرجع!$E$2:$E$19,0)),"")</f>
        <v>3</v>
      </c>
      <c r="L718" s="15">
        <f>SUMIFS(المرجع!$H$2:$H$19,المرجع!$B$2:$B$19,$G718,المرجع!$E$2:$E$19,$I718)</f>
        <v>3</v>
      </c>
      <c r="M718" s="15">
        <f>COUNTIFS('المرتبطة بسمو الوزير'!$B$2:$B$151,$B718,'المرتبطة بسمو الوزير'!$G$2:$G$151,$G718,'المرتبطة بسمو الوزير'!$I$2:$I$151,$I718,'المرتبطة بسمو الوزير'!$M$2:$M$151,"&lt;&gt;")+COUNTIFS('الشؤون التنفيذية'!$B$2:$B$421,$B718,'الشؤون التنفيذية'!$G$2:$G$421,$G718,'الشؤون التنفيذية'!$I$2:$I$421,$I718,'الشؤون التنفيذية'!$N$2:$N$421,"&lt;&gt;")+COUNTIFS('الجهاز العسكري'!$B$2:$B$631,$B718,'الجهاز العسكري'!$G$2:$G$631,$G718,'الجهاز العسكري'!$I$2:$I$631,$I718,'الجهاز العسكري'!$M$2:$M$631,"&lt;&gt;")</f>
        <v>3</v>
      </c>
      <c r="N718" s="19">
        <f>IF($L718=0,0,ROUND((SUMIFS('المرتبطة بسمو الوزير'!$M$2:$M$151,'المرتبطة بسمو الوزير'!$B$2:$B$151,$B718,'المرتبطة بسمو الوزير'!$G$2:$G$151,$G718,'المرتبطة بسمو الوزير'!$I$2:$I$151,$I718)+SUMIFS('الشؤون التنفيذية'!$N$2:$N$421,'الشؤون التنفيذية'!$B$2:$B$421,$B718,'الشؤون التنفيذية'!$G$2:$G$421,$G718,'الشؤون التنفيذية'!$I$2:$I$421,$I718)+SUMIFS('الجهاز العسكري'!$M$2:$M$631,'الجهاز العسكري'!$B$2:$B$631,$B718,'الجهاز العسكري'!$G$2:$G$631,$G718,'الجهاز العسكري'!$I$2:$I$631,$I718))/$L718,0))</f>
        <v>65</v>
      </c>
      <c r="O718" s="18"/>
      <c r="P718" s="15">
        <f>SUMIFS(المرجع!$G$2:$G$19,المرجع!$B$2:$B$19,$G718,المرجع!$E$2:$E$19,$I718)</f>
        <v>15</v>
      </c>
      <c r="Q718" s="20">
        <f t="shared" si="12"/>
        <v>9.75</v>
      </c>
      <c r="R718" s="21" t="str">
        <f>IF($N718&gt;المرجع!$K$3,"متقدم",IF($N718&lt;=المرجع!$K$2,"أولي","جزئي"))</f>
        <v>جزئي</v>
      </c>
    </row>
    <row r="719" spans="1:18">
      <c r="A719" s="16" t="s">
        <v>2159</v>
      </c>
      <c r="B719" s="16" t="s">
        <v>230</v>
      </c>
      <c r="C719" s="15" t="str">
        <f>IFERROR(INDEX('قائمة الوحدات'!$B$2:$B$41,MATCH($B719,'قائمة الوحدات'!$A$2:$A$41,0)),"")</f>
        <v>MIL</v>
      </c>
      <c r="D719" s="14" t="str">
        <f>IFERROR(INDEX('قائمة الوحدات'!$C$2:$C$41,MATCH($B719,'قائمة الوحدات'!$A$2:$A$41,0)),"")</f>
        <v>الجهاز العسكري</v>
      </c>
      <c r="E719" s="14" t="str">
        <f>IFERROR(INDEX('قائمة الوحدات'!$D$2:$D$41,MATCH($B719,'قائمة الوحدات'!$A$2:$A$41,0)),"")</f>
        <v>الإدارة العامة للمراسم والتشريفات العسكرية</v>
      </c>
      <c r="F719" s="14" t="str">
        <f>IFERROR(INDEX('قائمة الوحدات'!$F$2:$F$41,MATCH($B719,'قائمة الوحدات'!$A$2:$A$41,0)),"")</f>
        <v>الإدارة العامة للمراسم والتشريفات العسكرية</v>
      </c>
      <c r="G719" s="16" t="s">
        <v>65</v>
      </c>
      <c r="H719" s="14" t="str">
        <f>IFERROR(INDEX(المرجع!$A$2:$A$19,MATCH($G719,المرجع!$B$2:$B$19,0)),"")</f>
        <v>التشغيل</v>
      </c>
      <c r="I719" s="16" t="s">
        <v>56</v>
      </c>
      <c r="J719" s="14" t="str">
        <f>IFERROR(INDEX(المرجع!$D$2:$D$19,MATCH($I719,المرجع!$E$2:$E$19,0)),"")</f>
        <v>الموارد</v>
      </c>
      <c r="K719" s="15">
        <f>IFERROR(INDEX(المرجع!$F$2:$F$19,MATCH($I719,المرجع!$E$2:$E$19,0)),"")</f>
        <v>5</v>
      </c>
      <c r="L719" s="15">
        <f>SUMIFS(المرجع!$H$2:$H$19,المرجع!$B$2:$B$19,$G719,المرجع!$E$2:$E$19,$I719)</f>
        <v>1</v>
      </c>
      <c r="M719" s="15">
        <f>COUNTIFS('المرتبطة بسمو الوزير'!$B$2:$B$151,$B719,'المرتبطة بسمو الوزير'!$G$2:$G$151,$G719,'المرتبطة بسمو الوزير'!$I$2:$I$151,$I719,'المرتبطة بسمو الوزير'!$M$2:$M$151,"&lt;&gt;")+COUNTIFS('الشؤون التنفيذية'!$B$2:$B$421,$B719,'الشؤون التنفيذية'!$G$2:$G$421,$G719,'الشؤون التنفيذية'!$I$2:$I$421,$I719,'الشؤون التنفيذية'!$N$2:$N$421,"&lt;&gt;")+COUNTIFS('الجهاز العسكري'!$B$2:$B$631,$B719,'الجهاز العسكري'!$G$2:$G$631,$G719,'الجهاز العسكري'!$I$2:$I$631,$I719,'الجهاز العسكري'!$M$2:$M$631,"&lt;&gt;")</f>
        <v>1</v>
      </c>
      <c r="N719" s="19">
        <f>IF($L719=0,0,ROUND((SUMIFS('المرتبطة بسمو الوزير'!$M$2:$M$151,'المرتبطة بسمو الوزير'!$B$2:$B$151,$B719,'المرتبطة بسمو الوزير'!$G$2:$G$151,$G719,'المرتبطة بسمو الوزير'!$I$2:$I$151,$I719)+SUMIFS('الشؤون التنفيذية'!$N$2:$N$421,'الشؤون التنفيذية'!$B$2:$B$421,$B719,'الشؤون التنفيذية'!$G$2:$G$421,$G719,'الشؤون التنفيذية'!$I$2:$I$421,$I719)+SUMIFS('الجهاز العسكري'!$M$2:$M$631,'الجهاز العسكري'!$B$2:$B$631,$B719,'الجهاز العسكري'!$G$2:$G$631,$G719,'الجهاز العسكري'!$I$2:$I$631,$I719))/$L719,0))</f>
        <v>54</v>
      </c>
      <c r="O719" s="18"/>
      <c r="P719" s="15">
        <f>SUMIFS(المرجع!$G$2:$G$19,المرجع!$B$2:$B$19,$G719,المرجع!$E$2:$E$19,$I719)</f>
        <v>15</v>
      </c>
      <c r="Q719" s="20">
        <f t="shared" si="12"/>
        <v>8.1</v>
      </c>
      <c r="R719" s="21" t="str">
        <f>IF($N719&gt;المرجع!$K$3,"متقدم",IF($N719&lt;=المرجع!$K$2,"أولي","جزئي"))</f>
        <v>جزئي</v>
      </c>
    </row>
    <row r="720" spans="1:18">
      <c r="A720" s="16" t="s">
        <v>2160</v>
      </c>
      <c r="B720" s="16" t="s">
        <v>230</v>
      </c>
      <c r="C720" s="15" t="str">
        <f>IFERROR(INDEX('قائمة الوحدات'!$B$2:$B$41,MATCH($B720,'قائمة الوحدات'!$A$2:$A$41,0)),"")</f>
        <v>MIL</v>
      </c>
      <c r="D720" s="14" t="str">
        <f>IFERROR(INDEX('قائمة الوحدات'!$C$2:$C$41,MATCH($B720,'قائمة الوحدات'!$A$2:$A$41,0)),"")</f>
        <v>الجهاز العسكري</v>
      </c>
      <c r="E720" s="14" t="str">
        <f>IFERROR(INDEX('قائمة الوحدات'!$D$2:$D$41,MATCH($B720,'قائمة الوحدات'!$A$2:$A$41,0)),"")</f>
        <v>الإدارة العامة للمراسم والتشريفات العسكرية</v>
      </c>
      <c r="F720" s="14" t="str">
        <f>IFERROR(INDEX('قائمة الوحدات'!$F$2:$F$41,MATCH($B720,'قائمة الوحدات'!$A$2:$A$41,0)),"")</f>
        <v>الإدارة العامة للمراسم والتشريفات العسكرية</v>
      </c>
      <c r="G720" s="16" t="s">
        <v>65</v>
      </c>
      <c r="H720" s="14" t="str">
        <f>IFERROR(INDEX(المرجع!$A$2:$A$19,MATCH($G720,المرجع!$B$2:$B$19,0)),"")</f>
        <v>التشغيل</v>
      </c>
      <c r="I720" s="16" t="s">
        <v>59</v>
      </c>
      <c r="J720" s="14" t="str">
        <f>IFERROR(INDEX(المرجع!$D$2:$D$19,MATCH($I720,المرجع!$E$2:$E$19,0)),"")</f>
        <v>الإجراءات</v>
      </c>
      <c r="K720" s="15">
        <f>IFERROR(INDEX(المرجع!$F$2:$F$19,MATCH($I720,المرجع!$E$2:$E$19,0)),"")</f>
        <v>6</v>
      </c>
      <c r="L720" s="15">
        <f>SUMIFS(المرجع!$H$2:$H$19,المرجع!$B$2:$B$19,$G720,المرجع!$E$2:$E$19,$I720)</f>
        <v>1</v>
      </c>
      <c r="M720" s="15">
        <f>COUNTIFS('المرتبطة بسمو الوزير'!$B$2:$B$151,$B720,'المرتبطة بسمو الوزير'!$G$2:$G$151,$G720,'المرتبطة بسمو الوزير'!$I$2:$I$151,$I720,'المرتبطة بسمو الوزير'!$M$2:$M$151,"&lt;&gt;")+COUNTIFS('الشؤون التنفيذية'!$B$2:$B$421,$B720,'الشؤون التنفيذية'!$G$2:$G$421,$G720,'الشؤون التنفيذية'!$I$2:$I$421,$I720,'الشؤون التنفيذية'!$N$2:$N$421,"&lt;&gt;")+COUNTIFS('الجهاز العسكري'!$B$2:$B$631,$B720,'الجهاز العسكري'!$G$2:$G$631,$G720,'الجهاز العسكري'!$I$2:$I$631,$I720,'الجهاز العسكري'!$M$2:$M$631,"&lt;&gt;")</f>
        <v>1</v>
      </c>
      <c r="N720" s="19">
        <f>IF($L720=0,0,ROUND((SUMIFS('المرتبطة بسمو الوزير'!$M$2:$M$151,'المرتبطة بسمو الوزير'!$B$2:$B$151,$B720,'المرتبطة بسمو الوزير'!$G$2:$G$151,$G720,'المرتبطة بسمو الوزير'!$I$2:$I$151,$I720)+SUMIFS('الشؤون التنفيذية'!$N$2:$N$421,'الشؤون التنفيذية'!$B$2:$B$421,$B720,'الشؤون التنفيذية'!$G$2:$G$421,$G720,'الشؤون التنفيذية'!$I$2:$I$421,$I720)+SUMIFS('الجهاز العسكري'!$M$2:$M$631,'الجهاز العسكري'!$B$2:$B$631,$B720,'الجهاز العسكري'!$G$2:$G$631,$G720,'الجهاز العسكري'!$I$2:$I$631,$I720))/$L720,0))</f>
        <v>35</v>
      </c>
      <c r="O720" s="18"/>
      <c r="P720" s="15">
        <f>SUMIFS(المرجع!$G$2:$G$19,المرجع!$B$2:$B$19,$G720,المرجع!$E$2:$E$19,$I720)</f>
        <v>15</v>
      </c>
      <c r="Q720" s="20">
        <f t="shared" si="12"/>
        <v>5.25</v>
      </c>
      <c r="R720" s="21" t="str">
        <f>IF($N720&gt;المرجع!$K$3,"متقدم",IF($N720&lt;=المرجع!$K$2,"أولي","جزئي"))</f>
        <v>جزئي</v>
      </c>
    </row>
    <row r="721" spans="1:18">
      <c r="A721" s="16" t="s">
        <v>2161</v>
      </c>
      <c r="B721" s="16" t="s">
        <v>230</v>
      </c>
      <c r="C721" s="15" t="str">
        <f>IFERROR(INDEX('قائمة الوحدات'!$B$2:$B$41,MATCH($B721,'قائمة الوحدات'!$A$2:$A$41,0)),"")</f>
        <v>MIL</v>
      </c>
      <c r="D721" s="14" t="str">
        <f>IFERROR(INDEX('قائمة الوحدات'!$C$2:$C$41,MATCH($B721,'قائمة الوحدات'!$A$2:$A$41,0)),"")</f>
        <v>الجهاز العسكري</v>
      </c>
      <c r="E721" s="14" t="str">
        <f>IFERROR(INDEX('قائمة الوحدات'!$D$2:$D$41,MATCH($B721,'قائمة الوحدات'!$A$2:$A$41,0)),"")</f>
        <v>الإدارة العامة للمراسم والتشريفات العسكرية</v>
      </c>
      <c r="F721" s="14" t="str">
        <f>IFERROR(INDEX('قائمة الوحدات'!$F$2:$F$41,MATCH($B721,'قائمة الوحدات'!$A$2:$A$41,0)),"")</f>
        <v>الإدارة العامة للمراسم والتشريفات العسكرية</v>
      </c>
      <c r="G721" s="16" t="s">
        <v>65</v>
      </c>
      <c r="H721" s="14" t="str">
        <f>IFERROR(INDEX(المرجع!$A$2:$A$19,MATCH($G721,المرجع!$B$2:$B$19,0)),"")</f>
        <v>التشغيل</v>
      </c>
      <c r="I721" s="16" t="s">
        <v>67</v>
      </c>
      <c r="J721" s="14" t="str">
        <f>IFERROR(INDEX(المرجع!$D$2:$D$19,MATCH($I721,المرجع!$E$2:$E$19,0)),"")</f>
        <v>اكتمال المخرجات المستهدفة</v>
      </c>
      <c r="K721" s="15">
        <f>IFERROR(INDEX(المرجع!$F$2:$F$19,MATCH($I721,المرجع!$E$2:$E$19,0)),"")</f>
        <v>8</v>
      </c>
      <c r="L721" s="15">
        <f>SUMIFS(المرجع!$H$2:$H$19,المرجع!$B$2:$B$19,$G721,المرجع!$E$2:$E$19,$I721)</f>
        <v>1</v>
      </c>
      <c r="M721" s="15">
        <f>COUNTIFS('المرتبطة بسمو الوزير'!$B$2:$B$151,$B721,'المرتبطة بسمو الوزير'!$G$2:$G$151,$G721,'المرتبطة بسمو الوزير'!$I$2:$I$151,$I721,'المرتبطة بسمو الوزير'!$M$2:$M$151,"&lt;&gt;")+COUNTIFS('الشؤون التنفيذية'!$B$2:$B$421,$B721,'الشؤون التنفيذية'!$G$2:$G$421,$G721,'الشؤون التنفيذية'!$I$2:$I$421,$I721,'الشؤون التنفيذية'!$N$2:$N$421,"&lt;&gt;")+COUNTIFS('الجهاز العسكري'!$B$2:$B$631,$B721,'الجهاز العسكري'!$G$2:$G$631,$G721,'الجهاز العسكري'!$I$2:$I$631,$I721,'الجهاز العسكري'!$M$2:$M$631,"&lt;&gt;")</f>
        <v>1</v>
      </c>
      <c r="N721" s="19">
        <f>IF($L721=0,0,ROUND((SUMIFS('المرتبطة بسمو الوزير'!$M$2:$M$151,'المرتبطة بسمو الوزير'!$B$2:$B$151,$B721,'المرتبطة بسمو الوزير'!$G$2:$G$151,$G721,'المرتبطة بسمو الوزير'!$I$2:$I$151,$I721)+SUMIFS('الشؤون التنفيذية'!$N$2:$N$421,'الشؤون التنفيذية'!$B$2:$B$421,$B721,'الشؤون التنفيذية'!$G$2:$G$421,$G721,'الشؤون التنفيذية'!$I$2:$I$421,$I721)+SUMIFS('الجهاز العسكري'!$M$2:$M$631,'الجهاز العسكري'!$B$2:$B$631,$B721,'الجهاز العسكري'!$G$2:$G$631,$G721,'الجهاز العسكري'!$I$2:$I$631,$I721))/$L721,0))</f>
        <v>36</v>
      </c>
      <c r="O721" s="18"/>
      <c r="P721" s="15">
        <f>SUMIFS(المرجع!$G$2:$G$19,المرجع!$B$2:$B$19,$G721,المرجع!$E$2:$E$19,$I721)</f>
        <v>30</v>
      </c>
      <c r="Q721" s="20">
        <f t="shared" si="12"/>
        <v>10.8</v>
      </c>
      <c r="R721" s="21" t="str">
        <f>IF($N721&gt;المرجع!$K$3,"متقدم",IF($N721&lt;=المرجع!$K$2,"أولي","جزئي"))</f>
        <v>جزئي</v>
      </c>
    </row>
  </sheetData>
  <autoFilter ref="A1:R721" xr:uid="{00000000-0009-0000-0000-000007000000}"/>
  <conditionalFormatting sqref="N2:N721">
    <cfRule type="cellIs" dxfId="9" priority="2" operator="greaterThan">
      <formula>70</formula>
    </cfRule>
    <cfRule type="cellIs" dxfId="8" priority="3" operator="lessThanOrEqual">
      <formula>30</formula>
    </cfRule>
  </conditionalFormatting>
  <conditionalFormatting sqref="R2:R721">
    <cfRule type="cellIs" dxfId="7" priority="4" operator="equal">
      <formula>"متقدم"</formula>
    </cfRule>
    <cfRule type="cellIs" dxfId="6" priority="5" operator="equal">
      <formula>"جزئي"</formula>
    </cfRule>
    <cfRule type="cellIs" dxfId="5" priority="6" operator="equal">
      <formula>"أولي"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21"/>
  <sheetViews>
    <sheetView rightToLeft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" sqref="E2"/>
    </sheetView>
  </sheetViews>
  <sheetFormatPr defaultColWidth="8.73046875" defaultRowHeight="14.25"/>
  <cols>
    <col min="1" max="2" width="14" customWidth="1"/>
    <col min="3" max="3" width="24" customWidth="1"/>
    <col min="4" max="4" width="26" customWidth="1"/>
    <col min="5" max="5" width="24" customWidth="1"/>
    <col min="6" max="6" width="13" customWidth="1"/>
    <col min="7" max="7" width="16" customWidth="1"/>
    <col min="8" max="8" width="14" customWidth="1"/>
    <col min="9" max="9" width="13" customWidth="1"/>
  </cols>
  <sheetData>
    <row r="1" spans="1:9" ht="36" customHeight="1">
      <c r="A1" s="4" t="s">
        <v>132</v>
      </c>
      <c r="B1" s="4" t="s">
        <v>133</v>
      </c>
      <c r="C1" s="4" t="s">
        <v>134</v>
      </c>
      <c r="D1" s="4" t="s">
        <v>135</v>
      </c>
      <c r="E1" s="4" t="s">
        <v>136</v>
      </c>
      <c r="F1" s="4" t="s">
        <v>33</v>
      </c>
      <c r="G1" s="4" t="s">
        <v>32</v>
      </c>
      <c r="H1" s="4" t="s">
        <v>2162</v>
      </c>
      <c r="I1" s="4" t="s">
        <v>2163</v>
      </c>
    </row>
    <row r="2" spans="1:9">
      <c r="A2" s="15" t="s">
        <v>141</v>
      </c>
      <c r="B2" s="15" t="str">
        <f>IFERROR(INDEX('قائمة الوحدات'!$B$2:$B$41,MATCH($A2,'قائمة الوحدات'!$A$2:$A$41,0)),"")</f>
        <v>TOP</v>
      </c>
      <c r="C2" s="14" t="str">
        <f>IFERROR(INDEX('قائمة الوحدات'!$C$2:$C$41,MATCH($A2,'قائمة الوحدات'!$A$2:$A$41,0)),"")</f>
        <v>المرتبطة بسمو الوزير</v>
      </c>
      <c r="D2" s="14" t="str">
        <f>IFERROR(INDEX('قائمة الوحدات'!$D$2:$D$41,MATCH($A2,'قائمة الوحدات'!$A$2:$A$41,0)),"")</f>
        <v>المكتب التنفيذي</v>
      </c>
      <c r="E2" s="14" t="str">
        <f>IFERROR(INDEX('قائمة الوحدات'!$F$2:$F$41,MATCH($A2,'قائمة الوحدات'!$A$2:$A$41,0)),"")</f>
        <v>المكتب التنفيذي</v>
      </c>
      <c r="F2" s="15" t="s">
        <v>43</v>
      </c>
      <c r="G2" s="14" t="str">
        <f>IFERROR(INDEX(المرجع!$A$2:$A$19,MATCH($F2,المرجع!$B$2:$B$19,0)),"")</f>
        <v>التصميم</v>
      </c>
      <c r="H2" s="22">
        <f>SUMIFS('تقييم العناصر'!$Q$2:$Q$721,'تقييم العناصر'!$B$2:$B$721,$A2,'تقييم العناصر'!$G$2:$G$721,$F2)</f>
        <v>75.849999999999994</v>
      </c>
      <c r="I2" s="21" t="str">
        <f>IF($H2&gt;المرجع!$K$3,"متقدم",IF($H2&lt;=المرجع!$K$2,"أولي","جزئي"))</f>
        <v>متقدم</v>
      </c>
    </row>
    <row r="3" spans="1:9">
      <c r="A3" s="15" t="s">
        <v>141</v>
      </c>
      <c r="B3" s="15" t="str">
        <f>IFERROR(INDEX('قائمة الوحدات'!$B$2:$B$41,MATCH($A3,'قائمة الوحدات'!$A$2:$A$41,0)),"")</f>
        <v>TOP</v>
      </c>
      <c r="C3" s="14" t="str">
        <f>IFERROR(INDEX('قائمة الوحدات'!$C$2:$C$41,MATCH($A3,'قائمة الوحدات'!$A$2:$A$41,0)),"")</f>
        <v>المرتبطة بسمو الوزير</v>
      </c>
      <c r="D3" s="14" t="str">
        <f>IFERROR(INDEX('قائمة الوحدات'!$D$2:$D$41,MATCH($A3,'قائمة الوحدات'!$A$2:$A$41,0)),"")</f>
        <v>المكتب التنفيذي</v>
      </c>
      <c r="E3" s="14" t="str">
        <f>IFERROR(INDEX('قائمة الوحدات'!$F$2:$F$41,MATCH($A3,'قائمة الوحدات'!$A$2:$A$41,0)),"")</f>
        <v>المكتب التنفيذي</v>
      </c>
      <c r="F3" s="15" t="s">
        <v>61</v>
      </c>
      <c r="G3" s="14" t="str">
        <f>IFERROR(INDEX(المرجع!$A$2:$A$19,MATCH($F3,المرجع!$B$2:$B$19,0)),"")</f>
        <v>البناء المؤسسي</v>
      </c>
      <c r="H3" s="22">
        <f>SUMIFS('تقييم العناصر'!$Q$2:$Q$721,'تقييم العناصر'!$B$2:$B$721,$A3,'تقييم العناصر'!$G$2:$G$721,$F3)</f>
        <v>68.849999999999994</v>
      </c>
      <c r="I3" s="21" t="str">
        <f>IF($H3&gt;المرجع!$K$3,"متقدم",IF($H3&lt;=المرجع!$K$2,"أولي","جزئي"))</f>
        <v>جزئي</v>
      </c>
    </row>
    <row r="4" spans="1:9">
      <c r="A4" s="15" t="s">
        <v>141</v>
      </c>
      <c r="B4" s="15" t="str">
        <f>IFERROR(INDEX('قائمة الوحدات'!$B$2:$B$41,MATCH($A4,'قائمة الوحدات'!$A$2:$A$41,0)),"")</f>
        <v>TOP</v>
      </c>
      <c r="C4" s="14" t="str">
        <f>IFERROR(INDEX('قائمة الوحدات'!$C$2:$C$41,MATCH($A4,'قائمة الوحدات'!$A$2:$A$41,0)),"")</f>
        <v>المرتبطة بسمو الوزير</v>
      </c>
      <c r="D4" s="14" t="str">
        <f>IFERROR(INDEX('قائمة الوحدات'!$D$2:$D$41,MATCH($A4,'قائمة الوحدات'!$A$2:$A$41,0)),"")</f>
        <v>المكتب التنفيذي</v>
      </c>
      <c r="E4" s="14" t="str">
        <f>IFERROR(INDEX('قائمة الوحدات'!$F$2:$F$41,MATCH($A4,'قائمة الوحدات'!$A$2:$A$41,0)),"")</f>
        <v>المكتب التنفيذي</v>
      </c>
      <c r="F4" s="15" t="s">
        <v>65</v>
      </c>
      <c r="G4" s="14" t="str">
        <f>IFERROR(INDEX(المرجع!$A$2:$A$19,MATCH($F4,المرجع!$B$2:$B$19,0)),"")</f>
        <v>التشغيل</v>
      </c>
      <c r="H4" s="22">
        <f>SUMIFS('تقييم العناصر'!$Q$2:$Q$721,'تقييم العناصر'!$B$2:$B$721,$A4,'تقييم العناصر'!$G$2:$G$721,$F4)</f>
        <v>45.550000000000004</v>
      </c>
      <c r="I4" s="21" t="str">
        <f>IF($H4&gt;المرجع!$K$3,"متقدم",IF($H4&lt;=المرجع!$K$2,"أولي","جزئي"))</f>
        <v>جزئي</v>
      </c>
    </row>
    <row r="5" spans="1:9">
      <c r="A5" s="15" t="s">
        <v>146</v>
      </c>
      <c r="B5" s="15" t="str">
        <f>IFERROR(INDEX('قائمة الوحدات'!$B$2:$B$41,MATCH($A5,'قائمة الوحدات'!$A$2:$A$41,0)),"")</f>
        <v>TOP</v>
      </c>
      <c r="C5" s="14" t="str">
        <f>IFERROR(INDEX('قائمة الوحدات'!$C$2:$C$41,MATCH($A5,'قائمة الوحدات'!$A$2:$A$41,0)),"")</f>
        <v>المرتبطة بسمو الوزير</v>
      </c>
      <c r="D5" s="14" t="str">
        <f>IFERROR(INDEX('قائمة الوحدات'!$D$2:$D$41,MATCH($A5,'قائمة الوحدات'!$A$2:$A$41,0)),"")</f>
        <v>إدارة المتابعة والتقارير</v>
      </c>
      <c r="E5" s="14" t="str">
        <f>IFERROR(INDEX('قائمة الوحدات'!$F$2:$F$41,MATCH($A5,'قائمة الوحدات'!$A$2:$A$41,0)),"")</f>
        <v>إدارة المتابعة والتقارير</v>
      </c>
      <c r="F5" s="15" t="s">
        <v>43</v>
      </c>
      <c r="G5" s="14" t="str">
        <f>IFERROR(INDEX(المرجع!$A$2:$A$19,MATCH($F5,المرجع!$B$2:$B$19,0)),"")</f>
        <v>التصميم</v>
      </c>
      <c r="H5" s="22">
        <f>SUMIFS('تقييم العناصر'!$Q$2:$Q$721,'تقييم العناصر'!$B$2:$B$721,$A5,'تقييم العناصر'!$G$2:$G$721,$F5)</f>
        <v>79.800000000000011</v>
      </c>
      <c r="I5" s="21" t="str">
        <f>IF($H5&gt;المرجع!$K$3,"متقدم",IF($H5&lt;=المرجع!$K$2,"أولي","جزئي"))</f>
        <v>متقدم</v>
      </c>
    </row>
    <row r="6" spans="1:9">
      <c r="A6" s="15" t="s">
        <v>146</v>
      </c>
      <c r="B6" s="15" t="str">
        <f>IFERROR(INDEX('قائمة الوحدات'!$B$2:$B$41,MATCH($A6,'قائمة الوحدات'!$A$2:$A$41,0)),"")</f>
        <v>TOP</v>
      </c>
      <c r="C6" s="14" t="str">
        <f>IFERROR(INDEX('قائمة الوحدات'!$C$2:$C$41,MATCH($A6,'قائمة الوحدات'!$A$2:$A$41,0)),"")</f>
        <v>المرتبطة بسمو الوزير</v>
      </c>
      <c r="D6" s="14" t="str">
        <f>IFERROR(INDEX('قائمة الوحدات'!$D$2:$D$41,MATCH($A6,'قائمة الوحدات'!$A$2:$A$41,0)),"")</f>
        <v>إدارة المتابعة والتقارير</v>
      </c>
      <c r="E6" s="14" t="str">
        <f>IFERROR(INDEX('قائمة الوحدات'!$F$2:$F$41,MATCH($A6,'قائمة الوحدات'!$A$2:$A$41,0)),"")</f>
        <v>إدارة المتابعة والتقارير</v>
      </c>
      <c r="F6" s="15" t="s">
        <v>61</v>
      </c>
      <c r="G6" s="14" t="str">
        <f>IFERROR(INDEX(المرجع!$A$2:$A$19,MATCH($F6,المرجع!$B$2:$B$19,0)),"")</f>
        <v>البناء المؤسسي</v>
      </c>
      <c r="H6" s="22">
        <f>SUMIFS('تقييم العناصر'!$Q$2:$Q$721,'تقييم العناصر'!$B$2:$B$721,$A6,'تقييم العناصر'!$G$2:$G$721,$F6)</f>
        <v>64.5</v>
      </c>
      <c r="I6" s="21" t="str">
        <f>IF($H6&gt;المرجع!$K$3,"متقدم",IF($H6&lt;=المرجع!$K$2,"أولي","جزئي"))</f>
        <v>جزئي</v>
      </c>
    </row>
    <row r="7" spans="1:9">
      <c r="A7" s="15" t="s">
        <v>146</v>
      </c>
      <c r="B7" s="15" t="str">
        <f>IFERROR(INDEX('قائمة الوحدات'!$B$2:$B$41,MATCH($A7,'قائمة الوحدات'!$A$2:$A$41,0)),"")</f>
        <v>TOP</v>
      </c>
      <c r="C7" s="14" t="str">
        <f>IFERROR(INDEX('قائمة الوحدات'!$C$2:$C$41,MATCH($A7,'قائمة الوحدات'!$A$2:$A$41,0)),"")</f>
        <v>المرتبطة بسمو الوزير</v>
      </c>
      <c r="D7" s="14" t="str">
        <f>IFERROR(INDEX('قائمة الوحدات'!$D$2:$D$41,MATCH($A7,'قائمة الوحدات'!$A$2:$A$41,0)),"")</f>
        <v>إدارة المتابعة والتقارير</v>
      </c>
      <c r="E7" s="14" t="str">
        <f>IFERROR(INDEX('قائمة الوحدات'!$F$2:$F$41,MATCH($A7,'قائمة الوحدات'!$A$2:$A$41,0)),"")</f>
        <v>إدارة المتابعة والتقارير</v>
      </c>
      <c r="F7" s="15" t="s">
        <v>65</v>
      </c>
      <c r="G7" s="14" t="str">
        <f>IFERROR(INDEX(المرجع!$A$2:$A$19,MATCH($F7,المرجع!$B$2:$B$19,0)),"")</f>
        <v>التشغيل</v>
      </c>
      <c r="H7" s="22">
        <f>SUMIFS('تقييم العناصر'!$Q$2:$Q$721,'تقييم العناصر'!$B$2:$B$721,$A7,'تقييم العناصر'!$G$2:$G$721,$F7)</f>
        <v>49.4</v>
      </c>
      <c r="I7" s="21" t="str">
        <f>IF($H7&gt;المرجع!$K$3,"متقدم",IF($H7&lt;=المرجع!$K$2,"أولي","جزئي"))</f>
        <v>جزئي</v>
      </c>
    </row>
    <row r="8" spans="1:9">
      <c r="A8" s="15" t="s">
        <v>148</v>
      </c>
      <c r="B8" s="15" t="str">
        <f>IFERROR(INDEX('قائمة الوحدات'!$B$2:$B$41,MATCH($A8,'قائمة الوحدات'!$A$2:$A$41,0)),"")</f>
        <v>TOP</v>
      </c>
      <c r="C8" s="14" t="str">
        <f>IFERROR(INDEX('قائمة الوحدات'!$C$2:$C$41,MATCH($A8,'قائمة الوحدات'!$A$2:$A$41,0)),"")</f>
        <v>المرتبطة بسمو الوزير</v>
      </c>
      <c r="D8" s="14" t="str">
        <f>IFERROR(INDEX('قائمة الوحدات'!$D$2:$D$41,MATCH($A8,'قائمة الوحدات'!$A$2:$A$41,0)),"")</f>
        <v>إدارة الحوكمة والمخاطر</v>
      </c>
      <c r="E8" s="14" t="str">
        <f>IFERROR(INDEX('قائمة الوحدات'!$F$2:$F$41,MATCH($A8,'قائمة الوحدات'!$A$2:$A$41,0)),"")</f>
        <v>إدارة الحوكمة والمخاطر</v>
      </c>
      <c r="F8" s="15" t="s">
        <v>43</v>
      </c>
      <c r="G8" s="14" t="str">
        <f>IFERROR(INDEX(المرجع!$A$2:$A$19,MATCH($F8,المرجع!$B$2:$B$19,0)),"")</f>
        <v>التصميم</v>
      </c>
      <c r="H8" s="22">
        <f>SUMIFS('تقييم العناصر'!$Q$2:$Q$721,'تقييم العناصر'!$B$2:$B$721,$A8,'تقييم العناصر'!$G$2:$G$721,$F8)</f>
        <v>80.45</v>
      </c>
      <c r="I8" s="21" t="str">
        <f>IF($H8&gt;المرجع!$K$3,"متقدم",IF($H8&lt;=المرجع!$K$2,"أولي","جزئي"))</f>
        <v>متقدم</v>
      </c>
    </row>
    <row r="9" spans="1:9">
      <c r="A9" s="15" t="s">
        <v>148</v>
      </c>
      <c r="B9" s="15" t="str">
        <f>IFERROR(INDEX('قائمة الوحدات'!$B$2:$B$41,MATCH($A9,'قائمة الوحدات'!$A$2:$A$41,0)),"")</f>
        <v>TOP</v>
      </c>
      <c r="C9" s="14" t="str">
        <f>IFERROR(INDEX('قائمة الوحدات'!$C$2:$C$41,MATCH($A9,'قائمة الوحدات'!$A$2:$A$41,0)),"")</f>
        <v>المرتبطة بسمو الوزير</v>
      </c>
      <c r="D9" s="14" t="str">
        <f>IFERROR(INDEX('قائمة الوحدات'!$D$2:$D$41,MATCH($A9,'قائمة الوحدات'!$A$2:$A$41,0)),"")</f>
        <v>إدارة الحوكمة والمخاطر</v>
      </c>
      <c r="E9" s="14" t="str">
        <f>IFERROR(INDEX('قائمة الوحدات'!$F$2:$F$41,MATCH($A9,'قائمة الوحدات'!$A$2:$A$41,0)),"")</f>
        <v>إدارة الحوكمة والمخاطر</v>
      </c>
      <c r="F9" s="15" t="s">
        <v>61</v>
      </c>
      <c r="G9" s="14" t="str">
        <f>IFERROR(INDEX(المرجع!$A$2:$A$19,MATCH($F9,المرجع!$B$2:$B$19,0)),"")</f>
        <v>البناء المؤسسي</v>
      </c>
      <c r="H9" s="22">
        <f>SUMIFS('تقييم العناصر'!$Q$2:$Q$721,'تقييم العناصر'!$B$2:$B$721,$A9,'تقييم العناصر'!$G$2:$G$721,$F9)</f>
        <v>58.3</v>
      </c>
      <c r="I9" s="21" t="str">
        <f>IF($H9&gt;المرجع!$K$3,"متقدم",IF($H9&lt;=المرجع!$K$2,"أولي","جزئي"))</f>
        <v>جزئي</v>
      </c>
    </row>
    <row r="10" spans="1:9">
      <c r="A10" s="15" t="s">
        <v>148</v>
      </c>
      <c r="B10" s="15" t="str">
        <f>IFERROR(INDEX('قائمة الوحدات'!$B$2:$B$41,MATCH($A10,'قائمة الوحدات'!$A$2:$A$41,0)),"")</f>
        <v>TOP</v>
      </c>
      <c r="C10" s="14" t="str">
        <f>IFERROR(INDEX('قائمة الوحدات'!$C$2:$C$41,MATCH($A10,'قائمة الوحدات'!$A$2:$A$41,0)),"")</f>
        <v>المرتبطة بسمو الوزير</v>
      </c>
      <c r="D10" s="14" t="str">
        <f>IFERROR(INDEX('قائمة الوحدات'!$D$2:$D$41,MATCH($A10,'قائمة الوحدات'!$A$2:$A$41,0)),"")</f>
        <v>إدارة الحوكمة والمخاطر</v>
      </c>
      <c r="E10" s="14" t="str">
        <f>IFERROR(INDEX('قائمة الوحدات'!$F$2:$F$41,MATCH($A10,'قائمة الوحدات'!$A$2:$A$41,0)),"")</f>
        <v>إدارة الحوكمة والمخاطر</v>
      </c>
      <c r="F10" s="15" t="s">
        <v>65</v>
      </c>
      <c r="G10" s="14" t="str">
        <f>IFERROR(INDEX(المرجع!$A$2:$A$19,MATCH($F10,المرجع!$B$2:$B$19,0)),"")</f>
        <v>التشغيل</v>
      </c>
      <c r="H10" s="22">
        <f>SUMIFS('تقييم العناصر'!$Q$2:$Q$721,'تقييم العناصر'!$B$2:$B$721,$A10,'تقييم العناصر'!$G$2:$G$721,$F10)</f>
        <v>35.200000000000003</v>
      </c>
      <c r="I10" s="21" t="str">
        <f>IF($H10&gt;المرجع!$K$3,"متقدم",IF($H10&lt;=المرجع!$K$2,"أولي","جزئي"))</f>
        <v>جزئي</v>
      </c>
    </row>
    <row r="11" spans="1:9">
      <c r="A11" s="15" t="s">
        <v>150</v>
      </c>
      <c r="B11" s="15" t="str">
        <f>IFERROR(INDEX('قائمة الوحدات'!$B$2:$B$41,MATCH($A11,'قائمة الوحدات'!$A$2:$A$41,0)),"")</f>
        <v>TOP</v>
      </c>
      <c r="C11" s="14" t="str">
        <f>IFERROR(INDEX('قائمة الوحدات'!$C$2:$C$41,MATCH($A11,'قائمة الوحدات'!$A$2:$A$41,0)),"")</f>
        <v>المرتبطة بسمو الوزير</v>
      </c>
      <c r="D11" s="14" t="str">
        <f>IFERROR(INDEX('قائمة الوحدات'!$D$2:$D$41,MATCH($A11,'قائمة الوحدات'!$A$2:$A$41,0)),"")</f>
        <v>إدارة الشؤون القانونية</v>
      </c>
      <c r="E11" s="14" t="str">
        <f>IFERROR(INDEX('قائمة الوحدات'!$F$2:$F$41,MATCH($A11,'قائمة الوحدات'!$A$2:$A$41,0)),"")</f>
        <v>إدارة الشؤون القانونية</v>
      </c>
      <c r="F11" s="15" t="s">
        <v>43</v>
      </c>
      <c r="G11" s="14" t="str">
        <f>IFERROR(INDEX(المرجع!$A$2:$A$19,MATCH($F11,المرجع!$B$2:$B$19,0)),"")</f>
        <v>التصميم</v>
      </c>
      <c r="H11" s="22">
        <f>SUMIFS('تقييم العناصر'!$Q$2:$Q$721,'تقييم العناصر'!$B$2:$B$721,$A11,'تقييم العناصر'!$G$2:$G$721,$F11)</f>
        <v>83.65</v>
      </c>
      <c r="I11" s="21" t="str">
        <f>IF($H11&gt;المرجع!$K$3,"متقدم",IF($H11&lt;=المرجع!$K$2,"أولي","جزئي"))</f>
        <v>متقدم</v>
      </c>
    </row>
    <row r="12" spans="1:9">
      <c r="A12" s="15" t="s">
        <v>150</v>
      </c>
      <c r="B12" s="15" t="str">
        <f>IFERROR(INDEX('قائمة الوحدات'!$B$2:$B$41,MATCH($A12,'قائمة الوحدات'!$A$2:$A$41,0)),"")</f>
        <v>TOP</v>
      </c>
      <c r="C12" s="14" t="str">
        <f>IFERROR(INDEX('قائمة الوحدات'!$C$2:$C$41,MATCH($A12,'قائمة الوحدات'!$A$2:$A$41,0)),"")</f>
        <v>المرتبطة بسمو الوزير</v>
      </c>
      <c r="D12" s="14" t="str">
        <f>IFERROR(INDEX('قائمة الوحدات'!$D$2:$D$41,MATCH($A12,'قائمة الوحدات'!$A$2:$A$41,0)),"")</f>
        <v>إدارة الشؤون القانونية</v>
      </c>
      <c r="E12" s="14" t="str">
        <f>IFERROR(INDEX('قائمة الوحدات'!$F$2:$F$41,MATCH($A12,'قائمة الوحدات'!$A$2:$A$41,0)),"")</f>
        <v>إدارة الشؤون القانونية</v>
      </c>
      <c r="F12" s="15" t="s">
        <v>61</v>
      </c>
      <c r="G12" s="14" t="str">
        <f>IFERROR(INDEX(المرجع!$A$2:$A$19,MATCH($F12,المرجع!$B$2:$B$19,0)),"")</f>
        <v>البناء المؤسسي</v>
      </c>
      <c r="H12" s="22">
        <f>SUMIFS('تقييم العناصر'!$Q$2:$Q$721,'تقييم العناصر'!$B$2:$B$721,$A12,'تقييم العناصر'!$G$2:$G$721,$F12)</f>
        <v>60.449999999999996</v>
      </c>
      <c r="I12" s="21" t="str">
        <f>IF($H12&gt;المرجع!$K$3,"متقدم",IF($H12&lt;=المرجع!$K$2,"أولي","جزئي"))</f>
        <v>جزئي</v>
      </c>
    </row>
    <row r="13" spans="1:9">
      <c r="A13" s="15" t="s">
        <v>150</v>
      </c>
      <c r="B13" s="15" t="str">
        <f>IFERROR(INDEX('قائمة الوحدات'!$B$2:$B$41,MATCH($A13,'قائمة الوحدات'!$A$2:$A$41,0)),"")</f>
        <v>TOP</v>
      </c>
      <c r="C13" s="14" t="str">
        <f>IFERROR(INDEX('قائمة الوحدات'!$C$2:$C$41,MATCH($A13,'قائمة الوحدات'!$A$2:$A$41,0)),"")</f>
        <v>المرتبطة بسمو الوزير</v>
      </c>
      <c r="D13" s="14" t="str">
        <f>IFERROR(INDEX('قائمة الوحدات'!$D$2:$D$41,MATCH($A13,'قائمة الوحدات'!$A$2:$A$41,0)),"")</f>
        <v>إدارة الشؤون القانونية</v>
      </c>
      <c r="E13" s="14" t="str">
        <f>IFERROR(INDEX('قائمة الوحدات'!$F$2:$F$41,MATCH($A13,'قائمة الوحدات'!$A$2:$A$41,0)),"")</f>
        <v>إدارة الشؤون القانونية</v>
      </c>
      <c r="F13" s="15" t="s">
        <v>65</v>
      </c>
      <c r="G13" s="14" t="str">
        <f>IFERROR(INDEX(المرجع!$A$2:$A$19,MATCH($F13,المرجع!$B$2:$B$19,0)),"")</f>
        <v>التشغيل</v>
      </c>
      <c r="H13" s="22">
        <f>SUMIFS('تقييم العناصر'!$Q$2:$Q$721,'تقييم العناصر'!$B$2:$B$721,$A13,'تقييم العناصر'!$G$2:$G$721,$F13)</f>
        <v>41.2</v>
      </c>
      <c r="I13" s="21" t="str">
        <f>IF($H13&gt;المرجع!$K$3,"متقدم",IF($H13&lt;=المرجع!$K$2,"أولي","جزئي"))</f>
        <v>جزئي</v>
      </c>
    </row>
    <row r="14" spans="1:9">
      <c r="A14" s="15" t="s">
        <v>152</v>
      </c>
      <c r="B14" s="15" t="str">
        <f>IFERROR(INDEX('قائمة الوحدات'!$B$2:$B$41,MATCH($A14,'قائمة الوحدات'!$A$2:$A$41,0)),"")</f>
        <v>TOP</v>
      </c>
      <c r="C14" s="14" t="str">
        <f>IFERROR(INDEX('قائمة الوحدات'!$C$2:$C$41,MATCH($A14,'قائمة الوحدات'!$A$2:$A$41,0)),"")</f>
        <v>المرتبطة بسمو الوزير</v>
      </c>
      <c r="D14" s="14" t="str">
        <f>IFERROR(INDEX('قائمة الوحدات'!$D$2:$D$41,MATCH($A14,'قائمة الوحدات'!$A$2:$A$41,0)),"")</f>
        <v>إدارة التميز المؤسسي</v>
      </c>
      <c r="E14" s="14" t="str">
        <f>IFERROR(INDEX('قائمة الوحدات'!$F$2:$F$41,MATCH($A14,'قائمة الوحدات'!$A$2:$A$41,0)),"")</f>
        <v>إدارة التميز المؤسسي</v>
      </c>
      <c r="F14" s="15" t="s">
        <v>43</v>
      </c>
      <c r="G14" s="14" t="str">
        <f>IFERROR(INDEX(المرجع!$A$2:$A$19,MATCH($F14,المرجع!$B$2:$B$19,0)),"")</f>
        <v>التصميم</v>
      </c>
      <c r="H14" s="22">
        <f>SUMIFS('تقييم العناصر'!$Q$2:$Q$721,'تقييم العناصر'!$B$2:$B$721,$A14,'تقييم العناصر'!$G$2:$G$721,$F14)</f>
        <v>81.900000000000006</v>
      </c>
      <c r="I14" s="21" t="str">
        <f>IF($H14&gt;المرجع!$K$3,"متقدم",IF($H14&lt;=المرجع!$K$2,"أولي","جزئي"))</f>
        <v>متقدم</v>
      </c>
    </row>
    <row r="15" spans="1:9">
      <c r="A15" s="15" t="s">
        <v>152</v>
      </c>
      <c r="B15" s="15" t="str">
        <f>IFERROR(INDEX('قائمة الوحدات'!$B$2:$B$41,MATCH($A15,'قائمة الوحدات'!$A$2:$A$41,0)),"")</f>
        <v>TOP</v>
      </c>
      <c r="C15" s="14" t="str">
        <f>IFERROR(INDEX('قائمة الوحدات'!$C$2:$C$41,MATCH($A15,'قائمة الوحدات'!$A$2:$A$41,0)),"")</f>
        <v>المرتبطة بسمو الوزير</v>
      </c>
      <c r="D15" s="14" t="str">
        <f>IFERROR(INDEX('قائمة الوحدات'!$D$2:$D$41,MATCH($A15,'قائمة الوحدات'!$A$2:$A$41,0)),"")</f>
        <v>إدارة التميز المؤسسي</v>
      </c>
      <c r="E15" s="14" t="str">
        <f>IFERROR(INDEX('قائمة الوحدات'!$F$2:$F$41,MATCH($A15,'قائمة الوحدات'!$A$2:$A$41,0)),"")</f>
        <v>إدارة التميز المؤسسي</v>
      </c>
      <c r="F15" s="15" t="s">
        <v>61</v>
      </c>
      <c r="G15" s="14" t="str">
        <f>IFERROR(INDEX(المرجع!$A$2:$A$19,MATCH($F15,المرجع!$B$2:$B$19,0)),"")</f>
        <v>البناء المؤسسي</v>
      </c>
      <c r="H15" s="22">
        <f>SUMIFS('تقييم العناصر'!$Q$2:$Q$721,'تقييم العناصر'!$B$2:$B$721,$A15,'تقييم العناصر'!$G$2:$G$721,$F15)</f>
        <v>64.8</v>
      </c>
      <c r="I15" s="21" t="str">
        <f>IF($H15&gt;المرجع!$K$3,"متقدم",IF($H15&lt;=المرجع!$K$2,"أولي","جزئي"))</f>
        <v>جزئي</v>
      </c>
    </row>
    <row r="16" spans="1:9">
      <c r="A16" s="15" t="s">
        <v>152</v>
      </c>
      <c r="B16" s="15" t="str">
        <f>IFERROR(INDEX('قائمة الوحدات'!$B$2:$B$41,MATCH($A16,'قائمة الوحدات'!$A$2:$A$41,0)),"")</f>
        <v>TOP</v>
      </c>
      <c r="C16" s="14" t="str">
        <f>IFERROR(INDEX('قائمة الوحدات'!$C$2:$C$41,MATCH($A16,'قائمة الوحدات'!$A$2:$A$41,0)),"")</f>
        <v>المرتبطة بسمو الوزير</v>
      </c>
      <c r="D16" s="14" t="str">
        <f>IFERROR(INDEX('قائمة الوحدات'!$D$2:$D$41,MATCH($A16,'قائمة الوحدات'!$A$2:$A$41,0)),"")</f>
        <v>إدارة التميز المؤسسي</v>
      </c>
      <c r="E16" s="14" t="str">
        <f>IFERROR(INDEX('قائمة الوحدات'!$F$2:$F$41,MATCH($A16,'قائمة الوحدات'!$A$2:$A$41,0)),"")</f>
        <v>إدارة التميز المؤسسي</v>
      </c>
      <c r="F16" s="15" t="s">
        <v>65</v>
      </c>
      <c r="G16" s="14" t="str">
        <f>IFERROR(INDEX(المرجع!$A$2:$A$19,MATCH($F16,المرجع!$B$2:$B$19,0)),"")</f>
        <v>التشغيل</v>
      </c>
      <c r="H16" s="22">
        <f>SUMIFS('تقييم العناصر'!$Q$2:$Q$721,'تقييم العناصر'!$B$2:$B$721,$A16,'تقييم العناصر'!$G$2:$G$721,$F16)</f>
        <v>33.349999999999994</v>
      </c>
      <c r="I16" s="21" t="str">
        <f>IF($H16&gt;المرجع!$K$3,"متقدم",IF($H16&lt;=المرجع!$K$2,"أولي","جزئي"))</f>
        <v>جزئي</v>
      </c>
    </row>
    <row r="17" spans="1:9">
      <c r="A17" s="15" t="s">
        <v>154</v>
      </c>
      <c r="B17" s="15" t="str">
        <f>IFERROR(INDEX('قائمة الوحدات'!$B$2:$B$41,MATCH($A17,'قائمة الوحدات'!$A$2:$A$41,0)),"")</f>
        <v>EXE</v>
      </c>
      <c r="C17" s="14" t="str">
        <f>IFERROR(INDEX('قائمة الوحدات'!$C$2:$C$41,MATCH($A17,'قائمة الوحدات'!$A$2:$A$41,0)),"")</f>
        <v>الشؤون التنفيذية</v>
      </c>
      <c r="D17" s="14" t="str">
        <f>IFERROR(INDEX('قائمة الوحدات'!$D$2:$D$41,MATCH($A17,'قائمة الوحدات'!$A$2:$A$41,0)),"")</f>
        <v>وكالة الشؤون الفنية</v>
      </c>
      <c r="E17" s="14" t="str">
        <f>IFERROR(INDEX('قائمة الوحدات'!$F$2:$F$41,MATCH($A17,'قائمة الوحدات'!$A$2:$A$41,0)),"")</f>
        <v>الإدارة العامة للتخطيط والدراسات</v>
      </c>
      <c r="F17" s="15" t="s">
        <v>43</v>
      </c>
      <c r="G17" s="14" t="str">
        <f>IFERROR(INDEX(المرجع!$A$2:$A$19,MATCH($F17,المرجع!$B$2:$B$19,0)),"")</f>
        <v>التصميم</v>
      </c>
      <c r="H17" s="22">
        <f>SUMIFS('تقييم العناصر'!$Q$2:$Q$721,'تقييم العناصر'!$B$2:$B$721,$A17,'تقييم العناصر'!$G$2:$G$721,$F17)</f>
        <v>81.099999999999994</v>
      </c>
      <c r="I17" s="21" t="str">
        <f>IF($H17&gt;المرجع!$K$3,"متقدم",IF($H17&lt;=المرجع!$K$2,"أولي","جزئي"))</f>
        <v>متقدم</v>
      </c>
    </row>
    <row r="18" spans="1:9">
      <c r="A18" s="15" t="s">
        <v>154</v>
      </c>
      <c r="B18" s="15" t="str">
        <f>IFERROR(INDEX('قائمة الوحدات'!$B$2:$B$41,MATCH($A18,'قائمة الوحدات'!$A$2:$A$41,0)),"")</f>
        <v>EXE</v>
      </c>
      <c r="C18" s="14" t="str">
        <f>IFERROR(INDEX('قائمة الوحدات'!$C$2:$C$41,MATCH($A18,'قائمة الوحدات'!$A$2:$A$41,0)),"")</f>
        <v>الشؤون التنفيذية</v>
      </c>
      <c r="D18" s="14" t="str">
        <f>IFERROR(INDEX('قائمة الوحدات'!$D$2:$D$41,MATCH($A18,'قائمة الوحدات'!$A$2:$A$41,0)),"")</f>
        <v>وكالة الشؤون الفنية</v>
      </c>
      <c r="E18" s="14" t="str">
        <f>IFERROR(INDEX('قائمة الوحدات'!$F$2:$F$41,MATCH($A18,'قائمة الوحدات'!$A$2:$A$41,0)),"")</f>
        <v>الإدارة العامة للتخطيط والدراسات</v>
      </c>
      <c r="F18" s="15" t="s">
        <v>61</v>
      </c>
      <c r="G18" s="14" t="str">
        <f>IFERROR(INDEX(المرجع!$A$2:$A$19,MATCH($F18,المرجع!$B$2:$B$19,0)),"")</f>
        <v>البناء المؤسسي</v>
      </c>
      <c r="H18" s="22">
        <f>SUMIFS('تقييم العناصر'!$Q$2:$Q$721,'تقييم العناصر'!$B$2:$B$721,$A18,'تقييم العناصر'!$G$2:$G$721,$F18)</f>
        <v>65.55</v>
      </c>
      <c r="I18" s="21" t="str">
        <f>IF($H18&gt;المرجع!$K$3,"متقدم",IF($H18&lt;=المرجع!$K$2,"أولي","جزئي"))</f>
        <v>جزئي</v>
      </c>
    </row>
    <row r="19" spans="1:9">
      <c r="A19" s="15" t="s">
        <v>154</v>
      </c>
      <c r="B19" s="15" t="str">
        <f>IFERROR(INDEX('قائمة الوحدات'!$B$2:$B$41,MATCH($A19,'قائمة الوحدات'!$A$2:$A$41,0)),"")</f>
        <v>EXE</v>
      </c>
      <c r="C19" s="14" t="str">
        <f>IFERROR(INDEX('قائمة الوحدات'!$C$2:$C$41,MATCH($A19,'قائمة الوحدات'!$A$2:$A$41,0)),"")</f>
        <v>الشؤون التنفيذية</v>
      </c>
      <c r="D19" s="14" t="str">
        <f>IFERROR(INDEX('قائمة الوحدات'!$D$2:$D$41,MATCH($A19,'قائمة الوحدات'!$A$2:$A$41,0)),"")</f>
        <v>وكالة الشؤون الفنية</v>
      </c>
      <c r="E19" s="14" t="str">
        <f>IFERROR(INDEX('قائمة الوحدات'!$F$2:$F$41,MATCH($A19,'قائمة الوحدات'!$A$2:$A$41,0)),"")</f>
        <v>الإدارة العامة للتخطيط والدراسات</v>
      </c>
      <c r="F19" s="15" t="s">
        <v>65</v>
      </c>
      <c r="G19" s="14" t="str">
        <f>IFERROR(INDEX(المرجع!$A$2:$A$19,MATCH($F19,المرجع!$B$2:$B$19,0)),"")</f>
        <v>التشغيل</v>
      </c>
      <c r="H19" s="22">
        <f>SUMIFS('تقييم العناصر'!$Q$2:$Q$721,'تقييم العناصر'!$B$2:$B$721,$A19,'تقييم العناصر'!$G$2:$G$721,$F19)</f>
        <v>42.400000000000006</v>
      </c>
      <c r="I19" s="21" t="str">
        <f>IF($H19&gt;المرجع!$K$3,"متقدم",IF($H19&lt;=المرجع!$K$2,"أولي","جزئي"))</f>
        <v>جزئي</v>
      </c>
    </row>
    <row r="20" spans="1:9">
      <c r="A20" s="15" t="s">
        <v>160</v>
      </c>
      <c r="B20" s="15" t="str">
        <f>IFERROR(INDEX('قائمة الوحدات'!$B$2:$B$41,MATCH($A20,'قائمة الوحدات'!$A$2:$A$41,0)),"")</f>
        <v>EXE</v>
      </c>
      <c r="C20" s="14" t="str">
        <f>IFERROR(INDEX('قائمة الوحدات'!$C$2:$C$41,MATCH($A20,'قائمة الوحدات'!$A$2:$A$41,0)),"")</f>
        <v>الشؤون التنفيذية</v>
      </c>
      <c r="D20" s="14" t="str">
        <f>IFERROR(INDEX('قائمة الوحدات'!$D$2:$D$41,MATCH($A20,'قائمة الوحدات'!$A$2:$A$41,0)),"")</f>
        <v>وكالة الشؤون الفنية</v>
      </c>
      <c r="E20" s="14" t="str">
        <f>IFERROR(INDEX('قائمة الوحدات'!$F$2:$F$41,MATCH($A20,'قائمة الوحدات'!$A$2:$A$41,0)),"")</f>
        <v>الإدارة العامة للجودة والتطوير</v>
      </c>
      <c r="F20" s="15" t="s">
        <v>43</v>
      </c>
      <c r="G20" s="14" t="str">
        <f>IFERROR(INDEX(المرجع!$A$2:$A$19,MATCH($F20,المرجع!$B$2:$B$19,0)),"")</f>
        <v>التصميم</v>
      </c>
      <c r="H20" s="22">
        <f>SUMIFS('تقييم العناصر'!$Q$2:$Q$721,'تقييم العناصر'!$B$2:$B$721,$A20,'تقييم العناصر'!$G$2:$G$721,$F20)</f>
        <v>81.900000000000006</v>
      </c>
      <c r="I20" s="21" t="str">
        <f>IF($H20&gt;المرجع!$K$3,"متقدم",IF($H20&lt;=المرجع!$K$2,"أولي","جزئي"))</f>
        <v>متقدم</v>
      </c>
    </row>
    <row r="21" spans="1:9">
      <c r="A21" s="15" t="s">
        <v>160</v>
      </c>
      <c r="B21" s="15" t="str">
        <f>IFERROR(INDEX('قائمة الوحدات'!$B$2:$B$41,MATCH($A21,'قائمة الوحدات'!$A$2:$A$41,0)),"")</f>
        <v>EXE</v>
      </c>
      <c r="C21" s="14" t="str">
        <f>IFERROR(INDEX('قائمة الوحدات'!$C$2:$C$41,MATCH($A21,'قائمة الوحدات'!$A$2:$A$41,0)),"")</f>
        <v>الشؤون التنفيذية</v>
      </c>
      <c r="D21" s="14" t="str">
        <f>IFERROR(INDEX('قائمة الوحدات'!$D$2:$D$41,MATCH($A21,'قائمة الوحدات'!$A$2:$A$41,0)),"")</f>
        <v>وكالة الشؤون الفنية</v>
      </c>
      <c r="E21" s="14" t="str">
        <f>IFERROR(INDEX('قائمة الوحدات'!$F$2:$F$41,MATCH($A21,'قائمة الوحدات'!$A$2:$A$41,0)),"")</f>
        <v>الإدارة العامة للجودة والتطوير</v>
      </c>
      <c r="F21" s="15" t="s">
        <v>61</v>
      </c>
      <c r="G21" s="14" t="str">
        <f>IFERROR(INDEX(المرجع!$A$2:$A$19,MATCH($F21,المرجع!$B$2:$B$19,0)),"")</f>
        <v>البناء المؤسسي</v>
      </c>
      <c r="H21" s="22">
        <f>SUMIFS('تقييم العناصر'!$Q$2:$Q$721,'تقييم العناصر'!$B$2:$B$721,$A21,'تقييم العناصر'!$G$2:$G$721,$F21)</f>
        <v>63.65</v>
      </c>
      <c r="I21" s="21" t="str">
        <f>IF($H21&gt;المرجع!$K$3,"متقدم",IF($H21&lt;=المرجع!$K$2,"أولي","جزئي"))</f>
        <v>جزئي</v>
      </c>
    </row>
    <row r="22" spans="1:9">
      <c r="A22" s="15" t="s">
        <v>160</v>
      </c>
      <c r="B22" s="15" t="str">
        <f>IFERROR(INDEX('قائمة الوحدات'!$B$2:$B$41,MATCH($A22,'قائمة الوحدات'!$A$2:$A$41,0)),"")</f>
        <v>EXE</v>
      </c>
      <c r="C22" s="14" t="str">
        <f>IFERROR(INDEX('قائمة الوحدات'!$C$2:$C$41,MATCH($A22,'قائمة الوحدات'!$A$2:$A$41,0)),"")</f>
        <v>الشؤون التنفيذية</v>
      </c>
      <c r="D22" s="14" t="str">
        <f>IFERROR(INDEX('قائمة الوحدات'!$D$2:$D$41,MATCH($A22,'قائمة الوحدات'!$A$2:$A$41,0)),"")</f>
        <v>وكالة الشؤون الفنية</v>
      </c>
      <c r="E22" s="14" t="str">
        <f>IFERROR(INDEX('قائمة الوحدات'!$F$2:$F$41,MATCH($A22,'قائمة الوحدات'!$A$2:$A$41,0)),"")</f>
        <v>الإدارة العامة للجودة والتطوير</v>
      </c>
      <c r="F22" s="15" t="s">
        <v>65</v>
      </c>
      <c r="G22" s="14" t="str">
        <f>IFERROR(INDEX(المرجع!$A$2:$A$19,MATCH($F22,المرجع!$B$2:$B$19,0)),"")</f>
        <v>التشغيل</v>
      </c>
      <c r="H22" s="22">
        <f>SUMIFS('تقييم العناصر'!$Q$2:$Q$721,'تقييم العناصر'!$B$2:$B$721,$A22,'تقييم العناصر'!$G$2:$G$721,$F22)</f>
        <v>39.949999999999996</v>
      </c>
      <c r="I22" s="21" t="str">
        <f>IF($H22&gt;المرجع!$K$3,"متقدم",IF($H22&lt;=المرجع!$K$2,"أولي","جزئي"))</f>
        <v>جزئي</v>
      </c>
    </row>
    <row r="23" spans="1:9">
      <c r="A23" s="15" t="s">
        <v>162</v>
      </c>
      <c r="B23" s="15" t="str">
        <f>IFERROR(INDEX('قائمة الوحدات'!$B$2:$B$41,MATCH($A23,'قائمة الوحدات'!$A$2:$A$41,0)),"")</f>
        <v>EXE</v>
      </c>
      <c r="C23" s="14" t="str">
        <f>IFERROR(INDEX('قائمة الوحدات'!$C$2:$C$41,MATCH($A23,'قائمة الوحدات'!$A$2:$A$41,0)),"")</f>
        <v>الشؤون التنفيذية</v>
      </c>
      <c r="D23" s="14" t="str">
        <f>IFERROR(INDEX('قائمة الوحدات'!$D$2:$D$41,MATCH($A23,'قائمة الوحدات'!$A$2:$A$41,0)),"")</f>
        <v>وكالة الشؤون الفنية</v>
      </c>
      <c r="E23" s="14" t="str">
        <f>IFERROR(INDEX('قائمة الوحدات'!$F$2:$F$41,MATCH($A23,'قائمة الوحدات'!$A$2:$A$41,0)),"")</f>
        <v>الإدارة العامة للمشاريع</v>
      </c>
      <c r="F23" s="15" t="s">
        <v>43</v>
      </c>
      <c r="G23" s="14" t="str">
        <f>IFERROR(INDEX(المرجع!$A$2:$A$19,MATCH($F23,المرجع!$B$2:$B$19,0)),"")</f>
        <v>التصميم</v>
      </c>
      <c r="H23" s="22">
        <f>SUMIFS('تقييم العناصر'!$Q$2:$Q$721,'تقييم العناصر'!$B$2:$B$721,$A23,'تقييم العناصر'!$G$2:$G$721,$F23)</f>
        <v>86.9</v>
      </c>
      <c r="I23" s="21" t="str">
        <f>IF($H23&gt;المرجع!$K$3,"متقدم",IF($H23&lt;=المرجع!$K$2,"أولي","جزئي"))</f>
        <v>متقدم</v>
      </c>
    </row>
    <row r="24" spans="1:9">
      <c r="A24" s="15" t="s">
        <v>162</v>
      </c>
      <c r="B24" s="15" t="str">
        <f>IFERROR(INDEX('قائمة الوحدات'!$B$2:$B$41,MATCH($A24,'قائمة الوحدات'!$A$2:$A$41,0)),"")</f>
        <v>EXE</v>
      </c>
      <c r="C24" s="14" t="str">
        <f>IFERROR(INDEX('قائمة الوحدات'!$C$2:$C$41,MATCH($A24,'قائمة الوحدات'!$A$2:$A$41,0)),"")</f>
        <v>الشؤون التنفيذية</v>
      </c>
      <c r="D24" s="14" t="str">
        <f>IFERROR(INDEX('قائمة الوحدات'!$D$2:$D$41,MATCH($A24,'قائمة الوحدات'!$A$2:$A$41,0)),"")</f>
        <v>وكالة الشؤون الفنية</v>
      </c>
      <c r="E24" s="14" t="str">
        <f>IFERROR(INDEX('قائمة الوحدات'!$F$2:$F$41,MATCH($A24,'قائمة الوحدات'!$A$2:$A$41,0)),"")</f>
        <v>الإدارة العامة للمشاريع</v>
      </c>
      <c r="F24" s="15" t="s">
        <v>61</v>
      </c>
      <c r="G24" s="14" t="str">
        <f>IFERROR(INDEX(المرجع!$A$2:$A$19,MATCH($F24,المرجع!$B$2:$B$19,0)),"")</f>
        <v>البناء المؤسسي</v>
      </c>
      <c r="H24" s="22">
        <f>SUMIFS('تقييم العناصر'!$Q$2:$Q$721,'تقييم العناصر'!$B$2:$B$721,$A24,'تقييم العناصر'!$G$2:$G$721,$F24)</f>
        <v>69.25</v>
      </c>
      <c r="I24" s="21" t="str">
        <f>IF($H24&gt;المرجع!$K$3,"متقدم",IF($H24&lt;=المرجع!$K$2,"أولي","جزئي"))</f>
        <v>جزئي</v>
      </c>
    </row>
    <row r="25" spans="1:9">
      <c r="A25" s="15" t="s">
        <v>162</v>
      </c>
      <c r="B25" s="15" t="str">
        <f>IFERROR(INDEX('قائمة الوحدات'!$B$2:$B$41,MATCH($A25,'قائمة الوحدات'!$A$2:$A$41,0)),"")</f>
        <v>EXE</v>
      </c>
      <c r="C25" s="14" t="str">
        <f>IFERROR(INDEX('قائمة الوحدات'!$C$2:$C$41,MATCH($A25,'قائمة الوحدات'!$A$2:$A$41,0)),"")</f>
        <v>الشؤون التنفيذية</v>
      </c>
      <c r="D25" s="14" t="str">
        <f>IFERROR(INDEX('قائمة الوحدات'!$D$2:$D$41,MATCH($A25,'قائمة الوحدات'!$A$2:$A$41,0)),"")</f>
        <v>وكالة الشؤون الفنية</v>
      </c>
      <c r="E25" s="14" t="str">
        <f>IFERROR(INDEX('قائمة الوحدات'!$F$2:$F$41,MATCH($A25,'قائمة الوحدات'!$A$2:$A$41,0)),"")</f>
        <v>الإدارة العامة للمشاريع</v>
      </c>
      <c r="F25" s="15" t="s">
        <v>65</v>
      </c>
      <c r="G25" s="14" t="str">
        <f>IFERROR(INDEX(المرجع!$A$2:$A$19,MATCH($F25,المرجع!$B$2:$B$19,0)),"")</f>
        <v>التشغيل</v>
      </c>
      <c r="H25" s="22">
        <f>SUMIFS('تقييم العناصر'!$Q$2:$Q$721,'تقييم العناصر'!$B$2:$B$721,$A25,'تقييم العناصر'!$G$2:$G$721,$F25)</f>
        <v>43</v>
      </c>
      <c r="I25" s="21" t="str">
        <f>IF($H25&gt;المرجع!$K$3,"متقدم",IF($H25&lt;=المرجع!$K$2,"أولي","جزئي"))</f>
        <v>جزئي</v>
      </c>
    </row>
    <row r="26" spans="1:9">
      <c r="A26" s="15" t="s">
        <v>164</v>
      </c>
      <c r="B26" s="15" t="str">
        <f>IFERROR(INDEX('قائمة الوحدات'!$B$2:$B$41,MATCH($A26,'قائمة الوحدات'!$A$2:$A$41,0)),"")</f>
        <v>EXE</v>
      </c>
      <c r="C26" s="14" t="str">
        <f>IFERROR(INDEX('قائمة الوحدات'!$C$2:$C$41,MATCH($A26,'قائمة الوحدات'!$A$2:$A$41,0)),"")</f>
        <v>الشؤون التنفيذية</v>
      </c>
      <c r="D26" s="14" t="str">
        <f>IFERROR(INDEX('قائمة الوحدات'!$D$2:$D$41,MATCH($A26,'قائمة الوحدات'!$A$2:$A$41,0)),"")</f>
        <v>وكالة الشؤون الفنية</v>
      </c>
      <c r="E26" s="14" t="str">
        <f>IFERROR(INDEX('قائمة الوحدات'!$F$2:$F$41,MATCH($A26,'قائمة الوحدات'!$A$2:$A$41,0)),"")</f>
        <v>الإدارة العامة للتشغيل والصيانة</v>
      </c>
      <c r="F26" s="15" t="s">
        <v>43</v>
      </c>
      <c r="G26" s="14" t="str">
        <f>IFERROR(INDEX(المرجع!$A$2:$A$19,MATCH($F26,المرجع!$B$2:$B$19,0)),"")</f>
        <v>التصميم</v>
      </c>
      <c r="H26" s="22">
        <f>SUMIFS('تقييم العناصر'!$Q$2:$Q$721,'تقييم العناصر'!$B$2:$B$721,$A26,'تقييم العناصر'!$G$2:$G$721,$F26)</f>
        <v>80.95</v>
      </c>
      <c r="I26" s="21" t="str">
        <f>IF($H26&gt;المرجع!$K$3,"متقدم",IF($H26&lt;=المرجع!$K$2,"أولي","جزئي"))</f>
        <v>متقدم</v>
      </c>
    </row>
    <row r="27" spans="1:9">
      <c r="A27" s="15" t="s">
        <v>164</v>
      </c>
      <c r="B27" s="15" t="str">
        <f>IFERROR(INDEX('قائمة الوحدات'!$B$2:$B$41,MATCH($A27,'قائمة الوحدات'!$A$2:$A$41,0)),"")</f>
        <v>EXE</v>
      </c>
      <c r="C27" s="14" t="str">
        <f>IFERROR(INDEX('قائمة الوحدات'!$C$2:$C$41,MATCH($A27,'قائمة الوحدات'!$A$2:$A$41,0)),"")</f>
        <v>الشؤون التنفيذية</v>
      </c>
      <c r="D27" s="14" t="str">
        <f>IFERROR(INDEX('قائمة الوحدات'!$D$2:$D$41,MATCH($A27,'قائمة الوحدات'!$A$2:$A$41,0)),"")</f>
        <v>وكالة الشؤون الفنية</v>
      </c>
      <c r="E27" s="14" t="str">
        <f>IFERROR(INDEX('قائمة الوحدات'!$F$2:$F$41,MATCH($A27,'قائمة الوحدات'!$A$2:$A$41,0)),"")</f>
        <v>الإدارة العامة للتشغيل والصيانة</v>
      </c>
      <c r="F27" s="15" t="s">
        <v>61</v>
      </c>
      <c r="G27" s="14" t="str">
        <f>IFERROR(INDEX(المرجع!$A$2:$A$19,MATCH($F27,المرجع!$B$2:$B$19,0)),"")</f>
        <v>البناء المؤسسي</v>
      </c>
      <c r="H27" s="22">
        <f>SUMIFS('تقييم العناصر'!$Q$2:$Q$721,'تقييم العناصر'!$B$2:$B$721,$A27,'تقييم العناصر'!$G$2:$G$721,$F27)</f>
        <v>68.599999999999994</v>
      </c>
      <c r="I27" s="21" t="str">
        <f>IF($H27&gt;المرجع!$K$3,"متقدم",IF($H27&lt;=المرجع!$K$2,"أولي","جزئي"))</f>
        <v>جزئي</v>
      </c>
    </row>
    <row r="28" spans="1:9">
      <c r="A28" s="15" t="s">
        <v>164</v>
      </c>
      <c r="B28" s="15" t="str">
        <f>IFERROR(INDEX('قائمة الوحدات'!$B$2:$B$41,MATCH($A28,'قائمة الوحدات'!$A$2:$A$41,0)),"")</f>
        <v>EXE</v>
      </c>
      <c r="C28" s="14" t="str">
        <f>IFERROR(INDEX('قائمة الوحدات'!$C$2:$C$41,MATCH($A28,'قائمة الوحدات'!$A$2:$A$41,0)),"")</f>
        <v>الشؤون التنفيذية</v>
      </c>
      <c r="D28" s="14" t="str">
        <f>IFERROR(INDEX('قائمة الوحدات'!$D$2:$D$41,MATCH($A28,'قائمة الوحدات'!$A$2:$A$41,0)),"")</f>
        <v>وكالة الشؤون الفنية</v>
      </c>
      <c r="E28" s="14" t="str">
        <f>IFERROR(INDEX('قائمة الوحدات'!$F$2:$F$41,MATCH($A28,'قائمة الوحدات'!$A$2:$A$41,0)),"")</f>
        <v>الإدارة العامة للتشغيل والصيانة</v>
      </c>
      <c r="F28" s="15" t="s">
        <v>65</v>
      </c>
      <c r="G28" s="14" t="str">
        <f>IFERROR(INDEX(المرجع!$A$2:$A$19,MATCH($F28,المرجع!$B$2:$B$19,0)),"")</f>
        <v>التشغيل</v>
      </c>
      <c r="H28" s="22">
        <f>SUMIFS('تقييم العناصر'!$Q$2:$Q$721,'تقييم العناصر'!$B$2:$B$721,$A28,'تقييم العناصر'!$G$2:$G$721,$F28)</f>
        <v>40.950000000000003</v>
      </c>
      <c r="I28" s="21" t="str">
        <f>IF($H28&gt;المرجع!$K$3,"متقدم",IF($H28&lt;=المرجع!$K$2,"أولي","جزئي"))</f>
        <v>جزئي</v>
      </c>
    </row>
    <row r="29" spans="1:9">
      <c r="A29" s="15" t="s">
        <v>166</v>
      </c>
      <c r="B29" s="15" t="str">
        <f>IFERROR(INDEX('قائمة الوحدات'!$B$2:$B$41,MATCH($A29,'قائمة الوحدات'!$A$2:$A$41,0)),"")</f>
        <v>EXE</v>
      </c>
      <c r="C29" s="14" t="str">
        <f>IFERROR(INDEX('قائمة الوحدات'!$C$2:$C$41,MATCH($A29,'قائمة الوحدات'!$A$2:$A$41,0)),"")</f>
        <v>الشؤون التنفيذية</v>
      </c>
      <c r="D29" s="14" t="str">
        <f>IFERROR(INDEX('قائمة الوحدات'!$D$2:$D$41,MATCH($A29,'قائمة الوحدات'!$A$2:$A$41,0)),"")</f>
        <v>وكالة الشؤون الفنية</v>
      </c>
      <c r="E29" s="14" t="str">
        <f>IFERROR(INDEX('قائمة الوحدات'!$F$2:$F$41,MATCH($A29,'قائمة الوحدات'!$A$2:$A$41,0)),"")</f>
        <v>الإدارة العامة للسلامة والبيئة</v>
      </c>
      <c r="F29" s="15" t="s">
        <v>43</v>
      </c>
      <c r="G29" s="14" t="str">
        <f>IFERROR(INDEX(المرجع!$A$2:$A$19,MATCH($F29,المرجع!$B$2:$B$19,0)),"")</f>
        <v>التصميم</v>
      </c>
      <c r="H29" s="22">
        <f>SUMIFS('تقييم العناصر'!$Q$2:$Q$721,'تقييم العناصر'!$B$2:$B$721,$A29,'تقييم العناصر'!$G$2:$G$721,$F29)</f>
        <v>91.3</v>
      </c>
      <c r="I29" s="21" t="str">
        <f>IF($H29&gt;المرجع!$K$3,"متقدم",IF($H29&lt;=المرجع!$K$2,"أولي","جزئي"))</f>
        <v>متقدم</v>
      </c>
    </row>
    <row r="30" spans="1:9">
      <c r="A30" s="15" t="s">
        <v>166</v>
      </c>
      <c r="B30" s="15" t="str">
        <f>IFERROR(INDEX('قائمة الوحدات'!$B$2:$B$41,MATCH($A30,'قائمة الوحدات'!$A$2:$A$41,0)),"")</f>
        <v>EXE</v>
      </c>
      <c r="C30" s="14" t="str">
        <f>IFERROR(INDEX('قائمة الوحدات'!$C$2:$C$41,MATCH($A30,'قائمة الوحدات'!$A$2:$A$41,0)),"")</f>
        <v>الشؤون التنفيذية</v>
      </c>
      <c r="D30" s="14" t="str">
        <f>IFERROR(INDEX('قائمة الوحدات'!$D$2:$D$41,MATCH($A30,'قائمة الوحدات'!$A$2:$A$41,0)),"")</f>
        <v>وكالة الشؤون الفنية</v>
      </c>
      <c r="E30" s="14" t="str">
        <f>IFERROR(INDEX('قائمة الوحدات'!$F$2:$F$41,MATCH($A30,'قائمة الوحدات'!$A$2:$A$41,0)),"")</f>
        <v>الإدارة العامة للسلامة والبيئة</v>
      </c>
      <c r="F30" s="15" t="s">
        <v>61</v>
      </c>
      <c r="G30" s="14" t="str">
        <f>IFERROR(INDEX(المرجع!$A$2:$A$19,MATCH($F30,المرجع!$B$2:$B$19,0)),"")</f>
        <v>البناء المؤسسي</v>
      </c>
      <c r="H30" s="22">
        <f>SUMIFS('تقييم العناصر'!$Q$2:$Q$721,'تقييم العناصر'!$B$2:$B$721,$A30,'تقييم العناصر'!$G$2:$G$721,$F30)</f>
        <v>63.3</v>
      </c>
      <c r="I30" s="21" t="str">
        <f>IF($H30&gt;المرجع!$K$3,"متقدم",IF($H30&lt;=المرجع!$K$2,"أولي","جزئي"))</f>
        <v>جزئي</v>
      </c>
    </row>
    <row r="31" spans="1:9">
      <c r="A31" s="15" t="s">
        <v>166</v>
      </c>
      <c r="B31" s="15" t="str">
        <f>IFERROR(INDEX('قائمة الوحدات'!$B$2:$B$41,MATCH($A31,'قائمة الوحدات'!$A$2:$A$41,0)),"")</f>
        <v>EXE</v>
      </c>
      <c r="C31" s="14" t="str">
        <f>IFERROR(INDEX('قائمة الوحدات'!$C$2:$C$41,MATCH($A31,'قائمة الوحدات'!$A$2:$A$41,0)),"")</f>
        <v>الشؤون التنفيذية</v>
      </c>
      <c r="D31" s="14" t="str">
        <f>IFERROR(INDEX('قائمة الوحدات'!$D$2:$D$41,MATCH($A31,'قائمة الوحدات'!$A$2:$A$41,0)),"")</f>
        <v>وكالة الشؤون الفنية</v>
      </c>
      <c r="E31" s="14" t="str">
        <f>IFERROR(INDEX('قائمة الوحدات'!$F$2:$F$41,MATCH($A31,'قائمة الوحدات'!$A$2:$A$41,0)),"")</f>
        <v>الإدارة العامة للسلامة والبيئة</v>
      </c>
      <c r="F31" s="15" t="s">
        <v>65</v>
      </c>
      <c r="G31" s="14" t="str">
        <f>IFERROR(INDEX(المرجع!$A$2:$A$19,MATCH($F31,المرجع!$B$2:$B$19,0)),"")</f>
        <v>التشغيل</v>
      </c>
      <c r="H31" s="22">
        <f>SUMIFS('تقييم العناصر'!$Q$2:$Q$721,'تقييم العناصر'!$B$2:$B$721,$A31,'تقييم العناصر'!$G$2:$G$721,$F31)</f>
        <v>37.450000000000003</v>
      </c>
      <c r="I31" s="21" t="str">
        <f>IF($H31&gt;المرجع!$K$3,"متقدم",IF($H31&lt;=المرجع!$K$2,"أولي","جزئي"))</f>
        <v>جزئي</v>
      </c>
    </row>
    <row r="32" spans="1:9">
      <c r="A32" s="15" t="s">
        <v>168</v>
      </c>
      <c r="B32" s="15" t="str">
        <f>IFERROR(INDEX('قائمة الوحدات'!$B$2:$B$41,MATCH($A32,'قائمة الوحدات'!$A$2:$A$41,0)),"")</f>
        <v>EXE</v>
      </c>
      <c r="C32" s="14" t="str">
        <f>IFERROR(INDEX('قائمة الوحدات'!$C$2:$C$41,MATCH($A32,'قائمة الوحدات'!$A$2:$A$41,0)),"")</f>
        <v>الشؤون التنفيذية</v>
      </c>
      <c r="D32" s="14" t="str">
        <f>IFERROR(INDEX('قائمة الوحدات'!$D$2:$D$41,MATCH($A32,'قائمة الوحدات'!$A$2:$A$41,0)),"")</f>
        <v>وكالة الشؤون الفنية</v>
      </c>
      <c r="E32" s="14" t="str">
        <f>IFERROR(INDEX('قائمة الوحدات'!$F$2:$F$41,MATCH($A32,'قائمة الوحدات'!$A$2:$A$41,0)),"")</f>
        <v>الإدارة العامة للأصول والمرافق</v>
      </c>
      <c r="F32" s="15" t="s">
        <v>43</v>
      </c>
      <c r="G32" s="14" t="str">
        <f>IFERROR(INDEX(المرجع!$A$2:$A$19,MATCH($F32,المرجع!$B$2:$B$19,0)),"")</f>
        <v>التصميم</v>
      </c>
      <c r="H32" s="22">
        <f>SUMIFS('تقييم العناصر'!$Q$2:$Q$721,'تقييم العناصر'!$B$2:$B$721,$A32,'تقييم العناصر'!$G$2:$G$721,$F32)</f>
        <v>78.500000000000014</v>
      </c>
      <c r="I32" s="21" t="str">
        <f>IF($H32&gt;المرجع!$K$3,"متقدم",IF($H32&lt;=المرجع!$K$2,"أولي","جزئي"))</f>
        <v>متقدم</v>
      </c>
    </row>
    <row r="33" spans="1:9">
      <c r="A33" s="15" t="s">
        <v>168</v>
      </c>
      <c r="B33" s="15" t="str">
        <f>IFERROR(INDEX('قائمة الوحدات'!$B$2:$B$41,MATCH($A33,'قائمة الوحدات'!$A$2:$A$41,0)),"")</f>
        <v>EXE</v>
      </c>
      <c r="C33" s="14" t="str">
        <f>IFERROR(INDEX('قائمة الوحدات'!$C$2:$C$41,MATCH($A33,'قائمة الوحدات'!$A$2:$A$41,0)),"")</f>
        <v>الشؤون التنفيذية</v>
      </c>
      <c r="D33" s="14" t="str">
        <f>IFERROR(INDEX('قائمة الوحدات'!$D$2:$D$41,MATCH($A33,'قائمة الوحدات'!$A$2:$A$41,0)),"")</f>
        <v>وكالة الشؤون الفنية</v>
      </c>
      <c r="E33" s="14" t="str">
        <f>IFERROR(INDEX('قائمة الوحدات'!$F$2:$F$41,MATCH($A33,'قائمة الوحدات'!$A$2:$A$41,0)),"")</f>
        <v>الإدارة العامة للأصول والمرافق</v>
      </c>
      <c r="F33" s="15" t="s">
        <v>61</v>
      </c>
      <c r="G33" s="14" t="str">
        <f>IFERROR(INDEX(المرجع!$A$2:$A$19,MATCH($F33,المرجع!$B$2:$B$19,0)),"")</f>
        <v>البناء المؤسسي</v>
      </c>
      <c r="H33" s="22">
        <f>SUMIFS('تقييم العناصر'!$Q$2:$Q$721,'تقييم العناصر'!$B$2:$B$721,$A33,'تقييم العناصر'!$G$2:$G$721,$F33)</f>
        <v>57.300000000000004</v>
      </c>
      <c r="I33" s="21" t="str">
        <f>IF($H33&gt;المرجع!$K$3,"متقدم",IF($H33&lt;=المرجع!$K$2,"أولي","جزئي"))</f>
        <v>جزئي</v>
      </c>
    </row>
    <row r="34" spans="1:9">
      <c r="A34" s="15" t="s">
        <v>168</v>
      </c>
      <c r="B34" s="15" t="str">
        <f>IFERROR(INDEX('قائمة الوحدات'!$B$2:$B$41,MATCH($A34,'قائمة الوحدات'!$A$2:$A$41,0)),"")</f>
        <v>EXE</v>
      </c>
      <c r="C34" s="14" t="str">
        <f>IFERROR(INDEX('قائمة الوحدات'!$C$2:$C$41,MATCH($A34,'قائمة الوحدات'!$A$2:$A$41,0)),"")</f>
        <v>الشؤون التنفيذية</v>
      </c>
      <c r="D34" s="14" t="str">
        <f>IFERROR(INDEX('قائمة الوحدات'!$D$2:$D$41,MATCH($A34,'قائمة الوحدات'!$A$2:$A$41,0)),"")</f>
        <v>وكالة الشؤون الفنية</v>
      </c>
      <c r="E34" s="14" t="str">
        <f>IFERROR(INDEX('قائمة الوحدات'!$F$2:$F$41,MATCH($A34,'قائمة الوحدات'!$A$2:$A$41,0)),"")</f>
        <v>الإدارة العامة للأصول والمرافق</v>
      </c>
      <c r="F34" s="15" t="s">
        <v>65</v>
      </c>
      <c r="G34" s="14" t="str">
        <f>IFERROR(INDEX(المرجع!$A$2:$A$19,MATCH($F34,المرجع!$B$2:$B$19,0)),"")</f>
        <v>التشغيل</v>
      </c>
      <c r="H34" s="22">
        <f>SUMIFS('تقييم العناصر'!$Q$2:$Q$721,'تقييم العناصر'!$B$2:$B$721,$A34,'تقييم العناصر'!$G$2:$G$721,$F34)</f>
        <v>50.100000000000009</v>
      </c>
      <c r="I34" s="21" t="str">
        <f>IF($H34&gt;المرجع!$K$3,"متقدم",IF($H34&lt;=المرجع!$K$2,"أولي","جزئي"))</f>
        <v>جزئي</v>
      </c>
    </row>
    <row r="35" spans="1:9">
      <c r="A35" s="15" t="s">
        <v>170</v>
      </c>
      <c r="B35" s="15" t="str">
        <f>IFERROR(INDEX('قائمة الوحدات'!$B$2:$B$41,MATCH($A35,'قائمة الوحدات'!$A$2:$A$41,0)),"")</f>
        <v>EXE</v>
      </c>
      <c r="C35" s="14" t="str">
        <f>IFERROR(INDEX('قائمة الوحدات'!$C$2:$C$41,MATCH($A35,'قائمة الوحدات'!$A$2:$A$41,0)),"")</f>
        <v>الشؤون التنفيذية</v>
      </c>
      <c r="D35" s="14" t="str">
        <f>IFERROR(INDEX('قائمة الوحدات'!$D$2:$D$41,MATCH($A35,'قائمة الوحدات'!$A$2:$A$41,0)),"")</f>
        <v>وكالة الشؤون الفنية</v>
      </c>
      <c r="E35" s="14" t="str">
        <f>IFERROR(INDEX('قائمة الوحدات'!$F$2:$F$41,MATCH($A35,'قائمة الوحدات'!$A$2:$A$41,0)),"")</f>
        <v>الإدارة العامة للأمن والحماية</v>
      </c>
      <c r="F35" s="15" t="s">
        <v>43</v>
      </c>
      <c r="G35" s="14" t="str">
        <f>IFERROR(INDEX(المرجع!$A$2:$A$19,MATCH($F35,المرجع!$B$2:$B$19,0)),"")</f>
        <v>التصميم</v>
      </c>
      <c r="H35" s="22">
        <f>SUMIFS('تقييم العناصر'!$Q$2:$Q$721,'تقييم العناصر'!$B$2:$B$721,$A35,'تقييم العناصر'!$G$2:$G$721,$F35)</f>
        <v>81.45</v>
      </c>
      <c r="I35" s="21" t="str">
        <f>IF($H35&gt;المرجع!$K$3,"متقدم",IF($H35&lt;=المرجع!$K$2,"أولي","جزئي"))</f>
        <v>متقدم</v>
      </c>
    </row>
    <row r="36" spans="1:9">
      <c r="A36" s="15" t="s">
        <v>170</v>
      </c>
      <c r="B36" s="15" t="str">
        <f>IFERROR(INDEX('قائمة الوحدات'!$B$2:$B$41,MATCH($A36,'قائمة الوحدات'!$A$2:$A$41,0)),"")</f>
        <v>EXE</v>
      </c>
      <c r="C36" s="14" t="str">
        <f>IFERROR(INDEX('قائمة الوحدات'!$C$2:$C$41,MATCH($A36,'قائمة الوحدات'!$A$2:$A$41,0)),"")</f>
        <v>الشؤون التنفيذية</v>
      </c>
      <c r="D36" s="14" t="str">
        <f>IFERROR(INDEX('قائمة الوحدات'!$D$2:$D$41,MATCH($A36,'قائمة الوحدات'!$A$2:$A$41,0)),"")</f>
        <v>وكالة الشؤون الفنية</v>
      </c>
      <c r="E36" s="14" t="str">
        <f>IFERROR(INDEX('قائمة الوحدات'!$F$2:$F$41,MATCH($A36,'قائمة الوحدات'!$A$2:$A$41,0)),"")</f>
        <v>الإدارة العامة للأمن والحماية</v>
      </c>
      <c r="F36" s="15" t="s">
        <v>61</v>
      </c>
      <c r="G36" s="14" t="str">
        <f>IFERROR(INDEX(المرجع!$A$2:$A$19,MATCH($F36,المرجع!$B$2:$B$19,0)),"")</f>
        <v>البناء المؤسسي</v>
      </c>
      <c r="H36" s="22">
        <f>SUMIFS('تقييم العناصر'!$Q$2:$Q$721,'تقييم العناصر'!$B$2:$B$721,$A36,'تقييم العناصر'!$G$2:$G$721,$F36)</f>
        <v>71.5</v>
      </c>
      <c r="I36" s="21" t="str">
        <f>IF($H36&gt;المرجع!$K$3,"متقدم",IF($H36&lt;=المرجع!$K$2,"أولي","جزئي"))</f>
        <v>متقدم</v>
      </c>
    </row>
    <row r="37" spans="1:9">
      <c r="A37" s="15" t="s">
        <v>170</v>
      </c>
      <c r="B37" s="15" t="str">
        <f>IFERROR(INDEX('قائمة الوحدات'!$B$2:$B$41,MATCH($A37,'قائمة الوحدات'!$A$2:$A$41,0)),"")</f>
        <v>EXE</v>
      </c>
      <c r="C37" s="14" t="str">
        <f>IFERROR(INDEX('قائمة الوحدات'!$C$2:$C$41,MATCH($A37,'قائمة الوحدات'!$A$2:$A$41,0)),"")</f>
        <v>الشؤون التنفيذية</v>
      </c>
      <c r="D37" s="14" t="str">
        <f>IFERROR(INDEX('قائمة الوحدات'!$D$2:$D$41,MATCH($A37,'قائمة الوحدات'!$A$2:$A$41,0)),"")</f>
        <v>وكالة الشؤون الفنية</v>
      </c>
      <c r="E37" s="14" t="str">
        <f>IFERROR(INDEX('قائمة الوحدات'!$F$2:$F$41,MATCH($A37,'قائمة الوحدات'!$A$2:$A$41,0)),"")</f>
        <v>الإدارة العامة للأمن والحماية</v>
      </c>
      <c r="F37" s="15" t="s">
        <v>65</v>
      </c>
      <c r="G37" s="14" t="str">
        <f>IFERROR(INDEX(المرجع!$A$2:$A$19,MATCH($F37,المرجع!$B$2:$B$19,0)),"")</f>
        <v>التشغيل</v>
      </c>
      <c r="H37" s="22">
        <f>SUMIFS('تقييم العناصر'!$Q$2:$Q$721,'تقييم العناصر'!$B$2:$B$721,$A37,'تقييم العناصر'!$G$2:$G$721,$F37)</f>
        <v>38.200000000000003</v>
      </c>
      <c r="I37" s="21" t="str">
        <f>IF($H37&gt;المرجع!$K$3,"متقدم",IF($H37&lt;=المرجع!$K$2,"أولي","جزئي"))</f>
        <v>جزئي</v>
      </c>
    </row>
    <row r="38" spans="1:9">
      <c r="A38" s="15" t="s">
        <v>172</v>
      </c>
      <c r="B38" s="15" t="str">
        <f>IFERROR(INDEX('قائمة الوحدات'!$B$2:$B$41,MATCH($A38,'قائمة الوحدات'!$A$2:$A$41,0)),"")</f>
        <v>EXE</v>
      </c>
      <c r="C38" s="14" t="str">
        <f>IFERROR(INDEX('قائمة الوحدات'!$C$2:$C$41,MATCH($A38,'قائمة الوحدات'!$A$2:$A$41,0)),"")</f>
        <v>الشؤون التنفيذية</v>
      </c>
      <c r="D38" s="14" t="str">
        <f>IFERROR(INDEX('قائمة الوحدات'!$D$2:$D$41,MATCH($A38,'قائمة الوحدات'!$A$2:$A$41,0)),"")</f>
        <v>وكالة الخدمات المساندة</v>
      </c>
      <c r="E38" s="14" t="str">
        <f>IFERROR(INDEX('قائمة الوحدات'!$F$2:$F$41,MATCH($A38,'قائمة الوحدات'!$A$2:$A$41,0)),"")</f>
        <v>الإدارة العامة للموارد البشرية</v>
      </c>
      <c r="F38" s="15" t="s">
        <v>43</v>
      </c>
      <c r="G38" s="14" t="str">
        <f>IFERROR(INDEX(المرجع!$A$2:$A$19,MATCH($F38,المرجع!$B$2:$B$19,0)),"")</f>
        <v>التصميم</v>
      </c>
      <c r="H38" s="22">
        <f>SUMIFS('تقييم العناصر'!$Q$2:$Q$721,'تقييم العناصر'!$B$2:$B$721,$A38,'تقييم العناصر'!$G$2:$G$721,$F38)</f>
        <v>82.5</v>
      </c>
      <c r="I38" s="21" t="str">
        <f>IF($H38&gt;المرجع!$K$3,"متقدم",IF($H38&lt;=المرجع!$K$2,"أولي","جزئي"))</f>
        <v>متقدم</v>
      </c>
    </row>
    <row r="39" spans="1:9">
      <c r="A39" s="15" t="s">
        <v>172</v>
      </c>
      <c r="B39" s="15" t="str">
        <f>IFERROR(INDEX('قائمة الوحدات'!$B$2:$B$41,MATCH($A39,'قائمة الوحدات'!$A$2:$A$41,0)),"")</f>
        <v>EXE</v>
      </c>
      <c r="C39" s="14" t="str">
        <f>IFERROR(INDEX('قائمة الوحدات'!$C$2:$C$41,MATCH($A39,'قائمة الوحدات'!$A$2:$A$41,0)),"")</f>
        <v>الشؤون التنفيذية</v>
      </c>
      <c r="D39" s="14" t="str">
        <f>IFERROR(INDEX('قائمة الوحدات'!$D$2:$D$41,MATCH($A39,'قائمة الوحدات'!$A$2:$A$41,0)),"")</f>
        <v>وكالة الخدمات المساندة</v>
      </c>
      <c r="E39" s="14" t="str">
        <f>IFERROR(INDEX('قائمة الوحدات'!$F$2:$F$41,MATCH($A39,'قائمة الوحدات'!$A$2:$A$41,0)),"")</f>
        <v>الإدارة العامة للموارد البشرية</v>
      </c>
      <c r="F39" s="15" t="s">
        <v>61</v>
      </c>
      <c r="G39" s="14" t="str">
        <f>IFERROR(INDEX(المرجع!$A$2:$A$19,MATCH($F39,المرجع!$B$2:$B$19,0)),"")</f>
        <v>البناء المؤسسي</v>
      </c>
      <c r="H39" s="22">
        <f>SUMIFS('تقييم العناصر'!$Q$2:$Q$721,'تقييم العناصر'!$B$2:$B$721,$A39,'تقييم العناصر'!$G$2:$G$721,$F39)</f>
        <v>66.55</v>
      </c>
      <c r="I39" s="21" t="str">
        <f>IF($H39&gt;المرجع!$K$3,"متقدم",IF($H39&lt;=المرجع!$K$2,"أولي","جزئي"))</f>
        <v>جزئي</v>
      </c>
    </row>
    <row r="40" spans="1:9">
      <c r="A40" s="15" t="s">
        <v>172</v>
      </c>
      <c r="B40" s="15" t="str">
        <f>IFERROR(INDEX('قائمة الوحدات'!$B$2:$B$41,MATCH($A40,'قائمة الوحدات'!$A$2:$A$41,0)),"")</f>
        <v>EXE</v>
      </c>
      <c r="C40" s="14" t="str">
        <f>IFERROR(INDEX('قائمة الوحدات'!$C$2:$C$41,MATCH($A40,'قائمة الوحدات'!$A$2:$A$41,0)),"")</f>
        <v>الشؤون التنفيذية</v>
      </c>
      <c r="D40" s="14" t="str">
        <f>IFERROR(INDEX('قائمة الوحدات'!$D$2:$D$41,MATCH($A40,'قائمة الوحدات'!$A$2:$A$41,0)),"")</f>
        <v>وكالة الخدمات المساندة</v>
      </c>
      <c r="E40" s="14" t="str">
        <f>IFERROR(INDEX('قائمة الوحدات'!$F$2:$F$41,MATCH($A40,'قائمة الوحدات'!$A$2:$A$41,0)),"")</f>
        <v>الإدارة العامة للموارد البشرية</v>
      </c>
      <c r="F40" s="15" t="s">
        <v>65</v>
      </c>
      <c r="G40" s="14" t="str">
        <f>IFERROR(INDEX(المرجع!$A$2:$A$19,MATCH($F40,المرجع!$B$2:$B$19,0)),"")</f>
        <v>التشغيل</v>
      </c>
      <c r="H40" s="22">
        <f>SUMIFS('تقييم العناصر'!$Q$2:$Q$721,'تقييم العناصر'!$B$2:$B$721,$A40,'تقييم العناصر'!$G$2:$G$721,$F40)</f>
        <v>40.1</v>
      </c>
      <c r="I40" s="21" t="str">
        <f>IF($H40&gt;المرجع!$K$3,"متقدم",IF($H40&lt;=المرجع!$K$2,"أولي","جزئي"))</f>
        <v>جزئي</v>
      </c>
    </row>
    <row r="41" spans="1:9">
      <c r="A41" s="15" t="s">
        <v>175</v>
      </c>
      <c r="B41" s="15" t="str">
        <f>IFERROR(INDEX('قائمة الوحدات'!$B$2:$B$41,MATCH($A41,'قائمة الوحدات'!$A$2:$A$41,0)),"")</f>
        <v>EXE</v>
      </c>
      <c r="C41" s="14" t="str">
        <f>IFERROR(INDEX('قائمة الوحدات'!$C$2:$C$41,MATCH($A41,'قائمة الوحدات'!$A$2:$A$41,0)),"")</f>
        <v>الشؤون التنفيذية</v>
      </c>
      <c r="D41" s="14" t="str">
        <f>IFERROR(INDEX('قائمة الوحدات'!$D$2:$D$41,MATCH($A41,'قائمة الوحدات'!$A$2:$A$41,0)),"")</f>
        <v>وكالة الخدمات المساندة</v>
      </c>
      <c r="E41" s="14" t="str">
        <f>IFERROR(INDEX('قائمة الوحدات'!$F$2:$F$41,MATCH($A41,'قائمة الوحدات'!$A$2:$A$41,0)),"")</f>
        <v>الإدارة العامة للشؤون المالية</v>
      </c>
      <c r="F41" s="15" t="s">
        <v>43</v>
      </c>
      <c r="G41" s="14" t="str">
        <f>IFERROR(INDEX(المرجع!$A$2:$A$19,MATCH($F41,المرجع!$B$2:$B$19,0)),"")</f>
        <v>التصميم</v>
      </c>
      <c r="H41" s="22">
        <f>SUMIFS('تقييم العناصر'!$Q$2:$Q$721,'تقييم العناصر'!$B$2:$B$721,$A41,'تقييم العناصر'!$G$2:$G$721,$F41)</f>
        <v>78.45</v>
      </c>
      <c r="I41" s="21" t="str">
        <f>IF($H41&gt;المرجع!$K$3,"متقدم",IF($H41&lt;=المرجع!$K$2,"أولي","جزئي"))</f>
        <v>متقدم</v>
      </c>
    </row>
    <row r="42" spans="1:9">
      <c r="A42" s="15" t="s">
        <v>175</v>
      </c>
      <c r="B42" s="15" t="str">
        <f>IFERROR(INDEX('قائمة الوحدات'!$B$2:$B$41,MATCH($A42,'قائمة الوحدات'!$A$2:$A$41,0)),"")</f>
        <v>EXE</v>
      </c>
      <c r="C42" s="14" t="str">
        <f>IFERROR(INDEX('قائمة الوحدات'!$C$2:$C$41,MATCH($A42,'قائمة الوحدات'!$A$2:$A$41,0)),"")</f>
        <v>الشؤون التنفيذية</v>
      </c>
      <c r="D42" s="14" t="str">
        <f>IFERROR(INDEX('قائمة الوحدات'!$D$2:$D$41,MATCH($A42,'قائمة الوحدات'!$A$2:$A$41,0)),"")</f>
        <v>وكالة الخدمات المساندة</v>
      </c>
      <c r="E42" s="14" t="str">
        <f>IFERROR(INDEX('قائمة الوحدات'!$F$2:$F$41,MATCH($A42,'قائمة الوحدات'!$A$2:$A$41,0)),"")</f>
        <v>الإدارة العامة للشؤون المالية</v>
      </c>
      <c r="F42" s="15" t="s">
        <v>61</v>
      </c>
      <c r="G42" s="14" t="str">
        <f>IFERROR(INDEX(المرجع!$A$2:$A$19,MATCH($F42,المرجع!$B$2:$B$19,0)),"")</f>
        <v>البناء المؤسسي</v>
      </c>
      <c r="H42" s="22">
        <f>SUMIFS('تقييم العناصر'!$Q$2:$Q$721,'تقييم العناصر'!$B$2:$B$721,$A42,'تقييم العناصر'!$G$2:$G$721,$F42)</f>
        <v>65.199999999999989</v>
      </c>
      <c r="I42" s="21" t="str">
        <f>IF($H42&gt;المرجع!$K$3,"متقدم",IF($H42&lt;=المرجع!$K$2,"أولي","جزئي"))</f>
        <v>جزئي</v>
      </c>
    </row>
    <row r="43" spans="1:9">
      <c r="A43" s="15" t="s">
        <v>175</v>
      </c>
      <c r="B43" s="15" t="str">
        <f>IFERROR(INDEX('قائمة الوحدات'!$B$2:$B$41,MATCH($A43,'قائمة الوحدات'!$A$2:$A$41,0)),"")</f>
        <v>EXE</v>
      </c>
      <c r="C43" s="14" t="str">
        <f>IFERROR(INDEX('قائمة الوحدات'!$C$2:$C$41,MATCH($A43,'قائمة الوحدات'!$A$2:$A$41,0)),"")</f>
        <v>الشؤون التنفيذية</v>
      </c>
      <c r="D43" s="14" t="str">
        <f>IFERROR(INDEX('قائمة الوحدات'!$D$2:$D$41,MATCH($A43,'قائمة الوحدات'!$A$2:$A$41,0)),"")</f>
        <v>وكالة الخدمات المساندة</v>
      </c>
      <c r="E43" s="14" t="str">
        <f>IFERROR(INDEX('قائمة الوحدات'!$F$2:$F$41,MATCH($A43,'قائمة الوحدات'!$A$2:$A$41,0)),"")</f>
        <v>الإدارة العامة للشؤون المالية</v>
      </c>
      <c r="F43" s="15" t="s">
        <v>65</v>
      </c>
      <c r="G43" s="14" t="str">
        <f>IFERROR(INDEX(المرجع!$A$2:$A$19,MATCH($F43,المرجع!$B$2:$B$19,0)),"")</f>
        <v>التشغيل</v>
      </c>
      <c r="H43" s="22">
        <f>SUMIFS('تقييم العناصر'!$Q$2:$Q$721,'تقييم العناصر'!$B$2:$B$721,$A43,'تقييم العناصر'!$G$2:$G$721,$F43)</f>
        <v>37.75</v>
      </c>
      <c r="I43" s="21" t="str">
        <f>IF($H43&gt;المرجع!$K$3,"متقدم",IF($H43&lt;=المرجع!$K$2,"أولي","جزئي"))</f>
        <v>جزئي</v>
      </c>
    </row>
    <row r="44" spans="1:9">
      <c r="A44" s="15" t="s">
        <v>177</v>
      </c>
      <c r="B44" s="15" t="str">
        <f>IFERROR(INDEX('قائمة الوحدات'!$B$2:$B$41,MATCH($A44,'قائمة الوحدات'!$A$2:$A$41,0)),"")</f>
        <v>EXE</v>
      </c>
      <c r="C44" s="14" t="str">
        <f>IFERROR(INDEX('قائمة الوحدات'!$C$2:$C$41,MATCH($A44,'قائمة الوحدات'!$A$2:$A$41,0)),"")</f>
        <v>الشؤون التنفيذية</v>
      </c>
      <c r="D44" s="14" t="str">
        <f>IFERROR(INDEX('قائمة الوحدات'!$D$2:$D$41,MATCH($A44,'قائمة الوحدات'!$A$2:$A$41,0)),"")</f>
        <v>وكالة الخدمات المساندة</v>
      </c>
      <c r="E44" s="14" t="str">
        <f>IFERROR(INDEX('قائمة الوحدات'!$F$2:$F$41,MATCH($A44,'قائمة الوحدات'!$A$2:$A$41,0)),"")</f>
        <v>الإدارة العامة لتقنية المعلومات</v>
      </c>
      <c r="F44" s="15" t="s">
        <v>43</v>
      </c>
      <c r="G44" s="14" t="str">
        <f>IFERROR(INDEX(المرجع!$A$2:$A$19,MATCH($F44,المرجع!$B$2:$B$19,0)),"")</f>
        <v>التصميم</v>
      </c>
      <c r="H44" s="22">
        <f>SUMIFS('تقييم العناصر'!$Q$2:$Q$721,'تقييم العناصر'!$B$2:$B$721,$A44,'تقييم العناصر'!$G$2:$G$721,$F44)</f>
        <v>73.449999999999989</v>
      </c>
      <c r="I44" s="21" t="str">
        <f>IF($H44&gt;المرجع!$K$3,"متقدم",IF($H44&lt;=المرجع!$K$2,"أولي","جزئي"))</f>
        <v>متقدم</v>
      </c>
    </row>
    <row r="45" spans="1:9">
      <c r="A45" s="15" t="s">
        <v>177</v>
      </c>
      <c r="B45" s="15" t="str">
        <f>IFERROR(INDEX('قائمة الوحدات'!$B$2:$B$41,MATCH($A45,'قائمة الوحدات'!$A$2:$A$41,0)),"")</f>
        <v>EXE</v>
      </c>
      <c r="C45" s="14" t="str">
        <f>IFERROR(INDEX('قائمة الوحدات'!$C$2:$C$41,MATCH($A45,'قائمة الوحدات'!$A$2:$A$41,0)),"")</f>
        <v>الشؤون التنفيذية</v>
      </c>
      <c r="D45" s="14" t="str">
        <f>IFERROR(INDEX('قائمة الوحدات'!$D$2:$D$41,MATCH($A45,'قائمة الوحدات'!$A$2:$A$41,0)),"")</f>
        <v>وكالة الخدمات المساندة</v>
      </c>
      <c r="E45" s="14" t="str">
        <f>IFERROR(INDEX('قائمة الوحدات'!$F$2:$F$41,MATCH($A45,'قائمة الوحدات'!$A$2:$A$41,0)),"")</f>
        <v>الإدارة العامة لتقنية المعلومات</v>
      </c>
      <c r="F45" s="15" t="s">
        <v>61</v>
      </c>
      <c r="G45" s="14" t="str">
        <f>IFERROR(INDEX(المرجع!$A$2:$A$19,MATCH($F45,المرجع!$B$2:$B$19,0)),"")</f>
        <v>البناء المؤسسي</v>
      </c>
      <c r="H45" s="22">
        <f>SUMIFS('تقييم العناصر'!$Q$2:$Q$721,'تقييم العناصر'!$B$2:$B$721,$A45,'تقييم العناصر'!$G$2:$G$721,$F45)</f>
        <v>63.75</v>
      </c>
      <c r="I45" s="21" t="str">
        <f>IF($H45&gt;المرجع!$K$3,"متقدم",IF($H45&lt;=المرجع!$K$2,"أولي","جزئي"))</f>
        <v>جزئي</v>
      </c>
    </row>
    <row r="46" spans="1:9">
      <c r="A46" s="15" t="s">
        <v>177</v>
      </c>
      <c r="B46" s="15" t="str">
        <f>IFERROR(INDEX('قائمة الوحدات'!$B$2:$B$41,MATCH($A46,'قائمة الوحدات'!$A$2:$A$41,0)),"")</f>
        <v>EXE</v>
      </c>
      <c r="C46" s="14" t="str">
        <f>IFERROR(INDEX('قائمة الوحدات'!$C$2:$C$41,MATCH($A46,'قائمة الوحدات'!$A$2:$A$41,0)),"")</f>
        <v>الشؤون التنفيذية</v>
      </c>
      <c r="D46" s="14" t="str">
        <f>IFERROR(INDEX('قائمة الوحدات'!$D$2:$D$41,MATCH($A46,'قائمة الوحدات'!$A$2:$A$41,0)),"")</f>
        <v>وكالة الخدمات المساندة</v>
      </c>
      <c r="E46" s="14" t="str">
        <f>IFERROR(INDEX('قائمة الوحدات'!$F$2:$F$41,MATCH($A46,'قائمة الوحدات'!$A$2:$A$41,0)),"")</f>
        <v>الإدارة العامة لتقنية المعلومات</v>
      </c>
      <c r="F46" s="15" t="s">
        <v>65</v>
      </c>
      <c r="G46" s="14" t="str">
        <f>IFERROR(INDEX(المرجع!$A$2:$A$19,MATCH($F46,المرجع!$B$2:$B$19,0)),"")</f>
        <v>التشغيل</v>
      </c>
      <c r="H46" s="22">
        <f>SUMIFS('تقييم العناصر'!$Q$2:$Q$721,'تقييم العناصر'!$B$2:$B$721,$A46,'تقييم العناصر'!$G$2:$G$721,$F46)</f>
        <v>47.4</v>
      </c>
      <c r="I46" s="21" t="str">
        <f>IF($H46&gt;المرجع!$K$3,"متقدم",IF($H46&lt;=المرجع!$K$2,"أولي","جزئي"))</f>
        <v>جزئي</v>
      </c>
    </row>
    <row r="47" spans="1:9">
      <c r="A47" s="15" t="s">
        <v>179</v>
      </c>
      <c r="B47" s="15" t="str">
        <f>IFERROR(INDEX('قائمة الوحدات'!$B$2:$B$41,MATCH($A47,'قائمة الوحدات'!$A$2:$A$41,0)),"")</f>
        <v>EXE</v>
      </c>
      <c r="C47" s="14" t="str">
        <f>IFERROR(INDEX('قائمة الوحدات'!$C$2:$C$41,MATCH($A47,'قائمة الوحدات'!$A$2:$A$41,0)),"")</f>
        <v>الشؤون التنفيذية</v>
      </c>
      <c r="D47" s="14" t="str">
        <f>IFERROR(INDEX('قائمة الوحدات'!$D$2:$D$41,MATCH($A47,'قائمة الوحدات'!$A$2:$A$41,0)),"")</f>
        <v>وكالة الشؤون الاستراتيجية</v>
      </c>
      <c r="E47" s="14" t="str">
        <f>IFERROR(INDEX('قائمة الوحدات'!$F$2:$F$41,MATCH($A47,'قائمة الوحدات'!$A$2:$A$41,0)),"")</f>
        <v>وكالة الشؤون الاستراتيجية</v>
      </c>
      <c r="F47" s="15" t="s">
        <v>43</v>
      </c>
      <c r="G47" s="14" t="str">
        <f>IFERROR(INDEX(المرجع!$A$2:$A$19,MATCH($F47,المرجع!$B$2:$B$19,0)),"")</f>
        <v>التصميم</v>
      </c>
      <c r="H47" s="22">
        <f>SUMIFS('تقييم العناصر'!$Q$2:$Q$721,'تقييم العناصر'!$B$2:$B$721,$A47,'تقييم العناصر'!$G$2:$G$721,$F47)</f>
        <v>84.35</v>
      </c>
      <c r="I47" s="21" t="str">
        <f>IF($H47&gt;المرجع!$K$3,"متقدم",IF($H47&lt;=المرجع!$K$2,"أولي","جزئي"))</f>
        <v>متقدم</v>
      </c>
    </row>
    <row r="48" spans="1:9">
      <c r="A48" s="15" t="s">
        <v>179</v>
      </c>
      <c r="B48" s="15" t="str">
        <f>IFERROR(INDEX('قائمة الوحدات'!$B$2:$B$41,MATCH($A48,'قائمة الوحدات'!$A$2:$A$41,0)),"")</f>
        <v>EXE</v>
      </c>
      <c r="C48" s="14" t="str">
        <f>IFERROR(INDEX('قائمة الوحدات'!$C$2:$C$41,MATCH($A48,'قائمة الوحدات'!$A$2:$A$41,0)),"")</f>
        <v>الشؤون التنفيذية</v>
      </c>
      <c r="D48" s="14" t="str">
        <f>IFERROR(INDEX('قائمة الوحدات'!$D$2:$D$41,MATCH($A48,'قائمة الوحدات'!$A$2:$A$41,0)),"")</f>
        <v>وكالة الشؤون الاستراتيجية</v>
      </c>
      <c r="E48" s="14" t="str">
        <f>IFERROR(INDEX('قائمة الوحدات'!$F$2:$F$41,MATCH($A48,'قائمة الوحدات'!$A$2:$A$41,0)),"")</f>
        <v>وكالة الشؤون الاستراتيجية</v>
      </c>
      <c r="F48" s="15" t="s">
        <v>61</v>
      </c>
      <c r="G48" s="14" t="str">
        <f>IFERROR(INDEX(المرجع!$A$2:$A$19,MATCH($F48,المرجع!$B$2:$B$19,0)),"")</f>
        <v>البناء المؤسسي</v>
      </c>
      <c r="H48" s="22">
        <f>SUMIFS('تقييم العناصر'!$Q$2:$Q$721,'تقييم العناصر'!$B$2:$B$721,$A48,'تقييم العناصر'!$G$2:$G$721,$F48)</f>
        <v>62.449999999999996</v>
      </c>
      <c r="I48" s="21" t="str">
        <f>IF($H48&gt;المرجع!$K$3,"متقدم",IF($H48&lt;=المرجع!$K$2,"أولي","جزئي"))</f>
        <v>جزئي</v>
      </c>
    </row>
    <row r="49" spans="1:9">
      <c r="A49" s="15" t="s">
        <v>179</v>
      </c>
      <c r="B49" s="15" t="str">
        <f>IFERROR(INDEX('قائمة الوحدات'!$B$2:$B$41,MATCH($A49,'قائمة الوحدات'!$A$2:$A$41,0)),"")</f>
        <v>EXE</v>
      </c>
      <c r="C49" s="14" t="str">
        <f>IFERROR(INDEX('قائمة الوحدات'!$C$2:$C$41,MATCH($A49,'قائمة الوحدات'!$A$2:$A$41,0)),"")</f>
        <v>الشؤون التنفيذية</v>
      </c>
      <c r="D49" s="14" t="str">
        <f>IFERROR(INDEX('قائمة الوحدات'!$D$2:$D$41,MATCH($A49,'قائمة الوحدات'!$A$2:$A$41,0)),"")</f>
        <v>وكالة الشؤون الاستراتيجية</v>
      </c>
      <c r="E49" s="14" t="str">
        <f>IFERROR(INDEX('قائمة الوحدات'!$F$2:$F$41,MATCH($A49,'قائمة الوحدات'!$A$2:$A$41,0)),"")</f>
        <v>وكالة الشؤون الاستراتيجية</v>
      </c>
      <c r="F49" s="15" t="s">
        <v>65</v>
      </c>
      <c r="G49" s="14" t="str">
        <f>IFERROR(INDEX(المرجع!$A$2:$A$19,MATCH($F49,المرجع!$B$2:$B$19,0)),"")</f>
        <v>التشغيل</v>
      </c>
      <c r="H49" s="22">
        <f>SUMIFS('تقييم العناصر'!$Q$2:$Q$721,'تقييم العناصر'!$B$2:$B$721,$A49,'تقييم العناصر'!$G$2:$G$721,$F49)</f>
        <v>40.85</v>
      </c>
      <c r="I49" s="21" t="str">
        <f>IF($H49&gt;المرجع!$K$3,"متقدم",IF($H49&lt;=المرجع!$K$2,"أولي","جزئي"))</f>
        <v>جزئي</v>
      </c>
    </row>
    <row r="50" spans="1:9">
      <c r="A50" s="15" t="s">
        <v>182</v>
      </c>
      <c r="B50" s="15" t="str">
        <f>IFERROR(INDEX('قائمة الوحدات'!$B$2:$B$41,MATCH($A50,'قائمة الوحدات'!$A$2:$A$41,0)),"")</f>
        <v>EXE</v>
      </c>
      <c r="C50" s="14" t="str">
        <f>IFERROR(INDEX('قائمة الوحدات'!$C$2:$C$41,MATCH($A50,'قائمة الوحدات'!$A$2:$A$41,0)),"")</f>
        <v>الشؤون التنفيذية</v>
      </c>
      <c r="D50" s="14" t="str">
        <f>IFERROR(INDEX('قائمة الوحدات'!$D$2:$D$41,MATCH($A50,'قائمة الوحدات'!$A$2:$A$41,0)),"")</f>
        <v>وكالة التحول الرقمي</v>
      </c>
      <c r="E50" s="14" t="str">
        <f>IFERROR(INDEX('قائمة الوحدات'!$F$2:$F$41,MATCH($A50,'قائمة الوحدات'!$A$2:$A$41,0)),"")</f>
        <v>وكالة التحول الرقمي</v>
      </c>
      <c r="F50" s="15" t="s">
        <v>43</v>
      </c>
      <c r="G50" s="14" t="str">
        <f>IFERROR(INDEX(المرجع!$A$2:$A$19,MATCH($F50,المرجع!$B$2:$B$19,0)),"")</f>
        <v>التصميم</v>
      </c>
      <c r="H50" s="22">
        <f>SUMIFS('تقييم العناصر'!$Q$2:$Q$721,'تقييم العناصر'!$B$2:$B$721,$A50,'تقييم العناصر'!$G$2:$G$721,$F50)</f>
        <v>80.350000000000009</v>
      </c>
      <c r="I50" s="21" t="str">
        <f>IF($H50&gt;المرجع!$K$3,"متقدم",IF($H50&lt;=المرجع!$K$2,"أولي","جزئي"))</f>
        <v>متقدم</v>
      </c>
    </row>
    <row r="51" spans="1:9">
      <c r="A51" s="15" t="s">
        <v>182</v>
      </c>
      <c r="B51" s="15" t="str">
        <f>IFERROR(INDEX('قائمة الوحدات'!$B$2:$B$41,MATCH($A51,'قائمة الوحدات'!$A$2:$A$41,0)),"")</f>
        <v>EXE</v>
      </c>
      <c r="C51" s="14" t="str">
        <f>IFERROR(INDEX('قائمة الوحدات'!$C$2:$C$41,MATCH($A51,'قائمة الوحدات'!$A$2:$A$41,0)),"")</f>
        <v>الشؤون التنفيذية</v>
      </c>
      <c r="D51" s="14" t="str">
        <f>IFERROR(INDEX('قائمة الوحدات'!$D$2:$D$41,MATCH($A51,'قائمة الوحدات'!$A$2:$A$41,0)),"")</f>
        <v>وكالة التحول الرقمي</v>
      </c>
      <c r="E51" s="14" t="str">
        <f>IFERROR(INDEX('قائمة الوحدات'!$F$2:$F$41,MATCH($A51,'قائمة الوحدات'!$A$2:$A$41,0)),"")</f>
        <v>وكالة التحول الرقمي</v>
      </c>
      <c r="F51" s="15" t="s">
        <v>61</v>
      </c>
      <c r="G51" s="14" t="str">
        <f>IFERROR(INDEX(المرجع!$A$2:$A$19,MATCH($F51,المرجع!$B$2:$B$19,0)),"")</f>
        <v>البناء المؤسسي</v>
      </c>
      <c r="H51" s="22">
        <f>SUMIFS('تقييم العناصر'!$Q$2:$Q$721,'تقييم العناصر'!$B$2:$B$721,$A51,'تقييم العناصر'!$G$2:$G$721,$F51)</f>
        <v>57.300000000000004</v>
      </c>
      <c r="I51" s="21" t="str">
        <f>IF($H51&gt;المرجع!$K$3,"متقدم",IF($H51&lt;=المرجع!$K$2,"أولي","جزئي"))</f>
        <v>جزئي</v>
      </c>
    </row>
    <row r="52" spans="1:9">
      <c r="A52" s="15" t="s">
        <v>182</v>
      </c>
      <c r="B52" s="15" t="str">
        <f>IFERROR(INDEX('قائمة الوحدات'!$B$2:$B$41,MATCH($A52,'قائمة الوحدات'!$A$2:$A$41,0)),"")</f>
        <v>EXE</v>
      </c>
      <c r="C52" s="14" t="str">
        <f>IFERROR(INDEX('قائمة الوحدات'!$C$2:$C$41,MATCH($A52,'قائمة الوحدات'!$A$2:$A$41,0)),"")</f>
        <v>الشؤون التنفيذية</v>
      </c>
      <c r="D52" s="14" t="str">
        <f>IFERROR(INDEX('قائمة الوحدات'!$D$2:$D$41,MATCH($A52,'قائمة الوحدات'!$A$2:$A$41,0)),"")</f>
        <v>وكالة التحول الرقمي</v>
      </c>
      <c r="E52" s="14" t="str">
        <f>IFERROR(INDEX('قائمة الوحدات'!$F$2:$F$41,MATCH($A52,'قائمة الوحدات'!$A$2:$A$41,0)),"")</f>
        <v>وكالة التحول الرقمي</v>
      </c>
      <c r="F52" s="15" t="s">
        <v>65</v>
      </c>
      <c r="G52" s="14" t="str">
        <f>IFERROR(INDEX(المرجع!$A$2:$A$19,MATCH($F52,المرجع!$B$2:$B$19,0)),"")</f>
        <v>التشغيل</v>
      </c>
      <c r="H52" s="22">
        <f>SUMIFS('تقييم العناصر'!$Q$2:$Q$721,'تقييم العناصر'!$B$2:$B$721,$A52,'تقييم العناصر'!$G$2:$G$721,$F52)</f>
        <v>29.65</v>
      </c>
      <c r="I52" s="21" t="str">
        <f>IF($H52&gt;المرجع!$K$3,"متقدم",IF($H52&lt;=المرجع!$K$2,"أولي","جزئي"))</f>
        <v>أولي</v>
      </c>
    </row>
    <row r="53" spans="1:9">
      <c r="A53" s="15" t="s">
        <v>184</v>
      </c>
      <c r="B53" s="15" t="str">
        <f>IFERROR(INDEX('قائمة الوحدات'!$B$2:$B$41,MATCH($A53,'قائمة الوحدات'!$A$2:$A$41,0)),"")</f>
        <v>EXE</v>
      </c>
      <c r="C53" s="14" t="str">
        <f>IFERROR(INDEX('قائمة الوحدات'!$C$2:$C$41,MATCH($A53,'قائمة الوحدات'!$A$2:$A$41,0)),"")</f>
        <v>الشؤون التنفيذية</v>
      </c>
      <c r="D53" s="14" t="str">
        <f>IFERROR(INDEX('قائمة الوحدات'!$D$2:$D$41,MATCH($A53,'قائمة الوحدات'!$A$2:$A$41,0)),"")</f>
        <v>وكالة الاتصال المؤسسي</v>
      </c>
      <c r="E53" s="14" t="str">
        <f>IFERROR(INDEX('قائمة الوحدات'!$F$2:$F$41,MATCH($A53,'قائمة الوحدات'!$A$2:$A$41,0)),"")</f>
        <v>وكالة الاتصال المؤسسي</v>
      </c>
      <c r="F53" s="15" t="s">
        <v>43</v>
      </c>
      <c r="G53" s="14" t="str">
        <f>IFERROR(INDEX(المرجع!$A$2:$A$19,MATCH($F53,المرجع!$B$2:$B$19,0)),"")</f>
        <v>التصميم</v>
      </c>
      <c r="H53" s="22">
        <f>SUMIFS('تقييم العناصر'!$Q$2:$Q$721,'تقييم العناصر'!$B$2:$B$721,$A53,'تقييم العناصر'!$G$2:$G$721,$F53)</f>
        <v>83</v>
      </c>
      <c r="I53" s="21" t="str">
        <f>IF($H53&gt;المرجع!$K$3,"متقدم",IF($H53&lt;=المرجع!$K$2,"أولي","جزئي"))</f>
        <v>متقدم</v>
      </c>
    </row>
    <row r="54" spans="1:9">
      <c r="A54" s="15" t="s">
        <v>184</v>
      </c>
      <c r="B54" s="15" t="str">
        <f>IFERROR(INDEX('قائمة الوحدات'!$B$2:$B$41,MATCH($A54,'قائمة الوحدات'!$A$2:$A$41,0)),"")</f>
        <v>EXE</v>
      </c>
      <c r="C54" s="14" t="str">
        <f>IFERROR(INDEX('قائمة الوحدات'!$C$2:$C$41,MATCH($A54,'قائمة الوحدات'!$A$2:$A$41,0)),"")</f>
        <v>الشؤون التنفيذية</v>
      </c>
      <c r="D54" s="14" t="str">
        <f>IFERROR(INDEX('قائمة الوحدات'!$D$2:$D$41,MATCH($A54,'قائمة الوحدات'!$A$2:$A$41,0)),"")</f>
        <v>وكالة الاتصال المؤسسي</v>
      </c>
      <c r="E54" s="14" t="str">
        <f>IFERROR(INDEX('قائمة الوحدات'!$F$2:$F$41,MATCH($A54,'قائمة الوحدات'!$A$2:$A$41,0)),"")</f>
        <v>وكالة الاتصال المؤسسي</v>
      </c>
      <c r="F54" s="15" t="s">
        <v>61</v>
      </c>
      <c r="G54" s="14" t="str">
        <f>IFERROR(INDEX(المرجع!$A$2:$A$19,MATCH($F54,المرجع!$B$2:$B$19,0)),"")</f>
        <v>البناء المؤسسي</v>
      </c>
      <c r="H54" s="22">
        <f>SUMIFS('تقييم العناصر'!$Q$2:$Q$721,'تقييم العناصر'!$B$2:$B$721,$A54,'تقييم العناصر'!$G$2:$G$721,$F54)</f>
        <v>60.45</v>
      </c>
      <c r="I54" s="21" t="str">
        <f>IF($H54&gt;المرجع!$K$3,"متقدم",IF($H54&lt;=المرجع!$K$2,"أولي","جزئي"))</f>
        <v>جزئي</v>
      </c>
    </row>
    <row r="55" spans="1:9">
      <c r="A55" s="15" t="s">
        <v>184</v>
      </c>
      <c r="B55" s="15" t="str">
        <f>IFERROR(INDEX('قائمة الوحدات'!$B$2:$B$41,MATCH($A55,'قائمة الوحدات'!$A$2:$A$41,0)),"")</f>
        <v>EXE</v>
      </c>
      <c r="C55" s="14" t="str">
        <f>IFERROR(INDEX('قائمة الوحدات'!$C$2:$C$41,MATCH($A55,'قائمة الوحدات'!$A$2:$A$41,0)),"")</f>
        <v>الشؤون التنفيذية</v>
      </c>
      <c r="D55" s="14" t="str">
        <f>IFERROR(INDEX('قائمة الوحدات'!$D$2:$D$41,MATCH($A55,'قائمة الوحدات'!$A$2:$A$41,0)),"")</f>
        <v>وكالة الاتصال المؤسسي</v>
      </c>
      <c r="E55" s="14" t="str">
        <f>IFERROR(INDEX('قائمة الوحدات'!$F$2:$F$41,MATCH($A55,'قائمة الوحدات'!$A$2:$A$41,0)),"")</f>
        <v>وكالة الاتصال المؤسسي</v>
      </c>
      <c r="F55" s="15" t="s">
        <v>65</v>
      </c>
      <c r="G55" s="14" t="str">
        <f>IFERROR(INDEX(المرجع!$A$2:$A$19,MATCH($F55,المرجع!$B$2:$B$19,0)),"")</f>
        <v>التشغيل</v>
      </c>
      <c r="H55" s="22">
        <f>SUMIFS('تقييم العناصر'!$Q$2:$Q$721,'تقييم العناصر'!$B$2:$B$721,$A55,'تقييم العناصر'!$G$2:$G$721,$F55)</f>
        <v>46.499999999999993</v>
      </c>
      <c r="I55" s="21" t="str">
        <f>IF($H55&gt;المرجع!$K$3,"متقدم",IF($H55&lt;=المرجع!$K$2,"أولي","جزئي"))</f>
        <v>جزئي</v>
      </c>
    </row>
    <row r="56" spans="1:9">
      <c r="A56" s="15" t="s">
        <v>186</v>
      </c>
      <c r="B56" s="15" t="str">
        <f>IFERROR(INDEX('قائمة الوحدات'!$B$2:$B$41,MATCH($A56,'قائمة الوحدات'!$A$2:$A$41,0)),"")</f>
        <v>EXE</v>
      </c>
      <c r="C56" s="14" t="str">
        <f>IFERROR(INDEX('قائمة الوحدات'!$C$2:$C$41,MATCH($A56,'قائمة الوحدات'!$A$2:$A$41,0)),"")</f>
        <v>الشؤون التنفيذية</v>
      </c>
      <c r="D56" s="14" t="str">
        <f>IFERROR(INDEX('قائمة الوحدات'!$D$2:$D$41,MATCH($A56,'قائمة الوحدات'!$A$2:$A$41,0)),"")</f>
        <v>وكالة الرقابة والالتزام</v>
      </c>
      <c r="E56" s="14" t="str">
        <f>IFERROR(INDEX('قائمة الوحدات'!$F$2:$F$41,MATCH($A56,'قائمة الوحدات'!$A$2:$A$41,0)),"")</f>
        <v>وكالة الرقابة والالتزام</v>
      </c>
      <c r="F56" s="15" t="s">
        <v>43</v>
      </c>
      <c r="G56" s="14" t="str">
        <f>IFERROR(INDEX(المرجع!$A$2:$A$19,MATCH($F56,المرجع!$B$2:$B$19,0)),"")</f>
        <v>التصميم</v>
      </c>
      <c r="H56" s="22">
        <f>SUMIFS('تقييم العناصر'!$Q$2:$Q$721,'تقييم العناصر'!$B$2:$B$721,$A56,'تقييم العناصر'!$G$2:$G$721,$F56)</f>
        <v>79.25</v>
      </c>
      <c r="I56" s="21" t="str">
        <f>IF($H56&gt;المرجع!$K$3,"متقدم",IF($H56&lt;=المرجع!$K$2,"أولي","جزئي"))</f>
        <v>متقدم</v>
      </c>
    </row>
    <row r="57" spans="1:9">
      <c r="A57" s="15" t="s">
        <v>186</v>
      </c>
      <c r="B57" s="15" t="str">
        <f>IFERROR(INDEX('قائمة الوحدات'!$B$2:$B$41,MATCH($A57,'قائمة الوحدات'!$A$2:$A$41,0)),"")</f>
        <v>EXE</v>
      </c>
      <c r="C57" s="14" t="str">
        <f>IFERROR(INDEX('قائمة الوحدات'!$C$2:$C$41,MATCH($A57,'قائمة الوحدات'!$A$2:$A$41,0)),"")</f>
        <v>الشؤون التنفيذية</v>
      </c>
      <c r="D57" s="14" t="str">
        <f>IFERROR(INDEX('قائمة الوحدات'!$D$2:$D$41,MATCH($A57,'قائمة الوحدات'!$A$2:$A$41,0)),"")</f>
        <v>وكالة الرقابة والالتزام</v>
      </c>
      <c r="E57" s="14" t="str">
        <f>IFERROR(INDEX('قائمة الوحدات'!$F$2:$F$41,MATCH($A57,'قائمة الوحدات'!$A$2:$A$41,0)),"")</f>
        <v>وكالة الرقابة والالتزام</v>
      </c>
      <c r="F57" s="15" t="s">
        <v>61</v>
      </c>
      <c r="G57" s="14" t="str">
        <f>IFERROR(INDEX(المرجع!$A$2:$A$19,MATCH($F57,المرجع!$B$2:$B$19,0)),"")</f>
        <v>البناء المؤسسي</v>
      </c>
      <c r="H57" s="22">
        <f>SUMIFS('تقييم العناصر'!$Q$2:$Q$721,'تقييم العناصر'!$B$2:$B$721,$A57,'تقييم العناصر'!$G$2:$G$721,$F57)</f>
        <v>76.150000000000006</v>
      </c>
      <c r="I57" s="21" t="str">
        <f>IF($H57&gt;المرجع!$K$3,"متقدم",IF($H57&lt;=المرجع!$K$2,"أولي","جزئي"))</f>
        <v>متقدم</v>
      </c>
    </row>
    <row r="58" spans="1:9">
      <c r="A58" s="15" t="s">
        <v>186</v>
      </c>
      <c r="B58" s="15" t="str">
        <f>IFERROR(INDEX('قائمة الوحدات'!$B$2:$B$41,MATCH($A58,'قائمة الوحدات'!$A$2:$A$41,0)),"")</f>
        <v>EXE</v>
      </c>
      <c r="C58" s="14" t="str">
        <f>IFERROR(INDEX('قائمة الوحدات'!$C$2:$C$41,MATCH($A58,'قائمة الوحدات'!$A$2:$A$41,0)),"")</f>
        <v>الشؤون التنفيذية</v>
      </c>
      <c r="D58" s="14" t="str">
        <f>IFERROR(INDEX('قائمة الوحدات'!$D$2:$D$41,MATCH($A58,'قائمة الوحدات'!$A$2:$A$41,0)),"")</f>
        <v>وكالة الرقابة والالتزام</v>
      </c>
      <c r="E58" s="14" t="str">
        <f>IFERROR(INDEX('قائمة الوحدات'!$F$2:$F$41,MATCH($A58,'قائمة الوحدات'!$A$2:$A$41,0)),"")</f>
        <v>وكالة الرقابة والالتزام</v>
      </c>
      <c r="F58" s="15" t="s">
        <v>65</v>
      </c>
      <c r="G58" s="14" t="str">
        <f>IFERROR(INDEX(المرجع!$A$2:$A$19,MATCH($F58,المرجع!$B$2:$B$19,0)),"")</f>
        <v>التشغيل</v>
      </c>
      <c r="H58" s="22">
        <f>SUMIFS('تقييم العناصر'!$Q$2:$Q$721,'تقييم العناصر'!$B$2:$B$721,$A58,'تقييم العناصر'!$G$2:$G$721,$F58)</f>
        <v>47.35</v>
      </c>
      <c r="I58" s="21" t="str">
        <f>IF($H58&gt;المرجع!$K$3,"متقدم",IF($H58&lt;=المرجع!$K$2,"أولي","جزئي"))</f>
        <v>جزئي</v>
      </c>
    </row>
    <row r="59" spans="1:9">
      <c r="A59" s="15" t="s">
        <v>188</v>
      </c>
      <c r="B59" s="15" t="str">
        <f>IFERROR(INDEX('قائمة الوحدات'!$B$2:$B$41,MATCH($A59,'قائمة الوحدات'!$A$2:$A$41,0)),"")</f>
        <v>MIL</v>
      </c>
      <c r="C59" s="14" t="str">
        <f>IFERROR(INDEX('قائمة الوحدات'!$C$2:$C$41,MATCH($A59,'قائمة الوحدات'!$A$2:$A$41,0)),"")</f>
        <v>الجهاز العسكري</v>
      </c>
      <c r="D59" s="14" t="str">
        <f>IFERROR(INDEX('قائمة الوحدات'!$D$2:$D$41,MATCH($A59,'قائمة الوحدات'!$A$2:$A$41,0)),"")</f>
        <v>هيئة الأركان</v>
      </c>
      <c r="E59" s="14" t="str">
        <f>IFERROR(INDEX('قائمة الوحدات'!$F$2:$F$41,MATCH($A59,'قائمة الوحدات'!$A$2:$A$41,0)),"")</f>
        <v>هيئة الأركان</v>
      </c>
      <c r="F59" s="15" t="s">
        <v>43</v>
      </c>
      <c r="G59" s="14" t="str">
        <f>IFERROR(INDEX(المرجع!$A$2:$A$19,MATCH($F59,المرجع!$B$2:$B$19,0)),"")</f>
        <v>التصميم</v>
      </c>
      <c r="H59" s="22">
        <f>SUMIFS('تقييم العناصر'!$Q$2:$Q$721,'تقييم العناصر'!$B$2:$B$721,$A59,'تقييم العناصر'!$G$2:$G$721,$F59)</f>
        <v>72.25</v>
      </c>
      <c r="I59" s="21" t="str">
        <f>IF($H59&gt;المرجع!$K$3,"متقدم",IF($H59&lt;=المرجع!$K$2,"أولي","جزئي"))</f>
        <v>متقدم</v>
      </c>
    </row>
    <row r="60" spans="1:9">
      <c r="A60" s="15" t="s">
        <v>188</v>
      </c>
      <c r="B60" s="15" t="str">
        <f>IFERROR(INDEX('قائمة الوحدات'!$B$2:$B$41,MATCH($A60,'قائمة الوحدات'!$A$2:$A$41,0)),"")</f>
        <v>MIL</v>
      </c>
      <c r="C60" s="14" t="str">
        <f>IFERROR(INDEX('قائمة الوحدات'!$C$2:$C$41,MATCH($A60,'قائمة الوحدات'!$A$2:$A$41,0)),"")</f>
        <v>الجهاز العسكري</v>
      </c>
      <c r="D60" s="14" t="str">
        <f>IFERROR(INDEX('قائمة الوحدات'!$D$2:$D$41,MATCH($A60,'قائمة الوحدات'!$A$2:$A$41,0)),"")</f>
        <v>هيئة الأركان</v>
      </c>
      <c r="E60" s="14" t="str">
        <f>IFERROR(INDEX('قائمة الوحدات'!$F$2:$F$41,MATCH($A60,'قائمة الوحدات'!$A$2:$A$41,0)),"")</f>
        <v>هيئة الأركان</v>
      </c>
      <c r="F60" s="15" t="s">
        <v>61</v>
      </c>
      <c r="G60" s="14" t="str">
        <f>IFERROR(INDEX(المرجع!$A$2:$A$19,MATCH($F60,المرجع!$B$2:$B$19,0)),"")</f>
        <v>البناء المؤسسي</v>
      </c>
      <c r="H60" s="22">
        <f>SUMIFS('تقييم العناصر'!$Q$2:$Q$721,'تقييم العناصر'!$B$2:$B$721,$A60,'تقييم العناصر'!$G$2:$G$721,$F60)</f>
        <v>61.6</v>
      </c>
      <c r="I60" s="21" t="str">
        <f>IF($H60&gt;المرجع!$K$3,"متقدم",IF($H60&lt;=المرجع!$K$2,"أولي","جزئي"))</f>
        <v>جزئي</v>
      </c>
    </row>
    <row r="61" spans="1:9">
      <c r="A61" s="15" t="s">
        <v>188</v>
      </c>
      <c r="B61" s="15" t="str">
        <f>IFERROR(INDEX('قائمة الوحدات'!$B$2:$B$41,MATCH($A61,'قائمة الوحدات'!$A$2:$A$41,0)),"")</f>
        <v>MIL</v>
      </c>
      <c r="C61" s="14" t="str">
        <f>IFERROR(INDEX('قائمة الوحدات'!$C$2:$C$41,MATCH($A61,'قائمة الوحدات'!$A$2:$A$41,0)),"")</f>
        <v>الجهاز العسكري</v>
      </c>
      <c r="D61" s="14" t="str">
        <f>IFERROR(INDEX('قائمة الوحدات'!$D$2:$D$41,MATCH($A61,'قائمة الوحدات'!$A$2:$A$41,0)),"")</f>
        <v>هيئة الأركان</v>
      </c>
      <c r="E61" s="14" t="str">
        <f>IFERROR(INDEX('قائمة الوحدات'!$F$2:$F$41,MATCH($A61,'قائمة الوحدات'!$A$2:$A$41,0)),"")</f>
        <v>هيئة الأركان</v>
      </c>
      <c r="F61" s="15" t="s">
        <v>65</v>
      </c>
      <c r="G61" s="14" t="str">
        <f>IFERROR(INDEX(المرجع!$A$2:$A$19,MATCH($F61,المرجع!$B$2:$B$19,0)),"")</f>
        <v>التشغيل</v>
      </c>
      <c r="H61" s="22">
        <f>SUMIFS('تقييم العناصر'!$Q$2:$Q$721,'تقييم العناصر'!$B$2:$B$721,$A61,'تقييم العناصر'!$G$2:$G$721,$F61)</f>
        <v>39.700000000000003</v>
      </c>
      <c r="I61" s="21" t="str">
        <f>IF($H61&gt;المرجع!$K$3,"متقدم",IF($H61&lt;=المرجع!$K$2,"أولي","جزئي"))</f>
        <v>جزئي</v>
      </c>
    </row>
    <row r="62" spans="1:9">
      <c r="A62" s="15" t="s">
        <v>192</v>
      </c>
      <c r="B62" s="15" t="str">
        <f>IFERROR(INDEX('قائمة الوحدات'!$B$2:$B$41,MATCH($A62,'قائمة الوحدات'!$A$2:$A$41,0)),"")</f>
        <v>MIL</v>
      </c>
      <c r="C62" s="14" t="str">
        <f>IFERROR(INDEX('قائمة الوحدات'!$C$2:$C$41,MATCH($A62,'قائمة الوحدات'!$A$2:$A$41,0)),"")</f>
        <v>الجهاز العسكري</v>
      </c>
      <c r="D62" s="14" t="str">
        <f>IFERROR(INDEX('قائمة الوحدات'!$D$2:$D$41,MATCH($A62,'قائمة الوحدات'!$A$2:$A$41,0)),"")</f>
        <v>قيادة القوات البرية</v>
      </c>
      <c r="E62" s="14" t="str">
        <f>IFERROR(INDEX('قائمة الوحدات'!$F$2:$F$41,MATCH($A62,'قائمة الوحدات'!$A$2:$A$41,0)),"")</f>
        <v>قيادة القوات البرية</v>
      </c>
      <c r="F62" s="15" t="s">
        <v>43</v>
      </c>
      <c r="G62" s="14" t="str">
        <f>IFERROR(INDEX(المرجع!$A$2:$A$19,MATCH($F62,المرجع!$B$2:$B$19,0)),"")</f>
        <v>التصميم</v>
      </c>
      <c r="H62" s="22">
        <f>SUMIFS('تقييم العناصر'!$Q$2:$Q$721,'تقييم العناصر'!$B$2:$B$721,$A62,'تقييم العناصر'!$G$2:$G$721,$F62)</f>
        <v>74.100000000000009</v>
      </c>
      <c r="I62" s="21" t="str">
        <f>IF($H62&gt;المرجع!$K$3,"متقدم",IF($H62&lt;=المرجع!$K$2,"أولي","جزئي"))</f>
        <v>متقدم</v>
      </c>
    </row>
    <row r="63" spans="1:9">
      <c r="A63" s="15" t="s">
        <v>192</v>
      </c>
      <c r="B63" s="15" t="str">
        <f>IFERROR(INDEX('قائمة الوحدات'!$B$2:$B$41,MATCH($A63,'قائمة الوحدات'!$A$2:$A$41,0)),"")</f>
        <v>MIL</v>
      </c>
      <c r="C63" s="14" t="str">
        <f>IFERROR(INDEX('قائمة الوحدات'!$C$2:$C$41,MATCH($A63,'قائمة الوحدات'!$A$2:$A$41,0)),"")</f>
        <v>الجهاز العسكري</v>
      </c>
      <c r="D63" s="14" t="str">
        <f>IFERROR(INDEX('قائمة الوحدات'!$D$2:$D$41,MATCH($A63,'قائمة الوحدات'!$A$2:$A$41,0)),"")</f>
        <v>قيادة القوات البرية</v>
      </c>
      <c r="E63" s="14" t="str">
        <f>IFERROR(INDEX('قائمة الوحدات'!$F$2:$F$41,MATCH($A63,'قائمة الوحدات'!$A$2:$A$41,0)),"")</f>
        <v>قيادة القوات البرية</v>
      </c>
      <c r="F63" s="15" t="s">
        <v>61</v>
      </c>
      <c r="G63" s="14" t="str">
        <f>IFERROR(INDEX(المرجع!$A$2:$A$19,MATCH($F63,المرجع!$B$2:$B$19,0)),"")</f>
        <v>البناء المؤسسي</v>
      </c>
      <c r="H63" s="22">
        <f>SUMIFS('تقييم العناصر'!$Q$2:$Q$721,'تقييم العناصر'!$B$2:$B$721,$A63,'تقييم العناصر'!$G$2:$G$721,$F63)</f>
        <v>57.3</v>
      </c>
      <c r="I63" s="21" t="str">
        <f>IF($H63&gt;المرجع!$K$3,"متقدم",IF($H63&lt;=المرجع!$K$2,"أولي","جزئي"))</f>
        <v>جزئي</v>
      </c>
    </row>
    <row r="64" spans="1:9">
      <c r="A64" s="15" t="s">
        <v>192</v>
      </c>
      <c r="B64" s="15" t="str">
        <f>IFERROR(INDEX('قائمة الوحدات'!$B$2:$B$41,MATCH($A64,'قائمة الوحدات'!$A$2:$A$41,0)),"")</f>
        <v>MIL</v>
      </c>
      <c r="C64" s="14" t="str">
        <f>IFERROR(INDEX('قائمة الوحدات'!$C$2:$C$41,MATCH($A64,'قائمة الوحدات'!$A$2:$A$41,0)),"")</f>
        <v>الجهاز العسكري</v>
      </c>
      <c r="D64" s="14" t="str">
        <f>IFERROR(INDEX('قائمة الوحدات'!$D$2:$D$41,MATCH($A64,'قائمة الوحدات'!$A$2:$A$41,0)),"")</f>
        <v>قيادة القوات البرية</v>
      </c>
      <c r="E64" s="14" t="str">
        <f>IFERROR(INDEX('قائمة الوحدات'!$F$2:$F$41,MATCH($A64,'قائمة الوحدات'!$A$2:$A$41,0)),"")</f>
        <v>قيادة القوات البرية</v>
      </c>
      <c r="F64" s="15" t="s">
        <v>65</v>
      </c>
      <c r="G64" s="14" t="str">
        <f>IFERROR(INDEX(المرجع!$A$2:$A$19,MATCH($F64,المرجع!$B$2:$B$19,0)),"")</f>
        <v>التشغيل</v>
      </c>
      <c r="H64" s="22">
        <f>SUMIFS('تقييم العناصر'!$Q$2:$Q$721,'تقييم العناصر'!$B$2:$B$721,$A64,'تقييم العناصر'!$G$2:$G$721,$F64)</f>
        <v>44.3</v>
      </c>
      <c r="I64" s="21" t="str">
        <f>IF($H64&gt;المرجع!$K$3,"متقدم",IF($H64&lt;=المرجع!$K$2,"أولي","جزئي"))</f>
        <v>جزئي</v>
      </c>
    </row>
    <row r="65" spans="1:9">
      <c r="A65" s="15" t="s">
        <v>194</v>
      </c>
      <c r="B65" s="15" t="str">
        <f>IFERROR(INDEX('قائمة الوحدات'!$B$2:$B$41,MATCH($A65,'قائمة الوحدات'!$A$2:$A$41,0)),"")</f>
        <v>MIL</v>
      </c>
      <c r="C65" s="14" t="str">
        <f>IFERROR(INDEX('قائمة الوحدات'!$C$2:$C$41,MATCH($A65,'قائمة الوحدات'!$A$2:$A$41,0)),"")</f>
        <v>الجهاز العسكري</v>
      </c>
      <c r="D65" s="14" t="str">
        <f>IFERROR(INDEX('قائمة الوحدات'!$D$2:$D$41,MATCH($A65,'قائمة الوحدات'!$A$2:$A$41,0)),"")</f>
        <v>قيادة القوات الجوية</v>
      </c>
      <c r="E65" s="14" t="str">
        <f>IFERROR(INDEX('قائمة الوحدات'!$F$2:$F$41,MATCH($A65,'قائمة الوحدات'!$A$2:$A$41,0)),"")</f>
        <v>قيادة القوات الجوية</v>
      </c>
      <c r="F65" s="15" t="s">
        <v>43</v>
      </c>
      <c r="G65" s="14" t="str">
        <f>IFERROR(INDEX(المرجع!$A$2:$A$19,MATCH($F65,المرجع!$B$2:$B$19,0)),"")</f>
        <v>التصميم</v>
      </c>
      <c r="H65" s="22">
        <f>SUMIFS('تقييم العناصر'!$Q$2:$Q$721,'تقييم العناصر'!$B$2:$B$721,$A65,'تقييم العناصر'!$G$2:$G$721,$F65)</f>
        <v>81.150000000000006</v>
      </c>
      <c r="I65" s="21" t="str">
        <f>IF($H65&gt;المرجع!$K$3,"متقدم",IF($H65&lt;=المرجع!$K$2,"أولي","جزئي"))</f>
        <v>متقدم</v>
      </c>
    </row>
    <row r="66" spans="1:9">
      <c r="A66" s="15" t="s">
        <v>194</v>
      </c>
      <c r="B66" s="15" t="str">
        <f>IFERROR(INDEX('قائمة الوحدات'!$B$2:$B$41,MATCH($A66,'قائمة الوحدات'!$A$2:$A$41,0)),"")</f>
        <v>MIL</v>
      </c>
      <c r="C66" s="14" t="str">
        <f>IFERROR(INDEX('قائمة الوحدات'!$C$2:$C$41,MATCH($A66,'قائمة الوحدات'!$A$2:$A$41,0)),"")</f>
        <v>الجهاز العسكري</v>
      </c>
      <c r="D66" s="14" t="str">
        <f>IFERROR(INDEX('قائمة الوحدات'!$D$2:$D$41,MATCH($A66,'قائمة الوحدات'!$A$2:$A$41,0)),"")</f>
        <v>قيادة القوات الجوية</v>
      </c>
      <c r="E66" s="14" t="str">
        <f>IFERROR(INDEX('قائمة الوحدات'!$F$2:$F$41,MATCH($A66,'قائمة الوحدات'!$A$2:$A$41,0)),"")</f>
        <v>قيادة القوات الجوية</v>
      </c>
      <c r="F66" s="15" t="s">
        <v>61</v>
      </c>
      <c r="G66" s="14" t="str">
        <f>IFERROR(INDEX(المرجع!$A$2:$A$19,MATCH($F66,المرجع!$B$2:$B$19,0)),"")</f>
        <v>البناء المؤسسي</v>
      </c>
      <c r="H66" s="22">
        <f>SUMIFS('تقييم العناصر'!$Q$2:$Q$721,'تقييم العناصر'!$B$2:$B$721,$A66,'تقييم العناصر'!$G$2:$G$721,$F66)</f>
        <v>63.6</v>
      </c>
      <c r="I66" s="21" t="str">
        <f>IF($H66&gt;المرجع!$K$3,"متقدم",IF($H66&lt;=المرجع!$K$2,"أولي","جزئي"))</f>
        <v>جزئي</v>
      </c>
    </row>
    <row r="67" spans="1:9">
      <c r="A67" s="15" t="s">
        <v>194</v>
      </c>
      <c r="B67" s="15" t="str">
        <f>IFERROR(INDEX('قائمة الوحدات'!$B$2:$B$41,MATCH($A67,'قائمة الوحدات'!$A$2:$A$41,0)),"")</f>
        <v>MIL</v>
      </c>
      <c r="C67" s="14" t="str">
        <f>IFERROR(INDEX('قائمة الوحدات'!$C$2:$C$41,MATCH($A67,'قائمة الوحدات'!$A$2:$A$41,0)),"")</f>
        <v>الجهاز العسكري</v>
      </c>
      <c r="D67" s="14" t="str">
        <f>IFERROR(INDEX('قائمة الوحدات'!$D$2:$D$41,MATCH($A67,'قائمة الوحدات'!$A$2:$A$41,0)),"")</f>
        <v>قيادة القوات الجوية</v>
      </c>
      <c r="E67" s="14" t="str">
        <f>IFERROR(INDEX('قائمة الوحدات'!$F$2:$F$41,MATCH($A67,'قائمة الوحدات'!$A$2:$A$41,0)),"")</f>
        <v>قيادة القوات الجوية</v>
      </c>
      <c r="F67" s="15" t="s">
        <v>65</v>
      </c>
      <c r="G67" s="14" t="str">
        <f>IFERROR(INDEX(المرجع!$A$2:$A$19,MATCH($F67,المرجع!$B$2:$B$19,0)),"")</f>
        <v>التشغيل</v>
      </c>
      <c r="H67" s="22">
        <f>SUMIFS('تقييم العناصر'!$Q$2:$Q$721,'تقييم العناصر'!$B$2:$B$721,$A67,'تقييم العناصر'!$G$2:$G$721,$F67)</f>
        <v>51.2</v>
      </c>
      <c r="I67" s="21" t="str">
        <f>IF($H67&gt;المرجع!$K$3,"متقدم",IF($H67&lt;=المرجع!$K$2,"أولي","جزئي"))</f>
        <v>جزئي</v>
      </c>
    </row>
    <row r="68" spans="1:9">
      <c r="A68" s="15" t="s">
        <v>196</v>
      </c>
      <c r="B68" s="15" t="str">
        <f>IFERROR(INDEX('قائمة الوحدات'!$B$2:$B$41,MATCH($A68,'قائمة الوحدات'!$A$2:$A$41,0)),"")</f>
        <v>MIL</v>
      </c>
      <c r="C68" s="14" t="str">
        <f>IFERROR(INDEX('قائمة الوحدات'!$C$2:$C$41,MATCH($A68,'قائمة الوحدات'!$A$2:$A$41,0)),"")</f>
        <v>الجهاز العسكري</v>
      </c>
      <c r="D68" s="14" t="str">
        <f>IFERROR(INDEX('قائمة الوحدات'!$D$2:$D$41,MATCH($A68,'قائمة الوحدات'!$A$2:$A$41,0)),"")</f>
        <v>قيادة القوات البحرية</v>
      </c>
      <c r="E68" s="14" t="str">
        <f>IFERROR(INDEX('قائمة الوحدات'!$F$2:$F$41,MATCH($A68,'قائمة الوحدات'!$A$2:$A$41,0)),"")</f>
        <v>قيادة القوات البحرية</v>
      </c>
      <c r="F68" s="15" t="s">
        <v>43</v>
      </c>
      <c r="G68" s="14" t="str">
        <f>IFERROR(INDEX(المرجع!$A$2:$A$19,MATCH($F68,المرجع!$B$2:$B$19,0)),"")</f>
        <v>التصميم</v>
      </c>
      <c r="H68" s="22">
        <f>SUMIFS('تقييم العناصر'!$Q$2:$Q$721,'تقييم العناصر'!$B$2:$B$721,$A68,'تقييم العناصر'!$G$2:$G$721,$F68)</f>
        <v>83.75</v>
      </c>
      <c r="I68" s="21" t="str">
        <f>IF($H68&gt;المرجع!$K$3,"متقدم",IF($H68&lt;=المرجع!$K$2,"أولي","جزئي"))</f>
        <v>متقدم</v>
      </c>
    </row>
    <row r="69" spans="1:9">
      <c r="A69" s="15" t="s">
        <v>196</v>
      </c>
      <c r="B69" s="15" t="str">
        <f>IFERROR(INDEX('قائمة الوحدات'!$B$2:$B$41,MATCH($A69,'قائمة الوحدات'!$A$2:$A$41,0)),"")</f>
        <v>MIL</v>
      </c>
      <c r="C69" s="14" t="str">
        <f>IFERROR(INDEX('قائمة الوحدات'!$C$2:$C$41,MATCH($A69,'قائمة الوحدات'!$A$2:$A$41,0)),"")</f>
        <v>الجهاز العسكري</v>
      </c>
      <c r="D69" s="14" t="str">
        <f>IFERROR(INDEX('قائمة الوحدات'!$D$2:$D$41,MATCH($A69,'قائمة الوحدات'!$A$2:$A$41,0)),"")</f>
        <v>قيادة القوات البحرية</v>
      </c>
      <c r="E69" s="14" t="str">
        <f>IFERROR(INDEX('قائمة الوحدات'!$F$2:$F$41,MATCH($A69,'قائمة الوحدات'!$A$2:$A$41,0)),"")</f>
        <v>قيادة القوات البحرية</v>
      </c>
      <c r="F69" s="15" t="s">
        <v>61</v>
      </c>
      <c r="G69" s="14" t="str">
        <f>IFERROR(INDEX(المرجع!$A$2:$A$19,MATCH($F69,المرجع!$B$2:$B$19,0)),"")</f>
        <v>البناء المؤسسي</v>
      </c>
      <c r="H69" s="22">
        <f>SUMIFS('تقييم العناصر'!$Q$2:$Q$721,'تقييم العناصر'!$B$2:$B$721,$A69,'تقييم العناصر'!$G$2:$G$721,$F69)</f>
        <v>60.25</v>
      </c>
      <c r="I69" s="21" t="str">
        <f>IF($H69&gt;المرجع!$K$3,"متقدم",IF($H69&lt;=المرجع!$K$2,"أولي","جزئي"))</f>
        <v>جزئي</v>
      </c>
    </row>
    <row r="70" spans="1:9">
      <c r="A70" s="15" t="s">
        <v>196</v>
      </c>
      <c r="B70" s="15" t="str">
        <f>IFERROR(INDEX('قائمة الوحدات'!$B$2:$B$41,MATCH($A70,'قائمة الوحدات'!$A$2:$A$41,0)),"")</f>
        <v>MIL</v>
      </c>
      <c r="C70" s="14" t="str">
        <f>IFERROR(INDEX('قائمة الوحدات'!$C$2:$C$41,MATCH($A70,'قائمة الوحدات'!$A$2:$A$41,0)),"")</f>
        <v>الجهاز العسكري</v>
      </c>
      <c r="D70" s="14" t="str">
        <f>IFERROR(INDEX('قائمة الوحدات'!$D$2:$D$41,MATCH($A70,'قائمة الوحدات'!$A$2:$A$41,0)),"")</f>
        <v>قيادة القوات البحرية</v>
      </c>
      <c r="E70" s="14" t="str">
        <f>IFERROR(INDEX('قائمة الوحدات'!$F$2:$F$41,MATCH($A70,'قائمة الوحدات'!$A$2:$A$41,0)),"")</f>
        <v>قيادة القوات البحرية</v>
      </c>
      <c r="F70" s="15" t="s">
        <v>65</v>
      </c>
      <c r="G70" s="14" t="str">
        <f>IFERROR(INDEX(المرجع!$A$2:$A$19,MATCH($F70,المرجع!$B$2:$B$19,0)),"")</f>
        <v>التشغيل</v>
      </c>
      <c r="H70" s="22">
        <f>SUMIFS('تقييم العناصر'!$Q$2:$Q$721,'تقييم العناصر'!$B$2:$B$721,$A70,'تقييم العناصر'!$G$2:$G$721,$F70)</f>
        <v>38.049999999999997</v>
      </c>
      <c r="I70" s="21" t="str">
        <f>IF($H70&gt;المرجع!$K$3,"متقدم",IF($H70&lt;=المرجع!$K$2,"أولي","جزئي"))</f>
        <v>جزئي</v>
      </c>
    </row>
    <row r="71" spans="1:9">
      <c r="A71" s="15" t="s">
        <v>198</v>
      </c>
      <c r="B71" s="15" t="str">
        <f>IFERROR(INDEX('قائمة الوحدات'!$B$2:$B$41,MATCH($A71,'قائمة الوحدات'!$A$2:$A$41,0)),"")</f>
        <v>MIL</v>
      </c>
      <c r="C71" s="14" t="str">
        <f>IFERROR(INDEX('قائمة الوحدات'!$C$2:$C$41,MATCH($A71,'قائمة الوحدات'!$A$2:$A$41,0)),"")</f>
        <v>الجهاز العسكري</v>
      </c>
      <c r="D71" s="14" t="str">
        <f>IFERROR(INDEX('قائمة الوحدات'!$D$2:$D$41,MATCH($A71,'قائمة الوحدات'!$A$2:$A$41,0)),"")</f>
        <v>قيادة قوات الدفاع الجوي</v>
      </c>
      <c r="E71" s="14" t="str">
        <f>IFERROR(INDEX('قائمة الوحدات'!$F$2:$F$41,MATCH($A71,'قائمة الوحدات'!$A$2:$A$41,0)),"")</f>
        <v>قيادة قوات الدفاع الجوي</v>
      </c>
      <c r="F71" s="15" t="s">
        <v>43</v>
      </c>
      <c r="G71" s="14" t="str">
        <f>IFERROR(INDEX(المرجع!$A$2:$A$19,MATCH($F71,المرجع!$B$2:$B$19,0)),"")</f>
        <v>التصميم</v>
      </c>
      <c r="H71" s="22">
        <f>SUMIFS('تقييم العناصر'!$Q$2:$Q$721,'تقييم العناصر'!$B$2:$B$721,$A71,'تقييم العناصر'!$G$2:$G$721,$F71)</f>
        <v>85.4</v>
      </c>
      <c r="I71" s="21" t="str">
        <f>IF($H71&gt;المرجع!$K$3,"متقدم",IF($H71&lt;=المرجع!$K$2,"أولي","جزئي"))</f>
        <v>متقدم</v>
      </c>
    </row>
    <row r="72" spans="1:9">
      <c r="A72" s="15" t="s">
        <v>198</v>
      </c>
      <c r="B72" s="15" t="str">
        <f>IFERROR(INDEX('قائمة الوحدات'!$B$2:$B$41,MATCH($A72,'قائمة الوحدات'!$A$2:$A$41,0)),"")</f>
        <v>MIL</v>
      </c>
      <c r="C72" s="14" t="str">
        <f>IFERROR(INDEX('قائمة الوحدات'!$C$2:$C$41,MATCH($A72,'قائمة الوحدات'!$A$2:$A$41,0)),"")</f>
        <v>الجهاز العسكري</v>
      </c>
      <c r="D72" s="14" t="str">
        <f>IFERROR(INDEX('قائمة الوحدات'!$D$2:$D$41,MATCH($A72,'قائمة الوحدات'!$A$2:$A$41,0)),"")</f>
        <v>قيادة قوات الدفاع الجوي</v>
      </c>
      <c r="E72" s="14" t="str">
        <f>IFERROR(INDEX('قائمة الوحدات'!$F$2:$F$41,MATCH($A72,'قائمة الوحدات'!$A$2:$A$41,0)),"")</f>
        <v>قيادة قوات الدفاع الجوي</v>
      </c>
      <c r="F72" s="15" t="s">
        <v>61</v>
      </c>
      <c r="G72" s="14" t="str">
        <f>IFERROR(INDEX(المرجع!$A$2:$A$19,MATCH($F72,المرجع!$B$2:$B$19,0)),"")</f>
        <v>البناء المؤسسي</v>
      </c>
      <c r="H72" s="22">
        <f>SUMIFS('تقييم العناصر'!$Q$2:$Q$721,'تقييم العناصر'!$B$2:$B$721,$A72,'تقييم العناصر'!$G$2:$G$721,$F72)</f>
        <v>67.900000000000006</v>
      </c>
      <c r="I72" s="21" t="str">
        <f>IF($H72&gt;المرجع!$K$3,"متقدم",IF($H72&lt;=المرجع!$K$2,"أولي","جزئي"))</f>
        <v>جزئي</v>
      </c>
    </row>
    <row r="73" spans="1:9">
      <c r="A73" s="15" t="s">
        <v>198</v>
      </c>
      <c r="B73" s="15" t="str">
        <f>IFERROR(INDEX('قائمة الوحدات'!$B$2:$B$41,MATCH($A73,'قائمة الوحدات'!$A$2:$A$41,0)),"")</f>
        <v>MIL</v>
      </c>
      <c r="C73" s="14" t="str">
        <f>IFERROR(INDEX('قائمة الوحدات'!$C$2:$C$41,MATCH($A73,'قائمة الوحدات'!$A$2:$A$41,0)),"")</f>
        <v>الجهاز العسكري</v>
      </c>
      <c r="D73" s="14" t="str">
        <f>IFERROR(INDEX('قائمة الوحدات'!$D$2:$D$41,MATCH($A73,'قائمة الوحدات'!$A$2:$A$41,0)),"")</f>
        <v>قيادة قوات الدفاع الجوي</v>
      </c>
      <c r="E73" s="14" t="str">
        <f>IFERROR(INDEX('قائمة الوحدات'!$F$2:$F$41,MATCH($A73,'قائمة الوحدات'!$A$2:$A$41,0)),"")</f>
        <v>قيادة قوات الدفاع الجوي</v>
      </c>
      <c r="F73" s="15" t="s">
        <v>65</v>
      </c>
      <c r="G73" s="14" t="str">
        <f>IFERROR(INDEX(المرجع!$A$2:$A$19,MATCH($F73,المرجع!$B$2:$B$19,0)),"")</f>
        <v>التشغيل</v>
      </c>
      <c r="H73" s="22">
        <f>SUMIFS('تقييم العناصر'!$Q$2:$Q$721,'تقييم العناصر'!$B$2:$B$721,$A73,'تقييم العناصر'!$G$2:$G$721,$F73)</f>
        <v>38.349999999999994</v>
      </c>
      <c r="I73" s="21" t="str">
        <f>IF($H73&gt;المرجع!$K$3,"متقدم",IF($H73&lt;=المرجع!$K$2,"أولي","جزئي"))</f>
        <v>جزئي</v>
      </c>
    </row>
    <row r="74" spans="1:9">
      <c r="A74" s="15" t="s">
        <v>200</v>
      </c>
      <c r="B74" s="15" t="str">
        <f>IFERROR(INDEX('قائمة الوحدات'!$B$2:$B$41,MATCH($A74,'قائمة الوحدات'!$A$2:$A$41,0)),"")</f>
        <v>MIL</v>
      </c>
      <c r="C74" s="14" t="str">
        <f>IFERROR(INDEX('قائمة الوحدات'!$C$2:$C$41,MATCH($A74,'قائمة الوحدات'!$A$2:$A$41,0)),"")</f>
        <v>الجهاز العسكري</v>
      </c>
      <c r="D74" s="14" t="str">
        <f>IFERROR(INDEX('قائمة الوحدات'!$D$2:$D$41,MATCH($A74,'قائمة الوحدات'!$A$2:$A$41,0)),"")</f>
        <v>قيادة القوات الاستراتيجية</v>
      </c>
      <c r="E74" s="14" t="str">
        <f>IFERROR(INDEX('قائمة الوحدات'!$F$2:$F$41,MATCH($A74,'قائمة الوحدات'!$A$2:$A$41,0)),"")</f>
        <v>قيادة القوات الاستراتيجية</v>
      </c>
      <c r="F74" s="15" t="s">
        <v>43</v>
      </c>
      <c r="G74" s="14" t="str">
        <f>IFERROR(INDEX(المرجع!$A$2:$A$19,MATCH($F74,المرجع!$B$2:$B$19,0)),"")</f>
        <v>التصميم</v>
      </c>
      <c r="H74" s="22">
        <f>SUMIFS('تقييم العناصر'!$Q$2:$Q$721,'تقييم العناصر'!$B$2:$B$721,$A74,'تقييم العناصر'!$G$2:$G$721,$F74)</f>
        <v>84.75</v>
      </c>
      <c r="I74" s="21" t="str">
        <f>IF($H74&gt;المرجع!$K$3,"متقدم",IF($H74&lt;=المرجع!$K$2,"أولي","جزئي"))</f>
        <v>متقدم</v>
      </c>
    </row>
    <row r="75" spans="1:9">
      <c r="A75" s="15" t="s">
        <v>200</v>
      </c>
      <c r="B75" s="15" t="str">
        <f>IFERROR(INDEX('قائمة الوحدات'!$B$2:$B$41,MATCH($A75,'قائمة الوحدات'!$A$2:$A$41,0)),"")</f>
        <v>MIL</v>
      </c>
      <c r="C75" s="14" t="str">
        <f>IFERROR(INDEX('قائمة الوحدات'!$C$2:$C$41,MATCH($A75,'قائمة الوحدات'!$A$2:$A$41,0)),"")</f>
        <v>الجهاز العسكري</v>
      </c>
      <c r="D75" s="14" t="str">
        <f>IFERROR(INDEX('قائمة الوحدات'!$D$2:$D$41,MATCH($A75,'قائمة الوحدات'!$A$2:$A$41,0)),"")</f>
        <v>قيادة القوات الاستراتيجية</v>
      </c>
      <c r="E75" s="14" t="str">
        <f>IFERROR(INDEX('قائمة الوحدات'!$F$2:$F$41,MATCH($A75,'قائمة الوحدات'!$A$2:$A$41,0)),"")</f>
        <v>قيادة القوات الاستراتيجية</v>
      </c>
      <c r="F75" s="15" t="s">
        <v>61</v>
      </c>
      <c r="G75" s="14" t="str">
        <f>IFERROR(INDEX(المرجع!$A$2:$A$19,MATCH($F75,المرجع!$B$2:$B$19,0)),"")</f>
        <v>البناء المؤسسي</v>
      </c>
      <c r="H75" s="22">
        <f>SUMIFS('تقييم العناصر'!$Q$2:$Q$721,'تقييم العناصر'!$B$2:$B$721,$A75,'تقييم العناصر'!$G$2:$G$721,$F75)</f>
        <v>62.45</v>
      </c>
      <c r="I75" s="21" t="str">
        <f>IF($H75&gt;المرجع!$K$3,"متقدم",IF($H75&lt;=المرجع!$K$2,"أولي","جزئي"))</f>
        <v>جزئي</v>
      </c>
    </row>
    <row r="76" spans="1:9">
      <c r="A76" s="15" t="s">
        <v>200</v>
      </c>
      <c r="B76" s="15" t="str">
        <f>IFERROR(INDEX('قائمة الوحدات'!$B$2:$B$41,MATCH($A76,'قائمة الوحدات'!$A$2:$A$41,0)),"")</f>
        <v>MIL</v>
      </c>
      <c r="C76" s="14" t="str">
        <f>IFERROR(INDEX('قائمة الوحدات'!$C$2:$C$41,MATCH($A76,'قائمة الوحدات'!$A$2:$A$41,0)),"")</f>
        <v>الجهاز العسكري</v>
      </c>
      <c r="D76" s="14" t="str">
        <f>IFERROR(INDEX('قائمة الوحدات'!$D$2:$D$41,MATCH($A76,'قائمة الوحدات'!$A$2:$A$41,0)),"")</f>
        <v>قيادة القوات الاستراتيجية</v>
      </c>
      <c r="E76" s="14" t="str">
        <f>IFERROR(INDEX('قائمة الوحدات'!$F$2:$F$41,MATCH($A76,'قائمة الوحدات'!$A$2:$A$41,0)),"")</f>
        <v>قيادة القوات الاستراتيجية</v>
      </c>
      <c r="F76" s="15" t="s">
        <v>65</v>
      </c>
      <c r="G76" s="14" t="str">
        <f>IFERROR(INDEX(المرجع!$A$2:$A$19,MATCH($F76,المرجع!$B$2:$B$19,0)),"")</f>
        <v>التشغيل</v>
      </c>
      <c r="H76" s="22">
        <f>SUMIFS('تقييم العناصر'!$Q$2:$Q$721,'تقييم العناصر'!$B$2:$B$721,$A76,'تقييم العناصر'!$G$2:$G$721,$F76)</f>
        <v>36.6</v>
      </c>
      <c r="I76" s="21" t="str">
        <f>IF($H76&gt;المرجع!$K$3,"متقدم",IF($H76&lt;=المرجع!$K$2,"أولي","جزئي"))</f>
        <v>جزئي</v>
      </c>
    </row>
    <row r="77" spans="1:9">
      <c r="A77" s="15" t="s">
        <v>202</v>
      </c>
      <c r="B77" s="15" t="str">
        <f>IFERROR(INDEX('قائمة الوحدات'!$B$2:$B$41,MATCH($A77,'قائمة الوحدات'!$A$2:$A$41,0)),"")</f>
        <v>MIL</v>
      </c>
      <c r="C77" s="14" t="str">
        <f>IFERROR(INDEX('قائمة الوحدات'!$C$2:$C$41,MATCH($A77,'قائمة الوحدات'!$A$2:$A$41,0)),"")</f>
        <v>الجهاز العسكري</v>
      </c>
      <c r="D77" s="14" t="str">
        <f>IFERROR(INDEX('قائمة الوحدات'!$D$2:$D$41,MATCH($A77,'قائمة الوحدات'!$A$2:$A$41,0)),"")</f>
        <v>الإدارة العامة للاستخبارات العسكرية</v>
      </c>
      <c r="E77" s="14" t="str">
        <f>IFERROR(INDEX('قائمة الوحدات'!$F$2:$F$41,MATCH($A77,'قائمة الوحدات'!$A$2:$A$41,0)),"")</f>
        <v>الإدارة العامة للاستخبارات العسكرية</v>
      </c>
      <c r="F77" s="15" t="s">
        <v>43</v>
      </c>
      <c r="G77" s="14" t="str">
        <f>IFERROR(INDEX(المرجع!$A$2:$A$19,MATCH($F77,المرجع!$B$2:$B$19,0)),"")</f>
        <v>التصميم</v>
      </c>
      <c r="H77" s="22">
        <f>SUMIFS('تقييم العناصر'!$Q$2:$Q$721,'تقييم العناصر'!$B$2:$B$721,$A77,'تقييم العناصر'!$G$2:$G$721,$F77)</f>
        <v>82.95</v>
      </c>
      <c r="I77" s="21" t="str">
        <f>IF($H77&gt;المرجع!$K$3,"متقدم",IF($H77&lt;=المرجع!$K$2,"أولي","جزئي"))</f>
        <v>متقدم</v>
      </c>
    </row>
    <row r="78" spans="1:9">
      <c r="A78" s="15" t="s">
        <v>202</v>
      </c>
      <c r="B78" s="15" t="str">
        <f>IFERROR(INDEX('قائمة الوحدات'!$B$2:$B$41,MATCH($A78,'قائمة الوحدات'!$A$2:$A$41,0)),"")</f>
        <v>MIL</v>
      </c>
      <c r="C78" s="14" t="str">
        <f>IFERROR(INDEX('قائمة الوحدات'!$C$2:$C$41,MATCH($A78,'قائمة الوحدات'!$A$2:$A$41,0)),"")</f>
        <v>الجهاز العسكري</v>
      </c>
      <c r="D78" s="14" t="str">
        <f>IFERROR(INDEX('قائمة الوحدات'!$D$2:$D$41,MATCH($A78,'قائمة الوحدات'!$A$2:$A$41,0)),"")</f>
        <v>الإدارة العامة للاستخبارات العسكرية</v>
      </c>
      <c r="E78" s="14" t="str">
        <f>IFERROR(INDEX('قائمة الوحدات'!$F$2:$F$41,MATCH($A78,'قائمة الوحدات'!$A$2:$A$41,0)),"")</f>
        <v>الإدارة العامة للاستخبارات العسكرية</v>
      </c>
      <c r="F78" s="15" t="s">
        <v>61</v>
      </c>
      <c r="G78" s="14" t="str">
        <f>IFERROR(INDEX(المرجع!$A$2:$A$19,MATCH($F78,المرجع!$B$2:$B$19,0)),"")</f>
        <v>البناء المؤسسي</v>
      </c>
      <c r="H78" s="22">
        <f>SUMIFS('تقييم العناصر'!$Q$2:$Q$721,'تقييم العناصر'!$B$2:$B$721,$A78,'تقييم العناصر'!$G$2:$G$721,$F78)</f>
        <v>74.199999999999989</v>
      </c>
      <c r="I78" s="21" t="str">
        <f>IF($H78&gt;المرجع!$K$3,"متقدم",IF($H78&lt;=المرجع!$K$2,"أولي","جزئي"))</f>
        <v>متقدم</v>
      </c>
    </row>
    <row r="79" spans="1:9">
      <c r="A79" s="15" t="s">
        <v>202</v>
      </c>
      <c r="B79" s="15" t="str">
        <f>IFERROR(INDEX('قائمة الوحدات'!$B$2:$B$41,MATCH($A79,'قائمة الوحدات'!$A$2:$A$41,0)),"")</f>
        <v>MIL</v>
      </c>
      <c r="C79" s="14" t="str">
        <f>IFERROR(INDEX('قائمة الوحدات'!$C$2:$C$41,MATCH($A79,'قائمة الوحدات'!$A$2:$A$41,0)),"")</f>
        <v>الجهاز العسكري</v>
      </c>
      <c r="D79" s="14" t="str">
        <f>IFERROR(INDEX('قائمة الوحدات'!$D$2:$D$41,MATCH($A79,'قائمة الوحدات'!$A$2:$A$41,0)),"")</f>
        <v>الإدارة العامة للاستخبارات العسكرية</v>
      </c>
      <c r="E79" s="14" t="str">
        <f>IFERROR(INDEX('قائمة الوحدات'!$F$2:$F$41,MATCH($A79,'قائمة الوحدات'!$A$2:$A$41,0)),"")</f>
        <v>الإدارة العامة للاستخبارات العسكرية</v>
      </c>
      <c r="F79" s="15" t="s">
        <v>65</v>
      </c>
      <c r="G79" s="14" t="str">
        <f>IFERROR(INDEX(المرجع!$A$2:$A$19,MATCH($F79,المرجع!$B$2:$B$19,0)),"")</f>
        <v>التشغيل</v>
      </c>
      <c r="H79" s="22">
        <f>SUMIFS('تقييم العناصر'!$Q$2:$Q$721,'تقييم العناصر'!$B$2:$B$721,$A79,'تقييم العناصر'!$G$2:$G$721,$F79)</f>
        <v>37.450000000000003</v>
      </c>
      <c r="I79" s="21" t="str">
        <f>IF($H79&gt;المرجع!$K$3,"متقدم",IF($H79&lt;=المرجع!$K$2,"أولي","جزئي"))</f>
        <v>جزئي</v>
      </c>
    </row>
    <row r="80" spans="1:9">
      <c r="A80" s="15" t="s">
        <v>204</v>
      </c>
      <c r="B80" s="15" t="str">
        <f>IFERROR(INDEX('قائمة الوحدات'!$B$2:$B$41,MATCH($A80,'قائمة الوحدات'!$A$2:$A$41,0)),"")</f>
        <v>MIL</v>
      </c>
      <c r="C80" s="14" t="str">
        <f>IFERROR(INDEX('قائمة الوحدات'!$C$2:$C$41,MATCH($A80,'قائمة الوحدات'!$A$2:$A$41,0)),"")</f>
        <v>الجهاز العسكري</v>
      </c>
      <c r="D80" s="14" t="str">
        <f>IFERROR(INDEX('قائمة الوحدات'!$D$2:$D$41,MATCH($A80,'قائمة الوحدات'!$A$2:$A$41,0)),"")</f>
        <v>الإدارة العامة للعمليات المشتركة</v>
      </c>
      <c r="E80" s="14" t="str">
        <f>IFERROR(INDEX('قائمة الوحدات'!$F$2:$F$41,MATCH($A80,'قائمة الوحدات'!$A$2:$A$41,0)),"")</f>
        <v>الإدارة العامة للعمليات المشتركة</v>
      </c>
      <c r="F80" s="15" t="s">
        <v>43</v>
      </c>
      <c r="G80" s="14" t="str">
        <f>IFERROR(INDEX(المرجع!$A$2:$A$19,MATCH($F80,المرجع!$B$2:$B$19,0)),"")</f>
        <v>التصميم</v>
      </c>
      <c r="H80" s="22">
        <f>SUMIFS('تقييم العناصر'!$Q$2:$Q$721,'تقييم العناصر'!$B$2:$B$721,$A80,'تقييم العناصر'!$G$2:$G$721,$F80)</f>
        <v>80.650000000000006</v>
      </c>
      <c r="I80" s="21" t="str">
        <f>IF($H80&gt;المرجع!$K$3,"متقدم",IF($H80&lt;=المرجع!$K$2,"أولي","جزئي"))</f>
        <v>متقدم</v>
      </c>
    </row>
    <row r="81" spans="1:9">
      <c r="A81" s="15" t="s">
        <v>204</v>
      </c>
      <c r="B81" s="15" t="str">
        <f>IFERROR(INDEX('قائمة الوحدات'!$B$2:$B$41,MATCH($A81,'قائمة الوحدات'!$A$2:$A$41,0)),"")</f>
        <v>MIL</v>
      </c>
      <c r="C81" s="14" t="str">
        <f>IFERROR(INDEX('قائمة الوحدات'!$C$2:$C$41,MATCH($A81,'قائمة الوحدات'!$A$2:$A$41,0)),"")</f>
        <v>الجهاز العسكري</v>
      </c>
      <c r="D81" s="14" t="str">
        <f>IFERROR(INDEX('قائمة الوحدات'!$D$2:$D$41,MATCH($A81,'قائمة الوحدات'!$A$2:$A$41,0)),"")</f>
        <v>الإدارة العامة للعمليات المشتركة</v>
      </c>
      <c r="E81" s="14" t="str">
        <f>IFERROR(INDEX('قائمة الوحدات'!$F$2:$F$41,MATCH($A81,'قائمة الوحدات'!$A$2:$A$41,0)),"")</f>
        <v>الإدارة العامة للعمليات المشتركة</v>
      </c>
      <c r="F81" s="15" t="s">
        <v>61</v>
      </c>
      <c r="G81" s="14" t="str">
        <f>IFERROR(INDEX(المرجع!$A$2:$A$19,MATCH($F81,المرجع!$B$2:$B$19,0)),"")</f>
        <v>البناء المؤسسي</v>
      </c>
      <c r="H81" s="22">
        <f>SUMIFS('تقييم العناصر'!$Q$2:$Q$721,'تقييم العناصر'!$B$2:$B$721,$A81,'تقييم العناصر'!$G$2:$G$721,$F81)</f>
        <v>74.949999999999989</v>
      </c>
      <c r="I81" s="21" t="str">
        <f>IF($H81&gt;المرجع!$K$3,"متقدم",IF($H81&lt;=المرجع!$K$2,"أولي","جزئي"))</f>
        <v>متقدم</v>
      </c>
    </row>
    <row r="82" spans="1:9">
      <c r="A82" s="15" t="s">
        <v>204</v>
      </c>
      <c r="B82" s="15" t="str">
        <f>IFERROR(INDEX('قائمة الوحدات'!$B$2:$B$41,MATCH($A82,'قائمة الوحدات'!$A$2:$A$41,0)),"")</f>
        <v>MIL</v>
      </c>
      <c r="C82" s="14" t="str">
        <f>IFERROR(INDEX('قائمة الوحدات'!$C$2:$C$41,MATCH($A82,'قائمة الوحدات'!$A$2:$A$41,0)),"")</f>
        <v>الجهاز العسكري</v>
      </c>
      <c r="D82" s="14" t="str">
        <f>IFERROR(INDEX('قائمة الوحدات'!$D$2:$D$41,MATCH($A82,'قائمة الوحدات'!$A$2:$A$41,0)),"")</f>
        <v>الإدارة العامة للعمليات المشتركة</v>
      </c>
      <c r="E82" s="14" t="str">
        <f>IFERROR(INDEX('قائمة الوحدات'!$F$2:$F$41,MATCH($A82,'قائمة الوحدات'!$A$2:$A$41,0)),"")</f>
        <v>الإدارة العامة للعمليات المشتركة</v>
      </c>
      <c r="F82" s="15" t="s">
        <v>65</v>
      </c>
      <c r="G82" s="14" t="str">
        <f>IFERROR(INDEX(المرجع!$A$2:$A$19,MATCH($F82,المرجع!$B$2:$B$19,0)),"")</f>
        <v>التشغيل</v>
      </c>
      <c r="H82" s="22">
        <f>SUMIFS('تقييم العناصر'!$Q$2:$Q$721,'تقييم العناصر'!$B$2:$B$721,$A82,'تقييم العناصر'!$G$2:$G$721,$F82)</f>
        <v>42.45</v>
      </c>
      <c r="I82" s="21" t="str">
        <f>IF($H82&gt;المرجع!$K$3,"متقدم",IF($H82&lt;=المرجع!$K$2,"أولي","جزئي"))</f>
        <v>جزئي</v>
      </c>
    </row>
    <row r="83" spans="1:9">
      <c r="A83" s="15" t="s">
        <v>206</v>
      </c>
      <c r="B83" s="15" t="str">
        <f>IFERROR(INDEX('قائمة الوحدات'!$B$2:$B$41,MATCH($A83,'قائمة الوحدات'!$A$2:$A$41,0)),"")</f>
        <v>MIL</v>
      </c>
      <c r="C83" s="14" t="str">
        <f>IFERROR(INDEX('قائمة الوحدات'!$C$2:$C$41,MATCH($A83,'قائمة الوحدات'!$A$2:$A$41,0)),"")</f>
        <v>الجهاز العسكري</v>
      </c>
      <c r="D83" s="14" t="str">
        <f>IFERROR(INDEX('قائمة الوحدات'!$D$2:$D$41,MATCH($A83,'قائمة الوحدات'!$A$2:$A$41,0)),"")</f>
        <v>الإدارة العامة للتخطيط والتنظيم العسكري</v>
      </c>
      <c r="E83" s="14" t="str">
        <f>IFERROR(INDEX('قائمة الوحدات'!$F$2:$F$41,MATCH($A83,'قائمة الوحدات'!$A$2:$A$41,0)),"")</f>
        <v>الإدارة العامة للتخطيط والتنظيم العسكري</v>
      </c>
      <c r="F83" s="15" t="s">
        <v>43</v>
      </c>
      <c r="G83" s="14" t="str">
        <f>IFERROR(INDEX(المرجع!$A$2:$A$19,MATCH($F83,المرجع!$B$2:$B$19,0)),"")</f>
        <v>التصميم</v>
      </c>
      <c r="H83" s="22">
        <f>SUMIFS('تقييم العناصر'!$Q$2:$Q$721,'تقييم العناصر'!$B$2:$B$721,$A83,'تقييم العناصر'!$G$2:$G$721,$F83)</f>
        <v>80.25</v>
      </c>
      <c r="I83" s="21" t="str">
        <f>IF($H83&gt;المرجع!$K$3,"متقدم",IF($H83&lt;=المرجع!$K$2,"أولي","جزئي"))</f>
        <v>متقدم</v>
      </c>
    </row>
    <row r="84" spans="1:9">
      <c r="A84" s="15" t="s">
        <v>206</v>
      </c>
      <c r="B84" s="15" t="str">
        <f>IFERROR(INDEX('قائمة الوحدات'!$B$2:$B$41,MATCH($A84,'قائمة الوحدات'!$A$2:$A$41,0)),"")</f>
        <v>MIL</v>
      </c>
      <c r="C84" s="14" t="str">
        <f>IFERROR(INDEX('قائمة الوحدات'!$C$2:$C$41,MATCH($A84,'قائمة الوحدات'!$A$2:$A$41,0)),"")</f>
        <v>الجهاز العسكري</v>
      </c>
      <c r="D84" s="14" t="str">
        <f>IFERROR(INDEX('قائمة الوحدات'!$D$2:$D$41,MATCH($A84,'قائمة الوحدات'!$A$2:$A$41,0)),"")</f>
        <v>الإدارة العامة للتخطيط والتنظيم العسكري</v>
      </c>
      <c r="E84" s="14" t="str">
        <f>IFERROR(INDEX('قائمة الوحدات'!$F$2:$F$41,MATCH($A84,'قائمة الوحدات'!$A$2:$A$41,0)),"")</f>
        <v>الإدارة العامة للتخطيط والتنظيم العسكري</v>
      </c>
      <c r="F84" s="15" t="s">
        <v>61</v>
      </c>
      <c r="G84" s="14" t="str">
        <f>IFERROR(INDEX(المرجع!$A$2:$A$19,MATCH($F84,المرجع!$B$2:$B$19,0)),"")</f>
        <v>البناء المؤسسي</v>
      </c>
      <c r="H84" s="22">
        <f>SUMIFS('تقييم العناصر'!$Q$2:$Q$721,'تقييم العناصر'!$B$2:$B$721,$A84,'تقييم العناصر'!$G$2:$G$721,$F84)</f>
        <v>60.150000000000006</v>
      </c>
      <c r="I84" s="21" t="str">
        <f>IF($H84&gt;المرجع!$K$3,"متقدم",IF($H84&lt;=المرجع!$K$2,"أولي","جزئي"))</f>
        <v>جزئي</v>
      </c>
    </row>
    <row r="85" spans="1:9">
      <c r="A85" s="15" t="s">
        <v>206</v>
      </c>
      <c r="B85" s="15" t="str">
        <f>IFERROR(INDEX('قائمة الوحدات'!$B$2:$B$41,MATCH($A85,'قائمة الوحدات'!$A$2:$A$41,0)),"")</f>
        <v>MIL</v>
      </c>
      <c r="C85" s="14" t="str">
        <f>IFERROR(INDEX('قائمة الوحدات'!$C$2:$C$41,MATCH($A85,'قائمة الوحدات'!$A$2:$A$41,0)),"")</f>
        <v>الجهاز العسكري</v>
      </c>
      <c r="D85" s="14" t="str">
        <f>IFERROR(INDEX('قائمة الوحدات'!$D$2:$D$41,MATCH($A85,'قائمة الوحدات'!$A$2:$A$41,0)),"")</f>
        <v>الإدارة العامة للتخطيط والتنظيم العسكري</v>
      </c>
      <c r="E85" s="14" t="str">
        <f>IFERROR(INDEX('قائمة الوحدات'!$F$2:$F$41,MATCH($A85,'قائمة الوحدات'!$A$2:$A$41,0)),"")</f>
        <v>الإدارة العامة للتخطيط والتنظيم العسكري</v>
      </c>
      <c r="F85" s="15" t="s">
        <v>65</v>
      </c>
      <c r="G85" s="14" t="str">
        <f>IFERROR(INDEX(المرجع!$A$2:$A$19,MATCH($F85,المرجع!$B$2:$B$19,0)),"")</f>
        <v>التشغيل</v>
      </c>
      <c r="H85" s="22">
        <f>SUMIFS('تقييم العناصر'!$Q$2:$Q$721,'تقييم العناصر'!$B$2:$B$721,$A85,'تقييم العناصر'!$G$2:$G$721,$F85)</f>
        <v>31.6</v>
      </c>
      <c r="I85" s="21" t="str">
        <f>IF($H85&gt;المرجع!$K$3,"متقدم",IF($H85&lt;=المرجع!$K$2,"أولي","جزئي"))</f>
        <v>جزئي</v>
      </c>
    </row>
    <row r="86" spans="1:9">
      <c r="A86" s="15" t="s">
        <v>208</v>
      </c>
      <c r="B86" s="15" t="str">
        <f>IFERROR(INDEX('قائمة الوحدات'!$B$2:$B$41,MATCH($A86,'قائمة الوحدات'!$A$2:$A$41,0)),"")</f>
        <v>MIL</v>
      </c>
      <c r="C86" s="14" t="str">
        <f>IFERROR(INDEX('قائمة الوحدات'!$C$2:$C$41,MATCH($A86,'قائمة الوحدات'!$A$2:$A$41,0)),"")</f>
        <v>الجهاز العسكري</v>
      </c>
      <c r="D86" s="14" t="str">
        <f>IFERROR(INDEX('قائمة الوحدات'!$D$2:$D$41,MATCH($A86,'قائمة الوحدات'!$A$2:$A$41,0)),"")</f>
        <v>الإدارة العامة للإمداد والتموين</v>
      </c>
      <c r="E86" s="14" t="str">
        <f>IFERROR(INDEX('قائمة الوحدات'!$F$2:$F$41,MATCH($A86,'قائمة الوحدات'!$A$2:$A$41,0)),"")</f>
        <v>الإدارة العامة للإمداد والتموين</v>
      </c>
      <c r="F86" s="15" t="s">
        <v>43</v>
      </c>
      <c r="G86" s="14" t="str">
        <f>IFERROR(INDEX(المرجع!$A$2:$A$19,MATCH($F86,المرجع!$B$2:$B$19,0)),"")</f>
        <v>التصميم</v>
      </c>
      <c r="H86" s="22">
        <f>SUMIFS('تقييم العناصر'!$Q$2:$Q$721,'تقييم العناصر'!$B$2:$B$721,$A86,'تقييم العناصر'!$G$2:$G$721,$F86)</f>
        <v>88.75</v>
      </c>
      <c r="I86" s="21" t="str">
        <f>IF($H86&gt;المرجع!$K$3,"متقدم",IF($H86&lt;=المرجع!$K$2,"أولي","جزئي"))</f>
        <v>متقدم</v>
      </c>
    </row>
    <row r="87" spans="1:9">
      <c r="A87" s="15" t="s">
        <v>208</v>
      </c>
      <c r="B87" s="15" t="str">
        <f>IFERROR(INDEX('قائمة الوحدات'!$B$2:$B$41,MATCH($A87,'قائمة الوحدات'!$A$2:$A$41,0)),"")</f>
        <v>MIL</v>
      </c>
      <c r="C87" s="14" t="str">
        <f>IFERROR(INDEX('قائمة الوحدات'!$C$2:$C$41,MATCH($A87,'قائمة الوحدات'!$A$2:$A$41,0)),"")</f>
        <v>الجهاز العسكري</v>
      </c>
      <c r="D87" s="14" t="str">
        <f>IFERROR(INDEX('قائمة الوحدات'!$D$2:$D$41,MATCH($A87,'قائمة الوحدات'!$A$2:$A$41,0)),"")</f>
        <v>الإدارة العامة للإمداد والتموين</v>
      </c>
      <c r="E87" s="14" t="str">
        <f>IFERROR(INDEX('قائمة الوحدات'!$F$2:$F$41,MATCH($A87,'قائمة الوحدات'!$A$2:$A$41,0)),"")</f>
        <v>الإدارة العامة للإمداد والتموين</v>
      </c>
      <c r="F87" s="15" t="s">
        <v>61</v>
      </c>
      <c r="G87" s="14" t="str">
        <f>IFERROR(INDEX(المرجع!$A$2:$A$19,MATCH($F87,المرجع!$B$2:$B$19,0)),"")</f>
        <v>البناء المؤسسي</v>
      </c>
      <c r="H87" s="22">
        <f>SUMIFS('تقييم العناصر'!$Q$2:$Q$721,'تقييم العناصر'!$B$2:$B$721,$A87,'تقييم العناصر'!$G$2:$G$721,$F87)</f>
        <v>66.3</v>
      </c>
      <c r="I87" s="21" t="str">
        <f>IF($H87&gt;المرجع!$K$3,"متقدم",IF($H87&lt;=المرجع!$K$2,"أولي","جزئي"))</f>
        <v>جزئي</v>
      </c>
    </row>
    <row r="88" spans="1:9">
      <c r="A88" s="15" t="s">
        <v>208</v>
      </c>
      <c r="B88" s="15" t="str">
        <f>IFERROR(INDEX('قائمة الوحدات'!$B$2:$B$41,MATCH($A88,'قائمة الوحدات'!$A$2:$A$41,0)),"")</f>
        <v>MIL</v>
      </c>
      <c r="C88" s="14" t="str">
        <f>IFERROR(INDEX('قائمة الوحدات'!$C$2:$C$41,MATCH($A88,'قائمة الوحدات'!$A$2:$A$41,0)),"")</f>
        <v>الجهاز العسكري</v>
      </c>
      <c r="D88" s="14" t="str">
        <f>IFERROR(INDEX('قائمة الوحدات'!$D$2:$D$41,MATCH($A88,'قائمة الوحدات'!$A$2:$A$41,0)),"")</f>
        <v>الإدارة العامة للإمداد والتموين</v>
      </c>
      <c r="E88" s="14" t="str">
        <f>IFERROR(INDEX('قائمة الوحدات'!$F$2:$F$41,MATCH($A88,'قائمة الوحدات'!$A$2:$A$41,0)),"")</f>
        <v>الإدارة العامة للإمداد والتموين</v>
      </c>
      <c r="F88" s="15" t="s">
        <v>65</v>
      </c>
      <c r="G88" s="14" t="str">
        <f>IFERROR(INDEX(المرجع!$A$2:$A$19,MATCH($F88,المرجع!$B$2:$B$19,0)),"")</f>
        <v>التشغيل</v>
      </c>
      <c r="H88" s="22">
        <f>SUMIFS('تقييم العناصر'!$Q$2:$Q$721,'تقييم العناصر'!$B$2:$B$721,$A88,'تقييم العناصر'!$G$2:$G$721,$F88)</f>
        <v>47.1</v>
      </c>
      <c r="I88" s="21" t="str">
        <f>IF($H88&gt;المرجع!$K$3,"متقدم",IF($H88&lt;=المرجع!$K$2,"أولي","جزئي"))</f>
        <v>جزئي</v>
      </c>
    </row>
    <row r="89" spans="1:9">
      <c r="A89" s="15" t="s">
        <v>210</v>
      </c>
      <c r="B89" s="15" t="str">
        <f>IFERROR(INDEX('قائمة الوحدات'!$B$2:$B$41,MATCH($A89,'قائمة الوحدات'!$A$2:$A$41,0)),"")</f>
        <v>MIL</v>
      </c>
      <c r="C89" s="14" t="str">
        <f>IFERROR(INDEX('قائمة الوحدات'!$C$2:$C$41,MATCH($A89,'قائمة الوحدات'!$A$2:$A$41,0)),"")</f>
        <v>الجهاز العسكري</v>
      </c>
      <c r="D89" s="14" t="str">
        <f>IFERROR(INDEX('قائمة الوحدات'!$D$2:$D$41,MATCH($A89,'قائمة الوحدات'!$A$2:$A$41,0)),"")</f>
        <v>الإدارة العامة للاتصالات وتقنية المعلومات العسكرية</v>
      </c>
      <c r="E89" s="14" t="str">
        <f>IFERROR(INDEX('قائمة الوحدات'!$F$2:$F$41,MATCH($A89,'قائمة الوحدات'!$A$2:$A$41,0)),"")</f>
        <v>الإدارة العامة للاتصالات وتقنية المعلومات العسكرية</v>
      </c>
      <c r="F89" s="15" t="s">
        <v>43</v>
      </c>
      <c r="G89" s="14" t="str">
        <f>IFERROR(INDEX(المرجع!$A$2:$A$19,MATCH($F89,المرجع!$B$2:$B$19,0)),"")</f>
        <v>التصميم</v>
      </c>
      <c r="H89" s="22">
        <f>SUMIFS('تقييم العناصر'!$Q$2:$Q$721,'تقييم العناصر'!$B$2:$B$721,$A89,'تقييم العناصر'!$G$2:$G$721,$F89)</f>
        <v>85.5</v>
      </c>
      <c r="I89" s="21" t="str">
        <f>IF($H89&gt;المرجع!$K$3,"متقدم",IF($H89&lt;=المرجع!$K$2,"أولي","جزئي"))</f>
        <v>متقدم</v>
      </c>
    </row>
    <row r="90" spans="1:9">
      <c r="A90" s="15" t="s">
        <v>210</v>
      </c>
      <c r="B90" s="15" t="str">
        <f>IFERROR(INDEX('قائمة الوحدات'!$B$2:$B$41,MATCH($A90,'قائمة الوحدات'!$A$2:$A$41,0)),"")</f>
        <v>MIL</v>
      </c>
      <c r="C90" s="14" t="str">
        <f>IFERROR(INDEX('قائمة الوحدات'!$C$2:$C$41,MATCH($A90,'قائمة الوحدات'!$A$2:$A$41,0)),"")</f>
        <v>الجهاز العسكري</v>
      </c>
      <c r="D90" s="14" t="str">
        <f>IFERROR(INDEX('قائمة الوحدات'!$D$2:$D$41,MATCH($A90,'قائمة الوحدات'!$A$2:$A$41,0)),"")</f>
        <v>الإدارة العامة للاتصالات وتقنية المعلومات العسكرية</v>
      </c>
      <c r="E90" s="14" t="str">
        <f>IFERROR(INDEX('قائمة الوحدات'!$F$2:$F$41,MATCH($A90,'قائمة الوحدات'!$A$2:$A$41,0)),"")</f>
        <v>الإدارة العامة للاتصالات وتقنية المعلومات العسكرية</v>
      </c>
      <c r="F90" s="15" t="s">
        <v>61</v>
      </c>
      <c r="G90" s="14" t="str">
        <f>IFERROR(INDEX(المرجع!$A$2:$A$19,MATCH($F90,المرجع!$B$2:$B$19,0)),"")</f>
        <v>البناء المؤسسي</v>
      </c>
      <c r="H90" s="22">
        <f>SUMIFS('تقييم العناصر'!$Q$2:$Q$721,'تقييم العناصر'!$B$2:$B$721,$A90,'تقييم العناصر'!$G$2:$G$721,$F90)</f>
        <v>69.2</v>
      </c>
      <c r="I90" s="21" t="str">
        <f>IF($H90&gt;المرجع!$K$3,"متقدم",IF($H90&lt;=المرجع!$K$2,"أولي","جزئي"))</f>
        <v>جزئي</v>
      </c>
    </row>
    <row r="91" spans="1:9">
      <c r="A91" s="15" t="s">
        <v>210</v>
      </c>
      <c r="B91" s="15" t="str">
        <f>IFERROR(INDEX('قائمة الوحدات'!$B$2:$B$41,MATCH($A91,'قائمة الوحدات'!$A$2:$A$41,0)),"")</f>
        <v>MIL</v>
      </c>
      <c r="C91" s="14" t="str">
        <f>IFERROR(INDEX('قائمة الوحدات'!$C$2:$C$41,MATCH($A91,'قائمة الوحدات'!$A$2:$A$41,0)),"")</f>
        <v>الجهاز العسكري</v>
      </c>
      <c r="D91" s="14" t="str">
        <f>IFERROR(INDEX('قائمة الوحدات'!$D$2:$D$41,MATCH($A91,'قائمة الوحدات'!$A$2:$A$41,0)),"")</f>
        <v>الإدارة العامة للاتصالات وتقنية المعلومات العسكرية</v>
      </c>
      <c r="E91" s="14" t="str">
        <f>IFERROR(INDEX('قائمة الوحدات'!$F$2:$F$41,MATCH($A91,'قائمة الوحدات'!$A$2:$A$41,0)),"")</f>
        <v>الإدارة العامة للاتصالات وتقنية المعلومات العسكرية</v>
      </c>
      <c r="F91" s="15" t="s">
        <v>65</v>
      </c>
      <c r="G91" s="14" t="str">
        <f>IFERROR(INDEX(المرجع!$A$2:$A$19,MATCH($F91,المرجع!$B$2:$B$19,0)),"")</f>
        <v>التشغيل</v>
      </c>
      <c r="H91" s="22">
        <f>SUMIFS('تقييم العناصر'!$Q$2:$Q$721,'تقييم العناصر'!$B$2:$B$721,$A91,'تقييم العناصر'!$G$2:$G$721,$F91)</f>
        <v>41.45</v>
      </c>
      <c r="I91" s="21" t="str">
        <f>IF($H91&gt;المرجع!$K$3,"متقدم",IF($H91&lt;=المرجع!$K$2,"أولي","جزئي"))</f>
        <v>جزئي</v>
      </c>
    </row>
    <row r="92" spans="1:9">
      <c r="A92" s="15" t="s">
        <v>212</v>
      </c>
      <c r="B92" s="15" t="str">
        <f>IFERROR(INDEX('قائمة الوحدات'!$B$2:$B$41,MATCH($A92,'قائمة الوحدات'!$A$2:$A$41,0)),"")</f>
        <v>MIL</v>
      </c>
      <c r="C92" s="14" t="str">
        <f>IFERROR(INDEX('قائمة الوحدات'!$C$2:$C$41,MATCH($A92,'قائمة الوحدات'!$A$2:$A$41,0)),"")</f>
        <v>الجهاز العسكري</v>
      </c>
      <c r="D92" s="14" t="str">
        <f>IFERROR(INDEX('قائمة الوحدات'!$D$2:$D$41,MATCH($A92,'قائمة الوحدات'!$A$2:$A$41,0)),"")</f>
        <v>الإدارة العامة للشؤون الهندسية العسكرية</v>
      </c>
      <c r="E92" s="14" t="str">
        <f>IFERROR(INDEX('قائمة الوحدات'!$F$2:$F$41,MATCH($A92,'قائمة الوحدات'!$A$2:$A$41,0)),"")</f>
        <v>الإدارة العامة للشؤون الهندسية العسكرية</v>
      </c>
      <c r="F92" s="15" t="s">
        <v>43</v>
      </c>
      <c r="G92" s="14" t="str">
        <f>IFERROR(INDEX(المرجع!$A$2:$A$19,MATCH($F92,المرجع!$B$2:$B$19,0)),"")</f>
        <v>التصميم</v>
      </c>
      <c r="H92" s="22">
        <f>SUMIFS('تقييم العناصر'!$Q$2:$Q$721,'تقييم العناصر'!$B$2:$B$721,$A92,'تقييم العناصر'!$G$2:$G$721,$F92)</f>
        <v>81.350000000000009</v>
      </c>
      <c r="I92" s="21" t="str">
        <f>IF($H92&gt;المرجع!$K$3,"متقدم",IF($H92&lt;=المرجع!$K$2,"أولي","جزئي"))</f>
        <v>متقدم</v>
      </c>
    </row>
    <row r="93" spans="1:9">
      <c r="A93" s="15" t="s">
        <v>212</v>
      </c>
      <c r="B93" s="15" t="str">
        <f>IFERROR(INDEX('قائمة الوحدات'!$B$2:$B$41,MATCH($A93,'قائمة الوحدات'!$A$2:$A$41,0)),"")</f>
        <v>MIL</v>
      </c>
      <c r="C93" s="14" t="str">
        <f>IFERROR(INDEX('قائمة الوحدات'!$C$2:$C$41,MATCH($A93,'قائمة الوحدات'!$A$2:$A$41,0)),"")</f>
        <v>الجهاز العسكري</v>
      </c>
      <c r="D93" s="14" t="str">
        <f>IFERROR(INDEX('قائمة الوحدات'!$D$2:$D$41,MATCH($A93,'قائمة الوحدات'!$A$2:$A$41,0)),"")</f>
        <v>الإدارة العامة للشؤون الهندسية العسكرية</v>
      </c>
      <c r="E93" s="14" t="str">
        <f>IFERROR(INDEX('قائمة الوحدات'!$F$2:$F$41,MATCH($A93,'قائمة الوحدات'!$A$2:$A$41,0)),"")</f>
        <v>الإدارة العامة للشؤون الهندسية العسكرية</v>
      </c>
      <c r="F93" s="15" t="s">
        <v>61</v>
      </c>
      <c r="G93" s="14" t="str">
        <f>IFERROR(INDEX(المرجع!$A$2:$A$19,MATCH($F93,المرجع!$B$2:$B$19,0)),"")</f>
        <v>البناء المؤسسي</v>
      </c>
      <c r="H93" s="22">
        <f>SUMIFS('تقييم العناصر'!$Q$2:$Q$721,'تقييم العناصر'!$B$2:$B$721,$A93,'تقييم العناصر'!$G$2:$G$721,$F93)</f>
        <v>59.550000000000004</v>
      </c>
      <c r="I93" s="21" t="str">
        <f>IF($H93&gt;المرجع!$K$3,"متقدم",IF($H93&lt;=المرجع!$K$2,"أولي","جزئي"))</f>
        <v>جزئي</v>
      </c>
    </row>
    <row r="94" spans="1:9">
      <c r="A94" s="15" t="s">
        <v>212</v>
      </c>
      <c r="B94" s="15" t="str">
        <f>IFERROR(INDEX('قائمة الوحدات'!$B$2:$B$41,MATCH($A94,'قائمة الوحدات'!$A$2:$A$41,0)),"")</f>
        <v>MIL</v>
      </c>
      <c r="C94" s="14" t="str">
        <f>IFERROR(INDEX('قائمة الوحدات'!$C$2:$C$41,MATCH($A94,'قائمة الوحدات'!$A$2:$A$41,0)),"")</f>
        <v>الجهاز العسكري</v>
      </c>
      <c r="D94" s="14" t="str">
        <f>IFERROR(INDEX('قائمة الوحدات'!$D$2:$D$41,MATCH($A94,'قائمة الوحدات'!$A$2:$A$41,0)),"")</f>
        <v>الإدارة العامة للشؤون الهندسية العسكرية</v>
      </c>
      <c r="E94" s="14" t="str">
        <f>IFERROR(INDEX('قائمة الوحدات'!$F$2:$F$41,MATCH($A94,'قائمة الوحدات'!$A$2:$A$41,0)),"")</f>
        <v>الإدارة العامة للشؤون الهندسية العسكرية</v>
      </c>
      <c r="F94" s="15" t="s">
        <v>65</v>
      </c>
      <c r="G94" s="14" t="str">
        <f>IFERROR(INDEX(المرجع!$A$2:$A$19,MATCH($F94,المرجع!$B$2:$B$19,0)),"")</f>
        <v>التشغيل</v>
      </c>
      <c r="H94" s="22">
        <f>SUMIFS('تقييم العناصر'!$Q$2:$Q$721,'تقييم العناصر'!$B$2:$B$721,$A94,'تقييم العناصر'!$G$2:$G$721,$F94)</f>
        <v>37.75</v>
      </c>
      <c r="I94" s="21" t="str">
        <f>IF($H94&gt;المرجع!$K$3,"متقدم",IF($H94&lt;=المرجع!$K$2,"أولي","جزئي"))</f>
        <v>جزئي</v>
      </c>
    </row>
    <row r="95" spans="1:9">
      <c r="A95" s="15" t="s">
        <v>214</v>
      </c>
      <c r="B95" s="15" t="str">
        <f>IFERROR(INDEX('قائمة الوحدات'!$B$2:$B$41,MATCH($A95,'قائمة الوحدات'!$A$2:$A$41,0)),"")</f>
        <v>MIL</v>
      </c>
      <c r="C95" s="14" t="str">
        <f>IFERROR(INDEX('قائمة الوحدات'!$C$2:$C$41,MATCH($A95,'قائمة الوحدات'!$A$2:$A$41,0)),"")</f>
        <v>الجهاز العسكري</v>
      </c>
      <c r="D95" s="14" t="str">
        <f>IFERROR(INDEX('قائمة الوحدات'!$D$2:$D$41,MATCH($A95,'قائمة الوحدات'!$A$2:$A$41,0)),"")</f>
        <v>الإدارة العامة للخدمات الطبية العسكرية</v>
      </c>
      <c r="E95" s="14" t="str">
        <f>IFERROR(INDEX('قائمة الوحدات'!$F$2:$F$41,MATCH($A95,'قائمة الوحدات'!$A$2:$A$41,0)),"")</f>
        <v>الإدارة العامة للخدمات الطبية العسكرية</v>
      </c>
      <c r="F95" s="15" t="s">
        <v>43</v>
      </c>
      <c r="G95" s="14" t="str">
        <f>IFERROR(INDEX(المرجع!$A$2:$A$19,MATCH($F95,المرجع!$B$2:$B$19,0)),"")</f>
        <v>التصميم</v>
      </c>
      <c r="H95" s="22">
        <f>SUMIFS('تقييم العناصر'!$Q$2:$Q$721,'تقييم العناصر'!$B$2:$B$721,$A95,'تقييم العناصر'!$G$2:$G$721,$F95)</f>
        <v>83.6</v>
      </c>
      <c r="I95" s="21" t="str">
        <f>IF($H95&gt;المرجع!$K$3,"متقدم",IF($H95&lt;=المرجع!$K$2,"أولي","جزئي"))</f>
        <v>متقدم</v>
      </c>
    </row>
    <row r="96" spans="1:9">
      <c r="A96" s="15" t="s">
        <v>214</v>
      </c>
      <c r="B96" s="15" t="str">
        <f>IFERROR(INDEX('قائمة الوحدات'!$B$2:$B$41,MATCH($A96,'قائمة الوحدات'!$A$2:$A$41,0)),"")</f>
        <v>MIL</v>
      </c>
      <c r="C96" s="14" t="str">
        <f>IFERROR(INDEX('قائمة الوحدات'!$C$2:$C$41,MATCH($A96,'قائمة الوحدات'!$A$2:$A$41,0)),"")</f>
        <v>الجهاز العسكري</v>
      </c>
      <c r="D96" s="14" t="str">
        <f>IFERROR(INDEX('قائمة الوحدات'!$D$2:$D$41,MATCH($A96,'قائمة الوحدات'!$A$2:$A$41,0)),"")</f>
        <v>الإدارة العامة للخدمات الطبية العسكرية</v>
      </c>
      <c r="E96" s="14" t="str">
        <f>IFERROR(INDEX('قائمة الوحدات'!$F$2:$F$41,MATCH($A96,'قائمة الوحدات'!$A$2:$A$41,0)),"")</f>
        <v>الإدارة العامة للخدمات الطبية العسكرية</v>
      </c>
      <c r="F96" s="15" t="s">
        <v>61</v>
      </c>
      <c r="G96" s="14" t="str">
        <f>IFERROR(INDEX(المرجع!$A$2:$A$19,MATCH($F96,المرجع!$B$2:$B$19,0)),"")</f>
        <v>البناء المؤسسي</v>
      </c>
      <c r="H96" s="22">
        <f>SUMIFS('تقييم العناصر'!$Q$2:$Q$721,'تقييم العناصر'!$B$2:$B$721,$A96,'تقييم العناصر'!$G$2:$G$721,$F96)</f>
        <v>66.349999999999994</v>
      </c>
      <c r="I96" s="21" t="str">
        <f>IF($H96&gt;المرجع!$K$3,"متقدم",IF($H96&lt;=المرجع!$K$2,"أولي","جزئي"))</f>
        <v>جزئي</v>
      </c>
    </row>
    <row r="97" spans="1:9">
      <c r="A97" s="15" t="s">
        <v>214</v>
      </c>
      <c r="B97" s="15" t="str">
        <f>IFERROR(INDEX('قائمة الوحدات'!$B$2:$B$41,MATCH($A97,'قائمة الوحدات'!$A$2:$A$41,0)),"")</f>
        <v>MIL</v>
      </c>
      <c r="C97" s="14" t="str">
        <f>IFERROR(INDEX('قائمة الوحدات'!$C$2:$C$41,MATCH($A97,'قائمة الوحدات'!$A$2:$A$41,0)),"")</f>
        <v>الجهاز العسكري</v>
      </c>
      <c r="D97" s="14" t="str">
        <f>IFERROR(INDEX('قائمة الوحدات'!$D$2:$D$41,MATCH($A97,'قائمة الوحدات'!$A$2:$A$41,0)),"")</f>
        <v>الإدارة العامة للخدمات الطبية العسكرية</v>
      </c>
      <c r="E97" s="14" t="str">
        <f>IFERROR(INDEX('قائمة الوحدات'!$F$2:$F$41,MATCH($A97,'قائمة الوحدات'!$A$2:$A$41,0)),"")</f>
        <v>الإدارة العامة للخدمات الطبية العسكرية</v>
      </c>
      <c r="F97" s="15" t="s">
        <v>65</v>
      </c>
      <c r="G97" s="14" t="str">
        <f>IFERROR(INDEX(المرجع!$A$2:$A$19,MATCH($F97,المرجع!$B$2:$B$19,0)),"")</f>
        <v>التشغيل</v>
      </c>
      <c r="H97" s="22">
        <f>SUMIFS('تقييم العناصر'!$Q$2:$Q$721,'تقييم العناصر'!$B$2:$B$721,$A97,'تقييم العناصر'!$G$2:$G$721,$F97)</f>
        <v>51.3</v>
      </c>
      <c r="I97" s="21" t="str">
        <f>IF($H97&gt;المرجع!$K$3,"متقدم",IF($H97&lt;=المرجع!$K$2,"أولي","جزئي"))</f>
        <v>جزئي</v>
      </c>
    </row>
    <row r="98" spans="1:9">
      <c r="A98" s="15" t="s">
        <v>216</v>
      </c>
      <c r="B98" s="15" t="str">
        <f>IFERROR(INDEX('قائمة الوحدات'!$B$2:$B$41,MATCH($A98,'قائمة الوحدات'!$A$2:$A$41,0)),"")</f>
        <v>MIL</v>
      </c>
      <c r="C98" s="14" t="str">
        <f>IFERROR(INDEX('قائمة الوحدات'!$C$2:$C$41,MATCH($A98,'قائمة الوحدات'!$A$2:$A$41,0)),"")</f>
        <v>الجهاز العسكري</v>
      </c>
      <c r="D98" s="14" t="str">
        <f>IFERROR(INDEX('قائمة الوحدات'!$D$2:$D$41,MATCH($A98,'قائمة الوحدات'!$A$2:$A$41,0)),"")</f>
        <v>الإدارة العامة للقوى البشرية العسكرية</v>
      </c>
      <c r="E98" s="14" t="str">
        <f>IFERROR(INDEX('قائمة الوحدات'!$F$2:$F$41,MATCH($A98,'قائمة الوحدات'!$A$2:$A$41,0)),"")</f>
        <v>الإدارة العامة للقوى البشرية العسكرية</v>
      </c>
      <c r="F98" s="15" t="s">
        <v>43</v>
      </c>
      <c r="G98" s="14" t="str">
        <f>IFERROR(INDEX(المرجع!$A$2:$A$19,MATCH($F98,المرجع!$B$2:$B$19,0)),"")</f>
        <v>التصميم</v>
      </c>
      <c r="H98" s="22">
        <f>SUMIFS('تقييم العناصر'!$Q$2:$Q$721,'تقييم العناصر'!$B$2:$B$721,$A98,'تقييم العناصر'!$G$2:$G$721,$F98)</f>
        <v>83.2</v>
      </c>
      <c r="I98" s="21" t="str">
        <f>IF($H98&gt;المرجع!$K$3,"متقدم",IF($H98&lt;=المرجع!$K$2,"أولي","جزئي"))</f>
        <v>متقدم</v>
      </c>
    </row>
    <row r="99" spans="1:9">
      <c r="A99" s="15" t="s">
        <v>216</v>
      </c>
      <c r="B99" s="15" t="str">
        <f>IFERROR(INDEX('قائمة الوحدات'!$B$2:$B$41,MATCH($A99,'قائمة الوحدات'!$A$2:$A$41,0)),"")</f>
        <v>MIL</v>
      </c>
      <c r="C99" s="14" t="str">
        <f>IFERROR(INDEX('قائمة الوحدات'!$C$2:$C$41,MATCH($A99,'قائمة الوحدات'!$A$2:$A$41,0)),"")</f>
        <v>الجهاز العسكري</v>
      </c>
      <c r="D99" s="14" t="str">
        <f>IFERROR(INDEX('قائمة الوحدات'!$D$2:$D$41,MATCH($A99,'قائمة الوحدات'!$A$2:$A$41,0)),"")</f>
        <v>الإدارة العامة للقوى البشرية العسكرية</v>
      </c>
      <c r="E99" s="14" t="str">
        <f>IFERROR(INDEX('قائمة الوحدات'!$F$2:$F$41,MATCH($A99,'قائمة الوحدات'!$A$2:$A$41,0)),"")</f>
        <v>الإدارة العامة للقوى البشرية العسكرية</v>
      </c>
      <c r="F99" s="15" t="s">
        <v>61</v>
      </c>
      <c r="G99" s="14" t="str">
        <f>IFERROR(INDEX(المرجع!$A$2:$A$19,MATCH($F99,المرجع!$B$2:$B$19,0)),"")</f>
        <v>البناء المؤسسي</v>
      </c>
      <c r="H99" s="22">
        <f>SUMIFS('تقييم العناصر'!$Q$2:$Q$721,'تقييم العناصر'!$B$2:$B$721,$A99,'تقييم العناصر'!$G$2:$G$721,$F99)</f>
        <v>55.65</v>
      </c>
      <c r="I99" s="21" t="str">
        <f>IF($H99&gt;المرجع!$K$3,"متقدم",IF($H99&lt;=المرجع!$K$2,"أولي","جزئي"))</f>
        <v>جزئي</v>
      </c>
    </row>
    <row r="100" spans="1:9">
      <c r="A100" s="15" t="s">
        <v>216</v>
      </c>
      <c r="B100" s="15" t="str">
        <f>IFERROR(INDEX('قائمة الوحدات'!$B$2:$B$41,MATCH($A100,'قائمة الوحدات'!$A$2:$A$41,0)),"")</f>
        <v>MIL</v>
      </c>
      <c r="C100" s="14" t="str">
        <f>IFERROR(INDEX('قائمة الوحدات'!$C$2:$C$41,MATCH($A100,'قائمة الوحدات'!$A$2:$A$41,0)),"")</f>
        <v>الجهاز العسكري</v>
      </c>
      <c r="D100" s="14" t="str">
        <f>IFERROR(INDEX('قائمة الوحدات'!$D$2:$D$41,MATCH($A100,'قائمة الوحدات'!$A$2:$A$41,0)),"")</f>
        <v>الإدارة العامة للقوى البشرية العسكرية</v>
      </c>
      <c r="E100" s="14" t="str">
        <f>IFERROR(INDEX('قائمة الوحدات'!$F$2:$F$41,MATCH($A100,'قائمة الوحدات'!$A$2:$A$41,0)),"")</f>
        <v>الإدارة العامة للقوى البشرية العسكرية</v>
      </c>
      <c r="F100" s="15" t="s">
        <v>65</v>
      </c>
      <c r="G100" s="14" t="str">
        <f>IFERROR(INDEX(المرجع!$A$2:$A$19,MATCH($F100,المرجع!$B$2:$B$19,0)),"")</f>
        <v>التشغيل</v>
      </c>
      <c r="H100" s="22">
        <f>SUMIFS('تقييم العناصر'!$Q$2:$Q$721,'تقييم العناصر'!$B$2:$B$721,$A100,'تقييم العناصر'!$G$2:$G$721,$F100)</f>
        <v>49.25</v>
      </c>
      <c r="I100" s="21" t="str">
        <f>IF($H100&gt;المرجع!$K$3,"متقدم",IF($H100&lt;=المرجع!$K$2,"أولي","جزئي"))</f>
        <v>جزئي</v>
      </c>
    </row>
    <row r="101" spans="1:9">
      <c r="A101" s="15" t="s">
        <v>218</v>
      </c>
      <c r="B101" s="15" t="str">
        <f>IFERROR(INDEX('قائمة الوحدات'!$B$2:$B$41,MATCH($A101,'قائمة الوحدات'!$A$2:$A$41,0)),"")</f>
        <v>MIL</v>
      </c>
      <c r="C101" s="14" t="str">
        <f>IFERROR(INDEX('قائمة الوحدات'!$C$2:$C$41,MATCH($A101,'قائمة الوحدات'!$A$2:$A$41,0)),"")</f>
        <v>الجهاز العسكري</v>
      </c>
      <c r="D101" s="14" t="str">
        <f>IFERROR(INDEX('قائمة الوحدات'!$D$2:$D$41,MATCH($A101,'قائمة الوحدات'!$A$2:$A$41,0)),"")</f>
        <v>الإدارة العامة للتدريب والتأهيل العسكري</v>
      </c>
      <c r="E101" s="14" t="str">
        <f>IFERROR(INDEX('قائمة الوحدات'!$F$2:$F$41,MATCH($A101,'قائمة الوحدات'!$A$2:$A$41,0)),"")</f>
        <v>الإدارة العامة للتدريب والتأهيل العسكري</v>
      </c>
      <c r="F101" s="15" t="s">
        <v>43</v>
      </c>
      <c r="G101" s="14" t="str">
        <f>IFERROR(INDEX(المرجع!$A$2:$A$19,MATCH($F101,المرجع!$B$2:$B$19,0)),"")</f>
        <v>التصميم</v>
      </c>
      <c r="H101" s="22">
        <f>SUMIFS('تقييم العناصر'!$Q$2:$Q$721,'تقييم العناصر'!$B$2:$B$721,$A101,'تقييم العناصر'!$G$2:$G$721,$F101)</f>
        <v>90.55</v>
      </c>
      <c r="I101" s="21" t="str">
        <f>IF($H101&gt;المرجع!$K$3,"متقدم",IF($H101&lt;=المرجع!$K$2,"أولي","جزئي"))</f>
        <v>متقدم</v>
      </c>
    </row>
    <row r="102" spans="1:9">
      <c r="A102" s="15" t="s">
        <v>218</v>
      </c>
      <c r="B102" s="15" t="str">
        <f>IFERROR(INDEX('قائمة الوحدات'!$B$2:$B$41,MATCH($A102,'قائمة الوحدات'!$A$2:$A$41,0)),"")</f>
        <v>MIL</v>
      </c>
      <c r="C102" s="14" t="str">
        <f>IFERROR(INDEX('قائمة الوحدات'!$C$2:$C$41,MATCH($A102,'قائمة الوحدات'!$A$2:$A$41,0)),"")</f>
        <v>الجهاز العسكري</v>
      </c>
      <c r="D102" s="14" t="str">
        <f>IFERROR(INDEX('قائمة الوحدات'!$D$2:$D$41,MATCH($A102,'قائمة الوحدات'!$A$2:$A$41,0)),"")</f>
        <v>الإدارة العامة للتدريب والتأهيل العسكري</v>
      </c>
      <c r="E102" s="14" t="str">
        <f>IFERROR(INDEX('قائمة الوحدات'!$F$2:$F$41,MATCH($A102,'قائمة الوحدات'!$A$2:$A$41,0)),"")</f>
        <v>الإدارة العامة للتدريب والتأهيل العسكري</v>
      </c>
      <c r="F102" s="15" t="s">
        <v>61</v>
      </c>
      <c r="G102" s="14" t="str">
        <f>IFERROR(INDEX(المرجع!$A$2:$A$19,MATCH($F102,المرجع!$B$2:$B$19,0)),"")</f>
        <v>البناء المؤسسي</v>
      </c>
      <c r="H102" s="22">
        <f>SUMIFS('تقييم العناصر'!$Q$2:$Q$721,'تقييم العناصر'!$B$2:$B$721,$A102,'تقييم العناصر'!$G$2:$G$721,$F102)</f>
        <v>69.750000000000014</v>
      </c>
      <c r="I102" s="21" t="str">
        <f>IF($H102&gt;المرجع!$K$3,"متقدم",IF($H102&lt;=المرجع!$K$2,"أولي","جزئي"))</f>
        <v>جزئي</v>
      </c>
    </row>
    <row r="103" spans="1:9">
      <c r="A103" s="15" t="s">
        <v>218</v>
      </c>
      <c r="B103" s="15" t="str">
        <f>IFERROR(INDEX('قائمة الوحدات'!$B$2:$B$41,MATCH($A103,'قائمة الوحدات'!$A$2:$A$41,0)),"")</f>
        <v>MIL</v>
      </c>
      <c r="C103" s="14" t="str">
        <f>IFERROR(INDEX('قائمة الوحدات'!$C$2:$C$41,MATCH($A103,'قائمة الوحدات'!$A$2:$A$41,0)),"")</f>
        <v>الجهاز العسكري</v>
      </c>
      <c r="D103" s="14" t="str">
        <f>IFERROR(INDEX('قائمة الوحدات'!$D$2:$D$41,MATCH($A103,'قائمة الوحدات'!$A$2:$A$41,0)),"")</f>
        <v>الإدارة العامة للتدريب والتأهيل العسكري</v>
      </c>
      <c r="E103" s="14" t="str">
        <f>IFERROR(INDEX('قائمة الوحدات'!$F$2:$F$41,MATCH($A103,'قائمة الوحدات'!$A$2:$A$41,0)),"")</f>
        <v>الإدارة العامة للتدريب والتأهيل العسكري</v>
      </c>
      <c r="F103" s="15" t="s">
        <v>65</v>
      </c>
      <c r="G103" s="14" t="str">
        <f>IFERROR(INDEX(المرجع!$A$2:$A$19,MATCH($F103,المرجع!$B$2:$B$19,0)),"")</f>
        <v>التشغيل</v>
      </c>
      <c r="H103" s="22">
        <f>SUMIFS('تقييم العناصر'!$Q$2:$Q$721,'تقييم العناصر'!$B$2:$B$721,$A103,'تقييم العناصر'!$G$2:$G$721,$F103)</f>
        <v>41.8</v>
      </c>
      <c r="I103" s="21" t="str">
        <f>IF($H103&gt;المرجع!$K$3,"متقدم",IF($H103&lt;=المرجع!$K$2,"أولي","جزئي"))</f>
        <v>جزئي</v>
      </c>
    </row>
    <row r="104" spans="1:9">
      <c r="A104" s="15" t="s">
        <v>220</v>
      </c>
      <c r="B104" s="15" t="str">
        <f>IFERROR(INDEX('قائمة الوحدات'!$B$2:$B$41,MATCH($A104,'قائمة الوحدات'!$A$2:$A$41,0)),"")</f>
        <v>MIL</v>
      </c>
      <c r="C104" s="14" t="str">
        <f>IFERROR(INDEX('قائمة الوحدات'!$C$2:$C$41,MATCH($A104,'قائمة الوحدات'!$A$2:$A$41,0)),"")</f>
        <v>الجهاز العسكري</v>
      </c>
      <c r="D104" s="14" t="str">
        <f>IFERROR(INDEX('قائمة الوحدات'!$D$2:$D$41,MATCH($A104,'قائمة الوحدات'!$A$2:$A$41,0)),"")</f>
        <v>الإدارة العامة للتسليح والعتاد</v>
      </c>
      <c r="E104" s="14" t="str">
        <f>IFERROR(INDEX('قائمة الوحدات'!$F$2:$F$41,MATCH($A104,'قائمة الوحدات'!$A$2:$A$41,0)),"")</f>
        <v>الإدارة العامة للتسليح والعتاد</v>
      </c>
      <c r="F104" s="15" t="s">
        <v>43</v>
      </c>
      <c r="G104" s="14" t="str">
        <f>IFERROR(INDEX(المرجع!$A$2:$A$19,MATCH($F104,المرجع!$B$2:$B$19,0)),"")</f>
        <v>التصميم</v>
      </c>
      <c r="H104" s="22">
        <f>SUMIFS('تقييم العناصر'!$Q$2:$Q$721,'تقييم العناصر'!$B$2:$B$721,$A104,'تقييم العناصر'!$G$2:$G$721,$F104)</f>
        <v>82.3</v>
      </c>
      <c r="I104" s="21" t="str">
        <f>IF($H104&gt;المرجع!$K$3,"متقدم",IF($H104&lt;=المرجع!$K$2,"أولي","جزئي"))</f>
        <v>متقدم</v>
      </c>
    </row>
    <row r="105" spans="1:9">
      <c r="A105" s="15" t="s">
        <v>220</v>
      </c>
      <c r="B105" s="15" t="str">
        <f>IFERROR(INDEX('قائمة الوحدات'!$B$2:$B$41,MATCH($A105,'قائمة الوحدات'!$A$2:$A$41,0)),"")</f>
        <v>MIL</v>
      </c>
      <c r="C105" s="14" t="str">
        <f>IFERROR(INDEX('قائمة الوحدات'!$C$2:$C$41,MATCH($A105,'قائمة الوحدات'!$A$2:$A$41,0)),"")</f>
        <v>الجهاز العسكري</v>
      </c>
      <c r="D105" s="14" t="str">
        <f>IFERROR(INDEX('قائمة الوحدات'!$D$2:$D$41,MATCH($A105,'قائمة الوحدات'!$A$2:$A$41,0)),"")</f>
        <v>الإدارة العامة للتسليح والعتاد</v>
      </c>
      <c r="E105" s="14" t="str">
        <f>IFERROR(INDEX('قائمة الوحدات'!$F$2:$F$41,MATCH($A105,'قائمة الوحدات'!$A$2:$A$41,0)),"")</f>
        <v>الإدارة العامة للتسليح والعتاد</v>
      </c>
      <c r="F105" s="15" t="s">
        <v>61</v>
      </c>
      <c r="G105" s="14" t="str">
        <f>IFERROR(INDEX(المرجع!$A$2:$A$19,MATCH($F105,المرجع!$B$2:$B$19,0)),"")</f>
        <v>البناء المؤسسي</v>
      </c>
      <c r="H105" s="22">
        <f>SUMIFS('تقييم العناصر'!$Q$2:$Q$721,'تقييم العناصر'!$B$2:$B$721,$A105,'تقييم العناصر'!$G$2:$G$721,$F105)</f>
        <v>69.049999999999983</v>
      </c>
      <c r="I105" s="21" t="str">
        <f>IF($H105&gt;المرجع!$K$3,"متقدم",IF($H105&lt;=المرجع!$K$2,"أولي","جزئي"))</f>
        <v>جزئي</v>
      </c>
    </row>
    <row r="106" spans="1:9">
      <c r="A106" s="15" t="s">
        <v>220</v>
      </c>
      <c r="B106" s="15" t="str">
        <f>IFERROR(INDEX('قائمة الوحدات'!$B$2:$B$41,MATCH($A106,'قائمة الوحدات'!$A$2:$A$41,0)),"")</f>
        <v>MIL</v>
      </c>
      <c r="C106" s="14" t="str">
        <f>IFERROR(INDEX('قائمة الوحدات'!$C$2:$C$41,MATCH($A106,'قائمة الوحدات'!$A$2:$A$41,0)),"")</f>
        <v>الجهاز العسكري</v>
      </c>
      <c r="D106" s="14" t="str">
        <f>IFERROR(INDEX('قائمة الوحدات'!$D$2:$D$41,MATCH($A106,'قائمة الوحدات'!$A$2:$A$41,0)),"")</f>
        <v>الإدارة العامة للتسليح والعتاد</v>
      </c>
      <c r="E106" s="14" t="str">
        <f>IFERROR(INDEX('قائمة الوحدات'!$F$2:$F$41,MATCH($A106,'قائمة الوحدات'!$A$2:$A$41,0)),"")</f>
        <v>الإدارة العامة للتسليح والعتاد</v>
      </c>
      <c r="F106" s="15" t="s">
        <v>65</v>
      </c>
      <c r="G106" s="14" t="str">
        <f>IFERROR(INDEX(المرجع!$A$2:$A$19,MATCH($F106,المرجع!$B$2:$B$19,0)),"")</f>
        <v>التشغيل</v>
      </c>
      <c r="H106" s="22">
        <f>SUMIFS('تقييم العناصر'!$Q$2:$Q$721,'تقييم العناصر'!$B$2:$B$721,$A106,'تقييم العناصر'!$G$2:$G$721,$F106)</f>
        <v>36.75</v>
      </c>
      <c r="I106" s="21" t="str">
        <f>IF($H106&gt;المرجع!$K$3,"متقدم",IF($H106&lt;=المرجع!$K$2,"أولي","جزئي"))</f>
        <v>جزئي</v>
      </c>
    </row>
    <row r="107" spans="1:9">
      <c r="A107" s="15" t="s">
        <v>222</v>
      </c>
      <c r="B107" s="15" t="str">
        <f>IFERROR(INDEX('قائمة الوحدات'!$B$2:$B$41,MATCH($A107,'قائمة الوحدات'!$A$2:$A$41,0)),"")</f>
        <v>MIL</v>
      </c>
      <c r="C107" s="14" t="str">
        <f>IFERROR(INDEX('قائمة الوحدات'!$C$2:$C$41,MATCH($A107,'قائمة الوحدات'!$A$2:$A$41,0)),"")</f>
        <v>الجهاز العسكري</v>
      </c>
      <c r="D107" s="14" t="str">
        <f>IFERROR(INDEX('قائمة الوحدات'!$D$2:$D$41,MATCH($A107,'قائمة الوحدات'!$A$2:$A$41,0)),"")</f>
        <v>الإدارة العامة للقضاء العسكري</v>
      </c>
      <c r="E107" s="14" t="str">
        <f>IFERROR(INDEX('قائمة الوحدات'!$F$2:$F$41,MATCH($A107,'قائمة الوحدات'!$A$2:$A$41,0)),"")</f>
        <v>الإدارة العامة للقضاء العسكري</v>
      </c>
      <c r="F107" s="15" t="s">
        <v>43</v>
      </c>
      <c r="G107" s="14" t="str">
        <f>IFERROR(INDEX(المرجع!$A$2:$A$19,MATCH($F107,المرجع!$B$2:$B$19,0)),"")</f>
        <v>التصميم</v>
      </c>
      <c r="H107" s="22">
        <f>SUMIFS('تقييم العناصر'!$Q$2:$Q$721,'تقييم العناصر'!$B$2:$B$721,$A107,'تقييم العناصر'!$G$2:$G$721,$F107)</f>
        <v>87.3</v>
      </c>
      <c r="I107" s="21" t="str">
        <f>IF($H107&gt;المرجع!$K$3,"متقدم",IF($H107&lt;=المرجع!$K$2,"أولي","جزئي"))</f>
        <v>متقدم</v>
      </c>
    </row>
    <row r="108" spans="1:9">
      <c r="A108" s="15" t="s">
        <v>222</v>
      </c>
      <c r="B108" s="15" t="str">
        <f>IFERROR(INDEX('قائمة الوحدات'!$B$2:$B$41,MATCH($A108,'قائمة الوحدات'!$A$2:$A$41,0)),"")</f>
        <v>MIL</v>
      </c>
      <c r="C108" s="14" t="str">
        <f>IFERROR(INDEX('قائمة الوحدات'!$C$2:$C$41,MATCH($A108,'قائمة الوحدات'!$A$2:$A$41,0)),"")</f>
        <v>الجهاز العسكري</v>
      </c>
      <c r="D108" s="14" t="str">
        <f>IFERROR(INDEX('قائمة الوحدات'!$D$2:$D$41,MATCH($A108,'قائمة الوحدات'!$A$2:$A$41,0)),"")</f>
        <v>الإدارة العامة للقضاء العسكري</v>
      </c>
      <c r="E108" s="14" t="str">
        <f>IFERROR(INDEX('قائمة الوحدات'!$F$2:$F$41,MATCH($A108,'قائمة الوحدات'!$A$2:$A$41,0)),"")</f>
        <v>الإدارة العامة للقضاء العسكري</v>
      </c>
      <c r="F108" s="15" t="s">
        <v>61</v>
      </c>
      <c r="G108" s="14" t="str">
        <f>IFERROR(INDEX(المرجع!$A$2:$A$19,MATCH($F108,المرجع!$B$2:$B$19,0)),"")</f>
        <v>البناء المؤسسي</v>
      </c>
      <c r="H108" s="22">
        <f>SUMIFS('تقييم العناصر'!$Q$2:$Q$721,'تقييم العناصر'!$B$2:$B$721,$A108,'تقييم العناصر'!$G$2:$G$721,$F108)</f>
        <v>63.5</v>
      </c>
      <c r="I108" s="21" t="str">
        <f>IF($H108&gt;المرجع!$K$3,"متقدم",IF($H108&lt;=المرجع!$K$2,"أولي","جزئي"))</f>
        <v>جزئي</v>
      </c>
    </row>
    <row r="109" spans="1:9">
      <c r="A109" s="15" t="s">
        <v>222</v>
      </c>
      <c r="B109" s="15" t="str">
        <f>IFERROR(INDEX('قائمة الوحدات'!$B$2:$B$41,MATCH($A109,'قائمة الوحدات'!$A$2:$A$41,0)),"")</f>
        <v>MIL</v>
      </c>
      <c r="C109" s="14" t="str">
        <f>IFERROR(INDEX('قائمة الوحدات'!$C$2:$C$41,MATCH($A109,'قائمة الوحدات'!$A$2:$A$41,0)),"")</f>
        <v>الجهاز العسكري</v>
      </c>
      <c r="D109" s="14" t="str">
        <f>IFERROR(INDEX('قائمة الوحدات'!$D$2:$D$41,MATCH($A109,'قائمة الوحدات'!$A$2:$A$41,0)),"")</f>
        <v>الإدارة العامة للقضاء العسكري</v>
      </c>
      <c r="E109" s="14" t="str">
        <f>IFERROR(INDEX('قائمة الوحدات'!$F$2:$F$41,MATCH($A109,'قائمة الوحدات'!$A$2:$A$41,0)),"")</f>
        <v>الإدارة العامة للقضاء العسكري</v>
      </c>
      <c r="F109" s="15" t="s">
        <v>65</v>
      </c>
      <c r="G109" s="14" t="str">
        <f>IFERROR(INDEX(المرجع!$A$2:$A$19,MATCH($F109,المرجع!$B$2:$B$19,0)),"")</f>
        <v>التشغيل</v>
      </c>
      <c r="H109" s="22">
        <f>SUMIFS('تقييم العناصر'!$Q$2:$Q$721,'تقييم العناصر'!$B$2:$B$721,$A109,'تقييم العناصر'!$G$2:$G$721,$F109)</f>
        <v>32.1</v>
      </c>
      <c r="I109" s="21" t="str">
        <f>IF($H109&gt;المرجع!$K$3,"متقدم",IF($H109&lt;=المرجع!$K$2,"أولي","جزئي"))</f>
        <v>جزئي</v>
      </c>
    </row>
    <row r="110" spans="1:9">
      <c r="A110" s="15" t="s">
        <v>224</v>
      </c>
      <c r="B110" s="15" t="str">
        <f>IFERROR(INDEX('قائمة الوحدات'!$B$2:$B$41,MATCH($A110,'قائمة الوحدات'!$A$2:$A$41,0)),"")</f>
        <v>MIL</v>
      </c>
      <c r="C110" s="14" t="str">
        <f>IFERROR(INDEX('قائمة الوحدات'!$C$2:$C$41,MATCH($A110,'قائمة الوحدات'!$A$2:$A$41,0)),"")</f>
        <v>الجهاز العسكري</v>
      </c>
      <c r="D110" s="14" t="str">
        <f>IFERROR(INDEX('قائمة الوحدات'!$D$2:$D$41,MATCH($A110,'قائمة الوحدات'!$A$2:$A$41,0)),"")</f>
        <v>الإدارة العامة للأمن العسكري</v>
      </c>
      <c r="E110" s="14" t="str">
        <f>IFERROR(INDEX('قائمة الوحدات'!$F$2:$F$41,MATCH($A110,'قائمة الوحدات'!$A$2:$A$41,0)),"")</f>
        <v>الإدارة العامة للأمن العسكري</v>
      </c>
      <c r="F110" s="15" t="s">
        <v>43</v>
      </c>
      <c r="G110" s="14" t="str">
        <f>IFERROR(INDEX(المرجع!$A$2:$A$19,MATCH($F110,المرجع!$B$2:$B$19,0)),"")</f>
        <v>التصميم</v>
      </c>
      <c r="H110" s="22">
        <f>SUMIFS('تقييم العناصر'!$Q$2:$Q$721,'تقييم العناصر'!$B$2:$B$721,$A110,'تقييم العناصر'!$G$2:$G$721,$F110)</f>
        <v>84.7</v>
      </c>
      <c r="I110" s="21" t="str">
        <f>IF($H110&gt;المرجع!$K$3,"متقدم",IF($H110&lt;=المرجع!$K$2,"أولي","جزئي"))</f>
        <v>متقدم</v>
      </c>
    </row>
    <row r="111" spans="1:9">
      <c r="A111" s="15" t="s">
        <v>224</v>
      </c>
      <c r="B111" s="15" t="str">
        <f>IFERROR(INDEX('قائمة الوحدات'!$B$2:$B$41,MATCH($A111,'قائمة الوحدات'!$A$2:$A$41,0)),"")</f>
        <v>MIL</v>
      </c>
      <c r="C111" s="14" t="str">
        <f>IFERROR(INDEX('قائمة الوحدات'!$C$2:$C$41,MATCH($A111,'قائمة الوحدات'!$A$2:$A$41,0)),"")</f>
        <v>الجهاز العسكري</v>
      </c>
      <c r="D111" s="14" t="str">
        <f>IFERROR(INDEX('قائمة الوحدات'!$D$2:$D$41,MATCH($A111,'قائمة الوحدات'!$A$2:$A$41,0)),"")</f>
        <v>الإدارة العامة للأمن العسكري</v>
      </c>
      <c r="E111" s="14" t="str">
        <f>IFERROR(INDEX('قائمة الوحدات'!$F$2:$F$41,MATCH($A111,'قائمة الوحدات'!$A$2:$A$41,0)),"")</f>
        <v>الإدارة العامة للأمن العسكري</v>
      </c>
      <c r="F111" s="15" t="s">
        <v>61</v>
      </c>
      <c r="G111" s="14" t="str">
        <f>IFERROR(INDEX(المرجع!$A$2:$A$19,MATCH($F111,المرجع!$B$2:$B$19,0)),"")</f>
        <v>البناء المؤسسي</v>
      </c>
      <c r="H111" s="22">
        <f>SUMIFS('تقييم العناصر'!$Q$2:$Q$721,'تقييم العناصر'!$B$2:$B$721,$A111,'تقييم العناصر'!$G$2:$G$721,$F111)</f>
        <v>65.099999999999994</v>
      </c>
      <c r="I111" s="21" t="str">
        <f>IF($H111&gt;المرجع!$K$3,"متقدم",IF($H111&lt;=المرجع!$K$2,"أولي","جزئي"))</f>
        <v>جزئي</v>
      </c>
    </row>
    <row r="112" spans="1:9">
      <c r="A112" s="15" t="s">
        <v>224</v>
      </c>
      <c r="B112" s="15" t="str">
        <f>IFERROR(INDEX('قائمة الوحدات'!$B$2:$B$41,MATCH($A112,'قائمة الوحدات'!$A$2:$A$41,0)),"")</f>
        <v>MIL</v>
      </c>
      <c r="C112" s="14" t="str">
        <f>IFERROR(INDEX('قائمة الوحدات'!$C$2:$C$41,MATCH($A112,'قائمة الوحدات'!$A$2:$A$41,0)),"")</f>
        <v>الجهاز العسكري</v>
      </c>
      <c r="D112" s="14" t="str">
        <f>IFERROR(INDEX('قائمة الوحدات'!$D$2:$D$41,MATCH($A112,'قائمة الوحدات'!$A$2:$A$41,0)),"")</f>
        <v>الإدارة العامة للأمن العسكري</v>
      </c>
      <c r="E112" s="14" t="str">
        <f>IFERROR(INDEX('قائمة الوحدات'!$F$2:$F$41,MATCH($A112,'قائمة الوحدات'!$A$2:$A$41,0)),"")</f>
        <v>الإدارة العامة للأمن العسكري</v>
      </c>
      <c r="F112" s="15" t="s">
        <v>65</v>
      </c>
      <c r="G112" s="14" t="str">
        <f>IFERROR(INDEX(المرجع!$A$2:$A$19,MATCH($F112,المرجع!$B$2:$B$19,0)),"")</f>
        <v>التشغيل</v>
      </c>
      <c r="H112" s="22">
        <f>SUMIFS('تقييم العناصر'!$Q$2:$Q$721,'تقييم العناصر'!$B$2:$B$721,$A112,'تقييم العناصر'!$G$2:$G$721,$F112)</f>
        <v>35.65</v>
      </c>
      <c r="I112" s="21" t="str">
        <f>IF($H112&gt;المرجع!$K$3,"متقدم",IF($H112&lt;=المرجع!$K$2,"أولي","جزئي"))</f>
        <v>جزئي</v>
      </c>
    </row>
    <row r="113" spans="1:9">
      <c r="A113" s="15" t="s">
        <v>226</v>
      </c>
      <c r="B113" s="15" t="str">
        <f>IFERROR(INDEX('قائمة الوحدات'!$B$2:$B$41,MATCH($A113,'قائمة الوحدات'!$A$2:$A$41,0)),"")</f>
        <v>MIL</v>
      </c>
      <c r="C113" s="14" t="str">
        <f>IFERROR(INDEX('قائمة الوحدات'!$C$2:$C$41,MATCH($A113,'قائمة الوحدات'!$A$2:$A$41,0)),"")</f>
        <v>الجهاز العسكري</v>
      </c>
      <c r="D113" s="14" t="str">
        <f>IFERROR(INDEX('قائمة الوحدات'!$D$2:$D$41,MATCH($A113,'قائمة الوحدات'!$A$2:$A$41,0)),"")</f>
        <v>الإدارة العامة للمالية والميزانية العسكرية</v>
      </c>
      <c r="E113" s="14" t="str">
        <f>IFERROR(INDEX('قائمة الوحدات'!$F$2:$F$41,MATCH($A113,'قائمة الوحدات'!$A$2:$A$41,0)),"")</f>
        <v>الإدارة العامة للمالية والميزانية العسكرية</v>
      </c>
      <c r="F113" s="15" t="s">
        <v>43</v>
      </c>
      <c r="G113" s="14" t="str">
        <f>IFERROR(INDEX(المرجع!$A$2:$A$19,MATCH($F113,المرجع!$B$2:$B$19,0)),"")</f>
        <v>التصميم</v>
      </c>
      <c r="H113" s="22">
        <f>SUMIFS('تقييم العناصر'!$Q$2:$Q$721,'تقييم العناصر'!$B$2:$B$721,$A113,'تقييم العناصر'!$G$2:$G$721,$F113)</f>
        <v>81.3</v>
      </c>
      <c r="I113" s="21" t="str">
        <f>IF($H113&gt;المرجع!$K$3,"متقدم",IF($H113&lt;=المرجع!$K$2,"أولي","جزئي"))</f>
        <v>متقدم</v>
      </c>
    </row>
    <row r="114" spans="1:9">
      <c r="A114" s="15" t="s">
        <v>226</v>
      </c>
      <c r="B114" s="15" t="str">
        <f>IFERROR(INDEX('قائمة الوحدات'!$B$2:$B$41,MATCH($A114,'قائمة الوحدات'!$A$2:$A$41,0)),"")</f>
        <v>MIL</v>
      </c>
      <c r="C114" s="14" t="str">
        <f>IFERROR(INDEX('قائمة الوحدات'!$C$2:$C$41,MATCH($A114,'قائمة الوحدات'!$A$2:$A$41,0)),"")</f>
        <v>الجهاز العسكري</v>
      </c>
      <c r="D114" s="14" t="str">
        <f>IFERROR(INDEX('قائمة الوحدات'!$D$2:$D$41,MATCH($A114,'قائمة الوحدات'!$A$2:$A$41,0)),"")</f>
        <v>الإدارة العامة للمالية والميزانية العسكرية</v>
      </c>
      <c r="E114" s="14" t="str">
        <f>IFERROR(INDEX('قائمة الوحدات'!$F$2:$F$41,MATCH($A114,'قائمة الوحدات'!$A$2:$A$41,0)),"")</f>
        <v>الإدارة العامة للمالية والميزانية العسكرية</v>
      </c>
      <c r="F114" s="15" t="s">
        <v>61</v>
      </c>
      <c r="G114" s="14" t="str">
        <f>IFERROR(INDEX(المرجع!$A$2:$A$19,MATCH($F114,المرجع!$B$2:$B$19,0)),"")</f>
        <v>البناء المؤسسي</v>
      </c>
      <c r="H114" s="22">
        <f>SUMIFS('تقييم العناصر'!$Q$2:$Q$721,'تقييم العناصر'!$B$2:$B$721,$A114,'تقييم العناصر'!$G$2:$G$721,$F114)</f>
        <v>68.95</v>
      </c>
      <c r="I114" s="21" t="str">
        <f>IF($H114&gt;المرجع!$K$3,"متقدم",IF($H114&lt;=المرجع!$K$2,"أولي","جزئي"))</f>
        <v>جزئي</v>
      </c>
    </row>
    <row r="115" spans="1:9">
      <c r="A115" s="15" t="s">
        <v>226</v>
      </c>
      <c r="B115" s="15" t="str">
        <f>IFERROR(INDEX('قائمة الوحدات'!$B$2:$B$41,MATCH($A115,'قائمة الوحدات'!$A$2:$A$41,0)),"")</f>
        <v>MIL</v>
      </c>
      <c r="C115" s="14" t="str">
        <f>IFERROR(INDEX('قائمة الوحدات'!$C$2:$C$41,MATCH($A115,'قائمة الوحدات'!$A$2:$A$41,0)),"")</f>
        <v>الجهاز العسكري</v>
      </c>
      <c r="D115" s="14" t="str">
        <f>IFERROR(INDEX('قائمة الوحدات'!$D$2:$D$41,MATCH($A115,'قائمة الوحدات'!$A$2:$A$41,0)),"")</f>
        <v>الإدارة العامة للمالية والميزانية العسكرية</v>
      </c>
      <c r="E115" s="14" t="str">
        <f>IFERROR(INDEX('قائمة الوحدات'!$F$2:$F$41,MATCH($A115,'قائمة الوحدات'!$A$2:$A$41,0)),"")</f>
        <v>الإدارة العامة للمالية والميزانية العسكرية</v>
      </c>
      <c r="F115" s="15" t="s">
        <v>65</v>
      </c>
      <c r="G115" s="14" t="str">
        <f>IFERROR(INDEX(المرجع!$A$2:$A$19,MATCH($F115,المرجع!$B$2:$B$19,0)),"")</f>
        <v>التشغيل</v>
      </c>
      <c r="H115" s="22">
        <f>SUMIFS('تقييم العناصر'!$Q$2:$Q$721,'تقييم العناصر'!$B$2:$B$721,$A115,'تقييم العناصر'!$G$2:$G$721,$F115)</f>
        <v>33</v>
      </c>
      <c r="I115" s="21" t="str">
        <f>IF($H115&gt;المرجع!$K$3,"متقدم",IF($H115&lt;=المرجع!$K$2,"أولي","جزئي"))</f>
        <v>جزئي</v>
      </c>
    </row>
    <row r="116" spans="1:9">
      <c r="A116" s="15" t="s">
        <v>228</v>
      </c>
      <c r="B116" s="15" t="str">
        <f>IFERROR(INDEX('قائمة الوحدات'!$B$2:$B$41,MATCH($A116,'قائمة الوحدات'!$A$2:$A$41,0)),"")</f>
        <v>MIL</v>
      </c>
      <c r="C116" s="14" t="str">
        <f>IFERROR(INDEX('قائمة الوحدات'!$C$2:$C$41,MATCH($A116,'قائمة الوحدات'!$A$2:$A$41,0)),"")</f>
        <v>الجهاز العسكري</v>
      </c>
      <c r="D116" s="14" t="str">
        <f>IFERROR(INDEX('قائمة الوحدات'!$D$2:$D$41,MATCH($A116,'قائمة الوحدات'!$A$2:$A$41,0)),"")</f>
        <v>الإدارة العامة للعلاقات العامة والإعلام العسكري</v>
      </c>
      <c r="E116" s="14" t="str">
        <f>IFERROR(INDEX('قائمة الوحدات'!$F$2:$F$41,MATCH($A116,'قائمة الوحدات'!$A$2:$A$41,0)),"")</f>
        <v>الإدارة العامة للعلاقات العامة والإعلام العسكري</v>
      </c>
      <c r="F116" s="15" t="s">
        <v>43</v>
      </c>
      <c r="G116" s="14" t="str">
        <f>IFERROR(INDEX(المرجع!$A$2:$A$19,MATCH($F116,المرجع!$B$2:$B$19,0)),"")</f>
        <v>التصميم</v>
      </c>
      <c r="H116" s="22">
        <f>SUMIFS('تقييم العناصر'!$Q$2:$Q$721,'تقييم العناصر'!$B$2:$B$721,$A116,'تقييم العناصر'!$G$2:$G$721,$F116)</f>
        <v>79.349999999999994</v>
      </c>
      <c r="I116" s="21" t="str">
        <f>IF($H116&gt;المرجع!$K$3,"متقدم",IF($H116&lt;=المرجع!$K$2,"أولي","جزئي"))</f>
        <v>متقدم</v>
      </c>
    </row>
    <row r="117" spans="1:9">
      <c r="A117" s="15" t="s">
        <v>228</v>
      </c>
      <c r="B117" s="15" t="str">
        <f>IFERROR(INDEX('قائمة الوحدات'!$B$2:$B$41,MATCH($A117,'قائمة الوحدات'!$A$2:$A$41,0)),"")</f>
        <v>MIL</v>
      </c>
      <c r="C117" s="14" t="str">
        <f>IFERROR(INDEX('قائمة الوحدات'!$C$2:$C$41,MATCH($A117,'قائمة الوحدات'!$A$2:$A$41,0)),"")</f>
        <v>الجهاز العسكري</v>
      </c>
      <c r="D117" s="14" t="str">
        <f>IFERROR(INDEX('قائمة الوحدات'!$D$2:$D$41,MATCH($A117,'قائمة الوحدات'!$A$2:$A$41,0)),"")</f>
        <v>الإدارة العامة للعلاقات العامة والإعلام العسكري</v>
      </c>
      <c r="E117" s="14" t="str">
        <f>IFERROR(INDEX('قائمة الوحدات'!$F$2:$F$41,MATCH($A117,'قائمة الوحدات'!$A$2:$A$41,0)),"")</f>
        <v>الإدارة العامة للعلاقات العامة والإعلام العسكري</v>
      </c>
      <c r="F117" s="15" t="s">
        <v>61</v>
      </c>
      <c r="G117" s="14" t="str">
        <f>IFERROR(INDEX(المرجع!$A$2:$A$19,MATCH($F117,المرجع!$B$2:$B$19,0)),"")</f>
        <v>البناء المؤسسي</v>
      </c>
      <c r="H117" s="22">
        <f>SUMIFS('تقييم العناصر'!$Q$2:$Q$721,'تقييم العناصر'!$B$2:$B$721,$A117,'تقييم العناصر'!$G$2:$G$721,$F117)</f>
        <v>69.149999999999991</v>
      </c>
      <c r="I117" s="21" t="str">
        <f>IF($H117&gt;المرجع!$K$3,"متقدم",IF($H117&lt;=المرجع!$K$2,"أولي","جزئي"))</f>
        <v>جزئي</v>
      </c>
    </row>
    <row r="118" spans="1:9">
      <c r="A118" s="15" t="s">
        <v>228</v>
      </c>
      <c r="B118" s="15" t="str">
        <f>IFERROR(INDEX('قائمة الوحدات'!$B$2:$B$41,MATCH($A118,'قائمة الوحدات'!$A$2:$A$41,0)),"")</f>
        <v>MIL</v>
      </c>
      <c r="C118" s="14" t="str">
        <f>IFERROR(INDEX('قائمة الوحدات'!$C$2:$C$41,MATCH($A118,'قائمة الوحدات'!$A$2:$A$41,0)),"")</f>
        <v>الجهاز العسكري</v>
      </c>
      <c r="D118" s="14" t="str">
        <f>IFERROR(INDEX('قائمة الوحدات'!$D$2:$D$41,MATCH($A118,'قائمة الوحدات'!$A$2:$A$41,0)),"")</f>
        <v>الإدارة العامة للعلاقات العامة والإعلام العسكري</v>
      </c>
      <c r="E118" s="14" t="str">
        <f>IFERROR(INDEX('قائمة الوحدات'!$F$2:$F$41,MATCH($A118,'قائمة الوحدات'!$A$2:$A$41,0)),"")</f>
        <v>الإدارة العامة للعلاقات العامة والإعلام العسكري</v>
      </c>
      <c r="F118" s="15" t="s">
        <v>65</v>
      </c>
      <c r="G118" s="14" t="str">
        <f>IFERROR(INDEX(المرجع!$A$2:$A$19,MATCH($F118,المرجع!$B$2:$B$19,0)),"")</f>
        <v>التشغيل</v>
      </c>
      <c r="H118" s="22">
        <f>SUMIFS('تقييم العناصر'!$Q$2:$Q$721,'تقييم العناصر'!$B$2:$B$721,$A118,'تقييم العناصر'!$G$2:$G$721,$F118)</f>
        <v>36.049999999999997</v>
      </c>
      <c r="I118" s="21" t="str">
        <f>IF($H118&gt;المرجع!$K$3,"متقدم",IF($H118&lt;=المرجع!$K$2,"أولي","جزئي"))</f>
        <v>جزئي</v>
      </c>
    </row>
    <row r="119" spans="1:9">
      <c r="A119" s="15" t="s">
        <v>230</v>
      </c>
      <c r="B119" s="15" t="str">
        <f>IFERROR(INDEX('قائمة الوحدات'!$B$2:$B$41,MATCH($A119,'قائمة الوحدات'!$A$2:$A$41,0)),"")</f>
        <v>MIL</v>
      </c>
      <c r="C119" s="14" t="str">
        <f>IFERROR(INDEX('قائمة الوحدات'!$C$2:$C$41,MATCH($A119,'قائمة الوحدات'!$A$2:$A$41,0)),"")</f>
        <v>الجهاز العسكري</v>
      </c>
      <c r="D119" s="14" t="str">
        <f>IFERROR(INDEX('قائمة الوحدات'!$D$2:$D$41,MATCH($A119,'قائمة الوحدات'!$A$2:$A$41,0)),"")</f>
        <v>الإدارة العامة للمراسم والتشريفات العسكرية</v>
      </c>
      <c r="E119" s="14" t="str">
        <f>IFERROR(INDEX('قائمة الوحدات'!$F$2:$F$41,MATCH($A119,'قائمة الوحدات'!$A$2:$A$41,0)),"")</f>
        <v>الإدارة العامة للمراسم والتشريفات العسكرية</v>
      </c>
      <c r="F119" s="15" t="s">
        <v>43</v>
      </c>
      <c r="G119" s="14" t="str">
        <f>IFERROR(INDEX(المرجع!$A$2:$A$19,MATCH($F119,المرجع!$B$2:$B$19,0)),"")</f>
        <v>التصميم</v>
      </c>
      <c r="H119" s="22">
        <f>SUMIFS('تقييم العناصر'!$Q$2:$Q$721,'تقييم العناصر'!$B$2:$B$721,$A119,'تقييم العناصر'!$G$2:$G$721,$F119)</f>
        <v>88.100000000000009</v>
      </c>
      <c r="I119" s="21" t="str">
        <f>IF($H119&gt;المرجع!$K$3,"متقدم",IF($H119&lt;=المرجع!$K$2,"أولي","جزئي"))</f>
        <v>متقدم</v>
      </c>
    </row>
    <row r="120" spans="1:9">
      <c r="A120" s="15" t="s">
        <v>230</v>
      </c>
      <c r="B120" s="15" t="str">
        <f>IFERROR(INDEX('قائمة الوحدات'!$B$2:$B$41,MATCH($A120,'قائمة الوحدات'!$A$2:$A$41,0)),"")</f>
        <v>MIL</v>
      </c>
      <c r="C120" s="14" t="str">
        <f>IFERROR(INDEX('قائمة الوحدات'!$C$2:$C$41,MATCH($A120,'قائمة الوحدات'!$A$2:$A$41,0)),"")</f>
        <v>الجهاز العسكري</v>
      </c>
      <c r="D120" s="14" t="str">
        <f>IFERROR(INDEX('قائمة الوحدات'!$D$2:$D$41,MATCH($A120,'قائمة الوحدات'!$A$2:$A$41,0)),"")</f>
        <v>الإدارة العامة للمراسم والتشريفات العسكرية</v>
      </c>
      <c r="E120" s="14" t="str">
        <f>IFERROR(INDEX('قائمة الوحدات'!$F$2:$F$41,MATCH($A120,'قائمة الوحدات'!$A$2:$A$41,0)),"")</f>
        <v>الإدارة العامة للمراسم والتشريفات العسكرية</v>
      </c>
      <c r="F120" s="15" t="s">
        <v>61</v>
      </c>
      <c r="G120" s="14" t="str">
        <f>IFERROR(INDEX(المرجع!$A$2:$A$19,MATCH($F120,المرجع!$B$2:$B$19,0)),"")</f>
        <v>البناء المؤسسي</v>
      </c>
      <c r="H120" s="22">
        <f>SUMIFS('تقييم العناصر'!$Q$2:$Q$721,'تقييم العناصر'!$B$2:$B$721,$A120,'تقييم العناصر'!$G$2:$G$721,$F120)</f>
        <v>59.749999999999993</v>
      </c>
      <c r="I120" s="21" t="str">
        <f>IF($H120&gt;المرجع!$K$3,"متقدم",IF($H120&lt;=المرجع!$K$2,"أولي","جزئي"))</f>
        <v>جزئي</v>
      </c>
    </row>
    <row r="121" spans="1:9">
      <c r="A121" s="15" t="s">
        <v>230</v>
      </c>
      <c r="B121" s="15" t="str">
        <f>IFERROR(INDEX('قائمة الوحدات'!$B$2:$B$41,MATCH($A121,'قائمة الوحدات'!$A$2:$A$41,0)),"")</f>
        <v>MIL</v>
      </c>
      <c r="C121" s="14" t="str">
        <f>IFERROR(INDEX('قائمة الوحدات'!$C$2:$C$41,MATCH($A121,'قائمة الوحدات'!$A$2:$A$41,0)),"")</f>
        <v>الجهاز العسكري</v>
      </c>
      <c r="D121" s="14" t="str">
        <f>IFERROR(INDEX('قائمة الوحدات'!$D$2:$D$41,MATCH($A121,'قائمة الوحدات'!$A$2:$A$41,0)),"")</f>
        <v>الإدارة العامة للمراسم والتشريفات العسكرية</v>
      </c>
      <c r="E121" s="14" t="str">
        <f>IFERROR(INDEX('قائمة الوحدات'!$F$2:$F$41,MATCH($A121,'قائمة الوحدات'!$A$2:$A$41,0)),"")</f>
        <v>الإدارة العامة للمراسم والتشريفات العسكرية</v>
      </c>
      <c r="F121" s="15" t="s">
        <v>65</v>
      </c>
      <c r="G121" s="14" t="str">
        <f>IFERROR(INDEX(المرجع!$A$2:$A$19,MATCH($F121,المرجع!$B$2:$B$19,0)),"")</f>
        <v>التشغيل</v>
      </c>
      <c r="H121" s="22">
        <f>SUMIFS('تقييم العناصر'!$Q$2:$Q$721,'تقييم العناصر'!$B$2:$B$721,$A121,'تقييم العناصر'!$G$2:$G$721,$F121)</f>
        <v>46.400000000000006</v>
      </c>
      <c r="I121" s="21" t="str">
        <f>IF($H121&gt;المرجع!$K$3,"متقدم",IF($H121&lt;=المرجع!$K$2,"أولي","جزئي"))</f>
        <v>جزئي</v>
      </c>
    </row>
  </sheetData>
  <autoFilter ref="A1:I121" xr:uid="{00000000-0009-0000-0000-000008000000}"/>
  <conditionalFormatting sqref="I2:I121">
    <cfRule type="cellIs" dxfId="4" priority="2" operator="equal">
      <formula>"متقدم"</formula>
    </cfRule>
    <cfRule type="cellIs" dxfId="3" priority="3" operator="equal">
      <formula>"جزئي"</formula>
    </cfRule>
    <cfRule type="cellIs" dxfId="2" priority="4" operator="equal">
      <formula>"أولي"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3"/>
  <sheetViews>
    <sheetView rightToLeft="1" zoomScaleNormal="100" workbookViewId="0">
      <pane xSplit="1" ySplit="1" topLeftCell="B26" activePane="bottomRight" state="frozen"/>
      <selection pane="topRight" activeCell="B1" sqref="B1"/>
      <selection pane="bottomLeft" activeCell="A2" sqref="A2"/>
      <selection pane="bottomRight" activeCell="A42" sqref="A42"/>
    </sheetView>
  </sheetViews>
  <sheetFormatPr defaultColWidth="8.73046875" defaultRowHeight="14.25"/>
  <cols>
    <col min="1" max="2" width="14" customWidth="1"/>
    <col min="3" max="3" width="24" customWidth="1"/>
    <col min="4" max="4" width="26" customWidth="1"/>
    <col min="5" max="5" width="24" customWidth="1"/>
    <col min="6" max="6" width="14" customWidth="1"/>
    <col min="7" max="7" width="20" customWidth="1"/>
    <col min="8" max="8" width="14" customWidth="1"/>
  </cols>
  <sheetData>
    <row r="1" spans="1:8" ht="36" customHeight="1">
      <c r="A1" s="4" t="s">
        <v>132</v>
      </c>
      <c r="B1" s="4" t="s">
        <v>133</v>
      </c>
      <c r="C1" s="4" t="s">
        <v>134</v>
      </c>
      <c r="D1" s="4" t="s">
        <v>135</v>
      </c>
      <c r="E1" s="4" t="s">
        <v>136</v>
      </c>
      <c r="F1" s="4" t="s">
        <v>2164</v>
      </c>
      <c r="G1" s="4" t="s">
        <v>2165</v>
      </c>
      <c r="H1" s="4" t="s">
        <v>2166</v>
      </c>
    </row>
    <row r="2" spans="1:8">
      <c r="A2" s="15" t="s">
        <v>141</v>
      </c>
      <c r="B2" s="15" t="str">
        <f>IFERROR(INDEX('قائمة الوحدات'!$B$2:$B$41,MATCH($A2,'قائمة الوحدات'!$A$2:$A$41,0)),"")</f>
        <v>TOP</v>
      </c>
      <c r="C2" s="14" t="str">
        <f>IFERROR(INDEX('قائمة الوحدات'!$C$2:$C$41,MATCH($A2,'قائمة الوحدات'!$A$2:$A$41,0)),"")</f>
        <v>المرتبطة بسمو الوزير</v>
      </c>
      <c r="D2" s="14" t="str">
        <f>IFERROR(INDEX('قائمة الوحدات'!$D$2:$D$41,MATCH($A2,'قائمة الوحدات'!$A$2:$A$41,0)),"")</f>
        <v>المكتب التنفيذي</v>
      </c>
      <c r="E2" s="14" t="str">
        <f>IFERROR(INDEX('قائمة الوحدات'!$F$2:$F$41,MATCH($A2,'قائمة الوحدات'!$A$2:$A$41,0)),"")</f>
        <v>المكتب التنفيذي</v>
      </c>
      <c r="F2" s="22">
        <f>SUMIFS(النتائج!$H$2:$H$121,النتائج!$A$2:$A$121,$A2,النتائج!$F$2:$F$121,"DESIGN")</f>
        <v>75.849999999999994</v>
      </c>
      <c r="G2" s="22">
        <f>SUMIFS(النتائج!$H$2:$H$121,النتائج!$A$2:$A$121,$A2,النتائج!$F$2:$F$121,"BUILD")</f>
        <v>68.849999999999994</v>
      </c>
      <c r="H2" s="22">
        <f>SUMIFS(النتائج!$H$2:$H$121,النتائج!$A$2:$A$121,$A2,النتائج!$F$2:$F$121,"OPERATE")</f>
        <v>45.550000000000004</v>
      </c>
    </row>
    <row r="3" spans="1:8">
      <c r="A3" s="15" t="s">
        <v>146</v>
      </c>
      <c r="B3" s="15" t="str">
        <f>IFERROR(INDEX('قائمة الوحدات'!$B$2:$B$41,MATCH($A3,'قائمة الوحدات'!$A$2:$A$41,0)),"")</f>
        <v>TOP</v>
      </c>
      <c r="C3" s="14" t="str">
        <f>IFERROR(INDEX('قائمة الوحدات'!$C$2:$C$41,MATCH($A3,'قائمة الوحدات'!$A$2:$A$41,0)),"")</f>
        <v>المرتبطة بسمو الوزير</v>
      </c>
      <c r="D3" s="14" t="str">
        <f>IFERROR(INDEX('قائمة الوحدات'!$D$2:$D$41,MATCH($A3,'قائمة الوحدات'!$A$2:$A$41,0)),"")</f>
        <v>إدارة المتابعة والتقارير</v>
      </c>
      <c r="E3" s="14" t="str">
        <f>IFERROR(INDEX('قائمة الوحدات'!$F$2:$F$41,MATCH($A3,'قائمة الوحدات'!$A$2:$A$41,0)),"")</f>
        <v>إدارة المتابعة والتقارير</v>
      </c>
      <c r="F3" s="22">
        <f>SUMIFS(النتائج!$H$2:$H$121,النتائج!$A$2:$A$121,$A3,النتائج!$F$2:$F$121,"DESIGN")</f>
        <v>79.800000000000011</v>
      </c>
      <c r="G3" s="22">
        <f>SUMIFS(النتائج!$H$2:$H$121,النتائج!$A$2:$A$121,$A3,النتائج!$F$2:$F$121,"BUILD")</f>
        <v>64.5</v>
      </c>
      <c r="H3" s="22">
        <f>SUMIFS(النتائج!$H$2:$H$121,النتائج!$A$2:$A$121,$A3,النتائج!$F$2:$F$121,"OPERATE")</f>
        <v>49.4</v>
      </c>
    </row>
    <row r="4" spans="1:8">
      <c r="A4" s="15" t="s">
        <v>148</v>
      </c>
      <c r="B4" s="15" t="str">
        <f>IFERROR(INDEX('قائمة الوحدات'!$B$2:$B$41,MATCH($A4,'قائمة الوحدات'!$A$2:$A$41,0)),"")</f>
        <v>TOP</v>
      </c>
      <c r="C4" s="14" t="str">
        <f>IFERROR(INDEX('قائمة الوحدات'!$C$2:$C$41,MATCH($A4,'قائمة الوحدات'!$A$2:$A$41,0)),"")</f>
        <v>المرتبطة بسمو الوزير</v>
      </c>
      <c r="D4" s="14" t="str">
        <f>IFERROR(INDEX('قائمة الوحدات'!$D$2:$D$41,MATCH($A4,'قائمة الوحدات'!$A$2:$A$41,0)),"")</f>
        <v>إدارة الحوكمة والمخاطر</v>
      </c>
      <c r="E4" s="14" t="str">
        <f>IFERROR(INDEX('قائمة الوحدات'!$F$2:$F$41,MATCH($A4,'قائمة الوحدات'!$A$2:$A$41,0)),"")</f>
        <v>إدارة الحوكمة والمخاطر</v>
      </c>
      <c r="F4" s="22">
        <f>SUMIFS(النتائج!$H$2:$H$121,النتائج!$A$2:$A$121,$A4,النتائج!$F$2:$F$121,"DESIGN")</f>
        <v>80.45</v>
      </c>
      <c r="G4" s="22">
        <f>SUMIFS(النتائج!$H$2:$H$121,النتائج!$A$2:$A$121,$A4,النتائج!$F$2:$F$121,"BUILD")</f>
        <v>58.3</v>
      </c>
      <c r="H4" s="22">
        <f>SUMIFS(النتائج!$H$2:$H$121,النتائج!$A$2:$A$121,$A4,النتائج!$F$2:$F$121,"OPERATE")</f>
        <v>35.200000000000003</v>
      </c>
    </row>
    <row r="5" spans="1:8">
      <c r="A5" s="15" t="s">
        <v>150</v>
      </c>
      <c r="B5" s="15" t="str">
        <f>IFERROR(INDEX('قائمة الوحدات'!$B$2:$B$41,MATCH($A5,'قائمة الوحدات'!$A$2:$A$41,0)),"")</f>
        <v>TOP</v>
      </c>
      <c r="C5" s="14" t="str">
        <f>IFERROR(INDEX('قائمة الوحدات'!$C$2:$C$41,MATCH($A5,'قائمة الوحدات'!$A$2:$A$41,0)),"")</f>
        <v>المرتبطة بسمو الوزير</v>
      </c>
      <c r="D5" s="14" t="str">
        <f>IFERROR(INDEX('قائمة الوحدات'!$D$2:$D$41,MATCH($A5,'قائمة الوحدات'!$A$2:$A$41,0)),"")</f>
        <v>إدارة الشؤون القانونية</v>
      </c>
      <c r="E5" s="14" t="str">
        <f>IFERROR(INDEX('قائمة الوحدات'!$F$2:$F$41,MATCH($A5,'قائمة الوحدات'!$A$2:$A$41,0)),"")</f>
        <v>إدارة الشؤون القانونية</v>
      </c>
      <c r="F5" s="22">
        <f>SUMIFS(النتائج!$H$2:$H$121,النتائج!$A$2:$A$121,$A5,النتائج!$F$2:$F$121,"DESIGN")</f>
        <v>83.65</v>
      </c>
      <c r="G5" s="22">
        <f>SUMIFS(النتائج!$H$2:$H$121,النتائج!$A$2:$A$121,$A5,النتائج!$F$2:$F$121,"BUILD")</f>
        <v>60.449999999999996</v>
      </c>
      <c r="H5" s="22">
        <f>SUMIFS(النتائج!$H$2:$H$121,النتائج!$A$2:$A$121,$A5,النتائج!$F$2:$F$121,"OPERATE")</f>
        <v>41.2</v>
      </c>
    </row>
    <row r="6" spans="1:8">
      <c r="A6" s="15" t="s">
        <v>152</v>
      </c>
      <c r="B6" s="15" t="str">
        <f>IFERROR(INDEX('قائمة الوحدات'!$B$2:$B$41,MATCH($A6,'قائمة الوحدات'!$A$2:$A$41,0)),"")</f>
        <v>TOP</v>
      </c>
      <c r="C6" s="14" t="str">
        <f>IFERROR(INDEX('قائمة الوحدات'!$C$2:$C$41,MATCH($A6,'قائمة الوحدات'!$A$2:$A$41,0)),"")</f>
        <v>المرتبطة بسمو الوزير</v>
      </c>
      <c r="D6" s="14" t="str">
        <f>IFERROR(INDEX('قائمة الوحدات'!$D$2:$D$41,MATCH($A6,'قائمة الوحدات'!$A$2:$A$41,0)),"")</f>
        <v>إدارة التميز المؤسسي</v>
      </c>
      <c r="E6" s="14" t="str">
        <f>IFERROR(INDEX('قائمة الوحدات'!$F$2:$F$41,MATCH($A6,'قائمة الوحدات'!$A$2:$A$41,0)),"")</f>
        <v>إدارة التميز المؤسسي</v>
      </c>
      <c r="F6" s="22">
        <f>SUMIFS(النتائج!$H$2:$H$121,النتائج!$A$2:$A$121,$A6,النتائج!$F$2:$F$121,"DESIGN")</f>
        <v>81.900000000000006</v>
      </c>
      <c r="G6" s="22">
        <f>SUMIFS(النتائج!$H$2:$H$121,النتائج!$A$2:$A$121,$A6,النتائج!$F$2:$F$121,"BUILD")</f>
        <v>64.8</v>
      </c>
      <c r="H6" s="22">
        <f>SUMIFS(النتائج!$H$2:$H$121,النتائج!$A$2:$A$121,$A6,النتائج!$F$2:$F$121,"OPERATE")</f>
        <v>33.349999999999994</v>
      </c>
    </row>
    <row r="7" spans="1:8">
      <c r="A7" s="15" t="s">
        <v>154</v>
      </c>
      <c r="B7" s="15" t="str">
        <f>IFERROR(INDEX('قائمة الوحدات'!$B$2:$B$41,MATCH($A7,'قائمة الوحدات'!$A$2:$A$41,0)),"")</f>
        <v>EXE</v>
      </c>
      <c r="C7" s="14" t="str">
        <f>IFERROR(INDEX('قائمة الوحدات'!$C$2:$C$41,MATCH($A7,'قائمة الوحدات'!$A$2:$A$41,0)),"")</f>
        <v>الشؤون التنفيذية</v>
      </c>
      <c r="D7" s="14" t="str">
        <f>IFERROR(INDEX('قائمة الوحدات'!$D$2:$D$41,MATCH($A7,'قائمة الوحدات'!$A$2:$A$41,0)),"")</f>
        <v>وكالة الشؤون الفنية</v>
      </c>
      <c r="E7" s="14" t="str">
        <f>IFERROR(INDEX('قائمة الوحدات'!$F$2:$F$41,MATCH($A7,'قائمة الوحدات'!$A$2:$A$41,0)),"")</f>
        <v>الإدارة العامة للتخطيط والدراسات</v>
      </c>
      <c r="F7" s="22">
        <f>SUMIFS(النتائج!$H$2:$H$121,النتائج!$A$2:$A$121,$A7,النتائج!$F$2:$F$121,"DESIGN")</f>
        <v>81.099999999999994</v>
      </c>
      <c r="G7" s="22">
        <f>SUMIFS(النتائج!$H$2:$H$121,النتائج!$A$2:$A$121,$A7,النتائج!$F$2:$F$121,"BUILD")</f>
        <v>65.55</v>
      </c>
      <c r="H7" s="22">
        <f>SUMIFS(النتائج!$H$2:$H$121,النتائج!$A$2:$A$121,$A7,النتائج!$F$2:$F$121,"OPERATE")</f>
        <v>42.400000000000006</v>
      </c>
    </row>
    <row r="8" spans="1:8">
      <c r="A8" s="15" t="s">
        <v>160</v>
      </c>
      <c r="B8" s="15" t="str">
        <f>IFERROR(INDEX('قائمة الوحدات'!$B$2:$B$41,MATCH($A8,'قائمة الوحدات'!$A$2:$A$41,0)),"")</f>
        <v>EXE</v>
      </c>
      <c r="C8" s="14" t="str">
        <f>IFERROR(INDEX('قائمة الوحدات'!$C$2:$C$41,MATCH($A8,'قائمة الوحدات'!$A$2:$A$41,0)),"")</f>
        <v>الشؤون التنفيذية</v>
      </c>
      <c r="D8" s="14" t="str">
        <f>IFERROR(INDEX('قائمة الوحدات'!$D$2:$D$41,MATCH($A8,'قائمة الوحدات'!$A$2:$A$41,0)),"")</f>
        <v>وكالة الشؤون الفنية</v>
      </c>
      <c r="E8" s="14" t="str">
        <f>IFERROR(INDEX('قائمة الوحدات'!$F$2:$F$41,MATCH($A8,'قائمة الوحدات'!$A$2:$A$41,0)),"")</f>
        <v>الإدارة العامة للجودة والتطوير</v>
      </c>
      <c r="F8" s="22">
        <f>SUMIFS(النتائج!$H$2:$H$121,النتائج!$A$2:$A$121,$A8,النتائج!$F$2:$F$121,"DESIGN")</f>
        <v>81.900000000000006</v>
      </c>
      <c r="G8" s="22">
        <f>SUMIFS(النتائج!$H$2:$H$121,النتائج!$A$2:$A$121,$A8,النتائج!$F$2:$F$121,"BUILD")</f>
        <v>63.65</v>
      </c>
      <c r="H8" s="22">
        <f>SUMIFS(النتائج!$H$2:$H$121,النتائج!$A$2:$A$121,$A8,النتائج!$F$2:$F$121,"OPERATE")</f>
        <v>39.949999999999996</v>
      </c>
    </row>
    <row r="9" spans="1:8">
      <c r="A9" s="15" t="s">
        <v>162</v>
      </c>
      <c r="B9" s="15" t="str">
        <f>IFERROR(INDEX('قائمة الوحدات'!$B$2:$B$41,MATCH($A9,'قائمة الوحدات'!$A$2:$A$41,0)),"")</f>
        <v>EXE</v>
      </c>
      <c r="C9" s="14" t="str">
        <f>IFERROR(INDEX('قائمة الوحدات'!$C$2:$C$41,MATCH($A9,'قائمة الوحدات'!$A$2:$A$41,0)),"")</f>
        <v>الشؤون التنفيذية</v>
      </c>
      <c r="D9" s="14" t="str">
        <f>IFERROR(INDEX('قائمة الوحدات'!$D$2:$D$41,MATCH($A9,'قائمة الوحدات'!$A$2:$A$41,0)),"")</f>
        <v>وكالة الشؤون الفنية</v>
      </c>
      <c r="E9" s="14" t="str">
        <f>IFERROR(INDEX('قائمة الوحدات'!$F$2:$F$41,MATCH($A9,'قائمة الوحدات'!$A$2:$A$41,0)),"")</f>
        <v>الإدارة العامة للمشاريع</v>
      </c>
      <c r="F9" s="22">
        <f>SUMIFS(النتائج!$H$2:$H$121,النتائج!$A$2:$A$121,$A9,النتائج!$F$2:$F$121,"DESIGN")</f>
        <v>86.9</v>
      </c>
      <c r="G9" s="22">
        <f>SUMIFS(النتائج!$H$2:$H$121,النتائج!$A$2:$A$121,$A9,النتائج!$F$2:$F$121,"BUILD")</f>
        <v>69.25</v>
      </c>
      <c r="H9" s="22">
        <f>SUMIFS(النتائج!$H$2:$H$121,النتائج!$A$2:$A$121,$A9,النتائج!$F$2:$F$121,"OPERATE")</f>
        <v>43</v>
      </c>
    </row>
    <row r="10" spans="1:8">
      <c r="A10" s="15" t="s">
        <v>164</v>
      </c>
      <c r="B10" s="15" t="str">
        <f>IFERROR(INDEX('قائمة الوحدات'!$B$2:$B$41,MATCH($A10,'قائمة الوحدات'!$A$2:$A$41,0)),"")</f>
        <v>EXE</v>
      </c>
      <c r="C10" s="14" t="str">
        <f>IFERROR(INDEX('قائمة الوحدات'!$C$2:$C$41,MATCH($A10,'قائمة الوحدات'!$A$2:$A$41,0)),"")</f>
        <v>الشؤون التنفيذية</v>
      </c>
      <c r="D10" s="14" t="str">
        <f>IFERROR(INDEX('قائمة الوحدات'!$D$2:$D$41,MATCH($A10,'قائمة الوحدات'!$A$2:$A$41,0)),"")</f>
        <v>وكالة الشؤون الفنية</v>
      </c>
      <c r="E10" s="14" t="str">
        <f>IFERROR(INDEX('قائمة الوحدات'!$F$2:$F$41,MATCH($A10,'قائمة الوحدات'!$A$2:$A$41,0)),"")</f>
        <v>الإدارة العامة للتشغيل والصيانة</v>
      </c>
      <c r="F10" s="22">
        <f>SUMIFS(النتائج!$H$2:$H$121,النتائج!$A$2:$A$121,$A10,النتائج!$F$2:$F$121,"DESIGN")</f>
        <v>80.95</v>
      </c>
      <c r="G10" s="22">
        <f>SUMIFS(النتائج!$H$2:$H$121,النتائج!$A$2:$A$121,$A10,النتائج!$F$2:$F$121,"BUILD")</f>
        <v>68.599999999999994</v>
      </c>
      <c r="H10" s="22">
        <f>SUMIFS(النتائج!$H$2:$H$121,النتائج!$A$2:$A$121,$A10,النتائج!$F$2:$F$121,"OPERATE")</f>
        <v>40.950000000000003</v>
      </c>
    </row>
    <row r="11" spans="1:8">
      <c r="A11" s="15" t="s">
        <v>166</v>
      </c>
      <c r="B11" s="15" t="str">
        <f>IFERROR(INDEX('قائمة الوحدات'!$B$2:$B$41,MATCH($A11,'قائمة الوحدات'!$A$2:$A$41,0)),"")</f>
        <v>EXE</v>
      </c>
      <c r="C11" s="14" t="str">
        <f>IFERROR(INDEX('قائمة الوحدات'!$C$2:$C$41,MATCH($A11,'قائمة الوحدات'!$A$2:$A$41,0)),"")</f>
        <v>الشؤون التنفيذية</v>
      </c>
      <c r="D11" s="14" t="str">
        <f>IFERROR(INDEX('قائمة الوحدات'!$D$2:$D$41,MATCH($A11,'قائمة الوحدات'!$A$2:$A$41,0)),"")</f>
        <v>وكالة الشؤون الفنية</v>
      </c>
      <c r="E11" s="14" t="str">
        <f>IFERROR(INDEX('قائمة الوحدات'!$F$2:$F$41,MATCH($A11,'قائمة الوحدات'!$A$2:$A$41,0)),"")</f>
        <v>الإدارة العامة للسلامة والبيئة</v>
      </c>
      <c r="F11" s="22">
        <f>SUMIFS(النتائج!$H$2:$H$121,النتائج!$A$2:$A$121,$A11,النتائج!$F$2:$F$121,"DESIGN")</f>
        <v>91.3</v>
      </c>
      <c r="G11" s="22">
        <f>SUMIFS(النتائج!$H$2:$H$121,النتائج!$A$2:$A$121,$A11,النتائج!$F$2:$F$121,"BUILD")</f>
        <v>63.3</v>
      </c>
      <c r="H11" s="22">
        <f>SUMIFS(النتائج!$H$2:$H$121,النتائج!$A$2:$A$121,$A11,النتائج!$F$2:$F$121,"OPERATE")</f>
        <v>37.450000000000003</v>
      </c>
    </row>
    <row r="12" spans="1:8">
      <c r="A12" s="15" t="s">
        <v>168</v>
      </c>
      <c r="B12" s="15" t="str">
        <f>IFERROR(INDEX('قائمة الوحدات'!$B$2:$B$41,MATCH($A12,'قائمة الوحدات'!$A$2:$A$41,0)),"")</f>
        <v>EXE</v>
      </c>
      <c r="C12" s="14" t="str">
        <f>IFERROR(INDEX('قائمة الوحدات'!$C$2:$C$41,MATCH($A12,'قائمة الوحدات'!$A$2:$A$41,0)),"")</f>
        <v>الشؤون التنفيذية</v>
      </c>
      <c r="D12" s="14" t="str">
        <f>IFERROR(INDEX('قائمة الوحدات'!$D$2:$D$41,MATCH($A12,'قائمة الوحدات'!$A$2:$A$41,0)),"")</f>
        <v>وكالة الشؤون الفنية</v>
      </c>
      <c r="E12" s="14" t="str">
        <f>IFERROR(INDEX('قائمة الوحدات'!$F$2:$F$41,MATCH($A12,'قائمة الوحدات'!$A$2:$A$41,0)),"")</f>
        <v>الإدارة العامة للأصول والمرافق</v>
      </c>
      <c r="F12" s="22">
        <f>SUMIFS(النتائج!$H$2:$H$121,النتائج!$A$2:$A$121,$A12,النتائج!$F$2:$F$121,"DESIGN")</f>
        <v>78.500000000000014</v>
      </c>
      <c r="G12" s="22">
        <f>SUMIFS(النتائج!$H$2:$H$121,النتائج!$A$2:$A$121,$A12,النتائج!$F$2:$F$121,"BUILD")</f>
        <v>57.300000000000004</v>
      </c>
      <c r="H12" s="22">
        <f>SUMIFS(النتائج!$H$2:$H$121,النتائج!$A$2:$A$121,$A12,النتائج!$F$2:$F$121,"OPERATE")</f>
        <v>50.100000000000009</v>
      </c>
    </row>
    <row r="13" spans="1:8">
      <c r="A13" s="15" t="s">
        <v>170</v>
      </c>
      <c r="B13" s="15" t="str">
        <f>IFERROR(INDEX('قائمة الوحدات'!$B$2:$B$41,MATCH($A13,'قائمة الوحدات'!$A$2:$A$41,0)),"")</f>
        <v>EXE</v>
      </c>
      <c r="C13" s="14" t="str">
        <f>IFERROR(INDEX('قائمة الوحدات'!$C$2:$C$41,MATCH($A13,'قائمة الوحدات'!$A$2:$A$41,0)),"")</f>
        <v>الشؤون التنفيذية</v>
      </c>
      <c r="D13" s="14" t="str">
        <f>IFERROR(INDEX('قائمة الوحدات'!$D$2:$D$41,MATCH($A13,'قائمة الوحدات'!$A$2:$A$41,0)),"")</f>
        <v>وكالة الشؤون الفنية</v>
      </c>
      <c r="E13" s="14" t="str">
        <f>IFERROR(INDEX('قائمة الوحدات'!$F$2:$F$41,MATCH($A13,'قائمة الوحدات'!$A$2:$A$41,0)),"")</f>
        <v>الإدارة العامة للأمن والحماية</v>
      </c>
      <c r="F13" s="22">
        <f>SUMIFS(النتائج!$H$2:$H$121,النتائج!$A$2:$A$121,$A13,النتائج!$F$2:$F$121,"DESIGN")</f>
        <v>81.45</v>
      </c>
      <c r="G13" s="22">
        <f>SUMIFS(النتائج!$H$2:$H$121,النتائج!$A$2:$A$121,$A13,النتائج!$F$2:$F$121,"BUILD")</f>
        <v>71.5</v>
      </c>
      <c r="H13" s="22">
        <f>SUMIFS(النتائج!$H$2:$H$121,النتائج!$A$2:$A$121,$A13,النتائج!$F$2:$F$121,"OPERATE")</f>
        <v>38.200000000000003</v>
      </c>
    </row>
    <row r="14" spans="1:8">
      <c r="A14" s="15" t="s">
        <v>172</v>
      </c>
      <c r="B14" s="15" t="str">
        <f>IFERROR(INDEX('قائمة الوحدات'!$B$2:$B$41,MATCH($A14,'قائمة الوحدات'!$A$2:$A$41,0)),"")</f>
        <v>EXE</v>
      </c>
      <c r="C14" s="14" t="str">
        <f>IFERROR(INDEX('قائمة الوحدات'!$C$2:$C$41,MATCH($A14,'قائمة الوحدات'!$A$2:$A$41,0)),"")</f>
        <v>الشؤون التنفيذية</v>
      </c>
      <c r="D14" s="14" t="str">
        <f>IFERROR(INDEX('قائمة الوحدات'!$D$2:$D$41,MATCH($A14,'قائمة الوحدات'!$A$2:$A$41,0)),"")</f>
        <v>وكالة الخدمات المساندة</v>
      </c>
      <c r="E14" s="14" t="str">
        <f>IFERROR(INDEX('قائمة الوحدات'!$F$2:$F$41,MATCH($A14,'قائمة الوحدات'!$A$2:$A$41,0)),"")</f>
        <v>الإدارة العامة للموارد البشرية</v>
      </c>
      <c r="F14" s="22">
        <f>SUMIFS(النتائج!$H$2:$H$121,النتائج!$A$2:$A$121,$A14,النتائج!$F$2:$F$121,"DESIGN")</f>
        <v>82.5</v>
      </c>
      <c r="G14" s="22">
        <f>SUMIFS(النتائج!$H$2:$H$121,النتائج!$A$2:$A$121,$A14,النتائج!$F$2:$F$121,"BUILD")</f>
        <v>66.55</v>
      </c>
      <c r="H14" s="22">
        <f>SUMIFS(النتائج!$H$2:$H$121,النتائج!$A$2:$A$121,$A14,النتائج!$F$2:$F$121,"OPERATE")</f>
        <v>40.1</v>
      </c>
    </row>
    <row r="15" spans="1:8">
      <c r="A15" s="15" t="s">
        <v>175</v>
      </c>
      <c r="B15" s="15" t="str">
        <f>IFERROR(INDEX('قائمة الوحدات'!$B$2:$B$41,MATCH($A15,'قائمة الوحدات'!$A$2:$A$41,0)),"")</f>
        <v>EXE</v>
      </c>
      <c r="C15" s="14" t="str">
        <f>IFERROR(INDEX('قائمة الوحدات'!$C$2:$C$41,MATCH($A15,'قائمة الوحدات'!$A$2:$A$41,0)),"")</f>
        <v>الشؤون التنفيذية</v>
      </c>
      <c r="D15" s="14" t="str">
        <f>IFERROR(INDEX('قائمة الوحدات'!$D$2:$D$41,MATCH($A15,'قائمة الوحدات'!$A$2:$A$41,0)),"")</f>
        <v>وكالة الخدمات المساندة</v>
      </c>
      <c r="E15" s="14" t="str">
        <f>IFERROR(INDEX('قائمة الوحدات'!$F$2:$F$41,MATCH($A15,'قائمة الوحدات'!$A$2:$A$41,0)),"")</f>
        <v>الإدارة العامة للشؤون المالية</v>
      </c>
      <c r="F15" s="22">
        <f>SUMIFS(النتائج!$H$2:$H$121,النتائج!$A$2:$A$121,$A15,النتائج!$F$2:$F$121,"DESIGN")</f>
        <v>78.45</v>
      </c>
      <c r="G15" s="22">
        <f>SUMIFS(النتائج!$H$2:$H$121,النتائج!$A$2:$A$121,$A15,النتائج!$F$2:$F$121,"BUILD")</f>
        <v>65.199999999999989</v>
      </c>
      <c r="H15" s="22">
        <f>SUMIFS(النتائج!$H$2:$H$121,النتائج!$A$2:$A$121,$A15,النتائج!$F$2:$F$121,"OPERATE")</f>
        <v>37.75</v>
      </c>
    </row>
    <row r="16" spans="1:8">
      <c r="A16" s="15" t="s">
        <v>177</v>
      </c>
      <c r="B16" s="15" t="str">
        <f>IFERROR(INDEX('قائمة الوحدات'!$B$2:$B$41,MATCH($A16,'قائمة الوحدات'!$A$2:$A$41,0)),"")</f>
        <v>EXE</v>
      </c>
      <c r="C16" s="14" t="str">
        <f>IFERROR(INDEX('قائمة الوحدات'!$C$2:$C$41,MATCH($A16,'قائمة الوحدات'!$A$2:$A$41,0)),"")</f>
        <v>الشؤون التنفيذية</v>
      </c>
      <c r="D16" s="14" t="str">
        <f>IFERROR(INDEX('قائمة الوحدات'!$D$2:$D$41,MATCH($A16,'قائمة الوحدات'!$A$2:$A$41,0)),"")</f>
        <v>وكالة الخدمات المساندة</v>
      </c>
      <c r="E16" s="14" t="str">
        <f>IFERROR(INDEX('قائمة الوحدات'!$F$2:$F$41,MATCH($A16,'قائمة الوحدات'!$A$2:$A$41,0)),"")</f>
        <v>الإدارة العامة لتقنية المعلومات</v>
      </c>
      <c r="F16" s="22">
        <f>SUMIFS(النتائج!$H$2:$H$121,النتائج!$A$2:$A$121,$A16,النتائج!$F$2:$F$121,"DESIGN")</f>
        <v>73.449999999999989</v>
      </c>
      <c r="G16" s="22">
        <f>SUMIFS(النتائج!$H$2:$H$121,النتائج!$A$2:$A$121,$A16,النتائج!$F$2:$F$121,"BUILD")</f>
        <v>63.75</v>
      </c>
      <c r="H16" s="22">
        <f>SUMIFS(النتائج!$H$2:$H$121,النتائج!$A$2:$A$121,$A16,النتائج!$F$2:$F$121,"OPERATE")</f>
        <v>47.4</v>
      </c>
    </row>
    <row r="17" spans="1:8">
      <c r="A17" s="15" t="s">
        <v>179</v>
      </c>
      <c r="B17" s="15" t="str">
        <f>IFERROR(INDEX('قائمة الوحدات'!$B$2:$B$41,MATCH($A17,'قائمة الوحدات'!$A$2:$A$41,0)),"")</f>
        <v>EXE</v>
      </c>
      <c r="C17" s="14" t="str">
        <f>IFERROR(INDEX('قائمة الوحدات'!$C$2:$C$41,MATCH($A17,'قائمة الوحدات'!$A$2:$A$41,0)),"")</f>
        <v>الشؤون التنفيذية</v>
      </c>
      <c r="D17" s="14" t="str">
        <f>IFERROR(INDEX('قائمة الوحدات'!$D$2:$D$41,MATCH($A17,'قائمة الوحدات'!$A$2:$A$41,0)),"")</f>
        <v>وكالة الشؤون الاستراتيجية</v>
      </c>
      <c r="E17" s="14" t="str">
        <f>IFERROR(INDEX('قائمة الوحدات'!$F$2:$F$41,MATCH($A17,'قائمة الوحدات'!$A$2:$A$41,0)),"")</f>
        <v>وكالة الشؤون الاستراتيجية</v>
      </c>
      <c r="F17" s="22">
        <f>SUMIFS(النتائج!$H$2:$H$121,النتائج!$A$2:$A$121,$A17,النتائج!$F$2:$F$121,"DESIGN")</f>
        <v>84.35</v>
      </c>
      <c r="G17" s="22">
        <f>SUMIFS(النتائج!$H$2:$H$121,النتائج!$A$2:$A$121,$A17,النتائج!$F$2:$F$121,"BUILD")</f>
        <v>62.449999999999996</v>
      </c>
      <c r="H17" s="22">
        <f>SUMIFS(النتائج!$H$2:$H$121,النتائج!$A$2:$A$121,$A17,النتائج!$F$2:$F$121,"OPERATE")</f>
        <v>40.85</v>
      </c>
    </row>
    <row r="18" spans="1:8">
      <c r="A18" s="15" t="s">
        <v>182</v>
      </c>
      <c r="B18" s="15" t="str">
        <f>IFERROR(INDEX('قائمة الوحدات'!$B$2:$B$41,MATCH($A18,'قائمة الوحدات'!$A$2:$A$41,0)),"")</f>
        <v>EXE</v>
      </c>
      <c r="C18" s="14" t="str">
        <f>IFERROR(INDEX('قائمة الوحدات'!$C$2:$C$41,MATCH($A18,'قائمة الوحدات'!$A$2:$A$41,0)),"")</f>
        <v>الشؤون التنفيذية</v>
      </c>
      <c r="D18" s="14" t="str">
        <f>IFERROR(INDEX('قائمة الوحدات'!$D$2:$D$41,MATCH($A18,'قائمة الوحدات'!$A$2:$A$41,0)),"")</f>
        <v>وكالة التحول الرقمي</v>
      </c>
      <c r="E18" s="14" t="str">
        <f>IFERROR(INDEX('قائمة الوحدات'!$F$2:$F$41,MATCH($A18,'قائمة الوحدات'!$A$2:$A$41,0)),"")</f>
        <v>وكالة التحول الرقمي</v>
      </c>
      <c r="F18" s="22">
        <f>SUMIFS(النتائج!$H$2:$H$121,النتائج!$A$2:$A$121,$A18,النتائج!$F$2:$F$121,"DESIGN")</f>
        <v>80.350000000000009</v>
      </c>
      <c r="G18" s="22">
        <f>SUMIFS(النتائج!$H$2:$H$121,النتائج!$A$2:$A$121,$A18,النتائج!$F$2:$F$121,"BUILD")</f>
        <v>57.300000000000004</v>
      </c>
      <c r="H18" s="22">
        <f>SUMIFS(النتائج!$H$2:$H$121,النتائج!$A$2:$A$121,$A18,النتائج!$F$2:$F$121,"OPERATE")</f>
        <v>29.65</v>
      </c>
    </row>
    <row r="19" spans="1:8">
      <c r="A19" s="15" t="s">
        <v>184</v>
      </c>
      <c r="B19" s="15" t="str">
        <f>IFERROR(INDEX('قائمة الوحدات'!$B$2:$B$41,MATCH($A19,'قائمة الوحدات'!$A$2:$A$41,0)),"")</f>
        <v>EXE</v>
      </c>
      <c r="C19" s="14" t="str">
        <f>IFERROR(INDEX('قائمة الوحدات'!$C$2:$C$41,MATCH($A19,'قائمة الوحدات'!$A$2:$A$41,0)),"")</f>
        <v>الشؤون التنفيذية</v>
      </c>
      <c r="D19" s="14" t="str">
        <f>IFERROR(INDEX('قائمة الوحدات'!$D$2:$D$41,MATCH($A19,'قائمة الوحدات'!$A$2:$A$41,0)),"")</f>
        <v>وكالة الاتصال المؤسسي</v>
      </c>
      <c r="E19" s="14" t="str">
        <f>IFERROR(INDEX('قائمة الوحدات'!$F$2:$F$41,MATCH($A19,'قائمة الوحدات'!$A$2:$A$41,0)),"")</f>
        <v>وكالة الاتصال المؤسسي</v>
      </c>
      <c r="F19" s="22">
        <f>SUMIFS(النتائج!$H$2:$H$121,النتائج!$A$2:$A$121,$A19,النتائج!$F$2:$F$121,"DESIGN")</f>
        <v>83</v>
      </c>
      <c r="G19" s="22">
        <f>SUMIFS(النتائج!$H$2:$H$121,النتائج!$A$2:$A$121,$A19,النتائج!$F$2:$F$121,"BUILD")</f>
        <v>60.45</v>
      </c>
      <c r="H19" s="22">
        <f>SUMIFS(النتائج!$H$2:$H$121,النتائج!$A$2:$A$121,$A19,النتائج!$F$2:$F$121,"OPERATE")</f>
        <v>46.499999999999993</v>
      </c>
    </row>
    <row r="20" spans="1:8">
      <c r="A20" s="15" t="s">
        <v>186</v>
      </c>
      <c r="B20" s="15" t="str">
        <f>IFERROR(INDEX('قائمة الوحدات'!$B$2:$B$41,MATCH($A20,'قائمة الوحدات'!$A$2:$A$41,0)),"")</f>
        <v>EXE</v>
      </c>
      <c r="C20" s="14" t="str">
        <f>IFERROR(INDEX('قائمة الوحدات'!$C$2:$C$41,MATCH($A20,'قائمة الوحدات'!$A$2:$A$41,0)),"")</f>
        <v>الشؤون التنفيذية</v>
      </c>
      <c r="D20" s="14" t="str">
        <f>IFERROR(INDEX('قائمة الوحدات'!$D$2:$D$41,MATCH($A20,'قائمة الوحدات'!$A$2:$A$41,0)),"")</f>
        <v>وكالة الرقابة والالتزام</v>
      </c>
      <c r="E20" s="14" t="str">
        <f>IFERROR(INDEX('قائمة الوحدات'!$F$2:$F$41,MATCH($A20,'قائمة الوحدات'!$A$2:$A$41,0)),"")</f>
        <v>وكالة الرقابة والالتزام</v>
      </c>
      <c r="F20" s="22">
        <f>SUMIFS(النتائج!$H$2:$H$121,النتائج!$A$2:$A$121,$A20,النتائج!$F$2:$F$121,"DESIGN")</f>
        <v>79.25</v>
      </c>
      <c r="G20" s="22">
        <f>SUMIFS(النتائج!$H$2:$H$121,النتائج!$A$2:$A$121,$A20,النتائج!$F$2:$F$121,"BUILD")</f>
        <v>76.150000000000006</v>
      </c>
      <c r="H20" s="22">
        <f>SUMIFS(النتائج!$H$2:$H$121,النتائج!$A$2:$A$121,$A20,النتائج!$F$2:$F$121,"OPERATE")</f>
        <v>47.35</v>
      </c>
    </row>
    <row r="21" spans="1:8">
      <c r="A21" s="15" t="s">
        <v>188</v>
      </c>
      <c r="B21" s="15" t="str">
        <f>IFERROR(INDEX('قائمة الوحدات'!$B$2:$B$41,MATCH($A21,'قائمة الوحدات'!$A$2:$A$41,0)),"")</f>
        <v>MIL</v>
      </c>
      <c r="C21" s="14" t="str">
        <f>IFERROR(INDEX('قائمة الوحدات'!$C$2:$C$41,MATCH($A21,'قائمة الوحدات'!$A$2:$A$41,0)),"")</f>
        <v>الجهاز العسكري</v>
      </c>
      <c r="D21" s="14" t="str">
        <f>IFERROR(INDEX('قائمة الوحدات'!$D$2:$D$41,MATCH($A21,'قائمة الوحدات'!$A$2:$A$41,0)),"")</f>
        <v>هيئة الأركان</v>
      </c>
      <c r="E21" s="14" t="str">
        <f>IFERROR(INDEX('قائمة الوحدات'!$F$2:$F$41,MATCH($A21,'قائمة الوحدات'!$A$2:$A$41,0)),"")</f>
        <v>هيئة الأركان</v>
      </c>
      <c r="F21" s="22">
        <f>SUMIFS(النتائج!$H$2:$H$121,النتائج!$A$2:$A$121,$A21,النتائج!$F$2:$F$121,"DESIGN")</f>
        <v>72.25</v>
      </c>
      <c r="G21" s="22">
        <f>SUMIFS(النتائج!$H$2:$H$121,النتائج!$A$2:$A$121,$A21,النتائج!$F$2:$F$121,"BUILD")</f>
        <v>61.6</v>
      </c>
      <c r="H21" s="22">
        <f>SUMIFS(النتائج!$H$2:$H$121,النتائج!$A$2:$A$121,$A21,النتائج!$F$2:$F$121,"OPERATE")</f>
        <v>39.700000000000003</v>
      </c>
    </row>
    <row r="22" spans="1:8">
      <c r="A22" s="15" t="s">
        <v>192</v>
      </c>
      <c r="B22" s="15" t="str">
        <f>IFERROR(INDEX('قائمة الوحدات'!$B$2:$B$41,MATCH($A22,'قائمة الوحدات'!$A$2:$A$41,0)),"")</f>
        <v>MIL</v>
      </c>
      <c r="C22" s="14" t="str">
        <f>IFERROR(INDEX('قائمة الوحدات'!$C$2:$C$41,MATCH($A22,'قائمة الوحدات'!$A$2:$A$41,0)),"")</f>
        <v>الجهاز العسكري</v>
      </c>
      <c r="D22" s="14" t="str">
        <f>IFERROR(INDEX('قائمة الوحدات'!$D$2:$D$41,MATCH($A22,'قائمة الوحدات'!$A$2:$A$41,0)),"")</f>
        <v>قيادة القوات البرية</v>
      </c>
      <c r="E22" s="14" t="str">
        <f>IFERROR(INDEX('قائمة الوحدات'!$F$2:$F$41,MATCH($A22,'قائمة الوحدات'!$A$2:$A$41,0)),"")</f>
        <v>قيادة القوات البرية</v>
      </c>
      <c r="F22" s="22">
        <f>SUMIFS(النتائج!$H$2:$H$121,النتائج!$A$2:$A$121,$A22,النتائج!$F$2:$F$121,"DESIGN")</f>
        <v>74.100000000000009</v>
      </c>
      <c r="G22" s="22">
        <f>SUMIFS(النتائج!$H$2:$H$121,النتائج!$A$2:$A$121,$A22,النتائج!$F$2:$F$121,"BUILD")</f>
        <v>57.3</v>
      </c>
      <c r="H22" s="22">
        <f>SUMIFS(النتائج!$H$2:$H$121,النتائج!$A$2:$A$121,$A22,النتائج!$F$2:$F$121,"OPERATE")</f>
        <v>44.3</v>
      </c>
    </row>
    <row r="23" spans="1:8">
      <c r="A23" s="15" t="s">
        <v>194</v>
      </c>
      <c r="B23" s="15" t="str">
        <f>IFERROR(INDEX('قائمة الوحدات'!$B$2:$B$41,MATCH($A23,'قائمة الوحدات'!$A$2:$A$41,0)),"")</f>
        <v>MIL</v>
      </c>
      <c r="C23" s="14" t="str">
        <f>IFERROR(INDEX('قائمة الوحدات'!$C$2:$C$41,MATCH($A23,'قائمة الوحدات'!$A$2:$A$41,0)),"")</f>
        <v>الجهاز العسكري</v>
      </c>
      <c r="D23" s="14" t="str">
        <f>IFERROR(INDEX('قائمة الوحدات'!$D$2:$D$41,MATCH($A23,'قائمة الوحدات'!$A$2:$A$41,0)),"")</f>
        <v>قيادة القوات الجوية</v>
      </c>
      <c r="E23" s="14" t="str">
        <f>IFERROR(INDEX('قائمة الوحدات'!$F$2:$F$41,MATCH($A23,'قائمة الوحدات'!$A$2:$A$41,0)),"")</f>
        <v>قيادة القوات الجوية</v>
      </c>
      <c r="F23" s="22">
        <f>SUMIFS(النتائج!$H$2:$H$121,النتائج!$A$2:$A$121,$A23,النتائج!$F$2:$F$121,"DESIGN")</f>
        <v>81.150000000000006</v>
      </c>
      <c r="G23" s="22">
        <f>SUMIFS(النتائج!$H$2:$H$121,النتائج!$A$2:$A$121,$A23,النتائج!$F$2:$F$121,"BUILD")</f>
        <v>63.6</v>
      </c>
      <c r="H23" s="22">
        <f>SUMIFS(النتائج!$H$2:$H$121,النتائج!$A$2:$A$121,$A23,النتائج!$F$2:$F$121,"OPERATE")</f>
        <v>51.2</v>
      </c>
    </row>
    <row r="24" spans="1:8">
      <c r="A24" s="15" t="s">
        <v>196</v>
      </c>
      <c r="B24" s="15" t="str">
        <f>IFERROR(INDEX('قائمة الوحدات'!$B$2:$B$41,MATCH($A24,'قائمة الوحدات'!$A$2:$A$41,0)),"")</f>
        <v>MIL</v>
      </c>
      <c r="C24" s="14" t="str">
        <f>IFERROR(INDEX('قائمة الوحدات'!$C$2:$C$41,MATCH($A24,'قائمة الوحدات'!$A$2:$A$41,0)),"")</f>
        <v>الجهاز العسكري</v>
      </c>
      <c r="D24" s="14" t="str">
        <f>IFERROR(INDEX('قائمة الوحدات'!$D$2:$D$41,MATCH($A24,'قائمة الوحدات'!$A$2:$A$41,0)),"")</f>
        <v>قيادة القوات البحرية</v>
      </c>
      <c r="E24" s="14" t="str">
        <f>IFERROR(INDEX('قائمة الوحدات'!$F$2:$F$41,MATCH($A24,'قائمة الوحدات'!$A$2:$A$41,0)),"")</f>
        <v>قيادة القوات البحرية</v>
      </c>
      <c r="F24" s="22">
        <f>SUMIFS(النتائج!$H$2:$H$121,النتائج!$A$2:$A$121,$A24,النتائج!$F$2:$F$121,"DESIGN")</f>
        <v>83.75</v>
      </c>
      <c r="G24" s="22">
        <f>SUMIFS(النتائج!$H$2:$H$121,النتائج!$A$2:$A$121,$A24,النتائج!$F$2:$F$121,"BUILD")</f>
        <v>60.25</v>
      </c>
      <c r="H24" s="22">
        <f>SUMIFS(النتائج!$H$2:$H$121,النتائج!$A$2:$A$121,$A24,النتائج!$F$2:$F$121,"OPERATE")</f>
        <v>38.049999999999997</v>
      </c>
    </row>
    <row r="25" spans="1:8">
      <c r="A25" s="15" t="s">
        <v>198</v>
      </c>
      <c r="B25" s="15" t="str">
        <f>IFERROR(INDEX('قائمة الوحدات'!$B$2:$B$41,MATCH($A25,'قائمة الوحدات'!$A$2:$A$41,0)),"")</f>
        <v>MIL</v>
      </c>
      <c r="C25" s="14" t="str">
        <f>IFERROR(INDEX('قائمة الوحدات'!$C$2:$C$41,MATCH($A25,'قائمة الوحدات'!$A$2:$A$41,0)),"")</f>
        <v>الجهاز العسكري</v>
      </c>
      <c r="D25" s="14" t="str">
        <f>IFERROR(INDEX('قائمة الوحدات'!$D$2:$D$41,MATCH($A25,'قائمة الوحدات'!$A$2:$A$41,0)),"")</f>
        <v>قيادة قوات الدفاع الجوي</v>
      </c>
      <c r="E25" s="14" t="str">
        <f>IFERROR(INDEX('قائمة الوحدات'!$F$2:$F$41,MATCH($A25,'قائمة الوحدات'!$A$2:$A$41,0)),"")</f>
        <v>قيادة قوات الدفاع الجوي</v>
      </c>
      <c r="F25" s="22">
        <f>SUMIFS(النتائج!$H$2:$H$121,النتائج!$A$2:$A$121,$A25,النتائج!$F$2:$F$121,"DESIGN")</f>
        <v>85.4</v>
      </c>
      <c r="G25" s="22">
        <f>SUMIFS(النتائج!$H$2:$H$121,النتائج!$A$2:$A$121,$A25,النتائج!$F$2:$F$121,"BUILD")</f>
        <v>67.900000000000006</v>
      </c>
      <c r="H25" s="22">
        <f>SUMIFS(النتائج!$H$2:$H$121,النتائج!$A$2:$A$121,$A25,النتائج!$F$2:$F$121,"OPERATE")</f>
        <v>38.349999999999994</v>
      </c>
    </row>
    <row r="26" spans="1:8">
      <c r="A26" s="15" t="s">
        <v>200</v>
      </c>
      <c r="B26" s="15" t="str">
        <f>IFERROR(INDEX('قائمة الوحدات'!$B$2:$B$41,MATCH($A26,'قائمة الوحدات'!$A$2:$A$41,0)),"")</f>
        <v>MIL</v>
      </c>
      <c r="C26" s="14" t="str">
        <f>IFERROR(INDEX('قائمة الوحدات'!$C$2:$C$41,MATCH($A26,'قائمة الوحدات'!$A$2:$A$41,0)),"")</f>
        <v>الجهاز العسكري</v>
      </c>
      <c r="D26" s="14" t="str">
        <f>IFERROR(INDEX('قائمة الوحدات'!$D$2:$D$41,MATCH($A26,'قائمة الوحدات'!$A$2:$A$41,0)),"")</f>
        <v>قيادة القوات الاستراتيجية</v>
      </c>
      <c r="E26" s="14" t="str">
        <f>IFERROR(INDEX('قائمة الوحدات'!$F$2:$F$41,MATCH($A26,'قائمة الوحدات'!$A$2:$A$41,0)),"")</f>
        <v>قيادة القوات الاستراتيجية</v>
      </c>
      <c r="F26" s="22">
        <f>SUMIFS(النتائج!$H$2:$H$121,النتائج!$A$2:$A$121,$A26,النتائج!$F$2:$F$121,"DESIGN")</f>
        <v>84.75</v>
      </c>
      <c r="G26" s="22">
        <f>SUMIFS(النتائج!$H$2:$H$121,النتائج!$A$2:$A$121,$A26,النتائج!$F$2:$F$121,"BUILD")</f>
        <v>62.45</v>
      </c>
      <c r="H26" s="22">
        <f>SUMIFS(النتائج!$H$2:$H$121,النتائج!$A$2:$A$121,$A26,النتائج!$F$2:$F$121,"OPERATE")</f>
        <v>36.6</v>
      </c>
    </row>
    <row r="27" spans="1:8">
      <c r="A27" s="15" t="s">
        <v>202</v>
      </c>
      <c r="B27" s="15" t="str">
        <f>IFERROR(INDEX('قائمة الوحدات'!$B$2:$B$41,MATCH($A27,'قائمة الوحدات'!$A$2:$A$41,0)),"")</f>
        <v>MIL</v>
      </c>
      <c r="C27" s="14" t="str">
        <f>IFERROR(INDEX('قائمة الوحدات'!$C$2:$C$41,MATCH($A27,'قائمة الوحدات'!$A$2:$A$41,0)),"")</f>
        <v>الجهاز العسكري</v>
      </c>
      <c r="D27" s="14" t="str">
        <f>IFERROR(INDEX('قائمة الوحدات'!$D$2:$D$41,MATCH($A27,'قائمة الوحدات'!$A$2:$A$41,0)),"")</f>
        <v>الإدارة العامة للاستخبارات العسكرية</v>
      </c>
      <c r="E27" s="14" t="str">
        <f>IFERROR(INDEX('قائمة الوحدات'!$F$2:$F$41,MATCH($A27,'قائمة الوحدات'!$A$2:$A$41,0)),"")</f>
        <v>الإدارة العامة للاستخبارات العسكرية</v>
      </c>
      <c r="F27" s="22">
        <f>SUMIFS(النتائج!$H$2:$H$121,النتائج!$A$2:$A$121,$A27,النتائج!$F$2:$F$121,"DESIGN")</f>
        <v>82.95</v>
      </c>
      <c r="G27" s="22">
        <f>SUMIFS(النتائج!$H$2:$H$121,النتائج!$A$2:$A$121,$A27,النتائج!$F$2:$F$121,"BUILD")</f>
        <v>74.199999999999989</v>
      </c>
      <c r="H27" s="22">
        <f>SUMIFS(النتائج!$H$2:$H$121,النتائج!$A$2:$A$121,$A27,النتائج!$F$2:$F$121,"OPERATE")</f>
        <v>37.450000000000003</v>
      </c>
    </row>
    <row r="28" spans="1:8">
      <c r="A28" s="15" t="s">
        <v>204</v>
      </c>
      <c r="B28" s="15" t="str">
        <f>IFERROR(INDEX('قائمة الوحدات'!$B$2:$B$41,MATCH($A28,'قائمة الوحدات'!$A$2:$A$41,0)),"")</f>
        <v>MIL</v>
      </c>
      <c r="C28" s="14" t="str">
        <f>IFERROR(INDEX('قائمة الوحدات'!$C$2:$C$41,MATCH($A28,'قائمة الوحدات'!$A$2:$A$41,0)),"")</f>
        <v>الجهاز العسكري</v>
      </c>
      <c r="D28" s="14" t="str">
        <f>IFERROR(INDEX('قائمة الوحدات'!$D$2:$D$41,MATCH($A28,'قائمة الوحدات'!$A$2:$A$41,0)),"")</f>
        <v>الإدارة العامة للعمليات المشتركة</v>
      </c>
      <c r="E28" s="14" t="str">
        <f>IFERROR(INDEX('قائمة الوحدات'!$F$2:$F$41,MATCH($A28,'قائمة الوحدات'!$A$2:$A$41,0)),"")</f>
        <v>الإدارة العامة للعمليات المشتركة</v>
      </c>
      <c r="F28" s="22">
        <f>SUMIFS(النتائج!$H$2:$H$121,النتائج!$A$2:$A$121,$A28,النتائج!$F$2:$F$121,"DESIGN")</f>
        <v>80.650000000000006</v>
      </c>
      <c r="G28" s="22">
        <f>SUMIFS(النتائج!$H$2:$H$121,النتائج!$A$2:$A$121,$A28,النتائج!$F$2:$F$121,"BUILD")</f>
        <v>74.949999999999989</v>
      </c>
      <c r="H28" s="22">
        <f>SUMIFS(النتائج!$H$2:$H$121,النتائج!$A$2:$A$121,$A28,النتائج!$F$2:$F$121,"OPERATE")</f>
        <v>42.45</v>
      </c>
    </row>
    <row r="29" spans="1:8">
      <c r="A29" s="15" t="s">
        <v>206</v>
      </c>
      <c r="B29" s="15" t="str">
        <f>IFERROR(INDEX('قائمة الوحدات'!$B$2:$B$41,MATCH($A29,'قائمة الوحدات'!$A$2:$A$41,0)),"")</f>
        <v>MIL</v>
      </c>
      <c r="C29" s="14" t="str">
        <f>IFERROR(INDEX('قائمة الوحدات'!$C$2:$C$41,MATCH($A29,'قائمة الوحدات'!$A$2:$A$41,0)),"")</f>
        <v>الجهاز العسكري</v>
      </c>
      <c r="D29" s="14" t="str">
        <f>IFERROR(INDEX('قائمة الوحدات'!$D$2:$D$41,MATCH($A29,'قائمة الوحدات'!$A$2:$A$41,0)),"")</f>
        <v>الإدارة العامة للتخطيط والتنظيم العسكري</v>
      </c>
      <c r="E29" s="14" t="str">
        <f>IFERROR(INDEX('قائمة الوحدات'!$F$2:$F$41,MATCH($A29,'قائمة الوحدات'!$A$2:$A$41,0)),"")</f>
        <v>الإدارة العامة للتخطيط والتنظيم العسكري</v>
      </c>
      <c r="F29" s="22">
        <f>SUMIFS(النتائج!$H$2:$H$121,النتائج!$A$2:$A$121,$A29,النتائج!$F$2:$F$121,"DESIGN")</f>
        <v>80.25</v>
      </c>
      <c r="G29" s="22">
        <f>SUMIFS(النتائج!$H$2:$H$121,النتائج!$A$2:$A$121,$A29,النتائج!$F$2:$F$121,"BUILD")</f>
        <v>60.150000000000006</v>
      </c>
      <c r="H29" s="22">
        <f>SUMIFS(النتائج!$H$2:$H$121,النتائج!$A$2:$A$121,$A29,النتائج!$F$2:$F$121,"OPERATE")</f>
        <v>31.6</v>
      </c>
    </row>
    <row r="30" spans="1:8">
      <c r="A30" s="15" t="s">
        <v>208</v>
      </c>
      <c r="B30" s="15" t="str">
        <f>IFERROR(INDEX('قائمة الوحدات'!$B$2:$B$41,MATCH($A30,'قائمة الوحدات'!$A$2:$A$41,0)),"")</f>
        <v>MIL</v>
      </c>
      <c r="C30" s="14" t="str">
        <f>IFERROR(INDEX('قائمة الوحدات'!$C$2:$C$41,MATCH($A30,'قائمة الوحدات'!$A$2:$A$41,0)),"")</f>
        <v>الجهاز العسكري</v>
      </c>
      <c r="D30" s="14" t="str">
        <f>IFERROR(INDEX('قائمة الوحدات'!$D$2:$D$41,MATCH($A30,'قائمة الوحدات'!$A$2:$A$41,0)),"")</f>
        <v>الإدارة العامة للإمداد والتموين</v>
      </c>
      <c r="E30" s="14" t="str">
        <f>IFERROR(INDEX('قائمة الوحدات'!$F$2:$F$41,MATCH($A30,'قائمة الوحدات'!$A$2:$A$41,0)),"")</f>
        <v>الإدارة العامة للإمداد والتموين</v>
      </c>
      <c r="F30" s="22">
        <f>SUMIFS(النتائج!$H$2:$H$121,النتائج!$A$2:$A$121,$A30,النتائج!$F$2:$F$121,"DESIGN")</f>
        <v>88.75</v>
      </c>
      <c r="G30" s="22">
        <f>SUMIFS(النتائج!$H$2:$H$121,النتائج!$A$2:$A$121,$A30,النتائج!$F$2:$F$121,"BUILD")</f>
        <v>66.3</v>
      </c>
      <c r="H30" s="22">
        <f>SUMIFS(النتائج!$H$2:$H$121,النتائج!$A$2:$A$121,$A30,النتائج!$F$2:$F$121,"OPERATE")</f>
        <v>47.1</v>
      </c>
    </row>
    <row r="31" spans="1:8">
      <c r="A31" s="15" t="s">
        <v>210</v>
      </c>
      <c r="B31" s="15" t="str">
        <f>IFERROR(INDEX('قائمة الوحدات'!$B$2:$B$41,MATCH($A31,'قائمة الوحدات'!$A$2:$A$41,0)),"")</f>
        <v>MIL</v>
      </c>
      <c r="C31" s="14" t="str">
        <f>IFERROR(INDEX('قائمة الوحدات'!$C$2:$C$41,MATCH($A31,'قائمة الوحدات'!$A$2:$A$41,0)),"")</f>
        <v>الجهاز العسكري</v>
      </c>
      <c r="D31" s="14" t="str">
        <f>IFERROR(INDEX('قائمة الوحدات'!$D$2:$D$41,MATCH($A31,'قائمة الوحدات'!$A$2:$A$41,0)),"")</f>
        <v>الإدارة العامة للاتصالات وتقنية المعلومات العسكرية</v>
      </c>
      <c r="E31" s="14" t="str">
        <f>IFERROR(INDEX('قائمة الوحدات'!$F$2:$F$41,MATCH($A31,'قائمة الوحدات'!$A$2:$A$41,0)),"")</f>
        <v>الإدارة العامة للاتصالات وتقنية المعلومات العسكرية</v>
      </c>
      <c r="F31" s="22">
        <f>SUMIFS(النتائج!$H$2:$H$121,النتائج!$A$2:$A$121,$A31,النتائج!$F$2:$F$121,"DESIGN")</f>
        <v>85.5</v>
      </c>
      <c r="G31" s="22">
        <f>SUMIFS(النتائج!$H$2:$H$121,النتائج!$A$2:$A$121,$A31,النتائج!$F$2:$F$121,"BUILD")</f>
        <v>69.2</v>
      </c>
      <c r="H31" s="22">
        <f>SUMIFS(النتائج!$H$2:$H$121,النتائج!$A$2:$A$121,$A31,النتائج!$F$2:$F$121,"OPERATE")</f>
        <v>41.45</v>
      </c>
    </row>
    <row r="32" spans="1:8">
      <c r="A32" s="15" t="s">
        <v>212</v>
      </c>
      <c r="B32" s="15" t="str">
        <f>IFERROR(INDEX('قائمة الوحدات'!$B$2:$B$41,MATCH($A32,'قائمة الوحدات'!$A$2:$A$41,0)),"")</f>
        <v>MIL</v>
      </c>
      <c r="C32" s="14" t="str">
        <f>IFERROR(INDEX('قائمة الوحدات'!$C$2:$C$41,MATCH($A32,'قائمة الوحدات'!$A$2:$A$41,0)),"")</f>
        <v>الجهاز العسكري</v>
      </c>
      <c r="D32" s="14" t="str">
        <f>IFERROR(INDEX('قائمة الوحدات'!$D$2:$D$41,MATCH($A32,'قائمة الوحدات'!$A$2:$A$41,0)),"")</f>
        <v>الإدارة العامة للشؤون الهندسية العسكرية</v>
      </c>
      <c r="E32" s="14" t="str">
        <f>IFERROR(INDEX('قائمة الوحدات'!$F$2:$F$41,MATCH($A32,'قائمة الوحدات'!$A$2:$A$41,0)),"")</f>
        <v>الإدارة العامة للشؤون الهندسية العسكرية</v>
      </c>
      <c r="F32" s="22">
        <f>SUMIFS(النتائج!$H$2:$H$121,النتائج!$A$2:$A$121,$A32,النتائج!$F$2:$F$121,"DESIGN")</f>
        <v>81.350000000000009</v>
      </c>
      <c r="G32" s="22">
        <f>SUMIFS(النتائج!$H$2:$H$121,النتائج!$A$2:$A$121,$A32,النتائج!$F$2:$F$121,"BUILD")</f>
        <v>59.550000000000004</v>
      </c>
      <c r="H32" s="22">
        <f>SUMIFS(النتائج!$H$2:$H$121,النتائج!$A$2:$A$121,$A32,النتائج!$F$2:$F$121,"OPERATE")</f>
        <v>37.75</v>
      </c>
    </row>
    <row r="33" spans="1:8">
      <c r="A33" s="15" t="s">
        <v>214</v>
      </c>
      <c r="B33" s="15" t="str">
        <f>IFERROR(INDEX('قائمة الوحدات'!$B$2:$B$41,MATCH($A33,'قائمة الوحدات'!$A$2:$A$41,0)),"")</f>
        <v>MIL</v>
      </c>
      <c r="C33" s="14" t="str">
        <f>IFERROR(INDEX('قائمة الوحدات'!$C$2:$C$41,MATCH($A33,'قائمة الوحدات'!$A$2:$A$41,0)),"")</f>
        <v>الجهاز العسكري</v>
      </c>
      <c r="D33" s="14" t="str">
        <f>IFERROR(INDEX('قائمة الوحدات'!$D$2:$D$41,MATCH($A33,'قائمة الوحدات'!$A$2:$A$41,0)),"")</f>
        <v>الإدارة العامة للخدمات الطبية العسكرية</v>
      </c>
      <c r="E33" s="14" t="str">
        <f>IFERROR(INDEX('قائمة الوحدات'!$F$2:$F$41,MATCH($A33,'قائمة الوحدات'!$A$2:$A$41,0)),"")</f>
        <v>الإدارة العامة للخدمات الطبية العسكرية</v>
      </c>
      <c r="F33" s="22">
        <f>SUMIFS(النتائج!$H$2:$H$121,النتائج!$A$2:$A$121,$A33,النتائج!$F$2:$F$121,"DESIGN")</f>
        <v>83.6</v>
      </c>
      <c r="G33" s="22">
        <f>SUMIFS(النتائج!$H$2:$H$121,النتائج!$A$2:$A$121,$A33,النتائج!$F$2:$F$121,"BUILD")</f>
        <v>66.349999999999994</v>
      </c>
      <c r="H33" s="22">
        <f>SUMIFS(النتائج!$H$2:$H$121,النتائج!$A$2:$A$121,$A33,النتائج!$F$2:$F$121,"OPERATE")</f>
        <v>51.3</v>
      </c>
    </row>
    <row r="34" spans="1:8">
      <c r="A34" s="15" t="s">
        <v>216</v>
      </c>
      <c r="B34" s="15" t="str">
        <f>IFERROR(INDEX('قائمة الوحدات'!$B$2:$B$41,MATCH($A34,'قائمة الوحدات'!$A$2:$A$41,0)),"")</f>
        <v>MIL</v>
      </c>
      <c r="C34" s="14" t="str">
        <f>IFERROR(INDEX('قائمة الوحدات'!$C$2:$C$41,MATCH($A34,'قائمة الوحدات'!$A$2:$A$41,0)),"")</f>
        <v>الجهاز العسكري</v>
      </c>
      <c r="D34" s="14" t="str">
        <f>IFERROR(INDEX('قائمة الوحدات'!$D$2:$D$41,MATCH($A34,'قائمة الوحدات'!$A$2:$A$41,0)),"")</f>
        <v>الإدارة العامة للقوى البشرية العسكرية</v>
      </c>
      <c r="E34" s="14" t="str">
        <f>IFERROR(INDEX('قائمة الوحدات'!$F$2:$F$41,MATCH($A34,'قائمة الوحدات'!$A$2:$A$41,0)),"")</f>
        <v>الإدارة العامة للقوى البشرية العسكرية</v>
      </c>
      <c r="F34" s="22">
        <f>SUMIFS(النتائج!$H$2:$H$121,النتائج!$A$2:$A$121,$A34,النتائج!$F$2:$F$121,"DESIGN")</f>
        <v>83.2</v>
      </c>
      <c r="G34" s="22">
        <f>SUMIFS(النتائج!$H$2:$H$121,النتائج!$A$2:$A$121,$A34,النتائج!$F$2:$F$121,"BUILD")</f>
        <v>55.65</v>
      </c>
      <c r="H34" s="22">
        <f>SUMIFS(النتائج!$H$2:$H$121,النتائج!$A$2:$A$121,$A34,النتائج!$F$2:$F$121,"OPERATE")</f>
        <v>49.25</v>
      </c>
    </row>
    <row r="35" spans="1:8">
      <c r="A35" s="15" t="s">
        <v>218</v>
      </c>
      <c r="B35" s="15" t="str">
        <f>IFERROR(INDEX('قائمة الوحدات'!$B$2:$B$41,MATCH($A35,'قائمة الوحدات'!$A$2:$A$41,0)),"")</f>
        <v>MIL</v>
      </c>
      <c r="C35" s="14" t="str">
        <f>IFERROR(INDEX('قائمة الوحدات'!$C$2:$C$41,MATCH($A35,'قائمة الوحدات'!$A$2:$A$41,0)),"")</f>
        <v>الجهاز العسكري</v>
      </c>
      <c r="D35" s="14" t="str">
        <f>IFERROR(INDEX('قائمة الوحدات'!$D$2:$D$41,MATCH($A35,'قائمة الوحدات'!$A$2:$A$41,0)),"")</f>
        <v>الإدارة العامة للتدريب والتأهيل العسكري</v>
      </c>
      <c r="E35" s="14" t="str">
        <f>IFERROR(INDEX('قائمة الوحدات'!$F$2:$F$41,MATCH($A35,'قائمة الوحدات'!$A$2:$A$41,0)),"")</f>
        <v>الإدارة العامة للتدريب والتأهيل العسكري</v>
      </c>
      <c r="F35" s="22">
        <f>SUMIFS(النتائج!$H$2:$H$121,النتائج!$A$2:$A$121,$A35,النتائج!$F$2:$F$121,"DESIGN")</f>
        <v>90.55</v>
      </c>
      <c r="G35" s="22">
        <f>SUMIFS(النتائج!$H$2:$H$121,النتائج!$A$2:$A$121,$A35,النتائج!$F$2:$F$121,"BUILD")</f>
        <v>69.750000000000014</v>
      </c>
      <c r="H35" s="22">
        <f>SUMIFS(النتائج!$H$2:$H$121,النتائج!$A$2:$A$121,$A35,النتائج!$F$2:$F$121,"OPERATE")</f>
        <v>41.8</v>
      </c>
    </row>
    <row r="36" spans="1:8">
      <c r="A36" s="15" t="s">
        <v>220</v>
      </c>
      <c r="B36" s="15" t="str">
        <f>IFERROR(INDEX('قائمة الوحدات'!$B$2:$B$41,MATCH($A36,'قائمة الوحدات'!$A$2:$A$41,0)),"")</f>
        <v>MIL</v>
      </c>
      <c r="C36" s="14" t="str">
        <f>IFERROR(INDEX('قائمة الوحدات'!$C$2:$C$41,MATCH($A36,'قائمة الوحدات'!$A$2:$A$41,0)),"")</f>
        <v>الجهاز العسكري</v>
      </c>
      <c r="D36" s="14" t="str">
        <f>IFERROR(INDEX('قائمة الوحدات'!$D$2:$D$41,MATCH($A36,'قائمة الوحدات'!$A$2:$A$41,0)),"")</f>
        <v>الإدارة العامة للتسليح والعتاد</v>
      </c>
      <c r="E36" s="14" t="str">
        <f>IFERROR(INDEX('قائمة الوحدات'!$F$2:$F$41,MATCH($A36,'قائمة الوحدات'!$A$2:$A$41,0)),"")</f>
        <v>الإدارة العامة للتسليح والعتاد</v>
      </c>
      <c r="F36" s="22">
        <f>SUMIFS(النتائج!$H$2:$H$121,النتائج!$A$2:$A$121,$A36,النتائج!$F$2:$F$121,"DESIGN")</f>
        <v>82.3</v>
      </c>
      <c r="G36" s="22">
        <f>SUMIFS(النتائج!$H$2:$H$121,النتائج!$A$2:$A$121,$A36,النتائج!$F$2:$F$121,"BUILD")</f>
        <v>69.049999999999983</v>
      </c>
      <c r="H36" s="22">
        <f>SUMIFS(النتائج!$H$2:$H$121,النتائج!$A$2:$A$121,$A36,النتائج!$F$2:$F$121,"OPERATE")</f>
        <v>36.75</v>
      </c>
    </row>
    <row r="37" spans="1:8">
      <c r="A37" s="15" t="s">
        <v>222</v>
      </c>
      <c r="B37" s="15" t="str">
        <f>IFERROR(INDEX('قائمة الوحدات'!$B$2:$B$41,MATCH($A37,'قائمة الوحدات'!$A$2:$A$41,0)),"")</f>
        <v>MIL</v>
      </c>
      <c r="C37" s="14" t="str">
        <f>IFERROR(INDEX('قائمة الوحدات'!$C$2:$C$41,MATCH($A37,'قائمة الوحدات'!$A$2:$A$41,0)),"")</f>
        <v>الجهاز العسكري</v>
      </c>
      <c r="D37" s="14" t="str">
        <f>IFERROR(INDEX('قائمة الوحدات'!$D$2:$D$41,MATCH($A37,'قائمة الوحدات'!$A$2:$A$41,0)),"")</f>
        <v>الإدارة العامة للقضاء العسكري</v>
      </c>
      <c r="E37" s="14" t="str">
        <f>IFERROR(INDEX('قائمة الوحدات'!$F$2:$F$41,MATCH($A37,'قائمة الوحدات'!$A$2:$A$41,0)),"")</f>
        <v>الإدارة العامة للقضاء العسكري</v>
      </c>
      <c r="F37" s="22">
        <f>SUMIFS(النتائج!$H$2:$H$121,النتائج!$A$2:$A$121,$A37,النتائج!$F$2:$F$121,"DESIGN")</f>
        <v>87.3</v>
      </c>
      <c r="G37" s="22">
        <f>SUMIFS(النتائج!$H$2:$H$121,النتائج!$A$2:$A$121,$A37,النتائج!$F$2:$F$121,"BUILD")</f>
        <v>63.5</v>
      </c>
      <c r="H37" s="22">
        <f>SUMIFS(النتائج!$H$2:$H$121,النتائج!$A$2:$A$121,$A37,النتائج!$F$2:$F$121,"OPERATE")</f>
        <v>32.1</v>
      </c>
    </row>
    <row r="38" spans="1:8">
      <c r="A38" s="15" t="s">
        <v>224</v>
      </c>
      <c r="B38" s="15" t="str">
        <f>IFERROR(INDEX('قائمة الوحدات'!$B$2:$B$41,MATCH($A38,'قائمة الوحدات'!$A$2:$A$41,0)),"")</f>
        <v>MIL</v>
      </c>
      <c r="C38" s="14" t="str">
        <f>IFERROR(INDEX('قائمة الوحدات'!$C$2:$C$41,MATCH($A38,'قائمة الوحدات'!$A$2:$A$41,0)),"")</f>
        <v>الجهاز العسكري</v>
      </c>
      <c r="D38" s="14" t="str">
        <f>IFERROR(INDEX('قائمة الوحدات'!$D$2:$D$41,MATCH($A38,'قائمة الوحدات'!$A$2:$A$41,0)),"")</f>
        <v>الإدارة العامة للأمن العسكري</v>
      </c>
      <c r="E38" s="14" t="str">
        <f>IFERROR(INDEX('قائمة الوحدات'!$F$2:$F$41,MATCH($A38,'قائمة الوحدات'!$A$2:$A$41,0)),"")</f>
        <v>الإدارة العامة للأمن العسكري</v>
      </c>
      <c r="F38" s="22">
        <f>SUMIFS(النتائج!$H$2:$H$121,النتائج!$A$2:$A$121,$A38,النتائج!$F$2:$F$121,"DESIGN")</f>
        <v>84.7</v>
      </c>
      <c r="G38" s="22">
        <f>SUMIFS(النتائج!$H$2:$H$121,النتائج!$A$2:$A$121,$A38,النتائج!$F$2:$F$121,"BUILD")</f>
        <v>65.099999999999994</v>
      </c>
      <c r="H38" s="22">
        <f>SUMIFS(النتائج!$H$2:$H$121,النتائج!$A$2:$A$121,$A38,النتائج!$F$2:$F$121,"OPERATE")</f>
        <v>35.65</v>
      </c>
    </row>
    <row r="39" spans="1:8">
      <c r="A39" s="15" t="s">
        <v>226</v>
      </c>
      <c r="B39" s="15" t="str">
        <f>IFERROR(INDEX('قائمة الوحدات'!$B$2:$B$41,MATCH($A39,'قائمة الوحدات'!$A$2:$A$41,0)),"")</f>
        <v>MIL</v>
      </c>
      <c r="C39" s="14" t="str">
        <f>IFERROR(INDEX('قائمة الوحدات'!$C$2:$C$41,MATCH($A39,'قائمة الوحدات'!$A$2:$A$41,0)),"")</f>
        <v>الجهاز العسكري</v>
      </c>
      <c r="D39" s="14" t="str">
        <f>IFERROR(INDEX('قائمة الوحدات'!$D$2:$D$41,MATCH($A39,'قائمة الوحدات'!$A$2:$A$41,0)),"")</f>
        <v>الإدارة العامة للمالية والميزانية العسكرية</v>
      </c>
      <c r="E39" s="14" t="str">
        <f>IFERROR(INDEX('قائمة الوحدات'!$F$2:$F$41,MATCH($A39,'قائمة الوحدات'!$A$2:$A$41,0)),"")</f>
        <v>الإدارة العامة للمالية والميزانية العسكرية</v>
      </c>
      <c r="F39" s="22">
        <f>SUMIFS(النتائج!$H$2:$H$121,النتائج!$A$2:$A$121,$A39,النتائج!$F$2:$F$121,"DESIGN")</f>
        <v>81.3</v>
      </c>
      <c r="G39" s="22">
        <f>SUMIFS(النتائج!$H$2:$H$121,النتائج!$A$2:$A$121,$A39,النتائج!$F$2:$F$121,"BUILD")</f>
        <v>68.95</v>
      </c>
      <c r="H39" s="22">
        <f>SUMIFS(النتائج!$H$2:$H$121,النتائج!$A$2:$A$121,$A39,النتائج!$F$2:$F$121,"OPERATE")</f>
        <v>33</v>
      </c>
    </row>
    <row r="40" spans="1:8">
      <c r="A40" s="15" t="s">
        <v>228</v>
      </c>
      <c r="B40" s="15" t="str">
        <f>IFERROR(INDEX('قائمة الوحدات'!$B$2:$B$41,MATCH($A40,'قائمة الوحدات'!$A$2:$A$41,0)),"")</f>
        <v>MIL</v>
      </c>
      <c r="C40" s="14" t="str">
        <f>IFERROR(INDEX('قائمة الوحدات'!$C$2:$C$41,MATCH($A40,'قائمة الوحدات'!$A$2:$A$41,0)),"")</f>
        <v>الجهاز العسكري</v>
      </c>
      <c r="D40" s="14" t="str">
        <f>IFERROR(INDEX('قائمة الوحدات'!$D$2:$D$41,MATCH($A40,'قائمة الوحدات'!$A$2:$A$41,0)),"")</f>
        <v>الإدارة العامة للعلاقات العامة والإعلام العسكري</v>
      </c>
      <c r="E40" s="14" t="str">
        <f>IFERROR(INDEX('قائمة الوحدات'!$F$2:$F$41,MATCH($A40,'قائمة الوحدات'!$A$2:$A$41,0)),"")</f>
        <v>الإدارة العامة للعلاقات العامة والإعلام العسكري</v>
      </c>
      <c r="F40" s="22">
        <f>SUMIFS(النتائج!$H$2:$H$121,النتائج!$A$2:$A$121,$A40,النتائج!$F$2:$F$121,"DESIGN")</f>
        <v>79.349999999999994</v>
      </c>
      <c r="G40" s="22">
        <f>SUMIFS(النتائج!$H$2:$H$121,النتائج!$A$2:$A$121,$A40,النتائج!$F$2:$F$121,"BUILD")</f>
        <v>69.149999999999991</v>
      </c>
      <c r="H40" s="22">
        <f>SUMIFS(النتائج!$H$2:$H$121,النتائج!$A$2:$A$121,$A40,النتائج!$F$2:$F$121,"OPERATE")</f>
        <v>36.049999999999997</v>
      </c>
    </row>
    <row r="41" spans="1:8">
      <c r="A41" s="15" t="s">
        <v>230</v>
      </c>
      <c r="B41" s="15" t="str">
        <f>IFERROR(INDEX('قائمة الوحدات'!$B$2:$B$41,MATCH($A41,'قائمة الوحدات'!$A$2:$A$41,0)),"")</f>
        <v>MIL</v>
      </c>
      <c r="C41" s="14" t="str">
        <f>IFERROR(INDEX('قائمة الوحدات'!$C$2:$C$41,MATCH($A41,'قائمة الوحدات'!$A$2:$A$41,0)),"")</f>
        <v>الجهاز العسكري</v>
      </c>
      <c r="D41" s="14" t="str">
        <f>IFERROR(INDEX('قائمة الوحدات'!$D$2:$D$41,MATCH($A41,'قائمة الوحدات'!$A$2:$A$41,0)),"")</f>
        <v>الإدارة العامة للمراسم والتشريفات العسكرية</v>
      </c>
      <c r="E41" s="14" t="str">
        <f>IFERROR(INDEX('قائمة الوحدات'!$F$2:$F$41,MATCH($A41,'قائمة الوحدات'!$A$2:$A$41,0)),"")</f>
        <v>الإدارة العامة للمراسم والتشريفات العسكرية</v>
      </c>
      <c r="F41" s="22">
        <f>SUMIFS(النتائج!$H$2:$H$121,النتائج!$A$2:$A$121,$A41,النتائج!$F$2:$F$121,"DESIGN")</f>
        <v>88.100000000000009</v>
      </c>
      <c r="G41" s="22">
        <f>SUMIFS(النتائج!$H$2:$H$121,النتائج!$A$2:$A$121,$A41,النتائج!$F$2:$F$121,"BUILD")</f>
        <v>59.749999999999993</v>
      </c>
      <c r="H41" s="22">
        <f>SUMIFS(النتائج!$H$2:$H$121,النتائج!$A$2:$A$121,$A41,النتائج!$F$2:$F$121,"OPERATE")</f>
        <v>46.400000000000006</v>
      </c>
    </row>
    <row r="43" spans="1:8">
      <c r="A43" s="10" t="s">
        <v>2167</v>
      </c>
    </row>
  </sheetData>
  <autoFilter ref="A1:H41" xr:uid="{00000000-0009-0000-0000-000009000000}"/>
  <conditionalFormatting sqref="F2:H41">
    <cfRule type="cellIs" dxfId="1" priority="2" operator="greaterThan">
      <formula>70</formula>
    </cfRule>
    <cfRule type="cellIs" dxfId="0" priority="3" operator="lessThanOrEqual">
      <formula>30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5ae6671a-5249-452b-90f8-8b3499ce8865}" enabled="1" method="Privileged" siteId="{859f050e-9731-4556-aab4-683a27e7fa1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تعليمات</vt:lpstr>
      <vt:lpstr>المرجع</vt:lpstr>
      <vt:lpstr>نقاط التحقق</vt:lpstr>
      <vt:lpstr>قائمة الوحدات</vt:lpstr>
      <vt:lpstr>المرتبطة بسمو الوزير</vt:lpstr>
      <vt:lpstr>الشؤون التنفيذية</vt:lpstr>
      <vt:lpstr>الجهاز العسكري</vt:lpstr>
      <vt:lpstr>تقييم العناصر</vt:lpstr>
      <vt:lpstr>النتائج</vt:lpstr>
      <vt:lpstr>ملخص الوحدات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Muath Alothman</cp:lastModifiedBy>
  <cp:revision>0</cp:revision>
  <dcterms:created xsi:type="dcterms:W3CDTF">2026-08-19T09:52:41Z</dcterms:created>
  <dcterms:modified xsi:type="dcterms:W3CDTF">2026-08-20T11:09:44Z</dcterms:modified>
  <dc:language>en-US</dc:language>
</cp:coreProperties>
</file>